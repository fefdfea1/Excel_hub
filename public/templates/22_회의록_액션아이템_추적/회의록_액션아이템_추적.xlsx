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사용안내" sheetId="1" state="visible" r:id="rId1"/>
    <sheet xmlns:r="http://schemas.openxmlformats.org/officeDocument/2006/relationships" name="구성원목록" sheetId="2" state="visible" r:id="rId2"/>
    <sheet xmlns:r="http://schemas.openxmlformats.org/officeDocument/2006/relationships" name="회의록" sheetId="3" state="visible" r:id="rId3"/>
    <sheet xmlns:r="http://schemas.openxmlformats.org/officeDocument/2006/relationships" name="액션아이템" sheetId="4" state="visible" r:id="rId4"/>
    <sheet xmlns:r="http://schemas.openxmlformats.org/officeDocument/2006/relationships" name="미완료현황" sheetId="5" state="visible" r:id="rId5"/>
    <sheet xmlns:r="http://schemas.openxmlformats.org/officeDocument/2006/relationships" name="담당자별현황" sheetId="6" state="visible" r:id="rId6"/>
    <sheet xmlns:r="http://schemas.openxmlformats.org/officeDocument/2006/relationships" name="회의록_출력" sheetId="7" state="visible" r:id="rId7"/>
  </sheets>
  <definedNames>
    <definedName name="_xlnm.Print_Area" localSheetId="6">'회의록_출력'!$A$1:$F$32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FFFFFF"/>
      <sz val="14"/>
    </font>
    <font>
      <name val="Noto Sans CJK SC"/>
      <charset val="1"/>
      <family val="2"/>
      <b val="1"/>
      <sz val="10"/>
    </font>
    <font>
      <name val="Noto Sans CJK SC"/>
      <charset val="1"/>
      <family val="2"/>
      <sz val="10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color rgb="FF808080"/>
      <sz val="9"/>
    </font>
    <font>
      <name val="맑은 고딕"/>
      <charset val="1"/>
      <family val="0"/>
      <color rgb="FF0000FF"/>
      <sz val="10"/>
    </font>
    <font>
      <name val="Noto Sans CJK SC"/>
      <charset val="1"/>
      <family val="2"/>
      <color rgb="FF0000FF"/>
      <sz val="10"/>
    </font>
    <font>
      <name val="맑은 고딕"/>
      <charset val="1"/>
      <family val="0"/>
      <sz val="10"/>
    </font>
    <font>
      <name val="맑은 고딕"/>
      <charset val="1"/>
      <family val="0"/>
      <b val="1"/>
      <color rgb="FFFFFFFF"/>
      <sz val="10"/>
    </font>
    <font>
      <name val="맑은 고딕"/>
      <charset val="1"/>
      <family val="0"/>
      <color rgb="FF808080"/>
      <sz val="9"/>
    </font>
    <font>
      <name val="맑은 고딕"/>
      <charset val="1"/>
      <family val="0"/>
      <b val="1"/>
      <sz val="11"/>
    </font>
    <font>
      <name val="맑은 고딕"/>
      <charset val="1"/>
      <family val="0"/>
      <b val="1"/>
      <sz val="10"/>
    </font>
    <font>
      <name val="Noto Sans CJK SC"/>
      <charset val="1"/>
      <family val="2"/>
      <b val="1"/>
      <sz val="22"/>
    </font>
    <font>
      <name val="맑은 고딕"/>
      <charset val="1"/>
      <family val="0"/>
      <sz val="11"/>
    </font>
    <font>
      <name val="Noto Sans CJK SC"/>
      <charset val="1"/>
      <family val="2"/>
      <b val="1"/>
      <sz val="11"/>
    </font>
  </fonts>
  <fills count="8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B9A"/>
        <bgColor rgb="FF0066CC"/>
      </patternFill>
    </fill>
    <fill>
      <patternFill patternType="solid">
        <fgColor rgb="FFFFF2CC"/>
        <bgColor rgb="FFFCE4E4"/>
      </patternFill>
    </fill>
    <fill>
      <patternFill patternType="solid">
        <fgColor rgb="FF6B7A8F"/>
        <bgColor rgb="FF808080"/>
      </patternFill>
    </fill>
    <fill>
      <patternFill patternType="solid">
        <fgColor rgb="FFFCE4E4"/>
        <bgColor rgb="FFF2F2F2"/>
      </patternFill>
    </fill>
    <fill>
      <patternFill patternType="solid">
        <fgColor rgb="FFF2F2F2"/>
        <bgColor rgb="FFFCE4E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" fontId="9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1" fontId="11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bottom"/>
    </xf>
    <xf numFmtId="164" fontId="11" fillId="0" borderId="1" applyAlignment="1" pivotButton="0" quotePrefix="0" xfId="0">
      <alignment horizontal="general" vertical="bottom"/>
    </xf>
    <xf numFmtId="1" fontId="11" fillId="0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165" fontId="11" fillId="0" borderId="1" applyAlignment="1" pivotButton="0" quotePrefix="0" xfId="0">
      <alignment horizontal="center" vertical="bottom"/>
    </xf>
    <xf numFmtId="0" fontId="5" fillId="7" borderId="1" applyAlignment="1" pivotButton="0" quotePrefix="0" xfId="0">
      <alignment horizontal="general" vertical="bottom"/>
    </xf>
    <xf numFmtId="0" fontId="15" fillId="7" borderId="1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bottom"/>
    </xf>
    <xf numFmtId="0" fontId="5" fillId="7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164" fontId="17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bottom"/>
    </xf>
    <xf numFmtId="164" fontId="11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" fontId="9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1" fontId="11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bottom"/>
    </xf>
    <xf numFmtId="164" fontId="11" fillId="0" borderId="1" applyAlignment="1" pivotButton="0" quotePrefix="0" xfId="0">
      <alignment horizontal="general" vertical="bottom"/>
    </xf>
    <xf numFmtId="1" fontId="11" fillId="0" borderId="1" applyAlignment="1" pivotButton="0" quotePrefix="0" xfId="0">
      <alignment horizontal="center" vertical="bottom"/>
    </xf>
    <xf numFmtId="165" fontId="11" fillId="0" borderId="1" applyAlignment="1" pivotButton="0" quotePrefix="0" xfId="0">
      <alignment horizontal="center" vertical="bottom"/>
    </xf>
    <xf numFmtId="0" fontId="5" fillId="7" borderId="1" applyAlignment="1" pivotButton="0" quotePrefix="0" xfId="0">
      <alignment horizontal="general" vertical="bottom"/>
    </xf>
    <xf numFmtId="0" fontId="15" fillId="7" borderId="1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bottom"/>
    </xf>
    <xf numFmtId="0" fontId="5" fillId="7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17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18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FCE4E4"/>
        </patternFill>
      </fill>
    </dxf>
    <dxf>
      <fill>
        <patternFill>
          <bgColor rgb="FFFFF2CC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40" min="1" max="1"/>
    <col width="46" customWidth="1" style="40" min="2" max="2"/>
    <col width="82" customWidth="1" style="40" min="3" max="3"/>
  </cols>
  <sheetData>
    <row r="1"/>
    <row r="2" ht="25.5" customHeight="1" s="41">
      <c r="B2" s="42" t="inlineStr">
        <is>
          <t>회의록 · 할 일(액션아이템) 추적</t>
        </is>
      </c>
    </row>
    <row r="3"/>
    <row r="4" ht="15" customHeight="1" s="41">
      <c r="B4" s="43" t="inlineStr">
        <is>
          <t>핵심</t>
        </is>
      </c>
      <c r="C4" s="44" t="inlineStr">
        <is>
          <t>회의에서 나온 할 일을 따로 쌓아두면 기한이 언제인지, 누가 안 했는지가 한눈에 보입니다.</t>
        </is>
      </c>
    </row>
    <row r="5" ht="15" customHeight="1" s="41">
      <c r="B5" s="43" t="inlineStr">
        <is>
          <t>입력 규칙</t>
        </is>
      </c>
      <c r="C5" s="44" t="inlineStr">
        <is>
          <t>파란색 글씨 칸만 입력하세요. 검은색은 자동 계산입니다.</t>
        </is>
      </c>
    </row>
    <row r="6" ht="15" customHeight="1" s="41">
      <c r="B6" s="43" t="inlineStr">
        <is>
          <t>① 구성원목록</t>
        </is>
      </c>
      <c r="C6" s="44" t="inlineStr">
        <is>
          <t>참석자와 소속을 등록합니다.</t>
        </is>
      </c>
    </row>
    <row r="7" ht="15" customHeight="1" s="41">
      <c r="B7" s="43" t="inlineStr">
        <is>
          <t>② 회의록</t>
        </is>
      </c>
      <c r="C7" s="44" t="inlineStr">
        <is>
          <t>회의마다 한 줄. 회의번호는 자동으로 매겨집니다.</t>
        </is>
      </c>
    </row>
    <row r="8" ht="15" customHeight="1" s="41">
      <c r="B8" s="43" t="inlineStr">
        <is>
          <t>③ 액션아이템</t>
        </is>
      </c>
      <c r="C8" s="44" t="inlineStr">
        <is>
          <t>회의에서 나온 할 일을 한 줄씩. 회의번호로 연결됩니다.</t>
        </is>
      </c>
    </row>
    <row r="9" ht="15" customHeight="1" s="41">
      <c r="B9" s="43" t="inlineStr">
        <is>
          <t>④ 미완료현황</t>
        </is>
      </c>
      <c r="C9" s="44" t="inlineStr">
        <is>
          <t>아직 안 끝난 할 일만 모아서, 기한이 급한 순으로 보여줍니다.</t>
        </is>
      </c>
    </row>
    <row r="10" ht="15" customHeight="1" s="41">
      <c r="B10" s="43" t="inlineStr">
        <is>
          <t>⑤ 담당자별현황</t>
        </is>
      </c>
      <c r="C10" s="44" t="inlineStr">
        <is>
          <t>담당자별로 몇 건 맡았고 몇 건 남았는지 보여줍니다.</t>
        </is>
      </c>
    </row>
    <row r="11" ht="15" customHeight="1" s="41">
      <c r="B11" s="43" t="inlineStr">
        <is>
          <t>⑥ 회의록 출력</t>
        </is>
      </c>
      <c r="C11" s="44" t="inlineStr">
        <is>
          <t>회의번호를 고르면 그 회의의 회의록과 할 일이 한 장에 인쇄됩니다.</t>
        </is>
      </c>
    </row>
    <row r="12" ht="15" customHeight="1" s="41">
      <c r="B12" s="43" t="inlineStr">
        <is>
          <t>기한 표시</t>
        </is>
      </c>
      <c r="C12" s="44" t="inlineStr">
        <is>
          <t>기한이 지나면 빨강, 며칠 안 남았으면 노랑으로 표시됩니다.</t>
        </is>
      </c>
    </row>
    <row r="13" ht="15" customHeight="1" s="41">
      <c r="B13" s="43" t="inlineStr">
        <is>
          <t>완료 처리</t>
        </is>
      </c>
      <c r="C13" s="44" t="inlineStr">
        <is>
          <t>지우지 말고 상태를 '완료'로 바꾸고 완료일을 넣으세요.</t>
        </is>
      </c>
    </row>
    <row r="15" ht="15" customHeight="1" s="41">
      <c r="B15" s="45" t="inlineStr">
        <is>
          <t>설정</t>
        </is>
      </c>
      <c r="C15" s="46" t="inlineStr">
        <is>
          <t>값을 바꾸면 모든 계산에 반영됩니다</t>
        </is>
      </c>
    </row>
    <row r="16" ht="15" customHeight="1" s="41">
      <c r="B16" s="44" t="inlineStr">
        <is>
          <t>기한 임박 기준(일)</t>
        </is>
      </c>
      <c r="C16" s="47" t="n">
        <v>3</v>
      </c>
    </row>
    <row r="18" ht="15" customHeight="1" s="41">
      <c r="B18" s="46" t="inlineStr">
        <is>
          <t>※ 회의 300건, 할 일 1,000건까지 처리합니다.</t>
        </is>
      </c>
    </row>
  </sheetData>
  <mergeCells count="1">
    <mergeCell ref="B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40" min="1" max="1"/>
    <col width="20" customWidth="1" style="40" min="2" max="2"/>
    <col width="14" customWidth="1" style="40" min="3" max="3"/>
    <col width="17" customWidth="1" style="40" min="4" max="4"/>
  </cols>
  <sheetData>
    <row r="1" ht="25.5" customHeight="1" s="41">
      <c r="A1" s="42" t="inlineStr">
        <is>
          <t>구성원목록</t>
        </is>
      </c>
    </row>
    <row r="2" ht="15" customHeight="1" s="41">
      <c r="A2" s="48" t="inlineStr">
        <is>
          <t>이름</t>
        </is>
      </c>
      <c r="B2" s="48" t="inlineStr">
        <is>
          <t>소속</t>
        </is>
      </c>
      <c r="C2" s="48" t="inlineStr">
        <is>
          <t>직위</t>
        </is>
      </c>
      <c r="D2" s="48" t="inlineStr">
        <is>
          <t>연락처</t>
        </is>
      </c>
    </row>
    <row r="3" ht="15" customHeight="1" s="41">
      <c r="A3" s="49" t="inlineStr">
        <is>
          <t>김팀장</t>
        </is>
      </c>
      <c r="B3" s="49" t="inlineStr">
        <is>
          <t>기획팀</t>
        </is>
      </c>
      <c r="C3" s="49" t="inlineStr">
        <is>
          <t>팀장</t>
        </is>
      </c>
      <c r="D3" s="50" t="inlineStr">
        <is>
          <t>010-0000-0001</t>
        </is>
      </c>
    </row>
    <row r="4" ht="15" customHeight="1" s="41">
      <c r="A4" s="49" t="inlineStr">
        <is>
          <t>이대리</t>
        </is>
      </c>
      <c r="B4" s="49" t="inlineStr">
        <is>
          <t>개발팀</t>
        </is>
      </c>
      <c r="C4" s="49" t="inlineStr">
        <is>
          <t>대리</t>
        </is>
      </c>
      <c r="D4" s="50" t="inlineStr">
        <is>
          <t>010-0000-0002</t>
        </is>
      </c>
    </row>
    <row r="5" ht="15" customHeight="1" s="41">
      <c r="A5" s="49" t="inlineStr">
        <is>
          <t>박주임</t>
        </is>
      </c>
      <c r="B5" s="49" t="inlineStr">
        <is>
          <t>디자인팀</t>
        </is>
      </c>
      <c r="C5" s="49" t="inlineStr">
        <is>
          <t>주임</t>
        </is>
      </c>
      <c r="D5" s="50" t="inlineStr">
        <is>
          <t>010-0000-0003</t>
        </is>
      </c>
    </row>
    <row r="6" ht="15" customHeight="1" s="41">
      <c r="A6" s="50" t="n"/>
      <c r="B6" s="50" t="n"/>
      <c r="C6" s="50" t="n"/>
      <c r="D6" s="50" t="n"/>
    </row>
    <row r="7" ht="15" customHeight="1" s="41">
      <c r="A7" s="50" t="n"/>
      <c r="B7" s="50" t="n"/>
      <c r="C7" s="50" t="n"/>
      <c r="D7" s="50" t="n"/>
    </row>
    <row r="8" ht="15" customHeight="1" s="41">
      <c r="A8" s="50" t="n"/>
      <c r="B8" s="50" t="n"/>
      <c r="C8" s="50" t="n"/>
      <c r="D8" s="50" t="n"/>
    </row>
    <row r="9" ht="15" customHeight="1" s="41">
      <c r="A9" s="50" t="n"/>
      <c r="B9" s="50" t="n"/>
      <c r="C9" s="50" t="n"/>
      <c r="D9" s="50" t="n"/>
    </row>
    <row r="10" ht="15" customHeight="1" s="41">
      <c r="A10" s="50" t="n"/>
      <c r="B10" s="50" t="n"/>
      <c r="C10" s="50" t="n"/>
      <c r="D10" s="50" t="n"/>
    </row>
    <row r="11" ht="15" customHeight="1" s="41">
      <c r="A11" s="50" t="n"/>
      <c r="B11" s="50" t="n"/>
      <c r="C11" s="50" t="n"/>
      <c r="D11" s="50" t="n"/>
    </row>
    <row r="12" ht="15" customHeight="1" s="41">
      <c r="A12" s="50" t="n"/>
      <c r="B12" s="50" t="n"/>
      <c r="C12" s="50" t="n"/>
      <c r="D12" s="50" t="n"/>
    </row>
    <row r="13" ht="15" customHeight="1" s="41">
      <c r="A13" s="50" t="n"/>
      <c r="B13" s="50" t="n"/>
      <c r="C13" s="50" t="n"/>
      <c r="D13" s="50" t="n"/>
    </row>
    <row r="14" ht="15" customHeight="1" s="41">
      <c r="A14" s="50" t="n"/>
      <c r="B14" s="50" t="n"/>
      <c r="C14" s="50" t="n"/>
      <c r="D14" s="50" t="n"/>
    </row>
    <row r="15" ht="15" customHeight="1" s="41">
      <c r="A15" s="50" t="n"/>
      <c r="B15" s="50" t="n"/>
      <c r="C15" s="50" t="n"/>
      <c r="D15" s="50" t="n"/>
    </row>
    <row r="16" ht="15" customHeight="1" s="41">
      <c r="A16" s="50" t="n"/>
      <c r="B16" s="50" t="n"/>
      <c r="C16" s="50" t="n"/>
      <c r="D16" s="50" t="n"/>
    </row>
    <row r="17" ht="15" customHeight="1" s="41">
      <c r="A17" s="50" t="n"/>
      <c r="B17" s="50" t="n"/>
      <c r="C17" s="50" t="n"/>
      <c r="D17" s="50" t="n"/>
    </row>
    <row r="18" ht="15" customHeight="1" s="41">
      <c r="A18" s="50" t="n"/>
      <c r="B18" s="50" t="n"/>
      <c r="C18" s="50" t="n"/>
      <c r="D18" s="50" t="n"/>
    </row>
    <row r="19" ht="15" customHeight="1" s="41">
      <c r="A19" s="50" t="n"/>
      <c r="B19" s="50" t="n"/>
      <c r="C19" s="50" t="n"/>
      <c r="D19" s="50" t="n"/>
    </row>
    <row r="20" ht="15" customHeight="1" s="41">
      <c r="A20" s="50" t="n"/>
      <c r="B20" s="50" t="n"/>
      <c r="C20" s="50" t="n"/>
      <c r="D20" s="50" t="n"/>
    </row>
    <row r="21" ht="15" customHeight="1" s="41">
      <c r="A21" s="50" t="n"/>
      <c r="B21" s="50" t="n"/>
      <c r="C21" s="50" t="n"/>
      <c r="D21" s="50" t="n"/>
    </row>
    <row r="22" ht="15" customHeight="1" s="41">
      <c r="A22" s="50" t="n"/>
      <c r="B22" s="50" t="n"/>
      <c r="C22" s="50" t="n"/>
      <c r="D22" s="50" t="n"/>
    </row>
    <row r="23" ht="15" customHeight="1" s="41">
      <c r="A23" s="50" t="n"/>
      <c r="B23" s="50" t="n"/>
      <c r="C23" s="50" t="n"/>
      <c r="D23" s="50" t="n"/>
    </row>
    <row r="24" ht="15" customHeight="1" s="41">
      <c r="A24" s="50" t="n"/>
      <c r="B24" s="50" t="n"/>
      <c r="C24" s="50" t="n"/>
      <c r="D24" s="50" t="n"/>
    </row>
    <row r="25" ht="15" customHeight="1" s="41">
      <c r="A25" s="50" t="n"/>
      <c r="B25" s="50" t="n"/>
      <c r="C25" s="50" t="n"/>
      <c r="D25" s="50" t="n"/>
    </row>
    <row r="26" ht="15" customHeight="1" s="41">
      <c r="A26" s="50" t="n"/>
      <c r="B26" s="50" t="n"/>
      <c r="C26" s="50" t="n"/>
      <c r="D26" s="50" t="n"/>
    </row>
    <row r="27" ht="15" customHeight="1" s="41">
      <c r="A27" s="50" t="n"/>
      <c r="B27" s="50" t="n"/>
      <c r="C27" s="50" t="n"/>
      <c r="D27" s="50" t="n"/>
    </row>
    <row r="28" ht="15" customHeight="1" s="41">
      <c r="A28" s="50" t="n"/>
      <c r="B28" s="50" t="n"/>
      <c r="C28" s="50" t="n"/>
      <c r="D28" s="50" t="n"/>
    </row>
    <row r="29" ht="15" customHeight="1" s="41">
      <c r="A29" s="50" t="n"/>
      <c r="B29" s="50" t="n"/>
      <c r="C29" s="50" t="n"/>
      <c r="D29" s="50" t="n"/>
    </row>
    <row r="30" ht="15" customHeight="1" s="41">
      <c r="A30" s="50" t="n"/>
      <c r="B30" s="50" t="n"/>
      <c r="C30" s="50" t="n"/>
      <c r="D30" s="50" t="n"/>
    </row>
    <row r="31" ht="15" customHeight="1" s="41">
      <c r="A31" s="50" t="n"/>
      <c r="B31" s="50" t="n"/>
      <c r="C31" s="50" t="n"/>
      <c r="D31" s="50" t="n"/>
    </row>
    <row r="32" ht="15" customHeight="1" s="41">
      <c r="A32" s="50" t="n"/>
      <c r="B32" s="50" t="n"/>
      <c r="C32" s="50" t="n"/>
      <c r="D32" s="50" t="n"/>
    </row>
    <row r="33" ht="15" customHeight="1" s="41">
      <c r="A33" s="50" t="n"/>
      <c r="B33" s="50" t="n"/>
      <c r="C33" s="50" t="n"/>
      <c r="D33" s="50" t="n"/>
    </row>
    <row r="34" ht="15" customHeight="1" s="41">
      <c r="A34" s="50" t="n"/>
      <c r="B34" s="50" t="n"/>
      <c r="C34" s="50" t="n"/>
      <c r="D34" s="50" t="n"/>
    </row>
    <row r="35" ht="15" customHeight="1" s="41">
      <c r="A35" s="50" t="n"/>
      <c r="B35" s="50" t="n"/>
      <c r="C35" s="50" t="n"/>
      <c r="D35" s="50" t="n"/>
    </row>
    <row r="36" ht="15" customHeight="1" s="41">
      <c r="A36" s="50" t="n"/>
      <c r="B36" s="50" t="n"/>
      <c r="C36" s="50" t="n"/>
      <c r="D36" s="50" t="n"/>
    </row>
    <row r="37" ht="15" customHeight="1" s="41">
      <c r="A37" s="50" t="n"/>
      <c r="B37" s="50" t="n"/>
      <c r="C37" s="50" t="n"/>
      <c r="D37" s="50" t="n"/>
    </row>
    <row r="38" ht="15" customHeight="1" s="41">
      <c r="A38" s="50" t="n"/>
      <c r="B38" s="50" t="n"/>
      <c r="C38" s="50" t="n"/>
      <c r="D38" s="50" t="n"/>
    </row>
    <row r="39" ht="15" customHeight="1" s="41">
      <c r="A39" s="50" t="n"/>
      <c r="B39" s="50" t="n"/>
      <c r="C39" s="50" t="n"/>
      <c r="D39" s="50" t="n"/>
    </row>
    <row r="40" ht="15" customHeight="1" s="41">
      <c r="A40" s="50" t="n"/>
      <c r="B40" s="50" t="n"/>
      <c r="C40" s="50" t="n"/>
      <c r="D40" s="50" t="n"/>
    </row>
    <row r="41" ht="15" customHeight="1" s="41">
      <c r="A41" s="50" t="n"/>
      <c r="B41" s="50" t="n"/>
      <c r="C41" s="50" t="n"/>
      <c r="D41" s="50" t="n"/>
    </row>
    <row r="42" ht="15" customHeight="1" s="41">
      <c r="A42" s="50" t="n"/>
      <c r="B42" s="50" t="n"/>
      <c r="C42" s="50" t="n"/>
      <c r="D42" s="50" t="n"/>
    </row>
    <row r="43" ht="15" customHeight="1" s="41">
      <c r="A43" s="50" t="n"/>
      <c r="B43" s="50" t="n"/>
      <c r="C43" s="50" t="n"/>
      <c r="D43" s="50" t="n"/>
    </row>
    <row r="44" ht="15" customHeight="1" s="41">
      <c r="A44" s="50" t="n"/>
      <c r="B44" s="50" t="n"/>
      <c r="C44" s="50" t="n"/>
      <c r="D44" s="50" t="n"/>
    </row>
    <row r="45" ht="15" customHeight="1" s="41">
      <c r="A45" s="50" t="n"/>
      <c r="B45" s="50" t="n"/>
      <c r="C45" s="50" t="n"/>
      <c r="D45" s="50" t="n"/>
    </row>
    <row r="46" ht="15" customHeight="1" s="41">
      <c r="A46" s="50" t="n"/>
      <c r="B46" s="50" t="n"/>
      <c r="C46" s="50" t="n"/>
      <c r="D46" s="50" t="n"/>
    </row>
    <row r="47" ht="15" customHeight="1" s="41">
      <c r="A47" s="50" t="n"/>
      <c r="B47" s="50" t="n"/>
      <c r="C47" s="50" t="n"/>
      <c r="D47" s="50" t="n"/>
    </row>
    <row r="48" ht="15" customHeight="1" s="41">
      <c r="A48" s="50" t="n"/>
      <c r="B48" s="50" t="n"/>
      <c r="C48" s="50" t="n"/>
      <c r="D48" s="50" t="n"/>
    </row>
    <row r="49" ht="15" customHeight="1" s="41">
      <c r="A49" s="50" t="n"/>
      <c r="B49" s="50" t="n"/>
      <c r="C49" s="50" t="n"/>
      <c r="D49" s="50" t="n"/>
    </row>
    <row r="50" ht="15" customHeight="1" s="41">
      <c r="A50" s="50" t="n"/>
      <c r="B50" s="50" t="n"/>
      <c r="C50" s="50" t="n"/>
      <c r="D50" s="50" t="n"/>
    </row>
    <row r="51" ht="15" customHeight="1" s="41">
      <c r="A51" s="50" t="n"/>
      <c r="B51" s="50" t="n"/>
      <c r="C51" s="50" t="n"/>
      <c r="D51" s="50" t="n"/>
    </row>
    <row r="52" ht="15" customHeight="1" s="41">
      <c r="A52" s="50" t="n"/>
      <c r="B52" s="50" t="n"/>
      <c r="C52" s="50" t="n"/>
      <c r="D52" s="50" t="n"/>
    </row>
    <row r="53" ht="15" customHeight="1" s="41">
      <c r="A53" s="50" t="n"/>
      <c r="B53" s="50" t="n"/>
      <c r="C53" s="50" t="n"/>
      <c r="D53" s="50" t="n"/>
    </row>
    <row r="54" ht="15" customHeight="1" s="41">
      <c r="A54" s="50" t="n"/>
      <c r="B54" s="50" t="n"/>
      <c r="C54" s="50" t="n"/>
      <c r="D54" s="50" t="n"/>
    </row>
    <row r="55" ht="15" customHeight="1" s="41">
      <c r="A55" s="50" t="n"/>
      <c r="B55" s="50" t="n"/>
      <c r="C55" s="50" t="n"/>
      <c r="D55" s="50" t="n"/>
    </row>
    <row r="56" ht="15" customHeight="1" s="41">
      <c r="A56" s="50" t="n"/>
      <c r="B56" s="50" t="n"/>
      <c r="C56" s="50" t="n"/>
      <c r="D56" s="50" t="n"/>
    </row>
    <row r="57" ht="15" customHeight="1" s="41">
      <c r="A57" s="50" t="n"/>
      <c r="B57" s="50" t="n"/>
      <c r="C57" s="50" t="n"/>
      <c r="D57" s="50" t="n"/>
    </row>
    <row r="58" ht="15" customHeight="1" s="41">
      <c r="A58" s="50" t="n"/>
      <c r="B58" s="50" t="n"/>
      <c r="C58" s="50" t="n"/>
      <c r="D58" s="50" t="n"/>
    </row>
    <row r="59" ht="15" customHeight="1" s="41">
      <c r="A59" s="50" t="n"/>
      <c r="B59" s="50" t="n"/>
      <c r="C59" s="50" t="n"/>
      <c r="D59" s="50" t="n"/>
    </row>
    <row r="60" ht="15" customHeight="1" s="41">
      <c r="A60" s="50" t="n"/>
      <c r="B60" s="50" t="n"/>
      <c r="C60" s="50" t="n"/>
      <c r="D60" s="50" t="n"/>
    </row>
    <row r="61" ht="15" customHeight="1" s="41">
      <c r="A61" s="50" t="n"/>
      <c r="B61" s="50" t="n"/>
      <c r="C61" s="50" t="n"/>
      <c r="D61" s="50" t="n"/>
    </row>
    <row r="62" ht="15" customHeight="1" s="41">
      <c r="A62" s="50" t="n"/>
      <c r="B62" s="50" t="n"/>
      <c r="C62" s="50" t="n"/>
      <c r="D62" s="50" t="n"/>
    </row>
    <row r="63" ht="15" customHeight="1" s="41">
      <c r="A63" s="50" t="n"/>
      <c r="B63" s="50" t="n"/>
      <c r="C63" s="50" t="n"/>
      <c r="D63" s="50" t="n"/>
    </row>
    <row r="64" ht="15" customHeight="1" s="41">
      <c r="A64" s="50" t="n"/>
      <c r="B64" s="50" t="n"/>
      <c r="C64" s="50" t="n"/>
      <c r="D64" s="50" t="n"/>
    </row>
    <row r="65" ht="15" customHeight="1" s="41">
      <c r="A65" s="50" t="n"/>
      <c r="B65" s="50" t="n"/>
      <c r="C65" s="50" t="n"/>
      <c r="D65" s="50" t="n"/>
    </row>
    <row r="66" ht="15" customHeight="1" s="41">
      <c r="A66" s="50" t="n"/>
      <c r="B66" s="50" t="n"/>
      <c r="C66" s="50" t="n"/>
      <c r="D66" s="50" t="n"/>
    </row>
    <row r="67" ht="15" customHeight="1" s="41">
      <c r="A67" s="50" t="n"/>
      <c r="B67" s="50" t="n"/>
      <c r="C67" s="50" t="n"/>
      <c r="D67" s="50" t="n"/>
    </row>
    <row r="68" ht="15" customHeight="1" s="41">
      <c r="A68" s="50" t="n"/>
      <c r="B68" s="50" t="n"/>
      <c r="C68" s="50" t="n"/>
      <c r="D68" s="50" t="n"/>
    </row>
    <row r="69" ht="15" customHeight="1" s="41">
      <c r="A69" s="50" t="n"/>
      <c r="B69" s="50" t="n"/>
      <c r="C69" s="50" t="n"/>
      <c r="D69" s="50" t="n"/>
    </row>
    <row r="70" ht="15" customHeight="1" s="41">
      <c r="A70" s="50" t="n"/>
      <c r="B70" s="50" t="n"/>
      <c r="C70" s="50" t="n"/>
      <c r="D70" s="50" t="n"/>
    </row>
    <row r="71" ht="15" customHeight="1" s="41">
      <c r="A71" s="50" t="n"/>
      <c r="B71" s="50" t="n"/>
      <c r="C71" s="50" t="n"/>
      <c r="D71" s="50" t="n"/>
    </row>
    <row r="72" ht="15" customHeight="1" s="41">
      <c r="A72" s="50" t="n"/>
      <c r="B72" s="50" t="n"/>
      <c r="C72" s="50" t="n"/>
      <c r="D72" s="50" t="n"/>
    </row>
    <row r="73" ht="15" customHeight="1" s="41">
      <c r="A73" s="50" t="n"/>
      <c r="B73" s="50" t="n"/>
      <c r="C73" s="50" t="n"/>
      <c r="D73" s="50" t="n"/>
    </row>
    <row r="74" ht="15" customHeight="1" s="41">
      <c r="A74" s="50" t="n"/>
      <c r="B74" s="50" t="n"/>
      <c r="C74" s="50" t="n"/>
      <c r="D74" s="50" t="n"/>
    </row>
    <row r="75" ht="15" customHeight="1" s="41">
      <c r="A75" s="50" t="n"/>
      <c r="B75" s="50" t="n"/>
      <c r="C75" s="50" t="n"/>
      <c r="D75" s="50" t="n"/>
    </row>
    <row r="76" ht="15" customHeight="1" s="41">
      <c r="A76" s="50" t="n"/>
      <c r="B76" s="50" t="n"/>
      <c r="C76" s="50" t="n"/>
      <c r="D76" s="50" t="n"/>
    </row>
    <row r="77" ht="15" customHeight="1" s="41">
      <c r="A77" s="50" t="n"/>
      <c r="B77" s="50" t="n"/>
      <c r="C77" s="50" t="n"/>
      <c r="D77" s="50" t="n"/>
    </row>
    <row r="78" ht="15" customHeight="1" s="41">
      <c r="A78" s="50" t="n"/>
      <c r="B78" s="50" t="n"/>
      <c r="C78" s="50" t="n"/>
      <c r="D78" s="50" t="n"/>
    </row>
    <row r="79" ht="15" customHeight="1" s="41">
      <c r="A79" s="50" t="n"/>
      <c r="B79" s="50" t="n"/>
      <c r="C79" s="50" t="n"/>
      <c r="D79" s="50" t="n"/>
    </row>
    <row r="80" ht="15" customHeight="1" s="41">
      <c r="A80" s="50" t="n"/>
      <c r="B80" s="50" t="n"/>
      <c r="C80" s="50" t="n"/>
      <c r="D80" s="50" t="n"/>
    </row>
    <row r="81" ht="15" customHeight="1" s="41">
      <c r="A81" s="50" t="n"/>
      <c r="B81" s="50" t="n"/>
      <c r="C81" s="50" t="n"/>
      <c r="D81" s="50" t="n"/>
    </row>
    <row r="82" ht="15" customHeight="1" s="41">
      <c r="A82" s="50" t="n"/>
      <c r="B82" s="50" t="n"/>
      <c r="C82" s="50" t="n"/>
      <c r="D82" s="50" t="n"/>
    </row>
    <row r="83" ht="15" customHeight="1" s="41">
      <c r="A83" s="50" t="n"/>
      <c r="B83" s="50" t="n"/>
      <c r="C83" s="50" t="n"/>
      <c r="D83" s="50" t="n"/>
    </row>
    <row r="84" ht="15" customHeight="1" s="41">
      <c r="A84" s="50" t="n"/>
      <c r="B84" s="50" t="n"/>
      <c r="C84" s="50" t="n"/>
      <c r="D84" s="50" t="n"/>
    </row>
    <row r="85" ht="15" customHeight="1" s="41">
      <c r="A85" s="50" t="n"/>
      <c r="B85" s="50" t="n"/>
      <c r="C85" s="50" t="n"/>
      <c r="D85" s="50" t="n"/>
    </row>
    <row r="86" ht="15" customHeight="1" s="41">
      <c r="A86" s="50" t="n"/>
      <c r="B86" s="50" t="n"/>
      <c r="C86" s="50" t="n"/>
      <c r="D86" s="50" t="n"/>
    </row>
    <row r="87" ht="15" customHeight="1" s="41">
      <c r="A87" s="50" t="n"/>
      <c r="B87" s="50" t="n"/>
      <c r="C87" s="50" t="n"/>
      <c r="D87" s="50" t="n"/>
    </row>
    <row r="88" ht="15" customHeight="1" s="41">
      <c r="A88" s="50" t="n"/>
      <c r="B88" s="50" t="n"/>
      <c r="C88" s="50" t="n"/>
      <c r="D88" s="50" t="n"/>
    </row>
    <row r="89" ht="15" customHeight="1" s="41">
      <c r="A89" s="50" t="n"/>
      <c r="B89" s="50" t="n"/>
      <c r="C89" s="50" t="n"/>
      <c r="D89" s="50" t="n"/>
    </row>
    <row r="90" ht="15" customHeight="1" s="41">
      <c r="A90" s="50" t="n"/>
      <c r="B90" s="50" t="n"/>
      <c r="C90" s="50" t="n"/>
      <c r="D90" s="50" t="n"/>
    </row>
    <row r="91" ht="15" customHeight="1" s="41">
      <c r="A91" s="50" t="n"/>
      <c r="B91" s="50" t="n"/>
      <c r="C91" s="50" t="n"/>
      <c r="D91" s="50" t="n"/>
    </row>
    <row r="92" ht="15" customHeight="1" s="41">
      <c r="A92" s="50" t="n"/>
      <c r="B92" s="50" t="n"/>
      <c r="C92" s="50" t="n"/>
      <c r="D92" s="50" t="n"/>
    </row>
    <row r="93" ht="15" customHeight="1" s="41">
      <c r="A93" s="50" t="n"/>
      <c r="B93" s="50" t="n"/>
      <c r="C93" s="50" t="n"/>
      <c r="D93" s="50" t="n"/>
    </row>
    <row r="94" ht="15" customHeight="1" s="41">
      <c r="A94" s="50" t="n"/>
      <c r="B94" s="50" t="n"/>
      <c r="C94" s="50" t="n"/>
      <c r="D94" s="50" t="n"/>
    </row>
    <row r="95" ht="15" customHeight="1" s="41">
      <c r="A95" s="50" t="n"/>
      <c r="B95" s="50" t="n"/>
      <c r="C95" s="50" t="n"/>
      <c r="D95" s="50" t="n"/>
    </row>
    <row r="96" ht="15" customHeight="1" s="41">
      <c r="A96" s="50" t="n"/>
      <c r="B96" s="50" t="n"/>
      <c r="C96" s="50" t="n"/>
      <c r="D96" s="50" t="n"/>
    </row>
    <row r="97" ht="15" customHeight="1" s="41">
      <c r="A97" s="50" t="n"/>
      <c r="B97" s="50" t="n"/>
      <c r="C97" s="50" t="n"/>
      <c r="D97" s="50" t="n"/>
    </row>
    <row r="98" ht="15" customHeight="1" s="41">
      <c r="A98" s="50" t="n"/>
      <c r="B98" s="50" t="n"/>
      <c r="C98" s="50" t="n"/>
      <c r="D98" s="50" t="n"/>
    </row>
    <row r="99" ht="15" customHeight="1" s="41">
      <c r="A99" s="50" t="n"/>
      <c r="B99" s="50" t="n"/>
      <c r="C99" s="50" t="n"/>
      <c r="D99" s="50" t="n"/>
    </row>
    <row r="100" ht="15" customHeight="1" s="41">
      <c r="A100" s="50" t="n"/>
      <c r="B100" s="50" t="n"/>
      <c r="C100" s="50" t="n"/>
      <c r="D100" s="50" t="n"/>
    </row>
    <row r="101" ht="15" customHeight="1" s="41">
      <c r="A101" s="50" t="n"/>
      <c r="B101" s="50" t="n"/>
      <c r="C101" s="50" t="n"/>
      <c r="D101" s="50" t="n"/>
    </row>
    <row r="102" ht="15" customHeight="1" s="41">
      <c r="A102" s="50" t="n"/>
      <c r="B102" s="50" t="n"/>
      <c r="C102" s="50" t="n"/>
      <c r="D102" s="50" t="n"/>
    </row>
    <row r="103" ht="15" customHeight="1" s="41">
      <c r="A103" s="50" t="n"/>
      <c r="B103" s="50" t="n"/>
      <c r="C103" s="50" t="n"/>
      <c r="D103" s="50" t="n"/>
    </row>
    <row r="104" ht="15" customHeight="1" s="41">
      <c r="A104" s="50" t="n"/>
      <c r="B104" s="50" t="n"/>
      <c r="C104" s="50" t="n"/>
      <c r="D104" s="50" t="n"/>
    </row>
    <row r="105" ht="15" customHeight="1" s="41">
      <c r="A105" s="50" t="n"/>
      <c r="B105" s="50" t="n"/>
      <c r="C105" s="50" t="n"/>
      <c r="D105" s="50" t="n"/>
    </row>
    <row r="106" ht="15" customHeight="1" s="41">
      <c r="A106" s="50" t="n"/>
      <c r="B106" s="50" t="n"/>
      <c r="C106" s="50" t="n"/>
      <c r="D106" s="50" t="n"/>
    </row>
    <row r="107" ht="15" customHeight="1" s="41">
      <c r="A107" s="50" t="n"/>
      <c r="B107" s="50" t="n"/>
      <c r="C107" s="50" t="n"/>
      <c r="D107" s="50" t="n"/>
    </row>
    <row r="108" ht="15" customHeight="1" s="41">
      <c r="A108" s="50" t="n"/>
      <c r="B108" s="50" t="n"/>
      <c r="C108" s="50" t="n"/>
      <c r="D108" s="50" t="n"/>
    </row>
    <row r="109" ht="15" customHeight="1" s="41">
      <c r="A109" s="50" t="n"/>
      <c r="B109" s="50" t="n"/>
      <c r="C109" s="50" t="n"/>
      <c r="D109" s="50" t="n"/>
    </row>
    <row r="110" ht="15" customHeight="1" s="41">
      <c r="A110" s="50" t="n"/>
      <c r="B110" s="50" t="n"/>
      <c r="C110" s="50" t="n"/>
      <c r="D110" s="50" t="n"/>
    </row>
    <row r="111" ht="15" customHeight="1" s="41">
      <c r="A111" s="50" t="n"/>
      <c r="B111" s="50" t="n"/>
      <c r="C111" s="50" t="n"/>
      <c r="D111" s="50" t="n"/>
    </row>
    <row r="112" ht="15" customHeight="1" s="41">
      <c r="A112" s="50" t="n"/>
      <c r="B112" s="50" t="n"/>
      <c r="C112" s="50" t="n"/>
      <c r="D112" s="50" t="n"/>
    </row>
    <row r="113" ht="15" customHeight="1" s="41">
      <c r="A113" s="50" t="n"/>
      <c r="B113" s="50" t="n"/>
      <c r="C113" s="50" t="n"/>
      <c r="D113" s="50" t="n"/>
    </row>
    <row r="114" ht="15" customHeight="1" s="41">
      <c r="A114" s="50" t="n"/>
      <c r="B114" s="50" t="n"/>
      <c r="C114" s="50" t="n"/>
      <c r="D114" s="50" t="n"/>
    </row>
    <row r="115" ht="15" customHeight="1" s="41">
      <c r="A115" s="50" t="n"/>
      <c r="B115" s="50" t="n"/>
      <c r="C115" s="50" t="n"/>
      <c r="D115" s="50" t="n"/>
    </row>
    <row r="116" ht="15" customHeight="1" s="41">
      <c r="A116" s="50" t="n"/>
      <c r="B116" s="50" t="n"/>
      <c r="C116" s="50" t="n"/>
      <c r="D116" s="50" t="n"/>
    </row>
    <row r="117" ht="15" customHeight="1" s="41">
      <c r="A117" s="50" t="n"/>
      <c r="B117" s="50" t="n"/>
      <c r="C117" s="50" t="n"/>
      <c r="D117" s="50" t="n"/>
    </row>
    <row r="118" ht="15" customHeight="1" s="41">
      <c r="A118" s="50" t="n"/>
      <c r="B118" s="50" t="n"/>
      <c r="C118" s="50" t="n"/>
      <c r="D118" s="50" t="n"/>
    </row>
    <row r="119" ht="15" customHeight="1" s="41">
      <c r="A119" s="50" t="n"/>
      <c r="B119" s="50" t="n"/>
      <c r="C119" s="50" t="n"/>
      <c r="D119" s="50" t="n"/>
    </row>
    <row r="120" ht="15" customHeight="1" s="41">
      <c r="A120" s="50" t="n"/>
      <c r="B120" s="50" t="n"/>
      <c r="C120" s="50" t="n"/>
      <c r="D120" s="50" t="n"/>
    </row>
    <row r="121" ht="15" customHeight="1" s="41">
      <c r="A121" s="50" t="n"/>
      <c r="B121" s="50" t="n"/>
      <c r="C121" s="50" t="n"/>
      <c r="D121" s="50" t="n"/>
    </row>
    <row r="122" ht="15" customHeight="1" s="41">
      <c r="A122" s="50" t="n"/>
      <c r="B122" s="50" t="n"/>
      <c r="C122" s="50" t="n"/>
      <c r="D122" s="50" t="n"/>
    </row>
    <row r="123" ht="15" customHeight="1" s="41">
      <c r="A123" s="50" t="n"/>
      <c r="B123" s="50" t="n"/>
      <c r="C123" s="50" t="n"/>
      <c r="D123" s="50" t="n"/>
    </row>
    <row r="124" ht="15" customHeight="1" s="41">
      <c r="A124" s="50" t="n"/>
      <c r="B124" s="50" t="n"/>
      <c r="C124" s="50" t="n"/>
      <c r="D124" s="50" t="n"/>
    </row>
    <row r="125" ht="15" customHeight="1" s="41">
      <c r="A125" s="50" t="n"/>
      <c r="B125" s="50" t="n"/>
      <c r="C125" s="50" t="n"/>
      <c r="D125" s="50" t="n"/>
    </row>
    <row r="126" ht="15" customHeight="1" s="41">
      <c r="A126" s="50" t="n"/>
      <c r="B126" s="50" t="n"/>
      <c r="C126" s="50" t="n"/>
      <c r="D126" s="50" t="n"/>
    </row>
    <row r="127" ht="15" customHeight="1" s="41">
      <c r="A127" s="50" t="n"/>
      <c r="B127" s="50" t="n"/>
      <c r="C127" s="50" t="n"/>
      <c r="D127" s="50" t="n"/>
    </row>
    <row r="128" ht="15" customHeight="1" s="41">
      <c r="A128" s="50" t="n"/>
      <c r="B128" s="50" t="n"/>
      <c r="C128" s="50" t="n"/>
      <c r="D128" s="50" t="n"/>
    </row>
    <row r="129" ht="15" customHeight="1" s="41">
      <c r="A129" s="50" t="n"/>
      <c r="B129" s="50" t="n"/>
      <c r="C129" s="50" t="n"/>
      <c r="D129" s="50" t="n"/>
    </row>
    <row r="130" ht="15" customHeight="1" s="41">
      <c r="A130" s="50" t="n"/>
      <c r="B130" s="50" t="n"/>
      <c r="C130" s="50" t="n"/>
      <c r="D130" s="50" t="n"/>
    </row>
    <row r="131" ht="15" customHeight="1" s="41">
      <c r="A131" s="50" t="n"/>
      <c r="B131" s="50" t="n"/>
      <c r="C131" s="50" t="n"/>
      <c r="D131" s="50" t="n"/>
    </row>
    <row r="132" ht="15" customHeight="1" s="41">
      <c r="A132" s="50" t="n"/>
      <c r="B132" s="50" t="n"/>
      <c r="C132" s="50" t="n"/>
      <c r="D132" s="50" t="n"/>
    </row>
    <row r="133" ht="15" customHeight="1" s="41">
      <c r="A133" s="50" t="n"/>
      <c r="B133" s="50" t="n"/>
      <c r="C133" s="50" t="n"/>
      <c r="D133" s="50" t="n"/>
    </row>
    <row r="134" ht="15" customHeight="1" s="41">
      <c r="A134" s="50" t="n"/>
      <c r="B134" s="50" t="n"/>
      <c r="C134" s="50" t="n"/>
      <c r="D134" s="50" t="n"/>
    </row>
    <row r="135" ht="15" customHeight="1" s="41">
      <c r="A135" s="50" t="n"/>
      <c r="B135" s="50" t="n"/>
      <c r="C135" s="50" t="n"/>
      <c r="D135" s="50" t="n"/>
    </row>
    <row r="136" ht="15" customHeight="1" s="41">
      <c r="A136" s="50" t="n"/>
      <c r="B136" s="50" t="n"/>
      <c r="C136" s="50" t="n"/>
      <c r="D136" s="50" t="n"/>
    </row>
    <row r="137" ht="15" customHeight="1" s="41">
      <c r="A137" s="50" t="n"/>
      <c r="B137" s="50" t="n"/>
      <c r="C137" s="50" t="n"/>
      <c r="D137" s="50" t="n"/>
    </row>
    <row r="138" ht="15" customHeight="1" s="41">
      <c r="A138" s="50" t="n"/>
      <c r="B138" s="50" t="n"/>
      <c r="C138" s="50" t="n"/>
      <c r="D138" s="50" t="n"/>
    </row>
    <row r="139" ht="15" customHeight="1" s="41">
      <c r="A139" s="50" t="n"/>
      <c r="B139" s="50" t="n"/>
      <c r="C139" s="50" t="n"/>
      <c r="D139" s="50" t="n"/>
    </row>
    <row r="140" ht="15" customHeight="1" s="41">
      <c r="A140" s="50" t="n"/>
      <c r="B140" s="50" t="n"/>
      <c r="C140" s="50" t="n"/>
      <c r="D140" s="50" t="n"/>
    </row>
    <row r="141" ht="15" customHeight="1" s="41">
      <c r="A141" s="50" t="n"/>
      <c r="B141" s="50" t="n"/>
      <c r="C141" s="50" t="n"/>
      <c r="D141" s="50" t="n"/>
    </row>
    <row r="142" ht="15" customHeight="1" s="41">
      <c r="A142" s="50" t="n"/>
      <c r="B142" s="50" t="n"/>
      <c r="C142" s="50" t="n"/>
      <c r="D142" s="50" t="n"/>
    </row>
    <row r="143" ht="15" customHeight="1" s="41">
      <c r="A143" s="50" t="n"/>
      <c r="B143" s="50" t="n"/>
      <c r="C143" s="50" t="n"/>
      <c r="D143" s="50" t="n"/>
    </row>
    <row r="144" ht="15" customHeight="1" s="41">
      <c r="A144" s="50" t="n"/>
      <c r="B144" s="50" t="n"/>
      <c r="C144" s="50" t="n"/>
      <c r="D144" s="50" t="n"/>
    </row>
    <row r="145" ht="15" customHeight="1" s="41">
      <c r="A145" s="50" t="n"/>
      <c r="B145" s="50" t="n"/>
      <c r="C145" s="50" t="n"/>
      <c r="D145" s="50" t="n"/>
    </row>
    <row r="146" ht="15" customHeight="1" s="41">
      <c r="A146" s="50" t="n"/>
      <c r="B146" s="50" t="n"/>
      <c r="C146" s="50" t="n"/>
      <c r="D146" s="50" t="n"/>
    </row>
    <row r="147" ht="15" customHeight="1" s="41">
      <c r="A147" s="50" t="n"/>
      <c r="B147" s="50" t="n"/>
      <c r="C147" s="50" t="n"/>
      <c r="D147" s="50" t="n"/>
    </row>
    <row r="148" ht="15" customHeight="1" s="41">
      <c r="A148" s="50" t="n"/>
      <c r="B148" s="50" t="n"/>
      <c r="C148" s="50" t="n"/>
      <c r="D148" s="50" t="n"/>
    </row>
    <row r="149" ht="15" customHeight="1" s="41">
      <c r="A149" s="50" t="n"/>
      <c r="B149" s="50" t="n"/>
      <c r="C149" s="50" t="n"/>
      <c r="D149" s="50" t="n"/>
    </row>
    <row r="150" ht="15" customHeight="1" s="41">
      <c r="A150" s="50" t="n"/>
      <c r="B150" s="50" t="n"/>
      <c r="C150" s="50" t="n"/>
      <c r="D150" s="50" t="n"/>
    </row>
    <row r="151" ht="15" customHeight="1" s="41">
      <c r="A151" s="50" t="n"/>
      <c r="B151" s="50" t="n"/>
      <c r="C151" s="50" t="n"/>
      <c r="D151" s="50" t="n"/>
    </row>
    <row r="152" ht="15" customHeight="1" s="41">
      <c r="A152" s="50" t="n"/>
      <c r="B152" s="50" t="n"/>
      <c r="C152" s="50" t="n"/>
      <c r="D152" s="50" t="n"/>
    </row>
    <row r="153" ht="15" customHeight="1" s="41">
      <c r="A153" s="50" t="n"/>
      <c r="B153" s="50" t="n"/>
      <c r="C153" s="50" t="n"/>
      <c r="D153" s="50" t="n"/>
    </row>
    <row r="154" ht="15" customHeight="1" s="41">
      <c r="A154" s="50" t="n"/>
      <c r="B154" s="50" t="n"/>
      <c r="C154" s="50" t="n"/>
      <c r="D154" s="50" t="n"/>
    </row>
    <row r="155" ht="15" customHeight="1" s="41">
      <c r="A155" s="50" t="n"/>
      <c r="B155" s="50" t="n"/>
      <c r="C155" s="50" t="n"/>
      <c r="D155" s="50" t="n"/>
    </row>
    <row r="156" ht="15" customHeight="1" s="41">
      <c r="A156" s="50" t="n"/>
      <c r="B156" s="50" t="n"/>
      <c r="C156" s="50" t="n"/>
      <c r="D156" s="50" t="n"/>
    </row>
    <row r="157" ht="15" customHeight="1" s="41">
      <c r="A157" s="50" t="n"/>
      <c r="B157" s="50" t="n"/>
      <c r="C157" s="50" t="n"/>
      <c r="D157" s="50" t="n"/>
    </row>
    <row r="158" ht="15" customHeight="1" s="41">
      <c r="A158" s="50" t="n"/>
      <c r="B158" s="50" t="n"/>
      <c r="C158" s="50" t="n"/>
      <c r="D158" s="50" t="n"/>
    </row>
    <row r="159" ht="15" customHeight="1" s="41">
      <c r="A159" s="50" t="n"/>
      <c r="B159" s="50" t="n"/>
      <c r="C159" s="50" t="n"/>
      <c r="D159" s="50" t="n"/>
    </row>
    <row r="160" ht="15" customHeight="1" s="41">
      <c r="A160" s="50" t="n"/>
      <c r="B160" s="50" t="n"/>
      <c r="C160" s="50" t="n"/>
      <c r="D160" s="50" t="n"/>
    </row>
    <row r="161" ht="15" customHeight="1" s="41">
      <c r="A161" s="50" t="n"/>
      <c r="B161" s="50" t="n"/>
      <c r="C161" s="50" t="n"/>
      <c r="D161" s="50" t="n"/>
    </row>
    <row r="162" ht="15" customHeight="1" s="41">
      <c r="A162" s="50" t="n"/>
      <c r="B162" s="50" t="n"/>
      <c r="C162" s="50" t="n"/>
      <c r="D162" s="50" t="n"/>
    </row>
    <row r="163" ht="15" customHeight="1" s="41">
      <c r="A163" s="50" t="n"/>
      <c r="B163" s="50" t="n"/>
      <c r="C163" s="50" t="n"/>
      <c r="D163" s="50" t="n"/>
    </row>
    <row r="164" ht="15" customHeight="1" s="41">
      <c r="A164" s="50" t="n"/>
      <c r="B164" s="50" t="n"/>
      <c r="C164" s="50" t="n"/>
      <c r="D164" s="50" t="n"/>
    </row>
    <row r="165" ht="15" customHeight="1" s="41">
      <c r="A165" s="50" t="n"/>
      <c r="B165" s="50" t="n"/>
      <c r="C165" s="50" t="n"/>
      <c r="D165" s="50" t="n"/>
    </row>
    <row r="166" ht="15" customHeight="1" s="41">
      <c r="A166" s="50" t="n"/>
      <c r="B166" s="50" t="n"/>
      <c r="C166" s="50" t="n"/>
      <c r="D166" s="50" t="n"/>
    </row>
    <row r="167" ht="15" customHeight="1" s="41">
      <c r="A167" s="50" t="n"/>
      <c r="B167" s="50" t="n"/>
      <c r="C167" s="50" t="n"/>
      <c r="D167" s="50" t="n"/>
    </row>
    <row r="168" ht="15" customHeight="1" s="41">
      <c r="A168" s="50" t="n"/>
      <c r="B168" s="50" t="n"/>
      <c r="C168" s="50" t="n"/>
      <c r="D168" s="50" t="n"/>
    </row>
    <row r="169" ht="15" customHeight="1" s="41">
      <c r="A169" s="50" t="n"/>
      <c r="B169" s="50" t="n"/>
      <c r="C169" s="50" t="n"/>
      <c r="D169" s="50" t="n"/>
    </row>
    <row r="170" ht="15" customHeight="1" s="41">
      <c r="A170" s="50" t="n"/>
      <c r="B170" s="50" t="n"/>
      <c r="C170" s="50" t="n"/>
      <c r="D170" s="50" t="n"/>
    </row>
    <row r="171" ht="15" customHeight="1" s="41">
      <c r="A171" s="50" t="n"/>
      <c r="B171" s="50" t="n"/>
      <c r="C171" s="50" t="n"/>
      <c r="D171" s="50" t="n"/>
    </row>
    <row r="172" ht="15" customHeight="1" s="41">
      <c r="A172" s="50" t="n"/>
      <c r="B172" s="50" t="n"/>
      <c r="C172" s="50" t="n"/>
      <c r="D172" s="50" t="n"/>
    </row>
    <row r="173" ht="15" customHeight="1" s="41">
      <c r="A173" s="50" t="n"/>
      <c r="B173" s="50" t="n"/>
      <c r="C173" s="50" t="n"/>
      <c r="D173" s="50" t="n"/>
    </row>
    <row r="174" ht="15" customHeight="1" s="41">
      <c r="A174" s="50" t="n"/>
      <c r="B174" s="50" t="n"/>
      <c r="C174" s="50" t="n"/>
      <c r="D174" s="50" t="n"/>
    </row>
    <row r="175" ht="15" customHeight="1" s="41">
      <c r="A175" s="50" t="n"/>
      <c r="B175" s="50" t="n"/>
      <c r="C175" s="50" t="n"/>
      <c r="D175" s="50" t="n"/>
    </row>
    <row r="176" ht="15" customHeight="1" s="41">
      <c r="A176" s="50" t="n"/>
      <c r="B176" s="50" t="n"/>
      <c r="C176" s="50" t="n"/>
      <c r="D176" s="50" t="n"/>
    </row>
    <row r="177" ht="15" customHeight="1" s="41">
      <c r="A177" s="50" t="n"/>
      <c r="B177" s="50" t="n"/>
      <c r="C177" s="50" t="n"/>
      <c r="D177" s="50" t="n"/>
    </row>
    <row r="178" ht="15" customHeight="1" s="41">
      <c r="A178" s="50" t="n"/>
      <c r="B178" s="50" t="n"/>
      <c r="C178" s="50" t="n"/>
      <c r="D178" s="50" t="n"/>
    </row>
    <row r="179" ht="15" customHeight="1" s="41">
      <c r="A179" s="50" t="n"/>
      <c r="B179" s="50" t="n"/>
      <c r="C179" s="50" t="n"/>
      <c r="D179" s="50" t="n"/>
    </row>
    <row r="180" ht="15" customHeight="1" s="41">
      <c r="A180" s="50" t="n"/>
      <c r="B180" s="50" t="n"/>
      <c r="C180" s="50" t="n"/>
      <c r="D180" s="50" t="n"/>
    </row>
    <row r="181" ht="15" customHeight="1" s="41">
      <c r="A181" s="50" t="n"/>
      <c r="B181" s="50" t="n"/>
      <c r="C181" s="50" t="n"/>
      <c r="D181" s="50" t="n"/>
    </row>
    <row r="182" ht="15" customHeight="1" s="41">
      <c r="A182" s="50" t="n"/>
      <c r="B182" s="50" t="n"/>
      <c r="C182" s="50" t="n"/>
      <c r="D182" s="50" t="n"/>
    </row>
    <row r="183" ht="15" customHeight="1" s="41">
      <c r="A183" s="50" t="n"/>
      <c r="B183" s="50" t="n"/>
      <c r="C183" s="50" t="n"/>
      <c r="D183" s="50" t="n"/>
    </row>
    <row r="184" ht="15" customHeight="1" s="41">
      <c r="A184" s="50" t="n"/>
      <c r="B184" s="50" t="n"/>
      <c r="C184" s="50" t="n"/>
      <c r="D184" s="50" t="n"/>
    </row>
    <row r="185" ht="15" customHeight="1" s="41">
      <c r="A185" s="50" t="n"/>
      <c r="B185" s="50" t="n"/>
      <c r="C185" s="50" t="n"/>
      <c r="D185" s="50" t="n"/>
    </row>
    <row r="186" ht="15" customHeight="1" s="41">
      <c r="A186" s="50" t="n"/>
      <c r="B186" s="50" t="n"/>
      <c r="C186" s="50" t="n"/>
      <c r="D186" s="50" t="n"/>
    </row>
    <row r="187" ht="15" customHeight="1" s="41">
      <c r="A187" s="50" t="n"/>
      <c r="B187" s="50" t="n"/>
      <c r="C187" s="50" t="n"/>
      <c r="D187" s="50" t="n"/>
    </row>
    <row r="188" ht="15" customHeight="1" s="41">
      <c r="A188" s="50" t="n"/>
      <c r="B188" s="50" t="n"/>
      <c r="C188" s="50" t="n"/>
      <c r="D188" s="50" t="n"/>
    </row>
    <row r="189" ht="15" customHeight="1" s="41">
      <c r="A189" s="50" t="n"/>
      <c r="B189" s="50" t="n"/>
      <c r="C189" s="50" t="n"/>
      <c r="D189" s="50" t="n"/>
    </row>
    <row r="190" ht="15" customHeight="1" s="41">
      <c r="A190" s="50" t="n"/>
      <c r="B190" s="50" t="n"/>
      <c r="C190" s="50" t="n"/>
      <c r="D190" s="50" t="n"/>
    </row>
    <row r="191" ht="15" customHeight="1" s="41">
      <c r="A191" s="50" t="n"/>
      <c r="B191" s="50" t="n"/>
      <c r="C191" s="50" t="n"/>
      <c r="D191" s="50" t="n"/>
    </row>
    <row r="192" ht="15" customHeight="1" s="41">
      <c r="A192" s="50" t="n"/>
      <c r="B192" s="50" t="n"/>
      <c r="C192" s="50" t="n"/>
      <c r="D192" s="50" t="n"/>
    </row>
    <row r="193" ht="15" customHeight="1" s="41">
      <c r="A193" s="50" t="n"/>
      <c r="B193" s="50" t="n"/>
      <c r="C193" s="50" t="n"/>
      <c r="D193" s="50" t="n"/>
    </row>
    <row r="194" ht="15" customHeight="1" s="41">
      <c r="A194" s="50" t="n"/>
      <c r="B194" s="50" t="n"/>
      <c r="C194" s="50" t="n"/>
      <c r="D194" s="50" t="n"/>
    </row>
    <row r="195" ht="15" customHeight="1" s="41">
      <c r="A195" s="50" t="n"/>
      <c r="B195" s="50" t="n"/>
      <c r="C195" s="50" t="n"/>
      <c r="D195" s="50" t="n"/>
    </row>
    <row r="196" ht="15" customHeight="1" s="41">
      <c r="A196" s="50" t="n"/>
      <c r="B196" s="50" t="n"/>
      <c r="C196" s="50" t="n"/>
      <c r="D196" s="50" t="n"/>
    </row>
    <row r="197" ht="15" customHeight="1" s="41">
      <c r="A197" s="50" t="n"/>
      <c r="B197" s="50" t="n"/>
      <c r="C197" s="50" t="n"/>
      <c r="D197" s="50" t="n"/>
    </row>
    <row r="198" ht="15" customHeight="1" s="41">
      <c r="A198" s="50" t="n"/>
      <c r="B198" s="50" t="n"/>
      <c r="C198" s="50" t="n"/>
      <c r="D198" s="50" t="n"/>
    </row>
    <row r="199" ht="15" customHeight="1" s="41">
      <c r="A199" s="50" t="n"/>
      <c r="B199" s="50" t="n"/>
      <c r="C199" s="50" t="n"/>
      <c r="D199" s="50" t="n"/>
    </row>
    <row r="200" ht="15" customHeight="1" s="41">
      <c r="A200" s="50" t="n"/>
      <c r="B200" s="50" t="n"/>
      <c r="C200" s="50" t="n"/>
      <c r="D200" s="50" t="n"/>
    </row>
    <row r="201" ht="15" customHeight="1" s="41">
      <c r="A201" s="50" t="n"/>
      <c r="B201" s="50" t="n"/>
      <c r="C201" s="50" t="n"/>
      <c r="D201" s="50" t="n"/>
    </row>
    <row r="202" ht="15" customHeight="1" s="41">
      <c r="A202" s="50" t="n"/>
      <c r="B202" s="50" t="n"/>
      <c r="C202" s="50" t="n"/>
      <c r="D202" s="50" t="n"/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40" min="1" max="1"/>
    <col width="13" customWidth="1" style="40" min="2" max="2"/>
    <col width="30" customWidth="1" style="40" min="3" max="3"/>
    <col width="18" customWidth="1" style="40" min="4" max="4"/>
    <col width="14" customWidth="1" style="40" min="5" max="5"/>
    <col width="34" customWidth="1" style="40" min="6" max="6"/>
    <col width="30" customWidth="1" style="40" min="7" max="7"/>
    <col width="49" customWidth="1" style="40" min="8" max="8"/>
    <col width="15" customWidth="1" style="40" min="9" max="9"/>
  </cols>
  <sheetData>
    <row r="1" ht="25.5" customHeight="1" s="41">
      <c r="A1" s="42" t="inlineStr">
        <is>
          <t>회의록  (회의번호는 자동)</t>
        </is>
      </c>
    </row>
    <row r="2" ht="15" customHeight="1" s="41">
      <c r="A2" s="51" t="inlineStr">
        <is>
          <t>회의번호(자동)</t>
        </is>
      </c>
      <c r="B2" s="48" t="inlineStr">
        <is>
          <t>회의일</t>
        </is>
      </c>
      <c r="C2" s="48" t="inlineStr">
        <is>
          <t>회의명</t>
        </is>
      </c>
      <c r="D2" s="48" t="inlineStr">
        <is>
          <t>장소</t>
        </is>
      </c>
      <c r="E2" s="48" t="inlineStr">
        <is>
          <t>주관자</t>
        </is>
      </c>
      <c r="F2" s="48" t="inlineStr">
        <is>
          <t>참석자</t>
        </is>
      </c>
      <c r="G2" s="48" t="inlineStr">
        <is>
          <t>안건</t>
        </is>
      </c>
      <c r="H2" s="48" t="inlineStr">
        <is>
          <t>논의·결정사항</t>
        </is>
      </c>
      <c r="I2" s="51" t="inlineStr">
        <is>
          <t>할일 수(자동)</t>
        </is>
      </c>
    </row>
    <row r="3" ht="15" customHeight="1" s="41">
      <c r="A3" s="52" t="str">
        <f>IF($B3="","",TEXT($B3,"yymmdd")&amp;"-"&amp;TEXT(COUNTIFS($B$3:$B3,$B3),"0"))</f>
        <v>260901-1</v>
      </c>
      <c r="B3" s="53" t="n">
        <v>46266</v>
      </c>
      <c r="C3" s="50" t="inlineStr">
        <is>
          <t>9월 정기회의</t>
        </is>
      </c>
      <c r="D3" s="49" t="inlineStr">
        <is>
          <t>대회의실</t>
        </is>
      </c>
      <c r="E3" s="49" t="inlineStr">
        <is>
          <t>김팀장</t>
        </is>
      </c>
      <c r="F3" s="49" t="inlineStr">
        <is>
          <t>김팀장, 이대리, 박주임</t>
        </is>
      </c>
      <c r="G3" s="50" t="inlineStr">
        <is>
          <t>3분기 실적 / 4분기 계획</t>
        </is>
      </c>
      <c r="H3" s="50" t="inlineStr">
        <is>
          <t>3분기 목표 달성. 4분기 신규 기능 2건 추가 결정.</t>
        </is>
      </c>
      <c r="I3" s="52" t="n">
        <f>IF($A3="","",COUNTIFS(액션아이템!$A$3:$A$1002,$A3))</f>
        <v>3</v>
      </c>
    </row>
    <row r="4" ht="15" customHeight="1" s="41">
      <c r="A4" s="52" t="str">
        <f>IF($B4="","",TEXT($B4,"yymmdd")&amp;"-"&amp;TEXT(COUNTIFS($B$3:$B4,$B4),"0"))</f>
        <v>260908-1</v>
      </c>
      <c r="B4" s="53" t="n">
        <v>46273</v>
      </c>
      <c r="C4" s="49" t="inlineStr">
        <is>
          <t>디자인 리뷰</t>
        </is>
      </c>
      <c r="D4" s="49" t="inlineStr">
        <is>
          <t>소회의실</t>
        </is>
      </c>
      <c r="E4" s="49" t="inlineStr">
        <is>
          <t>박주임</t>
        </is>
      </c>
      <c r="F4" s="49" t="inlineStr">
        <is>
          <t>박주임, 이대리</t>
        </is>
      </c>
      <c r="G4" s="49" t="inlineStr">
        <is>
          <t>시안 검토</t>
        </is>
      </c>
      <c r="H4" s="50" t="inlineStr">
        <is>
          <t>B안 채택. 색상만 수정 후 확정하기로 함.</t>
        </is>
      </c>
      <c r="I4" s="52" t="n">
        <f>IF($A4="","",COUNTIFS(액션아이템!$A$3:$A$1002,$A4))</f>
        <v>1</v>
      </c>
    </row>
    <row r="5" ht="15" customHeight="1" s="41">
      <c r="A5" s="52" t="str">
        <f>IF($B5="","",TEXT($B5,"yymmdd")&amp;"-"&amp;TEXT(COUNTIFS($B$3:$B5,$B5),"0"))</f>
        <v/>
      </c>
      <c r="B5" s="53" t="n"/>
      <c r="C5" s="50" t="n"/>
      <c r="D5" s="50" t="n"/>
      <c r="E5" s="49" t="n"/>
      <c r="F5" s="50" t="n"/>
      <c r="G5" s="50" t="n"/>
      <c r="H5" s="50" t="n"/>
      <c r="I5" s="52" t="str">
        <f>IF($A5="","",COUNTIFS(액션아이템!$A$3:$A$1002,$A5))</f>
        <v/>
      </c>
    </row>
    <row r="6" ht="15" customHeight="1" s="41">
      <c r="A6" s="52" t="str">
        <f>IF($B6="","",TEXT($B6,"yymmdd")&amp;"-"&amp;TEXT(COUNTIFS($B$3:$B6,$B6),"0"))</f>
        <v/>
      </c>
      <c r="B6" s="53" t="n"/>
      <c r="C6" s="50" t="n"/>
      <c r="D6" s="50" t="n"/>
      <c r="E6" s="49" t="n"/>
      <c r="F6" s="50" t="n"/>
      <c r="G6" s="50" t="n"/>
      <c r="H6" s="50" t="n"/>
      <c r="I6" s="52" t="str">
        <f>IF($A6="","",COUNTIFS(액션아이템!$A$3:$A$1002,$A6))</f>
        <v/>
      </c>
    </row>
    <row r="7" ht="15" customHeight="1" s="41">
      <c r="A7" s="52" t="str">
        <f>IF($B7="","",TEXT($B7,"yymmdd")&amp;"-"&amp;TEXT(COUNTIFS($B$3:$B7,$B7),"0"))</f>
        <v/>
      </c>
      <c r="B7" s="53" t="n"/>
      <c r="C7" s="50" t="n"/>
      <c r="D7" s="50" t="n"/>
      <c r="E7" s="49" t="n"/>
      <c r="F7" s="50" t="n"/>
      <c r="G7" s="50" t="n"/>
      <c r="H7" s="50" t="n"/>
      <c r="I7" s="52" t="str">
        <f>IF($A7="","",COUNTIFS(액션아이템!$A$3:$A$1002,$A7))</f>
        <v/>
      </c>
    </row>
    <row r="8" ht="15" customHeight="1" s="41">
      <c r="A8" s="52" t="str">
        <f>IF($B8="","",TEXT($B8,"yymmdd")&amp;"-"&amp;TEXT(COUNTIFS($B$3:$B8,$B8),"0"))</f>
        <v/>
      </c>
      <c r="B8" s="53" t="n"/>
      <c r="C8" s="50" t="n"/>
      <c r="D8" s="50" t="n"/>
      <c r="E8" s="49" t="n"/>
      <c r="F8" s="50" t="n"/>
      <c r="G8" s="50" t="n"/>
      <c r="H8" s="50" t="n"/>
      <c r="I8" s="52" t="str">
        <f>IF($A8="","",COUNTIFS(액션아이템!$A$3:$A$1002,$A8))</f>
        <v/>
      </c>
    </row>
    <row r="9" ht="15" customHeight="1" s="41">
      <c r="A9" s="52" t="str">
        <f>IF($B9="","",TEXT($B9,"yymmdd")&amp;"-"&amp;TEXT(COUNTIFS($B$3:$B9,$B9),"0"))</f>
        <v/>
      </c>
      <c r="B9" s="53" t="n"/>
      <c r="C9" s="50" t="n"/>
      <c r="D9" s="50" t="n"/>
      <c r="E9" s="49" t="n"/>
      <c r="F9" s="50" t="n"/>
      <c r="G9" s="50" t="n"/>
      <c r="H9" s="50" t="n"/>
      <c r="I9" s="52" t="str">
        <f>IF($A9="","",COUNTIFS(액션아이템!$A$3:$A$1002,$A9))</f>
        <v/>
      </c>
    </row>
    <row r="10" ht="15" customHeight="1" s="41">
      <c r="A10" s="52" t="str">
        <f>IF($B10="","",TEXT($B10,"yymmdd")&amp;"-"&amp;TEXT(COUNTIFS($B$3:$B10,$B10),"0"))</f>
        <v/>
      </c>
      <c r="B10" s="53" t="n"/>
      <c r="C10" s="50" t="n"/>
      <c r="D10" s="50" t="n"/>
      <c r="E10" s="49" t="n"/>
      <c r="F10" s="50" t="n"/>
      <c r="G10" s="50" t="n"/>
      <c r="H10" s="50" t="n"/>
      <c r="I10" s="52" t="str">
        <f>IF($A10="","",COUNTIFS(액션아이템!$A$3:$A$1002,$A10))</f>
        <v/>
      </c>
    </row>
    <row r="11" ht="15" customHeight="1" s="41">
      <c r="A11" s="52" t="str">
        <f>IF($B11="","",TEXT($B11,"yymmdd")&amp;"-"&amp;TEXT(COUNTIFS($B$3:$B11,$B11),"0"))</f>
        <v/>
      </c>
      <c r="B11" s="53" t="n"/>
      <c r="C11" s="50" t="n"/>
      <c r="D11" s="50" t="n"/>
      <c r="E11" s="49" t="n"/>
      <c r="F11" s="50" t="n"/>
      <c r="G11" s="50" t="n"/>
      <c r="H11" s="50" t="n"/>
      <c r="I11" s="52" t="str">
        <f>IF($A11="","",COUNTIFS(액션아이템!$A$3:$A$1002,$A11))</f>
        <v/>
      </c>
    </row>
    <row r="12" ht="15" customHeight="1" s="41">
      <c r="A12" s="52" t="str">
        <f>IF($B12="","",TEXT($B12,"yymmdd")&amp;"-"&amp;TEXT(COUNTIFS($B$3:$B12,$B12),"0"))</f>
        <v/>
      </c>
      <c r="B12" s="53" t="n"/>
      <c r="C12" s="50" t="n"/>
      <c r="D12" s="50" t="n"/>
      <c r="E12" s="49" t="n"/>
      <c r="F12" s="50" t="n"/>
      <c r="G12" s="50" t="n"/>
      <c r="H12" s="50" t="n"/>
      <c r="I12" s="52" t="str">
        <f>IF($A12="","",COUNTIFS(액션아이템!$A$3:$A$1002,$A12))</f>
        <v/>
      </c>
    </row>
    <row r="13" ht="15" customHeight="1" s="41">
      <c r="A13" s="52" t="str">
        <f>IF($B13="","",TEXT($B13,"yymmdd")&amp;"-"&amp;TEXT(COUNTIFS($B$3:$B13,$B13),"0"))</f>
        <v/>
      </c>
      <c r="B13" s="53" t="n"/>
      <c r="C13" s="50" t="n"/>
      <c r="D13" s="50" t="n"/>
      <c r="E13" s="49" t="n"/>
      <c r="F13" s="50" t="n"/>
      <c r="G13" s="50" t="n"/>
      <c r="H13" s="50" t="n"/>
      <c r="I13" s="52" t="str">
        <f>IF($A13="","",COUNTIFS(액션아이템!$A$3:$A$1002,$A13))</f>
        <v/>
      </c>
    </row>
    <row r="14" ht="15" customHeight="1" s="41">
      <c r="A14" s="52" t="str">
        <f>IF($B14="","",TEXT($B14,"yymmdd")&amp;"-"&amp;TEXT(COUNTIFS($B$3:$B14,$B14),"0"))</f>
        <v/>
      </c>
      <c r="B14" s="53" t="n"/>
      <c r="C14" s="50" t="n"/>
      <c r="D14" s="50" t="n"/>
      <c r="E14" s="49" t="n"/>
      <c r="F14" s="50" t="n"/>
      <c r="G14" s="50" t="n"/>
      <c r="H14" s="50" t="n"/>
      <c r="I14" s="52" t="str">
        <f>IF($A14="","",COUNTIFS(액션아이템!$A$3:$A$1002,$A14))</f>
        <v/>
      </c>
    </row>
    <row r="15" ht="15" customHeight="1" s="41">
      <c r="A15" s="52" t="str">
        <f>IF($B15="","",TEXT($B15,"yymmdd")&amp;"-"&amp;TEXT(COUNTIFS($B$3:$B15,$B15),"0"))</f>
        <v/>
      </c>
      <c r="B15" s="53" t="n"/>
      <c r="C15" s="50" t="n"/>
      <c r="D15" s="50" t="n"/>
      <c r="E15" s="49" t="n"/>
      <c r="F15" s="50" t="n"/>
      <c r="G15" s="50" t="n"/>
      <c r="H15" s="50" t="n"/>
      <c r="I15" s="52" t="str">
        <f>IF($A15="","",COUNTIFS(액션아이템!$A$3:$A$1002,$A15))</f>
        <v/>
      </c>
    </row>
    <row r="16" ht="15" customHeight="1" s="41">
      <c r="A16" s="52" t="str">
        <f>IF($B16="","",TEXT($B16,"yymmdd")&amp;"-"&amp;TEXT(COUNTIFS($B$3:$B16,$B16),"0"))</f>
        <v/>
      </c>
      <c r="B16" s="53" t="n"/>
      <c r="C16" s="50" t="n"/>
      <c r="D16" s="50" t="n"/>
      <c r="E16" s="49" t="n"/>
      <c r="F16" s="50" t="n"/>
      <c r="G16" s="50" t="n"/>
      <c r="H16" s="50" t="n"/>
      <c r="I16" s="52" t="str">
        <f>IF($A16="","",COUNTIFS(액션아이템!$A$3:$A$1002,$A16))</f>
        <v/>
      </c>
    </row>
    <row r="17" ht="15" customHeight="1" s="41">
      <c r="A17" s="52" t="str">
        <f>IF($B17="","",TEXT($B17,"yymmdd")&amp;"-"&amp;TEXT(COUNTIFS($B$3:$B17,$B17),"0"))</f>
        <v/>
      </c>
      <c r="B17" s="53" t="n"/>
      <c r="C17" s="50" t="n"/>
      <c r="D17" s="50" t="n"/>
      <c r="E17" s="49" t="n"/>
      <c r="F17" s="50" t="n"/>
      <c r="G17" s="50" t="n"/>
      <c r="H17" s="50" t="n"/>
      <c r="I17" s="52" t="str">
        <f>IF($A17="","",COUNTIFS(액션아이템!$A$3:$A$1002,$A17))</f>
        <v/>
      </c>
    </row>
    <row r="18" ht="15" customHeight="1" s="41">
      <c r="A18" s="52" t="str">
        <f>IF($B18="","",TEXT($B18,"yymmdd")&amp;"-"&amp;TEXT(COUNTIFS($B$3:$B18,$B18),"0"))</f>
        <v/>
      </c>
      <c r="B18" s="53" t="n"/>
      <c r="C18" s="50" t="n"/>
      <c r="D18" s="50" t="n"/>
      <c r="E18" s="49" t="n"/>
      <c r="F18" s="50" t="n"/>
      <c r="G18" s="50" t="n"/>
      <c r="H18" s="50" t="n"/>
      <c r="I18" s="52" t="str">
        <f>IF($A18="","",COUNTIFS(액션아이템!$A$3:$A$1002,$A18))</f>
        <v/>
      </c>
    </row>
    <row r="19" ht="15" customHeight="1" s="41">
      <c r="A19" s="52" t="str">
        <f>IF($B19="","",TEXT($B19,"yymmdd")&amp;"-"&amp;TEXT(COUNTIFS($B$3:$B19,$B19),"0"))</f>
        <v/>
      </c>
      <c r="B19" s="53" t="n"/>
      <c r="C19" s="50" t="n"/>
      <c r="D19" s="50" t="n"/>
      <c r="E19" s="49" t="n"/>
      <c r="F19" s="50" t="n"/>
      <c r="G19" s="50" t="n"/>
      <c r="H19" s="50" t="n"/>
      <c r="I19" s="52" t="str">
        <f>IF($A19="","",COUNTIFS(액션아이템!$A$3:$A$1002,$A19))</f>
        <v/>
      </c>
    </row>
    <row r="20" ht="15" customHeight="1" s="41">
      <c r="A20" s="52" t="str">
        <f>IF($B20="","",TEXT($B20,"yymmdd")&amp;"-"&amp;TEXT(COUNTIFS($B$3:$B20,$B20),"0"))</f>
        <v/>
      </c>
      <c r="B20" s="53" t="n"/>
      <c r="C20" s="50" t="n"/>
      <c r="D20" s="50" t="n"/>
      <c r="E20" s="49" t="n"/>
      <c r="F20" s="50" t="n"/>
      <c r="G20" s="50" t="n"/>
      <c r="H20" s="50" t="n"/>
      <c r="I20" s="52" t="str">
        <f>IF($A20="","",COUNTIFS(액션아이템!$A$3:$A$1002,$A20))</f>
        <v/>
      </c>
    </row>
    <row r="21" ht="15" customHeight="1" s="41">
      <c r="A21" s="52" t="str">
        <f>IF($B21="","",TEXT($B21,"yymmdd")&amp;"-"&amp;TEXT(COUNTIFS($B$3:$B21,$B21),"0"))</f>
        <v/>
      </c>
      <c r="B21" s="53" t="n"/>
      <c r="C21" s="50" t="n"/>
      <c r="D21" s="50" t="n"/>
      <c r="E21" s="49" t="n"/>
      <c r="F21" s="50" t="n"/>
      <c r="G21" s="50" t="n"/>
      <c r="H21" s="50" t="n"/>
      <c r="I21" s="52" t="str">
        <f>IF($A21="","",COUNTIFS(액션아이템!$A$3:$A$1002,$A21))</f>
        <v/>
      </c>
    </row>
    <row r="22" ht="15" customHeight="1" s="41">
      <c r="A22" s="52" t="str">
        <f>IF($B22="","",TEXT($B22,"yymmdd")&amp;"-"&amp;TEXT(COUNTIFS($B$3:$B22,$B22),"0"))</f>
        <v/>
      </c>
      <c r="B22" s="53" t="n"/>
      <c r="C22" s="50" t="n"/>
      <c r="D22" s="50" t="n"/>
      <c r="E22" s="49" t="n"/>
      <c r="F22" s="50" t="n"/>
      <c r="G22" s="50" t="n"/>
      <c r="H22" s="50" t="n"/>
      <c r="I22" s="52" t="str">
        <f>IF($A22="","",COUNTIFS(액션아이템!$A$3:$A$1002,$A22))</f>
        <v/>
      </c>
    </row>
    <row r="23" ht="15" customHeight="1" s="41">
      <c r="A23" s="52" t="str">
        <f>IF($B23="","",TEXT($B23,"yymmdd")&amp;"-"&amp;TEXT(COUNTIFS($B$3:$B23,$B23),"0"))</f>
        <v/>
      </c>
      <c r="B23" s="53" t="n"/>
      <c r="C23" s="50" t="n"/>
      <c r="D23" s="50" t="n"/>
      <c r="E23" s="49" t="n"/>
      <c r="F23" s="50" t="n"/>
      <c r="G23" s="50" t="n"/>
      <c r="H23" s="50" t="n"/>
      <c r="I23" s="52" t="str">
        <f>IF($A23="","",COUNTIFS(액션아이템!$A$3:$A$1002,$A23))</f>
        <v/>
      </c>
    </row>
    <row r="24" ht="15" customHeight="1" s="41">
      <c r="A24" s="52" t="str">
        <f>IF($B24="","",TEXT($B24,"yymmdd")&amp;"-"&amp;TEXT(COUNTIFS($B$3:$B24,$B24),"0"))</f>
        <v/>
      </c>
      <c r="B24" s="53" t="n"/>
      <c r="C24" s="50" t="n"/>
      <c r="D24" s="50" t="n"/>
      <c r="E24" s="49" t="n"/>
      <c r="F24" s="50" t="n"/>
      <c r="G24" s="50" t="n"/>
      <c r="H24" s="50" t="n"/>
      <c r="I24" s="52" t="str">
        <f>IF($A24="","",COUNTIFS(액션아이템!$A$3:$A$1002,$A24))</f>
        <v/>
      </c>
    </row>
    <row r="25" ht="15" customHeight="1" s="41">
      <c r="A25" s="52" t="str">
        <f>IF($B25="","",TEXT($B25,"yymmdd")&amp;"-"&amp;TEXT(COUNTIFS($B$3:$B25,$B25),"0"))</f>
        <v/>
      </c>
      <c r="B25" s="53" t="n"/>
      <c r="C25" s="50" t="n"/>
      <c r="D25" s="50" t="n"/>
      <c r="E25" s="49" t="n"/>
      <c r="F25" s="50" t="n"/>
      <c r="G25" s="50" t="n"/>
      <c r="H25" s="50" t="n"/>
      <c r="I25" s="52" t="str">
        <f>IF($A25="","",COUNTIFS(액션아이템!$A$3:$A$1002,$A25))</f>
        <v/>
      </c>
    </row>
    <row r="26" ht="15" customHeight="1" s="41">
      <c r="A26" s="52" t="str">
        <f>IF($B26="","",TEXT($B26,"yymmdd")&amp;"-"&amp;TEXT(COUNTIFS($B$3:$B26,$B26),"0"))</f>
        <v/>
      </c>
      <c r="B26" s="53" t="n"/>
      <c r="C26" s="50" t="n"/>
      <c r="D26" s="50" t="n"/>
      <c r="E26" s="49" t="n"/>
      <c r="F26" s="50" t="n"/>
      <c r="G26" s="50" t="n"/>
      <c r="H26" s="50" t="n"/>
      <c r="I26" s="52" t="str">
        <f>IF($A26="","",COUNTIFS(액션아이템!$A$3:$A$1002,$A26))</f>
        <v/>
      </c>
    </row>
    <row r="27" ht="15" customHeight="1" s="41">
      <c r="A27" s="52" t="str">
        <f>IF($B27="","",TEXT($B27,"yymmdd")&amp;"-"&amp;TEXT(COUNTIFS($B$3:$B27,$B27),"0"))</f>
        <v/>
      </c>
      <c r="B27" s="53" t="n"/>
      <c r="C27" s="50" t="n"/>
      <c r="D27" s="50" t="n"/>
      <c r="E27" s="49" t="n"/>
      <c r="F27" s="50" t="n"/>
      <c r="G27" s="50" t="n"/>
      <c r="H27" s="50" t="n"/>
      <c r="I27" s="52" t="str">
        <f>IF($A27="","",COUNTIFS(액션아이템!$A$3:$A$1002,$A27))</f>
        <v/>
      </c>
    </row>
    <row r="28" ht="15" customHeight="1" s="41">
      <c r="A28" s="52" t="str">
        <f>IF($B28="","",TEXT($B28,"yymmdd")&amp;"-"&amp;TEXT(COUNTIFS($B$3:$B28,$B28),"0"))</f>
        <v/>
      </c>
      <c r="B28" s="53" t="n"/>
      <c r="C28" s="50" t="n"/>
      <c r="D28" s="50" t="n"/>
      <c r="E28" s="49" t="n"/>
      <c r="F28" s="50" t="n"/>
      <c r="G28" s="50" t="n"/>
      <c r="H28" s="50" t="n"/>
      <c r="I28" s="52" t="str">
        <f>IF($A28="","",COUNTIFS(액션아이템!$A$3:$A$1002,$A28))</f>
        <v/>
      </c>
    </row>
    <row r="29" ht="15" customHeight="1" s="41">
      <c r="A29" s="52" t="str">
        <f>IF($B29="","",TEXT($B29,"yymmdd")&amp;"-"&amp;TEXT(COUNTIFS($B$3:$B29,$B29),"0"))</f>
        <v/>
      </c>
      <c r="B29" s="53" t="n"/>
      <c r="C29" s="50" t="n"/>
      <c r="D29" s="50" t="n"/>
      <c r="E29" s="49" t="n"/>
      <c r="F29" s="50" t="n"/>
      <c r="G29" s="50" t="n"/>
      <c r="H29" s="50" t="n"/>
      <c r="I29" s="52" t="str">
        <f>IF($A29="","",COUNTIFS(액션아이템!$A$3:$A$1002,$A29))</f>
        <v/>
      </c>
    </row>
    <row r="30" ht="15" customHeight="1" s="41">
      <c r="A30" s="52" t="str">
        <f>IF($B30="","",TEXT($B30,"yymmdd")&amp;"-"&amp;TEXT(COUNTIFS($B$3:$B30,$B30),"0"))</f>
        <v/>
      </c>
      <c r="B30" s="53" t="n"/>
      <c r="C30" s="50" t="n"/>
      <c r="D30" s="50" t="n"/>
      <c r="E30" s="49" t="n"/>
      <c r="F30" s="50" t="n"/>
      <c r="G30" s="50" t="n"/>
      <c r="H30" s="50" t="n"/>
      <c r="I30" s="52" t="str">
        <f>IF($A30="","",COUNTIFS(액션아이템!$A$3:$A$1002,$A30))</f>
        <v/>
      </c>
    </row>
    <row r="31" ht="15" customHeight="1" s="41">
      <c r="A31" s="52" t="str">
        <f>IF($B31="","",TEXT($B31,"yymmdd")&amp;"-"&amp;TEXT(COUNTIFS($B$3:$B31,$B31),"0"))</f>
        <v/>
      </c>
      <c r="B31" s="53" t="n"/>
      <c r="C31" s="50" t="n"/>
      <c r="D31" s="50" t="n"/>
      <c r="E31" s="49" t="n"/>
      <c r="F31" s="50" t="n"/>
      <c r="G31" s="50" t="n"/>
      <c r="H31" s="50" t="n"/>
      <c r="I31" s="52" t="str">
        <f>IF($A31="","",COUNTIFS(액션아이템!$A$3:$A$1002,$A31))</f>
        <v/>
      </c>
    </row>
    <row r="32" ht="15" customHeight="1" s="41">
      <c r="A32" s="52" t="str">
        <f>IF($B32="","",TEXT($B32,"yymmdd")&amp;"-"&amp;TEXT(COUNTIFS($B$3:$B32,$B32),"0"))</f>
        <v/>
      </c>
      <c r="B32" s="53" t="n"/>
      <c r="C32" s="50" t="n"/>
      <c r="D32" s="50" t="n"/>
      <c r="E32" s="49" t="n"/>
      <c r="F32" s="50" t="n"/>
      <c r="G32" s="50" t="n"/>
      <c r="H32" s="50" t="n"/>
      <c r="I32" s="52" t="str">
        <f>IF($A32="","",COUNTIFS(액션아이템!$A$3:$A$1002,$A32))</f>
        <v/>
      </c>
    </row>
    <row r="33" ht="15" customHeight="1" s="41">
      <c r="A33" s="52" t="str">
        <f>IF($B33="","",TEXT($B33,"yymmdd")&amp;"-"&amp;TEXT(COUNTIFS($B$3:$B33,$B33),"0"))</f>
        <v/>
      </c>
      <c r="B33" s="53" t="n"/>
      <c r="C33" s="50" t="n"/>
      <c r="D33" s="50" t="n"/>
      <c r="E33" s="49" t="n"/>
      <c r="F33" s="50" t="n"/>
      <c r="G33" s="50" t="n"/>
      <c r="H33" s="50" t="n"/>
      <c r="I33" s="52" t="str">
        <f>IF($A33="","",COUNTIFS(액션아이템!$A$3:$A$1002,$A33))</f>
        <v/>
      </c>
    </row>
    <row r="34" ht="15" customHeight="1" s="41">
      <c r="A34" s="52" t="str">
        <f>IF($B34="","",TEXT($B34,"yymmdd")&amp;"-"&amp;TEXT(COUNTIFS($B$3:$B34,$B34),"0"))</f>
        <v/>
      </c>
      <c r="B34" s="53" t="n"/>
      <c r="C34" s="50" t="n"/>
      <c r="D34" s="50" t="n"/>
      <c r="E34" s="49" t="n"/>
      <c r="F34" s="50" t="n"/>
      <c r="G34" s="50" t="n"/>
      <c r="H34" s="50" t="n"/>
      <c r="I34" s="52" t="str">
        <f>IF($A34="","",COUNTIFS(액션아이템!$A$3:$A$1002,$A34))</f>
        <v/>
      </c>
    </row>
    <row r="35" ht="15" customHeight="1" s="41">
      <c r="A35" s="52" t="str">
        <f>IF($B35="","",TEXT($B35,"yymmdd")&amp;"-"&amp;TEXT(COUNTIFS($B$3:$B35,$B35),"0"))</f>
        <v/>
      </c>
      <c r="B35" s="53" t="n"/>
      <c r="C35" s="50" t="n"/>
      <c r="D35" s="50" t="n"/>
      <c r="E35" s="49" t="n"/>
      <c r="F35" s="50" t="n"/>
      <c r="G35" s="50" t="n"/>
      <c r="H35" s="50" t="n"/>
      <c r="I35" s="52" t="str">
        <f>IF($A35="","",COUNTIFS(액션아이템!$A$3:$A$1002,$A35))</f>
        <v/>
      </c>
    </row>
    <row r="36" ht="15" customHeight="1" s="41">
      <c r="A36" s="52" t="str">
        <f>IF($B36="","",TEXT($B36,"yymmdd")&amp;"-"&amp;TEXT(COUNTIFS($B$3:$B36,$B36),"0"))</f>
        <v/>
      </c>
      <c r="B36" s="53" t="n"/>
      <c r="C36" s="50" t="n"/>
      <c r="D36" s="50" t="n"/>
      <c r="E36" s="49" t="n"/>
      <c r="F36" s="50" t="n"/>
      <c r="G36" s="50" t="n"/>
      <c r="H36" s="50" t="n"/>
      <c r="I36" s="52" t="str">
        <f>IF($A36="","",COUNTIFS(액션아이템!$A$3:$A$1002,$A36))</f>
        <v/>
      </c>
    </row>
    <row r="37" ht="15" customHeight="1" s="41">
      <c r="A37" s="52" t="str">
        <f>IF($B37="","",TEXT($B37,"yymmdd")&amp;"-"&amp;TEXT(COUNTIFS($B$3:$B37,$B37),"0"))</f>
        <v/>
      </c>
      <c r="B37" s="53" t="n"/>
      <c r="C37" s="50" t="n"/>
      <c r="D37" s="50" t="n"/>
      <c r="E37" s="49" t="n"/>
      <c r="F37" s="50" t="n"/>
      <c r="G37" s="50" t="n"/>
      <c r="H37" s="50" t="n"/>
      <c r="I37" s="52" t="str">
        <f>IF($A37="","",COUNTIFS(액션아이템!$A$3:$A$1002,$A37))</f>
        <v/>
      </c>
    </row>
    <row r="38" ht="15" customHeight="1" s="41">
      <c r="A38" s="52" t="str">
        <f>IF($B38="","",TEXT($B38,"yymmdd")&amp;"-"&amp;TEXT(COUNTIFS($B$3:$B38,$B38),"0"))</f>
        <v/>
      </c>
      <c r="B38" s="53" t="n"/>
      <c r="C38" s="50" t="n"/>
      <c r="D38" s="50" t="n"/>
      <c r="E38" s="49" t="n"/>
      <c r="F38" s="50" t="n"/>
      <c r="G38" s="50" t="n"/>
      <c r="H38" s="50" t="n"/>
      <c r="I38" s="52" t="str">
        <f>IF($A38="","",COUNTIFS(액션아이템!$A$3:$A$1002,$A38))</f>
        <v/>
      </c>
    </row>
    <row r="39" ht="15" customHeight="1" s="41">
      <c r="A39" s="52" t="str">
        <f>IF($B39="","",TEXT($B39,"yymmdd")&amp;"-"&amp;TEXT(COUNTIFS($B$3:$B39,$B39),"0"))</f>
        <v/>
      </c>
      <c r="B39" s="53" t="n"/>
      <c r="C39" s="50" t="n"/>
      <c r="D39" s="50" t="n"/>
      <c r="E39" s="49" t="n"/>
      <c r="F39" s="50" t="n"/>
      <c r="G39" s="50" t="n"/>
      <c r="H39" s="50" t="n"/>
      <c r="I39" s="52" t="str">
        <f>IF($A39="","",COUNTIFS(액션아이템!$A$3:$A$1002,$A39))</f>
        <v/>
      </c>
    </row>
    <row r="40" ht="15" customHeight="1" s="41">
      <c r="A40" s="52" t="str">
        <f>IF($B40="","",TEXT($B40,"yymmdd")&amp;"-"&amp;TEXT(COUNTIFS($B$3:$B40,$B40),"0"))</f>
        <v/>
      </c>
      <c r="B40" s="53" t="n"/>
      <c r="C40" s="50" t="n"/>
      <c r="D40" s="50" t="n"/>
      <c r="E40" s="49" t="n"/>
      <c r="F40" s="50" t="n"/>
      <c r="G40" s="50" t="n"/>
      <c r="H40" s="50" t="n"/>
      <c r="I40" s="52" t="str">
        <f>IF($A40="","",COUNTIFS(액션아이템!$A$3:$A$1002,$A40))</f>
        <v/>
      </c>
    </row>
    <row r="41" ht="15" customHeight="1" s="41">
      <c r="A41" s="52" t="str">
        <f>IF($B41="","",TEXT($B41,"yymmdd")&amp;"-"&amp;TEXT(COUNTIFS($B$3:$B41,$B41),"0"))</f>
        <v/>
      </c>
      <c r="B41" s="53" t="n"/>
      <c r="C41" s="50" t="n"/>
      <c r="D41" s="50" t="n"/>
      <c r="E41" s="49" t="n"/>
      <c r="F41" s="50" t="n"/>
      <c r="G41" s="50" t="n"/>
      <c r="H41" s="50" t="n"/>
      <c r="I41" s="52" t="str">
        <f>IF($A41="","",COUNTIFS(액션아이템!$A$3:$A$1002,$A41))</f>
        <v/>
      </c>
    </row>
    <row r="42" ht="15" customHeight="1" s="41">
      <c r="A42" s="52" t="str">
        <f>IF($B42="","",TEXT($B42,"yymmdd")&amp;"-"&amp;TEXT(COUNTIFS($B$3:$B42,$B42),"0"))</f>
        <v/>
      </c>
      <c r="B42" s="53" t="n"/>
      <c r="C42" s="50" t="n"/>
      <c r="D42" s="50" t="n"/>
      <c r="E42" s="49" t="n"/>
      <c r="F42" s="50" t="n"/>
      <c r="G42" s="50" t="n"/>
      <c r="H42" s="50" t="n"/>
      <c r="I42" s="52" t="str">
        <f>IF($A42="","",COUNTIFS(액션아이템!$A$3:$A$1002,$A42))</f>
        <v/>
      </c>
    </row>
    <row r="43" ht="15" customHeight="1" s="41">
      <c r="A43" s="52" t="str">
        <f>IF($B43="","",TEXT($B43,"yymmdd")&amp;"-"&amp;TEXT(COUNTIFS($B$3:$B43,$B43),"0"))</f>
        <v/>
      </c>
      <c r="B43" s="53" t="n"/>
      <c r="C43" s="50" t="n"/>
      <c r="D43" s="50" t="n"/>
      <c r="E43" s="49" t="n"/>
      <c r="F43" s="50" t="n"/>
      <c r="G43" s="50" t="n"/>
      <c r="H43" s="50" t="n"/>
      <c r="I43" s="52" t="str">
        <f>IF($A43="","",COUNTIFS(액션아이템!$A$3:$A$1002,$A43))</f>
        <v/>
      </c>
    </row>
    <row r="44" ht="15" customHeight="1" s="41">
      <c r="A44" s="52" t="str">
        <f>IF($B44="","",TEXT($B44,"yymmdd")&amp;"-"&amp;TEXT(COUNTIFS($B$3:$B44,$B44),"0"))</f>
        <v/>
      </c>
      <c r="B44" s="53" t="n"/>
      <c r="C44" s="50" t="n"/>
      <c r="D44" s="50" t="n"/>
      <c r="E44" s="49" t="n"/>
      <c r="F44" s="50" t="n"/>
      <c r="G44" s="50" t="n"/>
      <c r="H44" s="50" t="n"/>
      <c r="I44" s="52" t="str">
        <f>IF($A44="","",COUNTIFS(액션아이템!$A$3:$A$1002,$A44))</f>
        <v/>
      </c>
    </row>
    <row r="45" ht="15" customHeight="1" s="41">
      <c r="A45" s="52" t="str">
        <f>IF($B45="","",TEXT($B45,"yymmdd")&amp;"-"&amp;TEXT(COUNTIFS($B$3:$B45,$B45),"0"))</f>
        <v/>
      </c>
      <c r="B45" s="53" t="n"/>
      <c r="C45" s="50" t="n"/>
      <c r="D45" s="50" t="n"/>
      <c r="E45" s="49" t="n"/>
      <c r="F45" s="50" t="n"/>
      <c r="G45" s="50" t="n"/>
      <c r="H45" s="50" t="n"/>
      <c r="I45" s="52" t="str">
        <f>IF($A45="","",COUNTIFS(액션아이템!$A$3:$A$1002,$A45))</f>
        <v/>
      </c>
    </row>
    <row r="46" ht="15" customHeight="1" s="41">
      <c r="A46" s="52" t="str">
        <f>IF($B46="","",TEXT($B46,"yymmdd")&amp;"-"&amp;TEXT(COUNTIFS($B$3:$B46,$B46),"0"))</f>
        <v/>
      </c>
      <c r="B46" s="53" t="n"/>
      <c r="C46" s="50" t="n"/>
      <c r="D46" s="50" t="n"/>
      <c r="E46" s="49" t="n"/>
      <c r="F46" s="50" t="n"/>
      <c r="G46" s="50" t="n"/>
      <c r="H46" s="50" t="n"/>
      <c r="I46" s="52" t="str">
        <f>IF($A46="","",COUNTIFS(액션아이템!$A$3:$A$1002,$A46))</f>
        <v/>
      </c>
    </row>
    <row r="47" ht="15" customHeight="1" s="41">
      <c r="A47" s="52" t="str">
        <f>IF($B47="","",TEXT($B47,"yymmdd")&amp;"-"&amp;TEXT(COUNTIFS($B$3:$B47,$B47),"0"))</f>
        <v/>
      </c>
      <c r="B47" s="53" t="n"/>
      <c r="C47" s="50" t="n"/>
      <c r="D47" s="50" t="n"/>
      <c r="E47" s="49" t="n"/>
      <c r="F47" s="50" t="n"/>
      <c r="G47" s="50" t="n"/>
      <c r="H47" s="50" t="n"/>
      <c r="I47" s="52" t="str">
        <f>IF($A47="","",COUNTIFS(액션아이템!$A$3:$A$1002,$A47))</f>
        <v/>
      </c>
    </row>
    <row r="48" ht="15" customHeight="1" s="41">
      <c r="A48" s="52" t="str">
        <f>IF($B48="","",TEXT($B48,"yymmdd")&amp;"-"&amp;TEXT(COUNTIFS($B$3:$B48,$B48),"0"))</f>
        <v/>
      </c>
      <c r="B48" s="53" t="n"/>
      <c r="C48" s="50" t="n"/>
      <c r="D48" s="50" t="n"/>
      <c r="E48" s="49" t="n"/>
      <c r="F48" s="50" t="n"/>
      <c r="G48" s="50" t="n"/>
      <c r="H48" s="50" t="n"/>
      <c r="I48" s="52" t="str">
        <f>IF($A48="","",COUNTIFS(액션아이템!$A$3:$A$1002,$A48))</f>
        <v/>
      </c>
    </row>
    <row r="49" ht="15" customHeight="1" s="41">
      <c r="A49" s="52" t="str">
        <f>IF($B49="","",TEXT($B49,"yymmdd")&amp;"-"&amp;TEXT(COUNTIFS($B$3:$B49,$B49),"0"))</f>
        <v/>
      </c>
      <c r="B49" s="53" t="n"/>
      <c r="C49" s="50" t="n"/>
      <c r="D49" s="50" t="n"/>
      <c r="E49" s="49" t="n"/>
      <c r="F49" s="50" t="n"/>
      <c r="G49" s="50" t="n"/>
      <c r="H49" s="50" t="n"/>
      <c r="I49" s="52" t="str">
        <f>IF($A49="","",COUNTIFS(액션아이템!$A$3:$A$1002,$A49))</f>
        <v/>
      </c>
    </row>
    <row r="50" ht="15" customHeight="1" s="41">
      <c r="A50" s="52" t="str">
        <f>IF($B50="","",TEXT($B50,"yymmdd")&amp;"-"&amp;TEXT(COUNTIFS($B$3:$B50,$B50),"0"))</f>
        <v/>
      </c>
      <c r="B50" s="53" t="n"/>
      <c r="C50" s="50" t="n"/>
      <c r="D50" s="50" t="n"/>
      <c r="E50" s="49" t="n"/>
      <c r="F50" s="50" t="n"/>
      <c r="G50" s="50" t="n"/>
      <c r="H50" s="50" t="n"/>
      <c r="I50" s="52" t="str">
        <f>IF($A50="","",COUNTIFS(액션아이템!$A$3:$A$1002,$A50))</f>
        <v/>
      </c>
    </row>
    <row r="51" ht="15" customHeight="1" s="41">
      <c r="A51" s="52" t="str">
        <f>IF($B51="","",TEXT($B51,"yymmdd")&amp;"-"&amp;TEXT(COUNTIFS($B$3:$B51,$B51),"0"))</f>
        <v/>
      </c>
      <c r="B51" s="53" t="n"/>
      <c r="C51" s="50" t="n"/>
      <c r="D51" s="50" t="n"/>
      <c r="E51" s="49" t="n"/>
      <c r="F51" s="50" t="n"/>
      <c r="G51" s="50" t="n"/>
      <c r="H51" s="50" t="n"/>
      <c r="I51" s="52" t="str">
        <f>IF($A51="","",COUNTIFS(액션아이템!$A$3:$A$1002,$A51))</f>
        <v/>
      </c>
    </row>
    <row r="52" ht="15" customHeight="1" s="41">
      <c r="A52" s="52" t="str">
        <f>IF($B52="","",TEXT($B52,"yymmdd")&amp;"-"&amp;TEXT(COUNTIFS($B$3:$B52,$B52),"0"))</f>
        <v/>
      </c>
      <c r="B52" s="53" t="n"/>
      <c r="C52" s="50" t="n"/>
      <c r="D52" s="50" t="n"/>
      <c r="E52" s="49" t="n"/>
      <c r="F52" s="50" t="n"/>
      <c r="G52" s="50" t="n"/>
      <c r="H52" s="50" t="n"/>
      <c r="I52" s="52" t="str">
        <f>IF($A52="","",COUNTIFS(액션아이템!$A$3:$A$1002,$A52))</f>
        <v/>
      </c>
    </row>
    <row r="53" ht="15" customHeight="1" s="41">
      <c r="A53" s="52" t="str">
        <f>IF($B53="","",TEXT($B53,"yymmdd")&amp;"-"&amp;TEXT(COUNTIFS($B$3:$B53,$B53),"0"))</f>
        <v/>
      </c>
      <c r="B53" s="53" t="n"/>
      <c r="C53" s="50" t="n"/>
      <c r="D53" s="50" t="n"/>
      <c r="E53" s="49" t="n"/>
      <c r="F53" s="50" t="n"/>
      <c r="G53" s="50" t="n"/>
      <c r="H53" s="50" t="n"/>
      <c r="I53" s="52" t="str">
        <f>IF($A53="","",COUNTIFS(액션아이템!$A$3:$A$1002,$A53))</f>
        <v/>
      </c>
    </row>
    <row r="54" ht="15" customHeight="1" s="41">
      <c r="A54" s="52" t="str">
        <f>IF($B54="","",TEXT($B54,"yymmdd")&amp;"-"&amp;TEXT(COUNTIFS($B$3:$B54,$B54),"0"))</f>
        <v/>
      </c>
      <c r="B54" s="53" t="n"/>
      <c r="C54" s="50" t="n"/>
      <c r="D54" s="50" t="n"/>
      <c r="E54" s="49" t="n"/>
      <c r="F54" s="50" t="n"/>
      <c r="G54" s="50" t="n"/>
      <c r="H54" s="50" t="n"/>
      <c r="I54" s="52" t="str">
        <f>IF($A54="","",COUNTIFS(액션아이템!$A$3:$A$1002,$A54))</f>
        <v/>
      </c>
    </row>
    <row r="55" ht="15" customHeight="1" s="41">
      <c r="A55" s="52" t="str">
        <f>IF($B55="","",TEXT($B55,"yymmdd")&amp;"-"&amp;TEXT(COUNTIFS($B$3:$B55,$B55),"0"))</f>
        <v/>
      </c>
      <c r="B55" s="53" t="n"/>
      <c r="C55" s="50" t="n"/>
      <c r="D55" s="50" t="n"/>
      <c r="E55" s="49" t="n"/>
      <c r="F55" s="50" t="n"/>
      <c r="G55" s="50" t="n"/>
      <c r="H55" s="50" t="n"/>
      <c r="I55" s="52" t="str">
        <f>IF($A55="","",COUNTIFS(액션아이템!$A$3:$A$1002,$A55))</f>
        <v/>
      </c>
    </row>
    <row r="56" ht="15" customHeight="1" s="41">
      <c r="A56" s="52" t="str">
        <f>IF($B56="","",TEXT($B56,"yymmdd")&amp;"-"&amp;TEXT(COUNTIFS($B$3:$B56,$B56),"0"))</f>
        <v/>
      </c>
      <c r="B56" s="53" t="n"/>
      <c r="C56" s="50" t="n"/>
      <c r="D56" s="50" t="n"/>
      <c r="E56" s="49" t="n"/>
      <c r="F56" s="50" t="n"/>
      <c r="G56" s="50" t="n"/>
      <c r="H56" s="50" t="n"/>
      <c r="I56" s="52" t="str">
        <f>IF($A56="","",COUNTIFS(액션아이템!$A$3:$A$1002,$A56))</f>
        <v/>
      </c>
    </row>
    <row r="57" ht="15" customHeight="1" s="41">
      <c r="A57" s="52" t="str">
        <f>IF($B57="","",TEXT($B57,"yymmdd")&amp;"-"&amp;TEXT(COUNTIFS($B$3:$B57,$B57),"0"))</f>
        <v/>
      </c>
      <c r="B57" s="53" t="n"/>
      <c r="C57" s="50" t="n"/>
      <c r="D57" s="50" t="n"/>
      <c r="E57" s="49" t="n"/>
      <c r="F57" s="50" t="n"/>
      <c r="G57" s="50" t="n"/>
      <c r="H57" s="50" t="n"/>
      <c r="I57" s="52" t="str">
        <f>IF($A57="","",COUNTIFS(액션아이템!$A$3:$A$1002,$A57))</f>
        <v/>
      </c>
    </row>
    <row r="58" ht="15" customHeight="1" s="41">
      <c r="A58" s="52" t="str">
        <f>IF($B58="","",TEXT($B58,"yymmdd")&amp;"-"&amp;TEXT(COUNTIFS($B$3:$B58,$B58),"0"))</f>
        <v/>
      </c>
      <c r="B58" s="53" t="n"/>
      <c r="C58" s="50" t="n"/>
      <c r="D58" s="50" t="n"/>
      <c r="E58" s="49" t="n"/>
      <c r="F58" s="50" t="n"/>
      <c r="G58" s="50" t="n"/>
      <c r="H58" s="50" t="n"/>
      <c r="I58" s="52" t="str">
        <f>IF($A58="","",COUNTIFS(액션아이템!$A$3:$A$1002,$A58))</f>
        <v/>
      </c>
    </row>
    <row r="59" ht="15" customHeight="1" s="41">
      <c r="A59" s="52" t="str">
        <f>IF($B59="","",TEXT($B59,"yymmdd")&amp;"-"&amp;TEXT(COUNTIFS($B$3:$B59,$B59),"0"))</f>
        <v/>
      </c>
      <c r="B59" s="53" t="n"/>
      <c r="C59" s="50" t="n"/>
      <c r="D59" s="50" t="n"/>
      <c r="E59" s="49" t="n"/>
      <c r="F59" s="50" t="n"/>
      <c r="G59" s="50" t="n"/>
      <c r="H59" s="50" t="n"/>
      <c r="I59" s="52" t="str">
        <f>IF($A59="","",COUNTIFS(액션아이템!$A$3:$A$1002,$A59))</f>
        <v/>
      </c>
    </row>
    <row r="60" ht="15" customHeight="1" s="41">
      <c r="A60" s="52" t="str">
        <f>IF($B60="","",TEXT($B60,"yymmdd")&amp;"-"&amp;TEXT(COUNTIFS($B$3:$B60,$B60),"0"))</f>
        <v/>
      </c>
      <c r="B60" s="53" t="n"/>
      <c r="C60" s="50" t="n"/>
      <c r="D60" s="50" t="n"/>
      <c r="E60" s="49" t="n"/>
      <c r="F60" s="50" t="n"/>
      <c r="G60" s="50" t="n"/>
      <c r="H60" s="50" t="n"/>
      <c r="I60" s="52" t="str">
        <f>IF($A60="","",COUNTIFS(액션아이템!$A$3:$A$1002,$A60))</f>
        <v/>
      </c>
    </row>
    <row r="61" ht="15" customHeight="1" s="41">
      <c r="A61" s="52" t="str">
        <f>IF($B61="","",TEXT($B61,"yymmdd")&amp;"-"&amp;TEXT(COUNTIFS($B$3:$B61,$B61),"0"))</f>
        <v/>
      </c>
      <c r="B61" s="53" t="n"/>
      <c r="C61" s="50" t="n"/>
      <c r="D61" s="50" t="n"/>
      <c r="E61" s="49" t="n"/>
      <c r="F61" s="50" t="n"/>
      <c r="G61" s="50" t="n"/>
      <c r="H61" s="50" t="n"/>
      <c r="I61" s="52" t="str">
        <f>IF($A61="","",COUNTIFS(액션아이템!$A$3:$A$1002,$A61))</f>
        <v/>
      </c>
    </row>
    <row r="62" ht="15" customHeight="1" s="41">
      <c r="A62" s="52" t="str">
        <f>IF($B62="","",TEXT($B62,"yymmdd")&amp;"-"&amp;TEXT(COUNTIFS($B$3:$B62,$B62),"0"))</f>
        <v/>
      </c>
      <c r="B62" s="53" t="n"/>
      <c r="C62" s="50" t="n"/>
      <c r="D62" s="50" t="n"/>
      <c r="E62" s="49" t="n"/>
      <c r="F62" s="50" t="n"/>
      <c r="G62" s="50" t="n"/>
      <c r="H62" s="50" t="n"/>
      <c r="I62" s="52" t="str">
        <f>IF($A62="","",COUNTIFS(액션아이템!$A$3:$A$1002,$A62))</f>
        <v/>
      </c>
    </row>
    <row r="63" ht="15" customHeight="1" s="41">
      <c r="A63" s="52" t="str">
        <f>IF($B63="","",TEXT($B63,"yymmdd")&amp;"-"&amp;TEXT(COUNTIFS($B$3:$B63,$B63),"0"))</f>
        <v/>
      </c>
      <c r="B63" s="53" t="n"/>
      <c r="C63" s="50" t="n"/>
      <c r="D63" s="50" t="n"/>
      <c r="E63" s="49" t="n"/>
      <c r="F63" s="50" t="n"/>
      <c r="G63" s="50" t="n"/>
      <c r="H63" s="50" t="n"/>
      <c r="I63" s="52" t="str">
        <f>IF($A63="","",COUNTIFS(액션아이템!$A$3:$A$1002,$A63))</f>
        <v/>
      </c>
    </row>
    <row r="64" ht="15" customHeight="1" s="41">
      <c r="A64" s="52" t="str">
        <f>IF($B64="","",TEXT($B64,"yymmdd")&amp;"-"&amp;TEXT(COUNTIFS($B$3:$B64,$B64),"0"))</f>
        <v/>
      </c>
      <c r="B64" s="53" t="n"/>
      <c r="C64" s="50" t="n"/>
      <c r="D64" s="50" t="n"/>
      <c r="E64" s="49" t="n"/>
      <c r="F64" s="50" t="n"/>
      <c r="G64" s="50" t="n"/>
      <c r="H64" s="50" t="n"/>
      <c r="I64" s="52" t="str">
        <f>IF($A64="","",COUNTIFS(액션아이템!$A$3:$A$1002,$A64))</f>
        <v/>
      </c>
    </row>
    <row r="65" ht="15" customHeight="1" s="41">
      <c r="A65" s="52" t="str">
        <f>IF($B65="","",TEXT($B65,"yymmdd")&amp;"-"&amp;TEXT(COUNTIFS($B$3:$B65,$B65),"0"))</f>
        <v/>
      </c>
      <c r="B65" s="53" t="n"/>
      <c r="C65" s="50" t="n"/>
      <c r="D65" s="50" t="n"/>
      <c r="E65" s="49" t="n"/>
      <c r="F65" s="50" t="n"/>
      <c r="G65" s="50" t="n"/>
      <c r="H65" s="50" t="n"/>
      <c r="I65" s="52" t="str">
        <f>IF($A65="","",COUNTIFS(액션아이템!$A$3:$A$1002,$A65))</f>
        <v/>
      </c>
    </row>
    <row r="66" ht="15" customHeight="1" s="41">
      <c r="A66" s="52" t="str">
        <f>IF($B66="","",TEXT($B66,"yymmdd")&amp;"-"&amp;TEXT(COUNTIFS($B$3:$B66,$B66),"0"))</f>
        <v/>
      </c>
      <c r="B66" s="53" t="n"/>
      <c r="C66" s="50" t="n"/>
      <c r="D66" s="50" t="n"/>
      <c r="E66" s="49" t="n"/>
      <c r="F66" s="50" t="n"/>
      <c r="G66" s="50" t="n"/>
      <c r="H66" s="50" t="n"/>
      <c r="I66" s="52" t="str">
        <f>IF($A66="","",COUNTIFS(액션아이템!$A$3:$A$1002,$A66))</f>
        <v/>
      </c>
    </row>
    <row r="67" ht="15" customHeight="1" s="41">
      <c r="A67" s="52" t="str">
        <f>IF($B67="","",TEXT($B67,"yymmdd")&amp;"-"&amp;TEXT(COUNTIFS($B$3:$B67,$B67),"0"))</f>
        <v/>
      </c>
      <c r="B67" s="53" t="n"/>
      <c r="C67" s="50" t="n"/>
      <c r="D67" s="50" t="n"/>
      <c r="E67" s="49" t="n"/>
      <c r="F67" s="50" t="n"/>
      <c r="G67" s="50" t="n"/>
      <c r="H67" s="50" t="n"/>
      <c r="I67" s="52" t="str">
        <f>IF($A67="","",COUNTIFS(액션아이템!$A$3:$A$1002,$A67))</f>
        <v/>
      </c>
    </row>
    <row r="68" ht="15" customHeight="1" s="41">
      <c r="A68" s="52" t="str">
        <f>IF($B68="","",TEXT($B68,"yymmdd")&amp;"-"&amp;TEXT(COUNTIFS($B$3:$B68,$B68),"0"))</f>
        <v/>
      </c>
      <c r="B68" s="53" t="n"/>
      <c r="C68" s="50" t="n"/>
      <c r="D68" s="50" t="n"/>
      <c r="E68" s="49" t="n"/>
      <c r="F68" s="50" t="n"/>
      <c r="G68" s="50" t="n"/>
      <c r="H68" s="50" t="n"/>
      <c r="I68" s="52" t="str">
        <f>IF($A68="","",COUNTIFS(액션아이템!$A$3:$A$1002,$A68))</f>
        <v/>
      </c>
    </row>
    <row r="69" ht="15" customHeight="1" s="41">
      <c r="A69" s="52" t="str">
        <f>IF($B69="","",TEXT($B69,"yymmdd")&amp;"-"&amp;TEXT(COUNTIFS($B$3:$B69,$B69),"0"))</f>
        <v/>
      </c>
      <c r="B69" s="53" t="n"/>
      <c r="C69" s="50" t="n"/>
      <c r="D69" s="50" t="n"/>
      <c r="E69" s="49" t="n"/>
      <c r="F69" s="50" t="n"/>
      <c r="G69" s="50" t="n"/>
      <c r="H69" s="50" t="n"/>
      <c r="I69" s="52" t="str">
        <f>IF($A69="","",COUNTIFS(액션아이템!$A$3:$A$1002,$A69))</f>
        <v/>
      </c>
    </row>
    <row r="70" ht="15" customHeight="1" s="41">
      <c r="A70" s="52" t="str">
        <f>IF($B70="","",TEXT($B70,"yymmdd")&amp;"-"&amp;TEXT(COUNTIFS($B$3:$B70,$B70),"0"))</f>
        <v/>
      </c>
      <c r="B70" s="53" t="n"/>
      <c r="C70" s="50" t="n"/>
      <c r="D70" s="50" t="n"/>
      <c r="E70" s="49" t="n"/>
      <c r="F70" s="50" t="n"/>
      <c r="G70" s="50" t="n"/>
      <c r="H70" s="50" t="n"/>
      <c r="I70" s="52" t="str">
        <f>IF($A70="","",COUNTIFS(액션아이템!$A$3:$A$1002,$A70))</f>
        <v/>
      </c>
    </row>
    <row r="71" ht="15" customHeight="1" s="41">
      <c r="A71" s="52" t="str">
        <f>IF($B71="","",TEXT($B71,"yymmdd")&amp;"-"&amp;TEXT(COUNTIFS($B$3:$B71,$B71),"0"))</f>
        <v/>
      </c>
      <c r="B71" s="53" t="n"/>
      <c r="C71" s="50" t="n"/>
      <c r="D71" s="50" t="n"/>
      <c r="E71" s="49" t="n"/>
      <c r="F71" s="50" t="n"/>
      <c r="G71" s="50" t="n"/>
      <c r="H71" s="50" t="n"/>
      <c r="I71" s="52" t="str">
        <f>IF($A71="","",COUNTIFS(액션아이템!$A$3:$A$1002,$A71))</f>
        <v/>
      </c>
    </row>
    <row r="72" ht="15" customHeight="1" s="41">
      <c r="A72" s="52" t="str">
        <f>IF($B72="","",TEXT($B72,"yymmdd")&amp;"-"&amp;TEXT(COUNTIFS($B$3:$B72,$B72),"0"))</f>
        <v/>
      </c>
      <c r="B72" s="53" t="n"/>
      <c r="C72" s="50" t="n"/>
      <c r="D72" s="50" t="n"/>
      <c r="E72" s="49" t="n"/>
      <c r="F72" s="50" t="n"/>
      <c r="G72" s="50" t="n"/>
      <c r="H72" s="50" t="n"/>
      <c r="I72" s="52" t="str">
        <f>IF($A72="","",COUNTIFS(액션아이템!$A$3:$A$1002,$A72))</f>
        <v/>
      </c>
    </row>
    <row r="73" ht="15" customHeight="1" s="41">
      <c r="A73" s="52" t="str">
        <f>IF($B73="","",TEXT($B73,"yymmdd")&amp;"-"&amp;TEXT(COUNTIFS($B$3:$B73,$B73),"0"))</f>
        <v/>
      </c>
      <c r="B73" s="53" t="n"/>
      <c r="C73" s="50" t="n"/>
      <c r="D73" s="50" t="n"/>
      <c r="E73" s="49" t="n"/>
      <c r="F73" s="50" t="n"/>
      <c r="G73" s="50" t="n"/>
      <c r="H73" s="50" t="n"/>
      <c r="I73" s="52" t="str">
        <f>IF($A73="","",COUNTIFS(액션아이템!$A$3:$A$1002,$A73))</f>
        <v/>
      </c>
    </row>
    <row r="74" ht="15" customHeight="1" s="41">
      <c r="A74" s="52" t="str">
        <f>IF($B74="","",TEXT($B74,"yymmdd")&amp;"-"&amp;TEXT(COUNTIFS($B$3:$B74,$B74),"0"))</f>
        <v/>
      </c>
      <c r="B74" s="53" t="n"/>
      <c r="C74" s="50" t="n"/>
      <c r="D74" s="50" t="n"/>
      <c r="E74" s="49" t="n"/>
      <c r="F74" s="50" t="n"/>
      <c r="G74" s="50" t="n"/>
      <c r="H74" s="50" t="n"/>
      <c r="I74" s="52" t="str">
        <f>IF($A74="","",COUNTIFS(액션아이템!$A$3:$A$1002,$A74))</f>
        <v/>
      </c>
    </row>
    <row r="75" ht="15" customHeight="1" s="41">
      <c r="A75" s="52" t="str">
        <f>IF($B75="","",TEXT($B75,"yymmdd")&amp;"-"&amp;TEXT(COUNTIFS($B$3:$B75,$B75),"0"))</f>
        <v/>
      </c>
      <c r="B75" s="53" t="n"/>
      <c r="C75" s="50" t="n"/>
      <c r="D75" s="50" t="n"/>
      <c r="E75" s="49" t="n"/>
      <c r="F75" s="50" t="n"/>
      <c r="G75" s="50" t="n"/>
      <c r="H75" s="50" t="n"/>
      <c r="I75" s="52" t="str">
        <f>IF($A75="","",COUNTIFS(액션아이템!$A$3:$A$1002,$A75))</f>
        <v/>
      </c>
    </row>
    <row r="76" ht="15" customHeight="1" s="41">
      <c r="A76" s="52" t="str">
        <f>IF($B76="","",TEXT($B76,"yymmdd")&amp;"-"&amp;TEXT(COUNTIFS($B$3:$B76,$B76),"0"))</f>
        <v/>
      </c>
      <c r="B76" s="53" t="n"/>
      <c r="C76" s="50" t="n"/>
      <c r="D76" s="50" t="n"/>
      <c r="E76" s="49" t="n"/>
      <c r="F76" s="50" t="n"/>
      <c r="G76" s="50" t="n"/>
      <c r="H76" s="50" t="n"/>
      <c r="I76" s="52" t="str">
        <f>IF($A76="","",COUNTIFS(액션아이템!$A$3:$A$1002,$A76))</f>
        <v/>
      </c>
    </row>
    <row r="77" ht="15" customHeight="1" s="41">
      <c r="A77" s="52" t="str">
        <f>IF($B77="","",TEXT($B77,"yymmdd")&amp;"-"&amp;TEXT(COUNTIFS($B$3:$B77,$B77),"0"))</f>
        <v/>
      </c>
      <c r="B77" s="53" t="n"/>
      <c r="C77" s="50" t="n"/>
      <c r="D77" s="50" t="n"/>
      <c r="E77" s="49" t="n"/>
      <c r="F77" s="50" t="n"/>
      <c r="G77" s="50" t="n"/>
      <c r="H77" s="50" t="n"/>
      <c r="I77" s="52" t="str">
        <f>IF($A77="","",COUNTIFS(액션아이템!$A$3:$A$1002,$A77))</f>
        <v/>
      </c>
    </row>
    <row r="78" ht="15" customHeight="1" s="41">
      <c r="A78" s="52" t="str">
        <f>IF($B78="","",TEXT($B78,"yymmdd")&amp;"-"&amp;TEXT(COUNTIFS($B$3:$B78,$B78),"0"))</f>
        <v/>
      </c>
      <c r="B78" s="53" t="n"/>
      <c r="C78" s="50" t="n"/>
      <c r="D78" s="50" t="n"/>
      <c r="E78" s="49" t="n"/>
      <c r="F78" s="50" t="n"/>
      <c r="G78" s="50" t="n"/>
      <c r="H78" s="50" t="n"/>
      <c r="I78" s="52" t="str">
        <f>IF($A78="","",COUNTIFS(액션아이템!$A$3:$A$1002,$A78))</f>
        <v/>
      </c>
    </row>
    <row r="79" ht="15" customHeight="1" s="41">
      <c r="A79" s="52" t="str">
        <f>IF($B79="","",TEXT($B79,"yymmdd")&amp;"-"&amp;TEXT(COUNTIFS($B$3:$B79,$B79),"0"))</f>
        <v/>
      </c>
      <c r="B79" s="53" t="n"/>
      <c r="C79" s="50" t="n"/>
      <c r="D79" s="50" t="n"/>
      <c r="E79" s="49" t="n"/>
      <c r="F79" s="50" t="n"/>
      <c r="G79" s="50" t="n"/>
      <c r="H79" s="50" t="n"/>
      <c r="I79" s="52" t="str">
        <f>IF($A79="","",COUNTIFS(액션아이템!$A$3:$A$1002,$A79))</f>
        <v/>
      </c>
    </row>
    <row r="80" ht="15" customHeight="1" s="41">
      <c r="A80" s="52" t="str">
        <f>IF($B80="","",TEXT($B80,"yymmdd")&amp;"-"&amp;TEXT(COUNTIFS($B$3:$B80,$B80),"0"))</f>
        <v/>
      </c>
      <c r="B80" s="53" t="n"/>
      <c r="C80" s="50" t="n"/>
      <c r="D80" s="50" t="n"/>
      <c r="E80" s="49" t="n"/>
      <c r="F80" s="50" t="n"/>
      <c r="G80" s="50" t="n"/>
      <c r="H80" s="50" t="n"/>
      <c r="I80" s="52" t="str">
        <f>IF($A80="","",COUNTIFS(액션아이템!$A$3:$A$1002,$A80))</f>
        <v/>
      </c>
    </row>
    <row r="81" ht="15" customHeight="1" s="41">
      <c r="A81" s="52" t="str">
        <f>IF($B81="","",TEXT($B81,"yymmdd")&amp;"-"&amp;TEXT(COUNTIFS($B$3:$B81,$B81),"0"))</f>
        <v/>
      </c>
      <c r="B81" s="53" t="n"/>
      <c r="C81" s="50" t="n"/>
      <c r="D81" s="50" t="n"/>
      <c r="E81" s="49" t="n"/>
      <c r="F81" s="50" t="n"/>
      <c r="G81" s="50" t="n"/>
      <c r="H81" s="50" t="n"/>
      <c r="I81" s="52" t="str">
        <f>IF($A81="","",COUNTIFS(액션아이템!$A$3:$A$1002,$A81))</f>
        <v/>
      </c>
    </row>
    <row r="82" ht="15" customHeight="1" s="41">
      <c r="A82" s="52" t="str">
        <f>IF($B82="","",TEXT($B82,"yymmdd")&amp;"-"&amp;TEXT(COUNTIFS($B$3:$B82,$B82),"0"))</f>
        <v/>
      </c>
      <c r="B82" s="53" t="n"/>
      <c r="C82" s="50" t="n"/>
      <c r="D82" s="50" t="n"/>
      <c r="E82" s="49" t="n"/>
      <c r="F82" s="50" t="n"/>
      <c r="G82" s="50" t="n"/>
      <c r="H82" s="50" t="n"/>
      <c r="I82" s="52" t="str">
        <f>IF($A82="","",COUNTIFS(액션아이템!$A$3:$A$1002,$A82))</f>
        <v/>
      </c>
    </row>
    <row r="83" ht="15" customHeight="1" s="41">
      <c r="A83" s="52" t="str">
        <f>IF($B83="","",TEXT($B83,"yymmdd")&amp;"-"&amp;TEXT(COUNTIFS($B$3:$B83,$B83),"0"))</f>
        <v/>
      </c>
      <c r="B83" s="53" t="n"/>
      <c r="C83" s="50" t="n"/>
      <c r="D83" s="50" t="n"/>
      <c r="E83" s="49" t="n"/>
      <c r="F83" s="50" t="n"/>
      <c r="G83" s="50" t="n"/>
      <c r="H83" s="50" t="n"/>
      <c r="I83" s="52" t="str">
        <f>IF($A83="","",COUNTIFS(액션아이템!$A$3:$A$1002,$A83))</f>
        <v/>
      </c>
    </row>
    <row r="84" ht="15" customHeight="1" s="41">
      <c r="A84" s="52" t="str">
        <f>IF($B84="","",TEXT($B84,"yymmdd")&amp;"-"&amp;TEXT(COUNTIFS($B$3:$B84,$B84),"0"))</f>
        <v/>
      </c>
      <c r="B84" s="53" t="n"/>
      <c r="C84" s="50" t="n"/>
      <c r="D84" s="50" t="n"/>
      <c r="E84" s="49" t="n"/>
      <c r="F84" s="50" t="n"/>
      <c r="G84" s="50" t="n"/>
      <c r="H84" s="50" t="n"/>
      <c r="I84" s="52" t="str">
        <f>IF($A84="","",COUNTIFS(액션아이템!$A$3:$A$1002,$A84))</f>
        <v/>
      </c>
    </row>
    <row r="85" ht="15" customHeight="1" s="41">
      <c r="A85" s="52" t="str">
        <f>IF($B85="","",TEXT($B85,"yymmdd")&amp;"-"&amp;TEXT(COUNTIFS($B$3:$B85,$B85),"0"))</f>
        <v/>
      </c>
      <c r="B85" s="53" t="n"/>
      <c r="C85" s="50" t="n"/>
      <c r="D85" s="50" t="n"/>
      <c r="E85" s="49" t="n"/>
      <c r="F85" s="50" t="n"/>
      <c r="G85" s="50" t="n"/>
      <c r="H85" s="50" t="n"/>
      <c r="I85" s="52" t="str">
        <f>IF($A85="","",COUNTIFS(액션아이템!$A$3:$A$1002,$A85))</f>
        <v/>
      </c>
    </row>
    <row r="86" ht="15" customHeight="1" s="41">
      <c r="A86" s="52" t="str">
        <f>IF($B86="","",TEXT($B86,"yymmdd")&amp;"-"&amp;TEXT(COUNTIFS($B$3:$B86,$B86),"0"))</f>
        <v/>
      </c>
      <c r="B86" s="53" t="n"/>
      <c r="C86" s="50" t="n"/>
      <c r="D86" s="50" t="n"/>
      <c r="E86" s="49" t="n"/>
      <c r="F86" s="50" t="n"/>
      <c r="G86" s="50" t="n"/>
      <c r="H86" s="50" t="n"/>
      <c r="I86" s="52" t="str">
        <f>IF($A86="","",COUNTIFS(액션아이템!$A$3:$A$1002,$A86))</f>
        <v/>
      </c>
    </row>
    <row r="87" ht="15" customHeight="1" s="41">
      <c r="A87" s="52" t="str">
        <f>IF($B87="","",TEXT($B87,"yymmdd")&amp;"-"&amp;TEXT(COUNTIFS($B$3:$B87,$B87),"0"))</f>
        <v/>
      </c>
      <c r="B87" s="53" t="n"/>
      <c r="C87" s="50" t="n"/>
      <c r="D87" s="50" t="n"/>
      <c r="E87" s="49" t="n"/>
      <c r="F87" s="50" t="n"/>
      <c r="G87" s="50" t="n"/>
      <c r="H87" s="50" t="n"/>
      <c r="I87" s="52" t="str">
        <f>IF($A87="","",COUNTIFS(액션아이템!$A$3:$A$1002,$A87))</f>
        <v/>
      </c>
    </row>
    <row r="88" ht="15" customHeight="1" s="41">
      <c r="A88" s="52" t="str">
        <f>IF($B88="","",TEXT($B88,"yymmdd")&amp;"-"&amp;TEXT(COUNTIFS($B$3:$B88,$B88),"0"))</f>
        <v/>
      </c>
      <c r="B88" s="53" t="n"/>
      <c r="C88" s="50" t="n"/>
      <c r="D88" s="50" t="n"/>
      <c r="E88" s="49" t="n"/>
      <c r="F88" s="50" t="n"/>
      <c r="G88" s="50" t="n"/>
      <c r="H88" s="50" t="n"/>
      <c r="I88" s="52" t="str">
        <f>IF($A88="","",COUNTIFS(액션아이템!$A$3:$A$1002,$A88))</f>
        <v/>
      </c>
    </row>
    <row r="89" ht="15" customHeight="1" s="41">
      <c r="A89" s="52" t="str">
        <f>IF($B89="","",TEXT($B89,"yymmdd")&amp;"-"&amp;TEXT(COUNTIFS($B$3:$B89,$B89),"0"))</f>
        <v/>
      </c>
      <c r="B89" s="53" t="n"/>
      <c r="C89" s="50" t="n"/>
      <c r="D89" s="50" t="n"/>
      <c r="E89" s="49" t="n"/>
      <c r="F89" s="50" t="n"/>
      <c r="G89" s="50" t="n"/>
      <c r="H89" s="50" t="n"/>
      <c r="I89" s="52" t="str">
        <f>IF($A89="","",COUNTIFS(액션아이템!$A$3:$A$1002,$A89))</f>
        <v/>
      </c>
    </row>
    <row r="90" ht="15" customHeight="1" s="41">
      <c r="A90" s="52" t="str">
        <f>IF($B90="","",TEXT($B90,"yymmdd")&amp;"-"&amp;TEXT(COUNTIFS($B$3:$B90,$B90),"0"))</f>
        <v/>
      </c>
      <c r="B90" s="53" t="n"/>
      <c r="C90" s="50" t="n"/>
      <c r="D90" s="50" t="n"/>
      <c r="E90" s="49" t="n"/>
      <c r="F90" s="50" t="n"/>
      <c r="G90" s="50" t="n"/>
      <c r="H90" s="50" t="n"/>
      <c r="I90" s="52" t="str">
        <f>IF($A90="","",COUNTIFS(액션아이템!$A$3:$A$1002,$A90))</f>
        <v/>
      </c>
    </row>
    <row r="91" ht="15" customHeight="1" s="41">
      <c r="A91" s="52" t="str">
        <f>IF($B91="","",TEXT($B91,"yymmdd")&amp;"-"&amp;TEXT(COUNTIFS($B$3:$B91,$B91),"0"))</f>
        <v/>
      </c>
      <c r="B91" s="53" t="n"/>
      <c r="C91" s="50" t="n"/>
      <c r="D91" s="50" t="n"/>
      <c r="E91" s="49" t="n"/>
      <c r="F91" s="50" t="n"/>
      <c r="G91" s="50" t="n"/>
      <c r="H91" s="50" t="n"/>
      <c r="I91" s="52" t="str">
        <f>IF($A91="","",COUNTIFS(액션아이템!$A$3:$A$1002,$A91))</f>
        <v/>
      </c>
    </row>
    <row r="92" ht="15" customHeight="1" s="41">
      <c r="A92" s="52" t="str">
        <f>IF($B92="","",TEXT($B92,"yymmdd")&amp;"-"&amp;TEXT(COUNTIFS($B$3:$B92,$B92),"0"))</f>
        <v/>
      </c>
      <c r="B92" s="53" t="n"/>
      <c r="C92" s="50" t="n"/>
      <c r="D92" s="50" t="n"/>
      <c r="E92" s="49" t="n"/>
      <c r="F92" s="50" t="n"/>
      <c r="G92" s="50" t="n"/>
      <c r="H92" s="50" t="n"/>
      <c r="I92" s="52" t="str">
        <f>IF($A92="","",COUNTIFS(액션아이템!$A$3:$A$1002,$A92))</f>
        <v/>
      </c>
    </row>
    <row r="93" ht="15" customHeight="1" s="41">
      <c r="A93" s="52" t="str">
        <f>IF($B93="","",TEXT($B93,"yymmdd")&amp;"-"&amp;TEXT(COUNTIFS($B$3:$B93,$B93),"0"))</f>
        <v/>
      </c>
      <c r="B93" s="53" t="n"/>
      <c r="C93" s="50" t="n"/>
      <c r="D93" s="50" t="n"/>
      <c r="E93" s="49" t="n"/>
      <c r="F93" s="50" t="n"/>
      <c r="G93" s="50" t="n"/>
      <c r="H93" s="50" t="n"/>
      <c r="I93" s="52" t="str">
        <f>IF($A93="","",COUNTIFS(액션아이템!$A$3:$A$1002,$A93))</f>
        <v/>
      </c>
    </row>
    <row r="94" ht="15" customHeight="1" s="41">
      <c r="A94" s="52" t="str">
        <f>IF($B94="","",TEXT($B94,"yymmdd")&amp;"-"&amp;TEXT(COUNTIFS($B$3:$B94,$B94),"0"))</f>
        <v/>
      </c>
      <c r="B94" s="53" t="n"/>
      <c r="C94" s="50" t="n"/>
      <c r="D94" s="50" t="n"/>
      <c r="E94" s="49" t="n"/>
      <c r="F94" s="50" t="n"/>
      <c r="G94" s="50" t="n"/>
      <c r="H94" s="50" t="n"/>
      <c r="I94" s="52" t="str">
        <f>IF($A94="","",COUNTIFS(액션아이템!$A$3:$A$1002,$A94))</f>
        <v/>
      </c>
    </row>
    <row r="95" ht="15" customHeight="1" s="41">
      <c r="A95" s="52" t="str">
        <f>IF($B95="","",TEXT($B95,"yymmdd")&amp;"-"&amp;TEXT(COUNTIFS($B$3:$B95,$B95),"0"))</f>
        <v/>
      </c>
      <c r="B95" s="53" t="n"/>
      <c r="C95" s="50" t="n"/>
      <c r="D95" s="50" t="n"/>
      <c r="E95" s="49" t="n"/>
      <c r="F95" s="50" t="n"/>
      <c r="G95" s="50" t="n"/>
      <c r="H95" s="50" t="n"/>
      <c r="I95" s="52" t="str">
        <f>IF($A95="","",COUNTIFS(액션아이템!$A$3:$A$1002,$A95))</f>
        <v/>
      </c>
    </row>
    <row r="96" ht="15" customHeight="1" s="41">
      <c r="A96" s="52" t="str">
        <f>IF($B96="","",TEXT($B96,"yymmdd")&amp;"-"&amp;TEXT(COUNTIFS($B$3:$B96,$B96),"0"))</f>
        <v/>
      </c>
      <c r="B96" s="53" t="n"/>
      <c r="C96" s="50" t="n"/>
      <c r="D96" s="50" t="n"/>
      <c r="E96" s="49" t="n"/>
      <c r="F96" s="50" t="n"/>
      <c r="G96" s="50" t="n"/>
      <c r="H96" s="50" t="n"/>
      <c r="I96" s="52" t="str">
        <f>IF($A96="","",COUNTIFS(액션아이템!$A$3:$A$1002,$A96))</f>
        <v/>
      </c>
    </row>
    <row r="97" ht="15" customHeight="1" s="41">
      <c r="A97" s="52" t="str">
        <f>IF($B97="","",TEXT($B97,"yymmdd")&amp;"-"&amp;TEXT(COUNTIFS($B$3:$B97,$B97),"0"))</f>
        <v/>
      </c>
      <c r="B97" s="53" t="n"/>
      <c r="C97" s="50" t="n"/>
      <c r="D97" s="50" t="n"/>
      <c r="E97" s="49" t="n"/>
      <c r="F97" s="50" t="n"/>
      <c r="G97" s="50" t="n"/>
      <c r="H97" s="50" t="n"/>
      <c r="I97" s="52" t="str">
        <f>IF($A97="","",COUNTIFS(액션아이템!$A$3:$A$1002,$A97))</f>
        <v/>
      </c>
    </row>
    <row r="98" ht="15" customHeight="1" s="41">
      <c r="A98" s="52" t="str">
        <f>IF($B98="","",TEXT($B98,"yymmdd")&amp;"-"&amp;TEXT(COUNTIFS($B$3:$B98,$B98),"0"))</f>
        <v/>
      </c>
      <c r="B98" s="53" t="n"/>
      <c r="C98" s="50" t="n"/>
      <c r="D98" s="50" t="n"/>
      <c r="E98" s="49" t="n"/>
      <c r="F98" s="50" t="n"/>
      <c r="G98" s="50" t="n"/>
      <c r="H98" s="50" t="n"/>
      <c r="I98" s="52" t="str">
        <f>IF($A98="","",COUNTIFS(액션아이템!$A$3:$A$1002,$A98))</f>
        <v/>
      </c>
    </row>
    <row r="99" ht="15" customHeight="1" s="41">
      <c r="A99" s="52" t="str">
        <f>IF($B99="","",TEXT($B99,"yymmdd")&amp;"-"&amp;TEXT(COUNTIFS($B$3:$B99,$B99),"0"))</f>
        <v/>
      </c>
      <c r="B99" s="53" t="n"/>
      <c r="C99" s="50" t="n"/>
      <c r="D99" s="50" t="n"/>
      <c r="E99" s="49" t="n"/>
      <c r="F99" s="50" t="n"/>
      <c r="G99" s="50" t="n"/>
      <c r="H99" s="50" t="n"/>
      <c r="I99" s="52" t="str">
        <f>IF($A99="","",COUNTIFS(액션아이템!$A$3:$A$1002,$A99))</f>
        <v/>
      </c>
    </row>
    <row r="100" ht="15" customHeight="1" s="41">
      <c r="A100" s="52" t="str">
        <f>IF($B100="","",TEXT($B100,"yymmdd")&amp;"-"&amp;TEXT(COUNTIFS($B$3:$B100,$B100),"0"))</f>
        <v/>
      </c>
      <c r="B100" s="53" t="n"/>
      <c r="C100" s="50" t="n"/>
      <c r="D100" s="50" t="n"/>
      <c r="E100" s="49" t="n"/>
      <c r="F100" s="50" t="n"/>
      <c r="G100" s="50" t="n"/>
      <c r="H100" s="50" t="n"/>
      <c r="I100" s="52" t="str">
        <f>IF($A100="","",COUNTIFS(액션아이템!$A$3:$A$1002,$A100))</f>
        <v/>
      </c>
    </row>
    <row r="101" ht="15" customHeight="1" s="41">
      <c r="A101" s="52" t="str">
        <f>IF($B101="","",TEXT($B101,"yymmdd")&amp;"-"&amp;TEXT(COUNTIFS($B$3:$B101,$B101),"0"))</f>
        <v/>
      </c>
      <c r="B101" s="53" t="n"/>
      <c r="C101" s="50" t="n"/>
      <c r="D101" s="50" t="n"/>
      <c r="E101" s="49" t="n"/>
      <c r="F101" s="50" t="n"/>
      <c r="G101" s="50" t="n"/>
      <c r="H101" s="50" t="n"/>
      <c r="I101" s="52" t="str">
        <f>IF($A101="","",COUNTIFS(액션아이템!$A$3:$A$1002,$A101))</f>
        <v/>
      </c>
    </row>
    <row r="102" ht="15" customHeight="1" s="41">
      <c r="A102" s="52" t="str">
        <f>IF($B102="","",TEXT($B102,"yymmdd")&amp;"-"&amp;TEXT(COUNTIFS($B$3:$B102,$B102),"0"))</f>
        <v/>
      </c>
      <c r="B102" s="53" t="n"/>
      <c r="C102" s="50" t="n"/>
      <c r="D102" s="50" t="n"/>
      <c r="E102" s="49" t="n"/>
      <c r="F102" s="50" t="n"/>
      <c r="G102" s="50" t="n"/>
      <c r="H102" s="50" t="n"/>
      <c r="I102" s="52" t="str">
        <f>IF($A102="","",COUNTIFS(액션아이템!$A$3:$A$1002,$A102))</f>
        <v/>
      </c>
    </row>
    <row r="103" ht="15" customHeight="1" s="41">
      <c r="A103" s="52" t="str">
        <f>IF($B103="","",TEXT($B103,"yymmdd")&amp;"-"&amp;TEXT(COUNTIFS($B$3:$B103,$B103),"0"))</f>
        <v/>
      </c>
      <c r="B103" s="53" t="n"/>
      <c r="C103" s="50" t="n"/>
      <c r="D103" s="50" t="n"/>
      <c r="E103" s="49" t="n"/>
      <c r="F103" s="50" t="n"/>
      <c r="G103" s="50" t="n"/>
      <c r="H103" s="50" t="n"/>
      <c r="I103" s="52" t="str">
        <f>IF($A103="","",COUNTIFS(액션아이템!$A$3:$A$1002,$A103))</f>
        <v/>
      </c>
    </row>
    <row r="104" ht="15" customHeight="1" s="41">
      <c r="A104" s="52" t="str">
        <f>IF($B104="","",TEXT($B104,"yymmdd")&amp;"-"&amp;TEXT(COUNTIFS($B$3:$B104,$B104),"0"))</f>
        <v/>
      </c>
      <c r="B104" s="53" t="n"/>
      <c r="C104" s="50" t="n"/>
      <c r="D104" s="50" t="n"/>
      <c r="E104" s="49" t="n"/>
      <c r="F104" s="50" t="n"/>
      <c r="G104" s="50" t="n"/>
      <c r="H104" s="50" t="n"/>
      <c r="I104" s="52" t="str">
        <f>IF($A104="","",COUNTIFS(액션아이템!$A$3:$A$1002,$A104))</f>
        <v/>
      </c>
    </row>
    <row r="105" ht="15" customHeight="1" s="41">
      <c r="A105" s="52" t="str">
        <f>IF($B105="","",TEXT($B105,"yymmdd")&amp;"-"&amp;TEXT(COUNTIFS($B$3:$B105,$B105),"0"))</f>
        <v/>
      </c>
      <c r="B105" s="53" t="n"/>
      <c r="C105" s="50" t="n"/>
      <c r="D105" s="50" t="n"/>
      <c r="E105" s="49" t="n"/>
      <c r="F105" s="50" t="n"/>
      <c r="G105" s="50" t="n"/>
      <c r="H105" s="50" t="n"/>
      <c r="I105" s="52" t="str">
        <f>IF($A105="","",COUNTIFS(액션아이템!$A$3:$A$1002,$A105))</f>
        <v/>
      </c>
    </row>
    <row r="106" ht="15" customHeight="1" s="41">
      <c r="A106" s="52" t="str">
        <f>IF($B106="","",TEXT($B106,"yymmdd")&amp;"-"&amp;TEXT(COUNTIFS($B$3:$B106,$B106),"0"))</f>
        <v/>
      </c>
      <c r="B106" s="53" t="n"/>
      <c r="C106" s="50" t="n"/>
      <c r="D106" s="50" t="n"/>
      <c r="E106" s="49" t="n"/>
      <c r="F106" s="50" t="n"/>
      <c r="G106" s="50" t="n"/>
      <c r="H106" s="50" t="n"/>
      <c r="I106" s="52" t="str">
        <f>IF($A106="","",COUNTIFS(액션아이템!$A$3:$A$1002,$A106))</f>
        <v/>
      </c>
    </row>
    <row r="107" ht="15" customHeight="1" s="41">
      <c r="A107" s="52" t="str">
        <f>IF($B107="","",TEXT($B107,"yymmdd")&amp;"-"&amp;TEXT(COUNTIFS($B$3:$B107,$B107),"0"))</f>
        <v/>
      </c>
      <c r="B107" s="53" t="n"/>
      <c r="C107" s="50" t="n"/>
      <c r="D107" s="50" t="n"/>
      <c r="E107" s="49" t="n"/>
      <c r="F107" s="50" t="n"/>
      <c r="G107" s="50" t="n"/>
      <c r="H107" s="50" t="n"/>
      <c r="I107" s="52" t="str">
        <f>IF($A107="","",COUNTIFS(액션아이템!$A$3:$A$1002,$A107))</f>
        <v/>
      </c>
    </row>
    <row r="108" ht="15" customHeight="1" s="41">
      <c r="A108" s="52" t="str">
        <f>IF($B108="","",TEXT($B108,"yymmdd")&amp;"-"&amp;TEXT(COUNTIFS($B$3:$B108,$B108),"0"))</f>
        <v/>
      </c>
      <c r="B108" s="53" t="n"/>
      <c r="C108" s="50" t="n"/>
      <c r="D108" s="50" t="n"/>
      <c r="E108" s="49" t="n"/>
      <c r="F108" s="50" t="n"/>
      <c r="G108" s="50" t="n"/>
      <c r="H108" s="50" t="n"/>
      <c r="I108" s="52" t="str">
        <f>IF($A108="","",COUNTIFS(액션아이템!$A$3:$A$1002,$A108))</f>
        <v/>
      </c>
    </row>
    <row r="109" ht="15" customHeight="1" s="41">
      <c r="A109" s="52" t="str">
        <f>IF($B109="","",TEXT($B109,"yymmdd")&amp;"-"&amp;TEXT(COUNTIFS($B$3:$B109,$B109),"0"))</f>
        <v/>
      </c>
      <c r="B109" s="53" t="n"/>
      <c r="C109" s="50" t="n"/>
      <c r="D109" s="50" t="n"/>
      <c r="E109" s="49" t="n"/>
      <c r="F109" s="50" t="n"/>
      <c r="G109" s="50" t="n"/>
      <c r="H109" s="50" t="n"/>
      <c r="I109" s="52" t="str">
        <f>IF($A109="","",COUNTIFS(액션아이템!$A$3:$A$1002,$A109))</f>
        <v/>
      </c>
    </row>
    <row r="110" ht="15" customHeight="1" s="41">
      <c r="A110" s="52" t="str">
        <f>IF($B110="","",TEXT($B110,"yymmdd")&amp;"-"&amp;TEXT(COUNTIFS($B$3:$B110,$B110),"0"))</f>
        <v/>
      </c>
      <c r="B110" s="53" t="n"/>
      <c r="C110" s="50" t="n"/>
      <c r="D110" s="50" t="n"/>
      <c r="E110" s="49" t="n"/>
      <c r="F110" s="50" t="n"/>
      <c r="G110" s="50" t="n"/>
      <c r="H110" s="50" t="n"/>
      <c r="I110" s="52" t="str">
        <f>IF($A110="","",COUNTIFS(액션아이템!$A$3:$A$1002,$A110))</f>
        <v/>
      </c>
    </row>
    <row r="111" ht="15" customHeight="1" s="41">
      <c r="A111" s="52" t="str">
        <f>IF($B111="","",TEXT($B111,"yymmdd")&amp;"-"&amp;TEXT(COUNTIFS($B$3:$B111,$B111),"0"))</f>
        <v/>
      </c>
      <c r="B111" s="53" t="n"/>
      <c r="C111" s="50" t="n"/>
      <c r="D111" s="50" t="n"/>
      <c r="E111" s="49" t="n"/>
      <c r="F111" s="50" t="n"/>
      <c r="G111" s="50" t="n"/>
      <c r="H111" s="50" t="n"/>
      <c r="I111" s="52" t="str">
        <f>IF($A111="","",COUNTIFS(액션아이템!$A$3:$A$1002,$A111))</f>
        <v/>
      </c>
    </row>
    <row r="112" ht="15" customHeight="1" s="41">
      <c r="A112" s="52" t="str">
        <f>IF($B112="","",TEXT($B112,"yymmdd")&amp;"-"&amp;TEXT(COUNTIFS($B$3:$B112,$B112),"0"))</f>
        <v/>
      </c>
      <c r="B112" s="53" t="n"/>
      <c r="C112" s="50" t="n"/>
      <c r="D112" s="50" t="n"/>
      <c r="E112" s="49" t="n"/>
      <c r="F112" s="50" t="n"/>
      <c r="G112" s="50" t="n"/>
      <c r="H112" s="50" t="n"/>
      <c r="I112" s="52" t="str">
        <f>IF($A112="","",COUNTIFS(액션아이템!$A$3:$A$1002,$A112))</f>
        <v/>
      </c>
    </row>
    <row r="113" ht="15" customHeight="1" s="41">
      <c r="A113" s="52" t="str">
        <f>IF($B113="","",TEXT($B113,"yymmdd")&amp;"-"&amp;TEXT(COUNTIFS($B$3:$B113,$B113),"0"))</f>
        <v/>
      </c>
      <c r="B113" s="53" t="n"/>
      <c r="C113" s="50" t="n"/>
      <c r="D113" s="50" t="n"/>
      <c r="E113" s="49" t="n"/>
      <c r="F113" s="50" t="n"/>
      <c r="G113" s="50" t="n"/>
      <c r="H113" s="50" t="n"/>
      <c r="I113" s="52" t="str">
        <f>IF($A113="","",COUNTIFS(액션아이템!$A$3:$A$1002,$A113))</f>
        <v/>
      </c>
    </row>
    <row r="114" ht="15" customHeight="1" s="41">
      <c r="A114" s="52" t="str">
        <f>IF($B114="","",TEXT($B114,"yymmdd")&amp;"-"&amp;TEXT(COUNTIFS($B$3:$B114,$B114),"0"))</f>
        <v/>
      </c>
      <c r="B114" s="53" t="n"/>
      <c r="C114" s="50" t="n"/>
      <c r="D114" s="50" t="n"/>
      <c r="E114" s="49" t="n"/>
      <c r="F114" s="50" t="n"/>
      <c r="G114" s="50" t="n"/>
      <c r="H114" s="50" t="n"/>
      <c r="I114" s="52" t="str">
        <f>IF($A114="","",COUNTIFS(액션아이템!$A$3:$A$1002,$A114))</f>
        <v/>
      </c>
    </row>
    <row r="115" ht="15" customHeight="1" s="41">
      <c r="A115" s="52" t="str">
        <f>IF($B115="","",TEXT($B115,"yymmdd")&amp;"-"&amp;TEXT(COUNTIFS($B$3:$B115,$B115),"0"))</f>
        <v/>
      </c>
      <c r="B115" s="53" t="n"/>
      <c r="C115" s="50" t="n"/>
      <c r="D115" s="50" t="n"/>
      <c r="E115" s="49" t="n"/>
      <c r="F115" s="50" t="n"/>
      <c r="G115" s="50" t="n"/>
      <c r="H115" s="50" t="n"/>
      <c r="I115" s="52" t="str">
        <f>IF($A115="","",COUNTIFS(액션아이템!$A$3:$A$1002,$A115))</f>
        <v/>
      </c>
    </row>
    <row r="116" ht="15" customHeight="1" s="41">
      <c r="A116" s="52" t="str">
        <f>IF($B116="","",TEXT($B116,"yymmdd")&amp;"-"&amp;TEXT(COUNTIFS($B$3:$B116,$B116),"0"))</f>
        <v/>
      </c>
      <c r="B116" s="53" t="n"/>
      <c r="C116" s="50" t="n"/>
      <c r="D116" s="50" t="n"/>
      <c r="E116" s="49" t="n"/>
      <c r="F116" s="50" t="n"/>
      <c r="G116" s="50" t="n"/>
      <c r="H116" s="50" t="n"/>
      <c r="I116" s="52" t="str">
        <f>IF($A116="","",COUNTIFS(액션아이템!$A$3:$A$1002,$A116))</f>
        <v/>
      </c>
    </row>
    <row r="117" ht="15" customHeight="1" s="41">
      <c r="A117" s="52" t="str">
        <f>IF($B117="","",TEXT($B117,"yymmdd")&amp;"-"&amp;TEXT(COUNTIFS($B$3:$B117,$B117),"0"))</f>
        <v/>
      </c>
      <c r="B117" s="53" t="n"/>
      <c r="C117" s="50" t="n"/>
      <c r="D117" s="50" t="n"/>
      <c r="E117" s="49" t="n"/>
      <c r="F117" s="50" t="n"/>
      <c r="G117" s="50" t="n"/>
      <c r="H117" s="50" t="n"/>
      <c r="I117" s="52" t="str">
        <f>IF($A117="","",COUNTIFS(액션아이템!$A$3:$A$1002,$A117))</f>
        <v/>
      </c>
    </row>
    <row r="118" ht="15" customHeight="1" s="41">
      <c r="A118" s="52" t="str">
        <f>IF($B118="","",TEXT($B118,"yymmdd")&amp;"-"&amp;TEXT(COUNTIFS($B$3:$B118,$B118),"0"))</f>
        <v/>
      </c>
      <c r="B118" s="53" t="n"/>
      <c r="C118" s="50" t="n"/>
      <c r="D118" s="50" t="n"/>
      <c r="E118" s="49" t="n"/>
      <c r="F118" s="50" t="n"/>
      <c r="G118" s="50" t="n"/>
      <c r="H118" s="50" t="n"/>
      <c r="I118" s="52" t="str">
        <f>IF($A118="","",COUNTIFS(액션아이템!$A$3:$A$1002,$A118))</f>
        <v/>
      </c>
    </row>
    <row r="119" ht="15" customHeight="1" s="41">
      <c r="A119" s="52" t="str">
        <f>IF($B119="","",TEXT($B119,"yymmdd")&amp;"-"&amp;TEXT(COUNTIFS($B$3:$B119,$B119),"0"))</f>
        <v/>
      </c>
      <c r="B119" s="53" t="n"/>
      <c r="C119" s="50" t="n"/>
      <c r="D119" s="50" t="n"/>
      <c r="E119" s="49" t="n"/>
      <c r="F119" s="50" t="n"/>
      <c r="G119" s="50" t="n"/>
      <c r="H119" s="50" t="n"/>
      <c r="I119" s="52" t="str">
        <f>IF($A119="","",COUNTIFS(액션아이템!$A$3:$A$1002,$A119))</f>
        <v/>
      </c>
    </row>
    <row r="120" ht="15" customHeight="1" s="41">
      <c r="A120" s="52" t="str">
        <f>IF($B120="","",TEXT($B120,"yymmdd")&amp;"-"&amp;TEXT(COUNTIFS($B$3:$B120,$B120),"0"))</f>
        <v/>
      </c>
      <c r="B120" s="53" t="n"/>
      <c r="C120" s="50" t="n"/>
      <c r="D120" s="50" t="n"/>
      <c r="E120" s="49" t="n"/>
      <c r="F120" s="50" t="n"/>
      <c r="G120" s="50" t="n"/>
      <c r="H120" s="50" t="n"/>
      <c r="I120" s="52" t="str">
        <f>IF($A120="","",COUNTIFS(액션아이템!$A$3:$A$1002,$A120))</f>
        <v/>
      </c>
    </row>
    <row r="121" ht="15" customHeight="1" s="41">
      <c r="A121" s="52" t="str">
        <f>IF($B121="","",TEXT($B121,"yymmdd")&amp;"-"&amp;TEXT(COUNTIFS($B$3:$B121,$B121),"0"))</f>
        <v/>
      </c>
      <c r="B121" s="53" t="n"/>
      <c r="C121" s="50" t="n"/>
      <c r="D121" s="50" t="n"/>
      <c r="E121" s="49" t="n"/>
      <c r="F121" s="50" t="n"/>
      <c r="G121" s="50" t="n"/>
      <c r="H121" s="50" t="n"/>
      <c r="I121" s="52" t="str">
        <f>IF($A121="","",COUNTIFS(액션아이템!$A$3:$A$1002,$A121))</f>
        <v/>
      </c>
    </row>
    <row r="122" ht="15" customHeight="1" s="41">
      <c r="A122" s="52" t="str">
        <f>IF($B122="","",TEXT($B122,"yymmdd")&amp;"-"&amp;TEXT(COUNTIFS($B$3:$B122,$B122),"0"))</f>
        <v/>
      </c>
      <c r="B122" s="53" t="n"/>
      <c r="C122" s="50" t="n"/>
      <c r="D122" s="50" t="n"/>
      <c r="E122" s="49" t="n"/>
      <c r="F122" s="50" t="n"/>
      <c r="G122" s="50" t="n"/>
      <c r="H122" s="50" t="n"/>
      <c r="I122" s="52" t="str">
        <f>IF($A122="","",COUNTIFS(액션아이템!$A$3:$A$1002,$A122))</f>
        <v/>
      </c>
    </row>
    <row r="123" ht="15" customHeight="1" s="41">
      <c r="A123" s="52" t="str">
        <f>IF($B123="","",TEXT($B123,"yymmdd")&amp;"-"&amp;TEXT(COUNTIFS($B$3:$B123,$B123),"0"))</f>
        <v/>
      </c>
      <c r="B123" s="53" t="n"/>
      <c r="C123" s="50" t="n"/>
      <c r="D123" s="50" t="n"/>
      <c r="E123" s="49" t="n"/>
      <c r="F123" s="50" t="n"/>
      <c r="G123" s="50" t="n"/>
      <c r="H123" s="50" t="n"/>
      <c r="I123" s="52" t="str">
        <f>IF($A123="","",COUNTIFS(액션아이템!$A$3:$A$1002,$A123))</f>
        <v/>
      </c>
    </row>
    <row r="124" ht="15" customHeight="1" s="41">
      <c r="A124" s="52" t="str">
        <f>IF($B124="","",TEXT($B124,"yymmdd")&amp;"-"&amp;TEXT(COUNTIFS($B$3:$B124,$B124),"0"))</f>
        <v/>
      </c>
      <c r="B124" s="53" t="n"/>
      <c r="C124" s="50" t="n"/>
      <c r="D124" s="50" t="n"/>
      <c r="E124" s="49" t="n"/>
      <c r="F124" s="50" t="n"/>
      <c r="G124" s="50" t="n"/>
      <c r="H124" s="50" t="n"/>
      <c r="I124" s="52" t="str">
        <f>IF($A124="","",COUNTIFS(액션아이템!$A$3:$A$1002,$A124))</f>
        <v/>
      </c>
    </row>
    <row r="125" ht="15" customHeight="1" s="41">
      <c r="A125" s="52" t="str">
        <f>IF($B125="","",TEXT($B125,"yymmdd")&amp;"-"&amp;TEXT(COUNTIFS($B$3:$B125,$B125),"0"))</f>
        <v/>
      </c>
      <c r="B125" s="53" t="n"/>
      <c r="C125" s="50" t="n"/>
      <c r="D125" s="50" t="n"/>
      <c r="E125" s="49" t="n"/>
      <c r="F125" s="50" t="n"/>
      <c r="G125" s="50" t="n"/>
      <c r="H125" s="50" t="n"/>
      <c r="I125" s="52" t="str">
        <f>IF($A125="","",COUNTIFS(액션아이템!$A$3:$A$1002,$A125))</f>
        <v/>
      </c>
    </row>
    <row r="126" ht="15" customHeight="1" s="41">
      <c r="A126" s="52" t="str">
        <f>IF($B126="","",TEXT($B126,"yymmdd")&amp;"-"&amp;TEXT(COUNTIFS($B$3:$B126,$B126),"0"))</f>
        <v/>
      </c>
      <c r="B126" s="53" t="n"/>
      <c r="C126" s="50" t="n"/>
      <c r="D126" s="50" t="n"/>
      <c r="E126" s="49" t="n"/>
      <c r="F126" s="50" t="n"/>
      <c r="G126" s="50" t="n"/>
      <c r="H126" s="50" t="n"/>
      <c r="I126" s="52" t="str">
        <f>IF($A126="","",COUNTIFS(액션아이템!$A$3:$A$1002,$A126))</f>
        <v/>
      </c>
    </row>
    <row r="127" ht="15" customHeight="1" s="41">
      <c r="A127" s="52" t="str">
        <f>IF($B127="","",TEXT($B127,"yymmdd")&amp;"-"&amp;TEXT(COUNTIFS($B$3:$B127,$B127),"0"))</f>
        <v/>
      </c>
      <c r="B127" s="53" t="n"/>
      <c r="C127" s="50" t="n"/>
      <c r="D127" s="50" t="n"/>
      <c r="E127" s="49" t="n"/>
      <c r="F127" s="50" t="n"/>
      <c r="G127" s="50" t="n"/>
      <c r="H127" s="50" t="n"/>
      <c r="I127" s="52" t="str">
        <f>IF($A127="","",COUNTIFS(액션아이템!$A$3:$A$1002,$A127))</f>
        <v/>
      </c>
    </row>
    <row r="128" ht="15" customHeight="1" s="41">
      <c r="A128" s="52" t="str">
        <f>IF($B128="","",TEXT($B128,"yymmdd")&amp;"-"&amp;TEXT(COUNTIFS($B$3:$B128,$B128),"0"))</f>
        <v/>
      </c>
      <c r="B128" s="53" t="n"/>
      <c r="C128" s="50" t="n"/>
      <c r="D128" s="50" t="n"/>
      <c r="E128" s="49" t="n"/>
      <c r="F128" s="50" t="n"/>
      <c r="G128" s="50" t="n"/>
      <c r="H128" s="50" t="n"/>
      <c r="I128" s="52" t="str">
        <f>IF($A128="","",COUNTIFS(액션아이템!$A$3:$A$1002,$A128))</f>
        <v/>
      </c>
    </row>
    <row r="129" ht="15" customHeight="1" s="41">
      <c r="A129" s="52" t="str">
        <f>IF($B129="","",TEXT($B129,"yymmdd")&amp;"-"&amp;TEXT(COUNTIFS($B$3:$B129,$B129),"0"))</f>
        <v/>
      </c>
      <c r="B129" s="53" t="n"/>
      <c r="C129" s="50" t="n"/>
      <c r="D129" s="50" t="n"/>
      <c r="E129" s="49" t="n"/>
      <c r="F129" s="50" t="n"/>
      <c r="G129" s="50" t="n"/>
      <c r="H129" s="50" t="n"/>
      <c r="I129" s="52" t="str">
        <f>IF($A129="","",COUNTIFS(액션아이템!$A$3:$A$1002,$A129))</f>
        <v/>
      </c>
    </row>
    <row r="130" ht="15" customHeight="1" s="41">
      <c r="A130" s="52" t="str">
        <f>IF($B130="","",TEXT($B130,"yymmdd")&amp;"-"&amp;TEXT(COUNTIFS($B$3:$B130,$B130),"0"))</f>
        <v/>
      </c>
      <c r="B130" s="53" t="n"/>
      <c r="C130" s="50" t="n"/>
      <c r="D130" s="50" t="n"/>
      <c r="E130" s="49" t="n"/>
      <c r="F130" s="50" t="n"/>
      <c r="G130" s="50" t="n"/>
      <c r="H130" s="50" t="n"/>
      <c r="I130" s="52" t="str">
        <f>IF($A130="","",COUNTIFS(액션아이템!$A$3:$A$1002,$A130))</f>
        <v/>
      </c>
    </row>
    <row r="131" ht="15" customHeight="1" s="41">
      <c r="A131" s="52" t="str">
        <f>IF($B131="","",TEXT($B131,"yymmdd")&amp;"-"&amp;TEXT(COUNTIFS($B$3:$B131,$B131),"0"))</f>
        <v/>
      </c>
      <c r="B131" s="53" t="n"/>
      <c r="C131" s="50" t="n"/>
      <c r="D131" s="50" t="n"/>
      <c r="E131" s="49" t="n"/>
      <c r="F131" s="50" t="n"/>
      <c r="G131" s="50" t="n"/>
      <c r="H131" s="50" t="n"/>
      <c r="I131" s="52" t="str">
        <f>IF($A131="","",COUNTIFS(액션아이템!$A$3:$A$1002,$A131))</f>
        <v/>
      </c>
    </row>
    <row r="132" ht="15" customHeight="1" s="41">
      <c r="A132" s="52" t="str">
        <f>IF($B132="","",TEXT($B132,"yymmdd")&amp;"-"&amp;TEXT(COUNTIFS($B$3:$B132,$B132),"0"))</f>
        <v/>
      </c>
      <c r="B132" s="53" t="n"/>
      <c r="C132" s="50" t="n"/>
      <c r="D132" s="50" t="n"/>
      <c r="E132" s="49" t="n"/>
      <c r="F132" s="50" t="n"/>
      <c r="G132" s="50" t="n"/>
      <c r="H132" s="50" t="n"/>
      <c r="I132" s="52" t="str">
        <f>IF($A132="","",COUNTIFS(액션아이템!$A$3:$A$1002,$A132))</f>
        <v/>
      </c>
    </row>
    <row r="133" ht="15" customHeight="1" s="41">
      <c r="A133" s="52" t="str">
        <f>IF($B133="","",TEXT($B133,"yymmdd")&amp;"-"&amp;TEXT(COUNTIFS($B$3:$B133,$B133),"0"))</f>
        <v/>
      </c>
      <c r="B133" s="53" t="n"/>
      <c r="C133" s="50" t="n"/>
      <c r="D133" s="50" t="n"/>
      <c r="E133" s="49" t="n"/>
      <c r="F133" s="50" t="n"/>
      <c r="G133" s="50" t="n"/>
      <c r="H133" s="50" t="n"/>
      <c r="I133" s="52" t="str">
        <f>IF($A133="","",COUNTIFS(액션아이템!$A$3:$A$1002,$A133))</f>
        <v/>
      </c>
    </row>
    <row r="134" ht="15" customHeight="1" s="41">
      <c r="A134" s="52" t="str">
        <f>IF($B134="","",TEXT($B134,"yymmdd")&amp;"-"&amp;TEXT(COUNTIFS($B$3:$B134,$B134),"0"))</f>
        <v/>
      </c>
      <c r="B134" s="53" t="n"/>
      <c r="C134" s="50" t="n"/>
      <c r="D134" s="50" t="n"/>
      <c r="E134" s="49" t="n"/>
      <c r="F134" s="50" t="n"/>
      <c r="G134" s="50" t="n"/>
      <c r="H134" s="50" t="n"/>
      <c r="I134" s="52" t="str">
        <f>IF($A134="","",COUNTIFS(액션아이템!$A$3:$A$1002,$A134))</f>
        <v/>
      </c>
    </row>
    <row r="135" ht="15" customHeight="1" s="41">
      <c r="A135" s="52" t="str">
        <f>IF($B135="","",TEXT($B135,"yymmdd")&amp;"-"&amp;TEXT(COUNTIFS($B$3:$B135,$B135),"0"))</f>
        <v/>
      </c>
      <c r="B135" s="53" t="n"/>
      <c r="C135" s="50" t="n"/>
      <c r="D135" s="50" t="n"/>
      <c r="E135" s="49" t="n"/>
      <c r="F135" s="50" t="n"/>
      <c r="G135" s="50" t="n"/>
      <c r="H135" s="50" t="n"/>
      <c r="I135" s="52" t="str">
        <f>IF($A135="","",COUNTIFS(액션아이템!$A$3:$A$1002,$A135))</f>
        <v/>
      </c>
    </row>
    <row r="136" ht="15" customHeight="1" s="41">
      <c r="A136" s="52" t="str">
        <f>IF($B136="","",TEXT($B136,"yymmdd")&amp;"-"&amp;TEXT(COUNTIFS($B$3:$B136,$B136),"0"))</f>
        <v/>
      </c>
      <c r="B136" s="53" t="n"/>
      <c r="C136" s="50" t="n"/>
      <c r="D136" s="50" t="n"/>
      <c r="E136" s="49" t="n"/>
      <c r="F136" s="50" t="n"/>
      <c r="G136" s="50" t="n"/>
      <c r="H136" s="50" t="n"/>
      <c r="I136" s="52" t="str">
        <f>IF($A136="","",COUNTIFS(액션아이템!$A$3:$A$1002,$A136))</f>
        <v/>
      </c>
    </row>
    <row r="137" ht="15" customHeight="1" s="41">
      <c r="A137" s="52" t="str">
        <f>IF($B137="","",TEXT($B137,"yymmdd")&amp;"-"&amp;TEXT(COUNTIFS($B$3:$B137,$B137),"0"))</f>
        <v/>
      </c>
      <c r="B137" s="53" t="n"/>
      <c r="C137" s="50" t="n"/>
      <c r="D137" s="50" t="n"/>
      <c r="E137" s="49" t="n"/>
      <c r="F137" s="50" t="n"/>
      <c r="G137" s="50" t="n"/>
      <c r="H137" s="50" t="n"/>
      <c r="I137" s="52" t="str">
        <f>IF($A137="","",COUNTIFS(액션아이템!$A$3:$A$1002,$A137))</f>
        <v/>
      </c>
    </row>
    <row r="138" ht="15" customHeight="1" s="41">
      <c r="A138" s="52" t="str">
        <f>IF($B138="","",TEXT($B138,"yymmdd")&amp;"-"&amp;TEXT(COUNTIFS($B$3:$B138,$B138),"0"))</f>
        <v/>
      </c>
      <c r="B138" s="53" t="n"/>
      <c r="C138" s="50" t="n"/>
      <c r="D138" s="50" t="n"/>
      <c r="E138" s="49" t="n"/>
      <c r="F138" s="50" t="n"/>
      <c r="G138" s="50" t="n"/>
      <c r="H138" s="50" t="n"/>
      <c r="I138" s="52" t="str">
        <f>IF($A138="","",COUNTIFS(액션아이템!$A$3:$A$1002,$A138))</f>
        <v/>
      </c>
    </row>
    <row r="139" ht="15" customHeight="1" s="41">
      <c r="A139" s="52" t="str">
        <f>IF($B139="","",TEXT($B139,"yymmdd")&amp;"-"&amp;TEXT(COUNTIFS($B$3:$B139,$B139),"0"))</f>
        <v/>
      </c>
      <c r="B139" s="53" t="n"/>
      <c r="C139" s="50" t="n"/>
      <c r="D139" s="50" t="n"/>
      <c r="E139" s="49" t="n"/>
      <c r="F139" s="50" t="n"/>
      <c r="G139" s="50" t="n"/>
      <c r="H139" s="50" t="n"/>
      <c r="I139" s="52" t="str">
        <f>IF($A139="","",COUNTIFS(액션아이템!$A$3:$A$1002,$A139))</f>
        <v/>
      </c>
    </row>
    <row r="140" ht="15" customHeight="1" s="41">
      <c r="A140" s="52" t="str">
        <f>IF($B140="","",TEXT($B140,"yymmdd")&amp;"-"&amp;TEXT(COUNTIFS($B$3:$B140,$B140),"0"))</f>
        <v/>
      </c>
      <c r="B140" s="53" t="n"/>
      <c r="C140" s="50" t="n"/>
      <c r="D140" s="50" t="n"/>
      <c r="E140" s="49" t="n"/>
      <c r="F140" s="50" t="n"/>
      <c r="G140" s="50" t="n"/>
      <c r="H140" s="50" t="n"/>
      <c r="I140" s="52" t="str">
        <f>IF($A140="","",COUNTIFS(액션아이템!$A$3:$A$1002,$A140))</f>
        <v/>
      </c>
    </row>
    <row r="141" ht="15" customHeight="1" s="41">
      <c r="A141" s="52" t="str">
        <f>IF($B141="","",TEXT($B141,"yymmdd")&amp;"-"&amp;TEXT(COUNTIFS($B$3:$B141,$B141),"0"))</f>
        <v/>
      </c>
      <c r="B141" s="53" t="n"/>
      <c r="C141" s="50" t="n"/>
      <c r="D141" s="50" t="n"/>
      <c r="E141" s="49" t="n"/>
      <c r="F141" s="50" t="n"/>
      <c r="G141" s="50" t="n"/>
      <c r="H141" s="50" t="n"/>
      <c r="I141" s="52" t="str">
        <f>IF($A141="","",COUNTIFS(액션아이템!$A$3:$A$1002,$A141))</f>
        <v/>
      </c>
    </row>
    <row r="142" ht="15" customHeight="1" s="41">
      <c r="A142" s="52" t="str">
        <f>IF($B142="","",TEXT($B142,"yymmdd")&amp;"-"&amp;TEXT(COUNTIFS($B$3:$B142,$B142),"0"))</f>
        <v/>
      </c>
      <c r="B142" s="53" t="n"/>
      <c r="C142" s="50" t="n"/>
      <c r="D142" s="50" t="n"/>
      <c r="E142" s="49" t="n"/>
      <c r="F142" s="50" t="n"/>
      <c r="G142" s="50" t="n"/>
      <c r="H142" s="50" t="n"/>
      <c r="I142" s="52" t="str">
        <f>IF($A142="","",COUNTIFS(액션아이템!$A$3:$A$1002,$A142))</f>
        <v/>
      </c>
    </row>
    <row r="143" ht="15" customHeight="1" s="41">
      <c r="A143" s="52" t="str">
        <f>IF($B143="","",TEXT($B143,"yymmdd")&amp;"-"&amp;TEXT(COUNTIFS($B$3:$B143,$B143),"0"))</f>
        <v/>
      </c>
      <c r="B143" s="53" t="n"/>
      <c r="C143" s="50" t="n"/>
      <c r="D143" s="50" t="n"/>
      <c r="E143" s="49" t="n"/>
      <c r="F143" s="50" t="n"/>
      <c r="G143" s="50" t="n"/>
      <c r="H143" s="50" t="n"/>
      <c r="I143" s="52" t="str">
        <f>IF($A143="","",COUNTIFS(액션아이템!$A$3:$A$1002,$A143))</f>
        <v/>
      </c>
    </row>
    <row r="144" ht="15" customHeight="1" s="41">
      <c r="A144" s="52" t="str">
        <f>IF($B144="","",TEXT($B144,"yymmdd")&amp;"-"&amp;TEXT(COUNTIFS($B$3:$B144,$B144),"0"))</f>
        <v/>
      </c>
      <c r="B144" s="53" t="n"/>
      <c r="C144" s="50" t="n"/>
      <c r="D144" s="50" t="n"/>
      <c r="E144" s="49" t="n"/>
      <c r="F144" s="50" t="n"/>
      <c r="G144" s="50" t="n"/>
      <c r="H144" s="50" t="n"/>
      <c r="I144" s="52" t="str">
        <f>IF($A144="","",COUNTIFS(액션아이템!$A$3:$A$1002,$A144))</f>
        <v/>
      </c>
    </row>
    <row r="145" ht="15" customHeight="1" s="41">
      <c r="A145" s="52" t="str">
        <f>IF($B145="","",TEXT($B145,"yymmdd")&amp;"-"&amp;TEXT(COUNTIFS($B$3:$B145,$B145),"0"))</f>
        <v/>
      </c>
      <c r="B145" s="53" t="n"/>
      <c r="C145" s="50" t="n"/>
      <c r="D145" s="50" t="n"/>
      <c r="E145" s="49" t="n"/>
      <c r="F145" s="50" t="n"/>
      <c r="G145" s="50" t="n"/>
      <c r="H145" s="50" t="n"/>
      <c r="I145" s="52" t="str">
        <f>IF($A145="","",COUNTIFS(액션아이템!$A$3:$A$1002,$A145))</f>
        <v/>
      </c>
    </row>
    <row r="146" ht="15" customHeight="1" s="41">
      <c r="A146" s="52" t="str">
        <f>IF($B146="","",TEXT($B146,"yymmdd")&amp;"-"&amp;TEXT(COUNTIFS($B$3:$B146,$B146),"0"))</f>
        <v/>
      </c>
      <c r="B146" s="53" t="n"/>
      <c r="C146" s="50" t="n"/>
      <c r="D146" s="50" t="n"/>
      <c r="E146" s="49" t="n"/>
      <c r="F146" s="50" t="n"/>
      <c r="G146" s="50" t="n"/>
      <c r="H146" s="50" t="n"/>
      <c r="I146" s="52" t="str">
        <f>IF($A146="","",COUNTIFS(액션아이템!$A$3:$A$1002,$A146))</f>
        <v/>
      </c>
    </row>
    <row r="147" ht="15" customHeight="1" s="41">
      <c r="A147" s="52" t="str">
        <f>IF($B147="","",TEXT($B147,"yymmdd")&amp;"-"&amp;TEXT(COUNTIFS($B$3:$B147,$B147),"0"))</f>
        <v/>
      </c>
      <c r="B147" s="53" t="n"/>
      <c r="C147" s="50" t="n"/>
      <c r="D147" s="50" t="n"/>
      <c r="E147" s="49" t="n"/>
      <c r="F147" s="50" t="n"/>
      <c r="G147" s="50" t="n"/>
      <c r="H147" s="50" t="n"/>
      <c r="I147" s="52" t="str">
        <f>IF($A147="","",COUNTIFS(액션아이템!$A$3:$A$1002,$A147))</f>
        <v/>
      </c>
    </row>
    <row r="148" ht="15" customHeight="1" s="41">
      <c r="A148" s="52" t="str">
        <f>IF($B148="","",TEXT($B148,"yymmdd")&amp;"-"&amp;TEXT(COUNTIFS($B$3:$B148,$B148),"0"))</f>
        <v/>
      </c>
      <c r="B148" s="53" t="n"/>
      <c r="C148" s="50" t="n"/>
      <c r="D148" s="50" t="n"/>
      <c r="E148" s="49" t="n"/>
      <c r="F148" s="50" t="n"/>
      <c r="G148" s="50" t="n"/>
      <c r="H148" s="50" t="n"/>
      <c r="I148" s="52" t="str">
        <f>IF($A148="","",COUNTIFS(액션아이템!$A$3:$A$1002,$A148))</f>
        <v/>
      </c>
    </row>
    <row r="149" ht="15" customHeight="1" s="41">
      <c r="A149" s="52" t="str">
        <f>IF($B149="","",TEXT($B149,"yymmdd")&amp;"-"&amp;TEXT(COUNTIFS($B$3:$B149,$B149),"0"))</f>
        <v/>
      </c>
      <c r="B149" s="53" t="n"/>
      <c r="C149" s="50" t="n"/>
      <c r="D149" s="50" t="n"/>
      <c r="E149" s="49" t="n"/>
      <c r="F149" s="50" t="n"/>
      <c r="G149" s="50" t="n"/>
      <c r="H149" s="50" t="n"/>
      <c r="I149" s="52" t="str">
        <f>IF($A149="","",COUNTIFS(액션아이템!$A$3:$A$1002,$A149))</f>
        <v/>
      </c>
    </row>
    <row r="150" ht="15" customHeight="1" s="41">
      <c r="A150" s="52" t="str">
        <f>IF($B150="","",TEXT($B150,"yymmdd")&amp;"-"&amp;TEXT(COUNTIFS($B$3:$B150,$B150),"0"))</f>
        <v/>
      </c>
      <c r="B150" s="53" t="n"/>
      <c r="C150" s="50" t="n"/>
      <c r="D150" s="50" t="n"/>
      <c r="E150" s="49" t="n"/>
      <c r="F150" s="50" t="n"/>
      <c r="G150" s="50" t="n"/>
      <c r="H150" s="50" t="n"/>
      <c r="I150" s="52" t="str">
        <f>IF($A150="","",COUNTIFS(액션아이템!$A$3:$A$1002,$A150))</f>
        <v/>
      </c>
    </row>
    <row r="151" ht="15" customHeight="1" s="41">
      <c r="A151" s="52" t="str">
        <f>IF($B151="","",TEXT($B151,"yymmdd")&amp;"-"&amp;TEXT(COUNTIFS($B$3:$B151,$B151),"0"))</f>
        <v/>
      </c>
      <c r="B151" s="53" t="n"/>
      <c r="C151" s="50" t="n"/>
      <c r="D151" s="50" t="n"/>
      <c r="E151" s="49" t="n"/>
      <c r="F151" s="50" t="n"/>
      <c r="G151" s="50" t="n"/>
      <c r="H151" s="50" t="n"/>
      <c r="I151" s="52" t="str">
        <f>IF($A151="","",COUNTIFS(액션아이템!$A$3:$A$1002,$A151))</f>
        <v/>
      </c>
    </row>
    <row r="152" ht="15" customHeight="1" s="41">
      <c r="A152" s="52" t="str">
        <f>IF($B152="","",TEXT($B152,"yymmdd")&amp;"-"&amp;TEXT(COUNTIFS($B$3:$B152,$B152),"0"))</f>
        <v/>
      </c>
      <c r="B152" s="53" t="n"/>
      <c r="C152" s="50" t="n"/>
      <c r="D152" s="50" t="n"/>
      <c r="E152" s="49" t="n"/>
      <c r="F152" s="50" t="n"/>
      <c r="G152" s="50" t="n"/>
      <c r="H152" s="50" t="n"/>
      <c r="I152" s="52" t="str">
        <f>IF($A152="","",COUNTIFS(액션아이템!$A$3:$A$1002,$A152))</f>
        <v/>
      </c>
    </row>
    <row r="153" ht="15" customHeight="1" s="41">
      <c r="A153" s="52" t="str">
        <f>IF($B153="","",TEXT($B153,"yymmdd")&amp;"-"&amp;TEXT(COUNTIFS($B$3:$B153,$B153),"0"))</f>
        <v/>
      </c>
      <c r="B153" s="53" t="n"/>
      <c r="C153" s="50" t="n"/>
      <c r="D153" s="50" t="n"/>
      <c r="E153" s="49" t="n"/>
      <c r="F153" s="50" t="n"/>
      <c r="G153" s="50" t="n"/>
      <c r="H153" s="50" t="n"/>
      <c r="I153" s="52" t="str">
        <f>IF($A153="","",COUNTIFS(액션아이템!$A$3:$A$1002,$A153))</f>
        <v/>
      </c>
    </row>
    <row r="154" ht="15" customHeight="1" s="41">
      <c r="A154" s="52" t="str">
        <f>IF($B154="","",TEXT($B154,"yymmdd")&amp;"-"&amp;TEXT(COUNTIFS($B$3:$B154,$B154),"0"))</f>
        <v/>
      </c>
      <c r="B154" s="53" t="n"/>
      <c r="C154" s="50" t="n"/>
      <c r="D154" s="50" t="n"/>
      <c r="E154" s="49" t="n"/>
      <c r="F154" s="50" t="n"/>
      <c r="G154" s="50" t="n"/>
      <c r="H154" s="50" t="n"/>
      <c r="I154" s="52" t="str">
        <f>IF($A154="","",COUNTIFS(액션아이템!$A$3:$A$1002,$A154))</f>
        <v/>
      </c>
    </row>
    <row r="155" ht="15" customHeight="1" s="41">
      <c r="A155" s="52" t="str">
        <f>IF($B155="","",TEXT($B155,"yymmdd")&amp;"-"&amp;TEXT(COUNTIFS($B$3:$B155,$B155),"0"))</f>
        <v/>
      </c>
      <c r="B155" s="53" t="n"/>
      <c r="C155" s="50" t="n"/>
      <c r="D155" s="50" t="n"/>
      <c r="E155" s="49" t="n"/>
      <c r="F155" s="50" t="n"/>
      <c r="G155" s="50" t="n"/>
      <c r="H155" s="50" t="n"/>
      <c r="I155" s="52" t="str">
        <f>IF($A155="","",COUNTIFS(액션아이템!$A$3:$A$1002,$A155))</f>
        <v/>
      </c>
    </row>
    <row r="156" ht="15" customHeight="1" s="41">
      <c r="A156" s="52" t="str">
        <f>IF($B156="","",TEXT($B156,"yymmdd")&amp;"-"&amp;TEXT(COUNTIFS($B$3:$B156,$B156),"0"))</f>
        <v/>
      </c>
      <c r="B156" s="53" t="n"/>
      <c r="C156" s="50" t="n"/>
      <c r="D156" s="50" t="n"/>
      <c r="E156" s="49" t="n"/>
      <c r="F156" s="50" t="n"/>
      <c r="G156" s="50" t="n"/>
      <c r="H156" s="50" t="n"/>
      <c r="I156" s="52" t="str">
        <f>IF($A156="","",COUNTIFS(액션아이템!$A$3:$A$1002,$A156))</f>
        <v/>
      </c>
    </row>
    <row r="157" ht="15" customHeight="1" s="41">
      <c r="A157" s="52" t="str">
        <f>IF($B157="","",TEXT($B157,"yymmdd")&amp;"-"&amp;TEXT(COUNTIFS($B$3:$B157,$B157),"0"))</f>
        <v/>
      </c>
      <c r="B157" s="53" t="n"/>
      <c r="C157" s="50" t="n"/>
      <c r="D157" s="50" t="n"/>
      <c r="E157" s="49" t="n"/>
      <c r="F157" s="50" t="n"/>
      <c r="G157" s="50" t="n"/>
      <c r="H157" s="50" t="n"/>
      <c r="I157" s="52" t="str">
        <f>IF($A157="","",COUNTIFS(액션아이템!$A$3:$A$1002,$A157))</f>
        <v/>
      </c>
    </row>
    <row r="158" ht="15" customHeight="1" s="41">
      <c r="A158" s="52" t="str">
        <f>IF($B158="","",TEXT($B158,"yymmdd")&amp;"-"&amp;TEXT(COUNTIFS($B$3:$B158,$B158),"0"))</f>
        <v/>
      </c>
      <c r="B158" s="53" t="n"/>
      <c r="C158" s="50" t="n"/>
      <c r="D158" s="50" t="n"/>
      <c r="E158" s="49" t="n"/>
      <c r="F158" s="50" t="n"/>
      <c r="G158" s="50" t="n"/>
      <c r="H158" s="50" t="n"/>
      <c r="I158" s="52" t="str">
        <f>IF($A158="","",COUNTIFS(액션아이템!$A$3:$A$1002,$A158))</f>
        <v/>
      </c>
    </row>
    <row r="159" ht="15" customHeight="1" s="41">
      <c r="A159" s="52" t="str">
        <f>IF($B159="","",TEXT($B159,"yymmdd")&amp;"-"&amp;TEXT(COUNTIFS($B$3:$B159,$B159),"0"))</f>
        <v/>
      </c>
      <c r="B159" s="53" t="n"/>
      <c r="C159" s="50" t="n"/>
      <c r="D159" s="50" t="n"/>
      <c r="E159" s="49" t="n"/>
      <c r="F159" s="50" t="n"/>
      <c r="G159" s="50" t="n"/>
      <c r="H159" s="50" t="n"/>
      <c r="I159" s="52" t="str">
        <f>IF($A159="","",COUNTIFS(액션아이템!$A$3:$A$1002,$A159))</f>
        <v/>
      </c>
    </row>
    <row r="160" ht="15" customHeight="1" s="41">
      <c r="A160" s="52" t="str">
        <f>IF($B160="","",TEXT($B160,"yymmdd")&amp;"-"&amp;TEXT(COUNTIFS($B$3:$B160,$B160),"0"))</f>
        <v/>
      </c>
      <c r="B160" s="53" t="n"/>
      <c r="C160" s="50" t="n"/>
      <c r="D160" s="50" t="n"/>
      <c r="E160" s="49" t="n"/>
      <c r="F160" s="50" t="n"/>
      <c r="G160" s="50" t="n"/>
      <c r="H160" s="50" t="n"/>
      <c r="I160" s="52" t="str">
        <f>IF($A160="","",COUNTIFS(액션아이템!$A$3:$A$1002,$A160))</f>
        <v/>
      </c>
    </row>
    <row r="161" ht="15" customHeight="1" s="41">
      <c r="A161" s="52" t="str">
        <f>IF($B161="","",TEXT($B161,"yymmdd")&amp;"-"&amp;TEXT(COUNTIFS($B$3:$B161,$B161),"0"))</f>
        <v/>
      </c>
      <c r="B161" s="53" t="n"/>
      <c r="C161" s="50" t="n"/>
      <c r="D161" s="50" t="n"/>
      <c r="E161" s="49" t="n"/>
      <c r="F161" s="50" t="n"/>
      <c r="G161" s="50" t="n"/>
      <c r="H161" s="50" t="n"/>
      <c r="I161" s="52" t="str">
        <f>IF($A161="","",COUNTIFS(액션아이템!$A$3:$A$1002,$A161))</f>
        <v/>
      </c>
    </row>
    <row r="162" ht="15" customHeight="1" s="41">
      <c r="A162" s="52" t="str">
        <f>IF($B162="","",TEXT($B162,"yymmdd")&amp;"-"&amp;TEXT(COUNTIFS($B$3:$B162,$B162),"0"))</f>
        <v/>
      </c>
      <c r="B162" s="53" t="n"/>
      <c r="C162" s="50" t="n"/>
      <c r="D162" s="50" t="n"/>
      <c r="E162" s="49" t="n"/>
      <c r="F162" s="50" t="n"/>
      <c r="G162" s="50" t="n"/>
      <c r="H162" s="50" t="n"/>
      <c r="I162" s="52" t="str">
        <f>IF($A162="","",COUNTIFS(액션아이템!$A$3:$A$1002,$A162))</f>
        <v/>
      </c>
    </row>
    <row r="163" ht="15" customHeight="1" s="41">
      <c r="A163" s="52" t="str">
        <f>IF($B163="","",TEXT($B163,"yymmdd")&amp;"-"&amp;TEXT(COUNTIFS($B$3:$B163,$B163),"0"))</f>
        <v/>
      </c>
      <c r="B163" s="53" t="n"/>
      <c r="C163" s="50" t="n"/>
      <c r="D163" s="50" t="n"/>
      <c r="E163" s="49" t="n"/>
      <c r="F163" s="50" t="n"/>
      <c r="G163" s="50" t="n"/>
      <c r="H163" s="50" t="n"/>
      <c r="I163" s="52" t="str">
        <f>IF($A163="","",COUNTIFS(액션아이템!$A$3:$A$1002,$A163))</f>
        <v/>
      </c>
    </row>
    <row r="164" ht="15" customHeight="1" s="41">
      <c r="A164" s="52" t="str">
        <f>IF($B164="","",TEXT($B164,"yymmdd")&amp;"-"&amp;TEXT(COUNTIFS($B$3:$B164,$B164),"0"))</f>
        <v/>
      </c>
      <c r="B164" s="53" t="n"/>
      <c r="C164" s="50" t="n"/>
      <c r="D164" s="50" t="n"/>
      <c r="E164" s="49" t="n"/>
      <c r="F164" s="50" t="n"/>
      <c r="G164" s="50" t="n"/>
      <c r="H164" s="50" t="n"/>
      <c r="I164" s="52" t="str">
        <f>IF($A164="","",COUNTIFS(액션아이템!$A$3:$A$1002,$A164))</f>
        <v/>
      </c>
    </row>
    <row r="165" ht="15" customHeight="1" s="41">
      <c r="A165" s="52" t="str">
        <f>IF($B165="","",TEXT($B165,"yymmdd")&amp;"-"&amp;TEXT(COUNTIFS($B$3:$B165,$B165),"0"))</f>
        <v/>
      </c>
      <c r="B165" s="53" t="n"/>
      <c r="C165" s="50" t="n"/>
      <c r="D165" s="50" t="n"/>
      <c r="E165" s="49" t="n"/>
      <c r="F165" s="50" t="n"/>
      <c r="G165" s="50" t="n"/>
      <c r="H165" s="50" t="n"/>
      <c r="I165" s="52" t="str">
        <f>IF($A165="","",COUNTIFS(액션아이템!$A$3:$A$1002,$A165))</f>
        <v/>
      </c>
    </row>
    <row r="166" ht="15" customHeight="1" s="41">
      <c r="A166" s="52" t="str">
        <f>IF($B166="","",TEXT($B166,"yymmdd")&amp;"-"&amp;TEXT(COUNTIFS($B$3:$B166,$B166),"0"))</f>
        <v/>
      </c>
      <c r="B166" s="53" t="n"/>
      <c r="C166" s="50" t="n"/>
      <c r="D166" s="50" t="n"/>
      <c r="E166" s="49" t="n"/>
      <c r="F166" s="50" t="n"/>
      <c r="G166" s="50" t="n"/>
      <c r="H166" s="50" t="n"/>
      <c r="I166" s="52" t="str">
        <f>IF($A166="","",COUNTIFS(액션아이템!$A$3:$A$1002,$A166))</f>
        <v/>
      </c>
    </row>
    <row r="167" ht="15" customHeight="1" s="41">
      <c r="A167" s="52" t="str">
        <f>IF($B167="","",TEXT($B167,"yymmdd")&amp;"-"&amp;TEXT(COUNTIFS($B$3:$B167,$B167),"0"))</f>
        <v/>
      </c>
      <c r="B167" s="53" t="n"/>
      <c r="C167" s="50" t="n"/>
      <c r="D167" s="50" t="n"/>
      <c r="E167" s="49" t="n"/>
      <c r="F167" s="50" t="n"/>
      <c r="G167" s="50" t="n"/>
      <c r="H167" s="50" t="n"/>
      <c r="I167" s="52" t="str">
        <f>IF($A167="","",COUNTIFS(액션아이템!$A$3:$A$1002,$A167))</f>
        <v/>
      </c>
    </row>
    <row r="168" ht="15" customHeight="1" s="41">
      <c r="A168" s="52" t="str">
        <f>IF($B168="","",TEXT($B168,"yymmdd")&amp;"-"&amp;TEXT(COUNTIFS($B$3:$B168,$B168),"0"))</f>
        <v/>
      </c>
      <c r="B168" s="53" t="n"/>
      <c r="C168" s="50" t="n"/>
      <c r="D168" s="50" t="n"/>
      <c r="E168" s="49" t="n"/>
      <c r="F168" s="50" t="n"/>
      <c r="G168" s="50" t="n"/>
      <c r="H168" s="50" t="n"/>
      <c r="I168" s="52" t="str">
        <f>IF($A168="","",COUNTIFS(액션아이템!$A$3:$A$1002,$A168))</f>
        <v/>
      </c>
    </row>
    <row r="169" ht="15" customHeight="1" s="41">
      <c r="A169" s="52" t="str">
        <f>IF($B169="","",TEXT($B169,"yymmdd")&amp;"-"&amp;TEXT(COUNTIFS($B$3:$B169,$B169),"0"))</f>
        <v/>
      </c>
      <c r="B169" s="53" t="n"/>
      <c r="C169" s="50" t="n"/>
      <c r="D169" s="50" t="n"/>
      <c r="E169" s="49" t="n"/>
      <c r="F169" s="50" t="n"/>
      <c r="G169" s="50" t="n"/>
      <c r="H169" s="50" t="n"/>
      <c r="I169" s="52" t="str">
        <f>IF($A169="","",COUNTIFS(액션아이템!$A$3:$A$1002,$A169))</f>
        <v/>
      </c>
    </row>
    <row r="170" ht="15" customHeight="1" s="41">
      <c r="A170" s="52" t="str">
        <f>IF($B170="","",TEXT($B170,"yymmdd")&amp;"-"&amp;TEXT(COUNTIFS($B$3:$B170,$B170),"0"))</f>
        <v/>
      </c>
      <c r="B170" s="53" t="n"/>
      <c r="C170" s="50" t="n"/>
      <c r="D170" s="50" t="n"/>
      <c r="E170" s="49" t="n"/>
      <c r="F170" s="50" t="n"/>
      <c r="G170" s="50" t="n"/>
      <c r="H170" s="50" t="n"/>
      <c r="I170" s="52" t="str">
        <f>IF($A170="","",COUNTIFS(액션아이템!$A$3:$A$1002,$A170))</f>
        <v/>
      </c>
    </row>
    <row r="171" ht="15" customHeight="1" s="41">
      <c r="A171" s="52" t="str">
        <f>IF($B171="","",TEXT($B171,"yymmdd")&amp;"-"&amp;TEXT(COUNTIFS($B$3:$B171,$B171),"0"))</f>
        <v/>
      </c>
      <c r="B171" s="53" t="n"/>
      <c r="C171" s="50" t="n"/>
      <c r="D171" s="50" t="n"/>
      <c r="E171" s="49" t="n"/>
      <c r="F171" s="50" t="n"/>
      <c r="G171" s="50" t="n"/>
      <c r="H171" s="50" t="n"/>
      <c r="I171" s="52" t="str">
        <f>IF($A171="","",COUNTIFS(액션아이템!$A$3:$A$1002,$A171))</f>
        <v/>
      </c>
    </row>
    <row r="172" ht="15" customHeight="1" s="41">
      <c r="A172" s="52" t="str">
        <f>IF($B172="","",TEXT($B172,"yymmdd")&amp;"-"&amp;TEXT(COUNTIFS($B$3:$B172,$B172),"0"))</f>
        <v/>
      </c>
      <c r="B172" s="53" t="n"/>
      <c r="C172" s="50" t="n"/>
      <c r="D172" s="50" t="n"/>
      <c r="E172" s="49" t="n"/>
      <c r="F172" s="50" t="n"/>
      <c r="G172" s="50" t="n"/>
      <c r="H172" s="50" t="n"/>
      <c r="I172" s="52" t="str">
        <f>IF($A172="","",COUNTIFS(액션아이템!$A$3:$A$1002,$A172))</f>
        <v/>
      </c>
    </row>
    <row r="173" ht="15" customHeight="1" s="41">
      <c r="A173" s="52" t="str">
        <f>IF($B173="","",TEXT($B173,"yymmdd")&amp;"-"&amp;TEXT(COUNTIFS($B$3:$B173,$B173),"0"))</f>
        <v/>
      </c>
      <c r="B173" s="53" t="n"/>
      <c r="C173" s="50" t="n"/>
      <c r="D173" s="50" t="n"/>
      <c r="E173" s="49" t="n"/>
      <c r="F173" s="50" t="n"/>
      <c r="G173" s="50" t="n"/>
      <c r="H173" s="50" t="n"/>
      <c r="I173" s="52" t="str">
        <f>IF($A173="","",COUNTIFS(액션아이템!$A$3:$A$1002,$A173))</f>
        <v/>
      </c>
    </row>
    <row r="174" ht="15" customHeight="1" s="41">
      <c r="A174" s="52" t="str">
        <f>IF($B174="","",TEXT($B174,"yymmdd")&amp;"-"&amp;TEXT(COUNTIFS($B$3:$B174,$B174),"0"))</f>
        <v/>
      </c>
      <c r="B174" s="53" t="n"/>
      <c r="C174" s="50" t="n"/>
      <c r="D174" s="50" t="n"/>
      <c r="E174" s="49" t="n"/>
      <c r="F174" s="50" t="n"/>
      <c r="G174" s="50" t="n"/>
      <c r="H174" s="50" t="n"/>
      <c r="I174" s="52" t="str">
        <f>IF($A174="","",COUNTIFS(액션아이템!$A$3:$A$1002,$A174))</f>
        <v/>
      </c>
    </row>
    <row r="175" ht="15" customHeight="1" s="41">
      <c r="A175" s="52" t="str">
        <f>IF($B175="","",TEXT($B175,"yymmdd")&amp;"-"&amp;TEXT(COUNTIFS($B$3:$B175,$B175),"0"))</f>
        <v/>
      </c>
      <c r="B175" s="53" t="n"/>
      <c r="C175" s="50" t="n"/>
      <c r="D175" s="50" t="n"/>
      <c r="E175" s="49" t="n"/>
      <c r="F175" s="50" t="n"/>
      <c r="G175" s="50" t="n"/>
      <c r="H175" s="50" t="n"/>
      <c r="I175" s="52" t="str">
        <f>IF($A175="","",COUNTIFS(액션아이템!$A$3:$A$1002,$A175))</f>
        <v/>
      </c>
    </row>
    <row r="176" ht="15" customHeight="1" s="41">
      <c r="A176" s="52" t="str">
        <f>IF($B176="","",TEXT($B176,"yymmdd")&amp;"-"&amp;TEXT(COUNTIFS($B$3:$B176,$B176),"0"))</f>
        <v/>
      </c>
      <c r="B176" s="53" t="n"/>
      <c r="C176" s="50" t="n"/>
      <c r="D176" s="50" t="n"/>
      <c r="E176" s="49" t="n"/>
      <c r="F176" s="50" t="n"/>
      <c r="G176" s="50" t="n"/>
      <c r="H176" s="50" t="n"/>
      <c r="I176" s="52" t="str">
        <f>IF($A176="","",COUNTIFS(액션아이템!$A$3:$A$1002,$A176))</f>
        <v/>
      </c>
    </row>
    <row r="177" ht="15" customHeight="1" s="41">
      <c r="A177" s="52" t="str">
        <f>IF($B177="","",TEXT($B177,"yymmdd")&amp;"-"&amp;TEXT(COUNTIFS($B$3:$B177,$B177),"0"))</f>
        <v/>
      </c>
      <c r="B177" s="53" t="n"/>
      <c r="C177" s="50" t="n"/>
      <c r="D177" s="50" t="n"/>
      <c r="E177" s="49" t="n"/>
      <c r="F177" s="50" t="n"/>
      <c r="G177" s="50" t="n"/>
      <c r="H177" s="50" t="n"/>
      <c r="I177" s="52" t="str">
        <f>IF($A177="","",COUNTIFS(액션아이템!$A$3:$A$1002,$A177))</f>
        <v/>
      </c>
    </row>
    <row r="178" ht="15" customHeight="1" s="41">
      <c r="A178" s="52" t="str">
        <f>IF($B178="","",TEXT($B178,"yymmdd")&amp;"-"&amp;TEXT(COUNTIFS($B$3:$B178,$B178),"0"))</f>
        <v/>
      </c>
      <c r="B178" s="53" t="n"/>
      <c r="C178" s="50" t="n"/>
      <c r="D178" s="50" t="n"/>
      <c r="E178" s="49" t="n"/>
      <c r="F178" s="50" t="n"/>
      <c r="G178" s="50" t="n"/>
      <c r="H178" s="50" t="n"/>
      <c r="I178" s="52" t="str">
        <f>IF($A178="","",COUNTIFS(액션아이템!$A$3:$A$1002,$A178))</f>
        <v/>
      </c>
    </row>
    <row r="179" ht="15" customHeight="1" s="41">
      <c r="A179" s="52" t="str">
        <f>IF($B179="","",TEXT($B179,"yymmdd")&amp;"-"&amp;TEXT(COUNTIFS($B$3:$B179,$B179),"0"))</f>
        <v/>
      </c>
      <c r="B179" s="53" t="n"/>
      <c r="C179" s="50" t="n"/>
      <c r="D179" s="50" t="n"/>
      <c r="E179" s="49" t="n"/>
      <c r="F179" s="50" t="n"/>
      <c r="G179" s="50" t="n"/>
      <c r="H179" s="50" t="n"/>
      <c r="I179" s="52" t="str">
        <f>IF($A179="","",COUNTIFS(액션아이템!$A$3:$A$1002,$A179))</f>
        <v/>
      </c>
    </row>
    <row r="180" ht="15" customHeight="1" s="41">
      <c r="A180" s="52" t="str">
        <f>IF($B180="","",TEXT($B180,"yymmdd")&amp;"-"&amp;TEXT(COUNTIFS($B$3:$B180,$B180),"0"))</f>
        <v/>
      </c>
      <c r="B180" s="53" t="n"/>
      <c r="C180" s="50" t="n"/>
      <c r="D180" s="50" t="n"/>
      <c r="E180" s="49" t="n"/>
      <c r="F180" s="50" t="n"/>
      <c r="G180" s="50" t="n"/>
      <c r="H180" s="50" t="n"/>
      <c r="I180" s="52" t="str">
        <f>IF($A180="","",COUNTIFS(액션아이템!$A$3:$A$1002,$A180))</f>
        <v/>
      </c>
    </row>
    <row r="181" ht="15" customHeight="1" s="41">
      <c r="A181" s="52" t="str">
        <f>IF($B181="","",TEXT($B181,"yymmdd")&amp;"-"&amp;TEXT(COUNTIFS($B$3:$B181,$B181),"0"))</f>
        <v/>
      </c>
      <c r="B181" s="53" t="n"/>
      <c r="C181" s="50" t="n"/>
      <c r="D181" s="50" t="n"/>
      <c r="E181" s="49" t="n"/>
      <c r="F181" s="50" t="n"/>
      <c r="G181" s="50" t="n"/>
      <c r="H181" s="50" t="n"/>
      <c r="I181" s="52" t="str">
        <f>IF($A181="","",COUNTIFS(액션아이템!$A$3:$A$1002,$A181))</f>
        <v/>
      </c>
    </row>
    <row r="182" ht="15" customHeight="1" s="41">
      <c r="A182" s="52" t="str">
        <f>IF($B182="","",TEXT($B182,"yymmdd")&amp;"-"&amp;TEXT(COUNTIFS($B$3:$B182,$B182),"0"))</f>
        <v/>
      </c>
      <c r="B182" s="53" t="n"/>
      <c r="C182" s="50" t="n"/>
      <c r="D182" s="50" t="n"/>
      <c r="E182" s="49" t="n"/>
      <c r="F182" s="50" t="n"/>
      <c r="G182" s="50" t="n"/>
      <c r="H182" s="50" t="n"/>
      <c r="I182" s="52" t="str">
        <f>IF($A182="","",COUNTIFS(액션아이템!$A$3:$A$1002,$A182))</f>
        <v/>
      </c>
    </row>
    <row r="183" ht="15" customHeight="1" s="41">
      <c r="A183" s="52" t="str">
        <f>IF($B183="","",TEXT($B183,"yymmdd")&amp;"-"&amp;TEXT(COUNTIFS($B$3:$B183,$B183),"0"))</f>
        <v/>
      </c>
      <c r="B183" s="53" t="n"/>
      <c r="C183" s="50" t="n"/>
      <c r="D183" s="50" t="n"/>
      <c r="E183" s="49" t="n"/>
      <c r="F183" s="50" t="n"/>
      <c r="G183" s="50" t="n"/>
      <c r="H183" s="50" t="n"/>
      <c r="I183" s="52" t="str">
        <f>IF($A183="","",COUNTIFS(액션아이템!$A$3:$A$1002,$A183))</f>
        <v/>
      </c>
    </row>
    <row r="184" ht="15" customHeight="1" s="41">
      <c r="A184" s="52" t="str">
        <f>IF($B184="","",TEXT($B184,"yymmdd")&amp;"-"&amp;TEXT(COUNTIFS($B$3:$B184,$B184),"0"))</f>
        <v/>
      </c>
      <c r="B184" s="53" t="n"/>
      <c r="C184" s="50" t="n"/>
      <c r="D184" s="50" t="n"/>
      <c r="E184" s="49" t="n"/>
      <c r="F184" s="50" t="n"/>
      <c r="G184" s="50" t="n"/>
      <c r="H184" s="50" t="n"/>
      <c r="I184" s="52" t="str">
        <f>IF($A184="","",COUNTIFS(액션아이템!$A$3:$A$1002,$A184))</f>
        <v/>
      </c>
    </row>
    <row r="185" ht="15" customHeight="1" s="41">
      <c r="A185" s="52" t="str">
        <f>IF($B185="","",TEXT($B185,"yymmdd")&amp;"-"&amp;TEXT(COUNTIFS($B$3:$B185,$B185),"0"))</f>
        <v/>
      </c>
      <c r="B185" s="53" t="n"/>
      <c r="C185" s="50" t="n"/>
      <c r="D185" s="50" t="n"/>
      <c r="E185" s="49" t="n"/>
      <c r="F185" s="50" t="n"/>
      <c r="G185" s="50" t="n"/>
      <c r="H185" s="50" t="n"/>
      <c r="I185" s="52" t="str">
        <f>IF($A185="","",COUNTIFS(액션아이템!$A$3:$A$1002,$A185))</f>
        <v/>
      </c>
    </row>
    <row r="186" ht="15" customHeight="1" s="41">
      <c r="A186" s="52" t="str">
        <f>IF($B186="","",TEXT($B186,"yymmdd")&amp;"-"&amp;TEXT(COUNTIFS($B$3:$B186,$B186),"0"))</f>
        <v/>
      </c>
      <c r="B186" s="53" t="n"/>
      <c r="C186" s="50" t="n"/>
      <c r="D186" s="50" t="n"/>
      <c r="E186" s="49" t="n"/>
      <c r="F186" s="50" t="n"/>
      <c r="G186" s="50" t="n"/>
      <c r="H186" s="50" t="n"/>
      <c r="I186" s="52" t="str">
        <f>IF($A186="","",COUNTIFS(액션아이템!$A$3:$A$1002,$A186))</f>
        <v/>
      </c>
    </row>
    <row r="187" ht="15" customHeight="1" s="41">
      <c r="A187" s="52" t="str">
        <f>IF($B187="","",TEXT($B187,"yymmdd")&amp;"-"&amp;TEXT(COUNTIFS($B$3:$B187,$B187),"0"))</f>
        <v/>
      </c>
      <c r="B187" s="53" t="n"/>
      <c r="C187" s="50" t="n"/>
      <c r="D187" s="50" t="n"/>
      <c r="E187" s="49" t="n"/>
      <c r="F187" s="50" t="n"/>
      <c r="G187" s="50" t="n"/>
      <c r="H187" s="50" t="n"/>
      <c r="I187" s="52" t="str">
        <f>IF($A187="","",COUNTIFS(액션아이템!$A$3:$A$1002,$A187))</f>
        <v/>
      </c>
    </row>
    <row r="188" ht="15" customHeight="1" s="41">
      <c r="A188" s="52" t="str">
        <f>IF($B188="","",TEXT($B188,"yymmdd")&amp;"-"&amp;TEXT(COUNTIFS($B$3:$B188,$B188),"0"))</f>
        <v/>
      </c>
      <c r="B188" s="53" t="n"/>
      <c r="C188" s="50" t="n"/>
      <c r="D188" s="50" t="n"/>
      <c r="E188" s="49" t="n"/>
      <c r="F188" s="50" t="n"/>
      <c r="G188" s="50" t="n"/>
      <c r="H188" s="50" t="n"/>
      <c r="I188" s="52" t="str">
        <f>IF($A188="","",COUNTIFS(액션아이템!$A$3:$A$1002,$A188))</f>
        <v/>
      </c>
    </row>
    <row r="189" ht="15" customHeight="1" s="41">
      <c r="A189" s="52" t="str">
        <f>IF($B189="","",TEXT($B189,"yymmdd")&amp;"-"&amp;TEXT(COUNTIFS($B$3:$B189,$B189),"0"))</f>
        <v/>
      </c>
      <c r="B189" s="53" t="n"/>
      <c r="C189" s="50" t="n"/>
      <c r="D189" s="50" t="n"/>
      <c r="E189" s="49" t="n"/>
      <c r="F189" s="50" t="n"/>
      <c r="G189" s="50" t="n"/>
      <c r="H189" s="50" t="n"/>
      <c r="I189" s="52" t="str">
        <f>IF($A189="","",COUNTIFS(액션아이템!$A$3:$A$1002,$A189))</f>
        <v/>
      </c>
    </row>
    <row r="190" ht="15" customHeight="1" s="41">
      <c r="A190" s="52" t="str">
        <f>IF($B190="","",TEXT($B190,"yymmdd")&amp;"-"&amp;TEXT(COUNTIFS($B$3:$B190,$B190),"0"))</f>
        <v/>
      </c>
      <c r="B190" s="53" t="n"/>
      <c r="C190" s="50" t="n"/>
      <c r="D190" s="50" t="n"/>
      <c r="E190" s="49" t="n"/>
      <c r="F190" s="50" t="n"/>
      <c r="G190" s="50" t="n"/>
      <c r="H190" s="50" t="n"/>
      <c r="I190" s="52" t="str">
        <f>IF($A190="","",COUNTIFS(액션아이템!$A$3:$A$1002,$A190))</f>
        <v/>
      </c>
    </row>
    <row r="191" ht="15" customHeight="1" s="41">
      <c r="A191" s="52" t="str">
        <f>IF($B191="","",TEXT($B191,"yymmdd")&amp;"-"&amp;TEXT(COUNTIFS($B$3:$B191,$B191),"0"))</f>
        <v/>
      </c>
      <c r="B191" s="53" t="n"/>
      <c r="C191" s="50" t="n"/>
      <c r="D191" s="50" t="n"/>
      <c r="E191" s="49" t="n"/>
      <c r="F191" s="50" t="n"/>
      <c r="G191" s="50" t="n"/>
      <c r="H191" s="50" t="n"/>
      <c r="I191" s="52" t="str">
        <f>IF($A191="","",COUNTIFS(액션아이템!$A$3:$A$1002,$A191))</f>
        <v/>
      </c>
    </row>
    <row r="192" ht="15" customHeight="1" s="41">
      <c r="A192" s="52" t="str">
        <f>IF($B192="","",TEXT($B192,"yymmdd")&amp;"-"&amp;TEXT(COUNTIFS($B$3:$B192,$B192),"0"))</f>
        <v/>
      </c>
      <c r="B192" s="53" t="n"/>
      <c r="C192" s="50" t="n"/>
      <c r="D192" s="50" t="n"/>
      <c r="E192" s="49" t="n"/>
      <c r="F192" s="50" t="n"/>
      <c r="G192" s="50" t="n"/>
      <c r="H192" s="50" t="n"/>
      <c r="I192" s="52" t="str">
        <f>IF($A192="","",COUNTIFS(액션아이템!$A$3:$A$1002,$A192))</f>
        <v/>
      </c>
    </row>
    <row r="193" ht="15" customHeight="1" s="41">
      <c r="A193" s="52" t="str">
        <f>IF($B193="","",TEXT($B193,"yymmdd")&amp;"-"&amp;TEXT(COUNTIFS($B$3:$B193,$B193),"0"))</f>
        <v/>
      </c>
      <c r="B193" s="53" t="n"/>
      <c r="C193" s="50" t="n"/>
      <c r="D193" s="50" t="n"/>
      <c r="E193" s="49" t="n"/>
      <c r="F193" s="50" t="n"/>
      <c r="G193" s="50" t="n"/>
      <c r="H193" s="50" t="n"/>
      <c r="I193" s="52" t="str">
        <f>IF($A193="","",COUNTIFS(액션아이템!$A$3:$A$1002,$A193))</f>
        <v/>
      </c>
    </row>
    <row r="194" ht="15" customHeight="1" s="41">
      <c r="A194" s="52" t="str">
        <f>IF($B194="","",TEXT($B194,"yymmdd")&amp;"-"&amp;TEXT(COUNTIFS($B$3:$B194,$B194),"0"))</f>
        <v/>
      </c>
      <c r="B194" s="53" t="n"/>
      <c r="C194" s="50" t="n"/>
      <c r="D194" s="50" t="n"/>
      <c r="E194" s="49" t="n"/>
      <c r="F194" s="50" t="n"/>
      <c r="G194" s="50" t="n"/>
      <c r="H194" s="50" t="n"/>
      <c r="I194" s="52" t="str">
        <f>IF($A194="","",COUNTIFS(액션아이템!$A$3:$A$1002,$A194))</f>
        <v/>
      </c>
    </row>
    <row r="195" ht="15" customHeight="1" s="41">
      <c r="A195" s="52" t="str">
        <f>IF($B195="","",TEXT($B195,"yymmdd")&amp;"-"&amp;TEXT(COUNTIFS($B$3:$B195,$B195),"0"))</f>
        <v/>
      </c>
      <c r="B195" s="53" t="n"/>
      <c r="C195" s="50" t="n"/>
      <c r="D195" s="50" t="n"/>
      <c r="E195" s="49" t="n"/>
      <c r="F195" s="50" t="n"/>
      <c r="G195" s="50" t="n"/>
      <c r="H195" s="50" t="n"/>
      <c r="I195" s="52" t="str">
        <f>IF($A195="","",COUNTIFS(액션아이템!$A$3:$A$1002,$A195))</f>
        <v/>
      </c>
    </row>
    <row r="196" ht="15" customHeight="1" s="41">
      <c r="A196" s="52" t="str">
        <f>IF($B196="","",TEXT($B196,"yymmdd")&amp;"-"&amp;TEXT(COUNTIFS($B$3:$B196,$B196),"0"))</f>
        <v/>
      </c>
      <c r="B196" s="53" t="n"/>
      <c r="C196" s="50" t="n"/>
      <c r="D196" s="50" t="n"/>
      <c r="E196" s="49" t="n"/>
      <c r="F196" s="50" t="n"/>
      <c r="G196" s="50" t="n"/>
      <c r="H196" s="50" t="n"/>
      <c r="I196" s="52" t="str">
        <f>IF($A196="","",COUNTIFS(액션아이템!$A$3:$A$1002,$A196))</f>
        <v/>
      </c>
    </row>
    <row r="197" ht="15" customHeight="1" s="41">
      <c r="A197" s="52" t="str">
        <f>IF($B197="","",TEXT($B197,"yymmdd")&amp;"-"&amp;TEXT(COUNTIFS($B$3:$B197,$B197),"0"))</f>
        <v/>
      </c>
      <c r="B197" s="53" t="n"/>
      <c r="C197" s="50" t="n"/>
      <c r="D197" s="50" t="n"/>
      <c r="E197" s="49" t="n"/>
      <c r="F197" s="50" t="n"/>
      <c r="G197" s="50" t="n"/>
      <c r="H197" s="50" t="n"/>
      <c r="I197" s="52" t="str">
        <f>IF($A197="","",COUNTIFS(액션아이템!$A$3:$A$1002,$A197))</f>
        <v/>
      </c>
    </row>
    <row r="198" ht="15" customHeight="1" s="41">
      <c r="A198" s="52" t="str">
        <f>IF($B198="","",TEXT($B198,"yymmdd")&amp;"-"&amp;TEXT(COUNTIFS($B$3:$B198,$B198),"0"))</f>
        <v/>
      </c>
      <c r="B198" s="53" t="n"/>
      <c r="C198" s="50" t="n"/>
      <c r="D198" s="50" t="n"/>
      <c r="E198" s="49" t="n"/>
      <c r="F198" s="50" t="n"/>
      <c r="G198" s="50" t="n"/>
      <c r="H198" s="50" t="n"/>
      <c r="I198" s="52" t="str">
        <f>IF($A198="","",COUNTIFS(액션아이템!$A$3:$A$1002,$A198))</f>
        <v/>
      </c>
    </row>
    <row r="199" ht="15" customHeight="1" s="41">
      <c r="A199" s="52" t="str">
        <f>IF($B199="","",TEXT($B199,"yymmdd")&amp;"-"&amp;TEXT(COUNTIFS($B$3:$B199,$B199),"0"))</f>
        <v/>
      </c>
      <c r="B199" s="53" t="n"/>
      <c r="C199" s="50" t="n"/>
      <c r="D199" s="50" t="n"/>
      <c r="E199" s="49" t="n"/>
      <c r="F199" s="50" t="n"/>
      <c r="G199" s="50" t="n"/>
      <c r="H199" s="50" t="n"/>
      <c r="I199" s="52" t="str">
        <f>IF($A199="","",COUNTIFS(액션아이템!$A$3:$A$1002,$A199))</f>
        <v/>
      </c>
    </row>
    <row r="200" ht="15" customHeight="1" s="41">
      <c r="A200" s="52" t="str">
        <f>IF($B200="","",TEXT($B200,"yymmdd")&amp;"-"&amp;TEXT(COUNTIFS($B$3:$B200,$B200),"0"))</f>
        <v/>
      </c>
      <c r="B200" s="53" t="n"/>
      <c r="C200" s="50" t="n"/>
      <c r="D200" s="50" t="n"/>
      <c r="E200" s="49" t="n"/>
      <c r="F200" s="50" t="n"/>
      <c r="G200" s="50" t="n"/>
      <c r="H200" s="50" t="n"/>
      <c r="I200" s="52" t="str">
        <f>IF($A200="","",COUNTIFS(액션아이템!$A$3:$A$1002,$A200))</f>
        <v/>
      </c>
    </row>
    <row r="201" ht="15" customHeight="1" s="41">
      <c r="A201" s="52" t="str">
        <f>IF($B201="","",TEXT($B201,"yymmdd")&amp;"-"&amp;TEXT(COUNTIFS($B$3:$B201,$B201),"0"))</f>
        <v/>
      </c>
      <c r="B201" s="53" t="n"/>
      <c r="C201" s="50" t="n"/>
      <c r="D201" s="50" t="n"/>
      <c r="E201" s="49" t="n"/>
      <c r="F201" s="50" t="n"/>
      <c r="G201" s="50" t="n"/>
      <c r="H201" s="50" t="n"/>
      <c r="I201" s="52" t="str">
        <f>IF($A201="","",COUNTIFS(액션아이템!$A$3:$A$1002,$A201))</f>
        <v/>
      </c>
    </row>
    <row r="202" ht="15" customHeight="1" s="41">
      <c r="A202" s="52" t="str">
        <f>IF($B202="","",TEXT($B202,"yymmdd")&amp;"-"&amp;TEXT(COUNTIFS($B$3:$B202,$B202),"0"))</f>
        <v/>
      </c>
      <c r="B202" s="53" t="n"/>
      <c r="C202" s="50" t="n"/>
      <c r="D202" s="50" t="n"/>
      <c r="E202" s="49" t="n"/>
      <c r="F202" s="50" t="n"/>
      <c r="G202" s="50" t="n"/>
      <c r="H202" s="50" t="n"/>
      <c r="I202" s="52" t="str">
        <f>IF($A202="","",COUNTIFS(액션아이템!$A$3:$A$1002,$A202))</f>
        <v/>
      </c>
    </row>
    <row r="203" ht="15" customHeight="1" s="41">
      <c r="A203" s="52" t="str">
        <f>IF($B203="","",TEXT($B203,"yymmdd")&amp;"-"&amp;TEXT(COUNTIFS($B$3:$B203,$B203),"0"))</f>
        <v/>
      </c>
      <c r="B203" s="53" t="n"/>
      <c r="C203" s="50" t="n"/>
      <c r="D203" s="50" t="n"/>
      <c r="E203" s="49" t="n"/>
      <c r="F203" s="50" t="n"/>
      <c r="G203" s="50" t="n"/>
      <c r="H203" s="50" t="n"/>
      <c r="I203" s="52" t="str">
        <f>IF($A203="","",COUNTIFS(액션아이템!$A$3:$A$1002,$A203))</f>
        <v/>
      </c>
    </row>
    <row r="204" ht="15" customHeight="1" s="41">
      <c r="A204" s="52" t="str">
        <f>IF($B204="","",TEXT($B204,"yymmdd")&amp;"-"&amp;TEXT(COUNTIFS($B$3:$B204,$B204),"0"))</f>
        <v/>
      </c>
      <c r="B204" s="53" t="n"/>
      <c r="C204" s="50" t="n"/>
      <c r="D204" s="50" t="n"/>
      <c r="E204" s="49" t="n"/>
      <c r="F204" s="50" t="n"/>
      <c r="G204" s="50" t="n"/>
      <c r="H204" s="50" t="n"/>
      <c r="I204" s="52" t="str">
        <f>IF($A204="","",COUNTIFS(액션아이템!$A$3:$A$1002,$A204))</f>
        <v/>
      </c>
    </row>
    <row r="205" ht="15" customHeight="1" s="41">
      <c r="A205" s="52" t="str">
        <f>IF($B205="","",TEXT($B205,"yymmdd")&amp;"-"&amp;TEXT(COUNTIFS($B$3:$B205,$B205),"0"))</f>
        <v/>
      </c>
      <c r="B205" s="53" t="n"/>
      <c r="C205" s="50" t="n"/>
      <c r="D205" s="50" t="n"/>
      <c r="E205" s="49" t="n"/>
      <c r="F205" s="50" t="n"/>
      <c r="G205" s="50" t="n"/>
      <c r="H205" s="50" t="n"/>
      <c r="I205" s="52" t="str">
        <f>IF($A205="","",COUNTIFS(액션아이템!$A$3:$A$1002,$A205))</f>
        <v/>
      </c>
    </row>
    <row r="206" ht="15" customHeight="1" s="41">
      <c r="A206" s="52" t="str">
        <f>IF($B206="","",TEXT($B206,"yymmdd")&amp;"-"&amp;TEXT(COUNTIFS($B$3:$B206,$B206),"0"))</f>
        <v/>
      </c>
      <c r="B206" s="53" t="n"/>
      <c r="C206" s="50" t="n"/>
      <c r="D206" s="50" t="n"/>
      <c r="E206" s="49" t="n"/>
      <c r="F206" s="50" t="n"/>
      <c r="G206" s="50" t="n"/>
      <c r="H206" s="50" t="n"/>
      <c r="I206" s="52" t="str">
        <f>IF($A206="","",COUNTIFS(액션아이템!$A$3:$A$1002,$A206))</f>
        <v/>
      </c>
    </row>
    <row r="207" ht="15" customHeight="1" s="41">
      <c r="A207" s="52" t="str">
        <f>IF($B207="","",TEXT($B207,"yymmdd")&amp;"-"&amp;TEXT(COUNTIFS($B$3:$B207,$B207),"0"))</f>
        <v/>
      </c>
      <c r="B207" s="53" t="n"/>
      <c r="C207" s="50" t="n"/>
      <c r="D207" s="50" t="n"/>
      <c r="E207" s="49" t="n"/>
      <c r="F207" s="50" t="n"/>
      <c r="G207" s="50" t="n"/>
      <c r="H207" s="50" t="n"/>
      <c r="I207" s="52" t="str">
        <f>IF($A207="","",COUNTIFS(액션아이템!$A$3:$A$1002,$A207))</f>
        <v/>
      </c>
    </row>
    <row r="208" ht="15" customHeight="1" s="41">
      <c r="A208" s="52" t="str">
        <f>IF($B208="","",TEXT($B208,"yymmdd")&amp;"-"&amp;TEXT(COUNTIFS($B$3:$B208,$B208),"0"))</f>
        <v/>
      </c>
      <c r="B208" s="53" t="n"/>
      <c r="C208" s="50" t="n"/>
      <c r="D208" s="50" t="n"/>
      <c r="E208" s="49" t="n"/>
      <c r="F208" s="50" t="n"/>
      <c r="G208" s="50" t="n"/>
      <c r="H208" s="50" t="n"/>
      <c r="I208" s="52" t="str">
        <f>IF($A208="","",COUNTIFS(액션아이템!$A$3:$A$1002,$A208))</f>
        <v/>
      </c>
    </row>
    <row r="209" ht="15" customHeight="1" s="41">
      <c r="A209" s="52" t="str">
        <f>IF($B209="","",TEXT($B209,"yymmdd")&amp;"-"&amp;TEXT(COUNTIFS($B$3:$B209,$B209),"0"))</f>
        <v/>
      </c>
      <c r="B209" s="53" t="n"/>
      <c r="C209" s="50" t="n"/>
      <c r="D209" s="50" t="n"/>
      <c r="E209" s="49" t="n"/>
      <c r="F209" s="50" t="n"/>
      <c r="G209" s="50" t="n"/>
      <c r="H209" s="50" t="n"/>
      <c r="I209" s="52" t="str">
        <f>IF($A209="","",COUNTIFS(액션아이템!$A$3:$A$1002,$A209))</f>
        <v/>
      </c>
    </row>
    <row r="210" ht="15" customHeight="1" s="41">
      <c r="A210" s="52" t="str">
        <f>IF($B210="","",TEXT($B210,"yymmdd")&amp;"-"&amp;TEXT(COUNTIFS($B$3:$B210,$B210),"0"))</f>
        <v/>
      </c>
      <c r="B210" s="53" t="n"/>
      <c r="C210" s="50" t="n"/>
      <c r="D210" s="50" t="n"/>
      <c r="E210" s="49" t="n"/>
      <c r="F210" s="50" t="n"/>
      <c r="G210" s="50" t="n"/>
      <c r="H210" s="50" t="n"/>
      <c r="I210" s="52" t="str">
        <f>IF($A210="","",COUNTIFS(액션아이템!$A$3:$A$1002,$A210))</f>
        <v/>
      </c>
    </row>
    <row r="211" ht="15" customHeight="1" s="41">
      <c r="A211" s="52" t="str">
        <f>IF($B211="","",TEXT($B211,"yymmdd")&amp;"-"&amp;TEXT(COUNTIFS($B$3:$B211,$B211),"0"))</f>
        <v/>
      </c>
      <c r="B211" s="53" t="n"/>
      <c r="C211" s="50" t="n"/>
      <c r="D211" s="50" t="n"/>
      <c r="E211" s="49" t="n"/>
      <c r="F211" s="50" t="n"/>
      <c r="G211" s="50" t="n"/>
      <c r="H211" s="50" t="n"/>
      <c r="I211" s="52" t="str">
        <f>IF($A211="","",COUNTIFS(액션아이템!$A$3:$A$1002,$A211))</f>
        <v/>
      </c>
    </row>
    <row r="212" ht="15" customHeight="1" s="41">
      <c r="A212" s="52" t="str">
        <f>IF($B212="","",TEXT($B212,"yymmdd")&amp;"-"&amp;TEXT(COUNTIFS($B$3:$B212,$B212),"0"))</f>
        <v/>
      </c>
      <c r="B212" s="53" t="n"/>
      <c r="C212" s="50" t="n"/>
      <c r="D212" s="50" t="n"/>
      <c r="E212" s="49" t="n"/>
      <c r="F212" s="50" t="n"/>
      <c r="G212" s="50" t="n"/>
      <c r="H212" s="50" t="n"/>
      <c r="I212" s="52" t="str">
        <f>IF($A212="","",COUNTIFS(액션아이템!$A$3:$A$1002,$A212))</f>
        <v/>
      </c>
    </row>
    <row r="213" ht="15" customHeight="1" s="41">
      <c r="A213" s="52" t="str">
        <f>IF($B213="","",TEXT($B213,"yymmdd")&amp;"-"&amp;TEXT(COUNTIFS($B$3:$B213,$B213),"0"))</f>
        <v/>
      </c>
      <c r="B213" s="53" t="n"/>
      <c r="C213" s="50" t="n"/>
      <c r="D213" s="50" t="n"/>
      <c r="E213" s="49" t="n"/>
      <c r="F213" s="50" t="n"/>
      <c r="G213" s="50" t="n"/>
      <c r="H213" s="50" t="n"/>
      <c r="I213" s="52" t="str">
        <f>IF($A213="","",COUNTIFS(액션아이템!$A$3:$A$1002,$A213))</f>
        <v/>
      </c>
    </row>
    <row r="214" ht="15" customHeight="1" s="41">
      <c r="A214" s="52" t="str">
        <f>IF($B214="","",TEXT($B214,"yymmdd")&amp;"-"&amp;TEXT(COUNTIFS($B$3:$B214,$B214),"0"))</f>
        <v/>
      </c>
      <c r="B214" s="53" t="n"/>
      <c r="C214" s="50" t="n"/>
      <c r="D214" s="50" t="n"/>
      <c r="E214" s="49" t="n"/>
      <c r="F214" s="50" t="n"/>
      <c r="G214" s="50" t="n"/>
      <c r="H214" s="50" t="n"/>
      <c r="I214" s="52" t="str">
        <f>IF($A214="","",COUNTIFS(액션아이템!$A$3:$A$1002,$A214))</f>
        <v/>
      </c>
    </row>
    <row r="215" ht="15" customHeight="1" s="41">
      <c r="A215" s="52" t="str">
        <f>IF($B215="","",TEXT($B215,"yymmdd")&amp;"-"&amp;TEXT(COUNTIFS($B$3:$B215,$B215),"0"))</f>
        <v/>
      </c>
      <c r="B215" s="53" t="n"/>
      <c r="C215" s="50" t="n"/>
      <c r="D215" s="50" t="n"/>
      <c r="E215" s="49" t="n"/>
      <c r="F215" s="50" t="n"/>
      <c r="G215" s="50" t="n"/>
      <c r="H215" s="50" t="n"/>
      <c r="I215" s="52" t="str">
        <f>IF($A215="","",COUNTIFS(액션아이템!$A$3:$A$1002,$A215))</f>
        <v/>
      </c>
    </row>
    <row r="216" ht="15" customHeight="1" s="41">
      <c r="A216" s="52" t="str">
        <f>IF($B216="","",TEXT($B216,"yymmdd")&amp;"-"&amp;TEXT(COUNTIFS($B$3:$B216,$B216),"0"))</f>
        <v/>
      </c>
      <c r="B216" s="53" t="n"/>
      <c r="C216" s="50" t="n"/>
      <c r="D216" s="50" t="n"/>
      <c r="E216" s="49" t="n"/>
      <c r="F216" s="50" t="n"/>
      <c r="G216" s="50" t="n"/>
      <c r="H216" s="50" t="n"/>
      <c r="I216" s="52" t="str">
        <f>IF($A216="","",COUNTIFS(액션아이템!$A$3:$A$1002,$A216))</f>
        <v/>
      </c>
    </row>
    <row r="217" ht="15" customHeight="1" s="41">
      <c r="A217" s="52" t="str">
        <f>IF($B217="","",TEXT($B217,"yymmdd")&amp;"-"&amp;TEXT(COUNTIFS($B$3:$B217,$B217),"0"))</f>
        <v/>
      </c>
      <c r="B217" s="53" t="n"/>
      <c r="C217" s="50" t="n"/>
      <c r="D217" s="50" t="n"/>
      <c r="E217" s="49" t="n"/>
      <c r="F217" s="50" t="n"/>
      <c r="G217" s="50" t="n"/>
      <c r="H217" s="50" t="n"/>
      <c r="I217" s="52" t="str">
        <f>IF($A217="","",COUNTIFS(액션아이템!$A$3:$A$1002,$A217))</f>
        <v/>
      </c>
    </row>
    <row r="218" ht="15" customHeight="1" s="41">
      <c r="A218" s="52" t="str">
        <f>IF($B218="","",TEXT($B218,"yymmdd")&amp;"-"&amp;TEXT(COUNTIFS($B$3:$B218,$B218),"0"))</f>
        <v/>
      </c>
      <c r="B218" s="53" t="n"/>
      <c r="C218" s="50" t="n"/>
      <c r="D218" s="50" t="n"/>
      <c r="E218" s="49" t="n"/>
      <c r="F218" s="50" t="n"/>
      <c r="G218" s="50" t="n"/>
      <c r="H218" s="50" t="n"/>
      <c r="I218" s="52" t="str">
        <f>IF($A218="","",COUNTIFS(액션아이템!$A$3:$A$1002,$A218))</f>
        <v/>
      </c>
    </row>
    <row r="219" ht="15" customHeight="1" s="41">
      <c r="A219" s="52" t="str">
        <f>IF($B219="","",TEXT($B219,"yymmdd")&amp;"-"&amp;TEXT(COUNTIFS($B$3:$B219,$B219),"0"))</f>
        <v/>
      </c>
      <c r="B219" s="53" t="n"/>
      <c r="C219" s="50" t="n"/>
      <c r="D219" s="50" t="n"/>
      <c r="E219" s="49" t="n"/>
      <c r="F219" s="50" t="n"/>
      <c r="G219" s="50" t="n"/>
      <c r="H219" s="50" t="n"/>
      <c r="I219" s="52" t="str">
        <f>IF($A219="","",COUNTIFS(액션아이템!$A$3:$A$1002,$A219))</f>
        <v/>
      </c>
    </row>
    <row r="220" ht="15" customHeight="1" s="41">
      <c r="A220" s="52" t="str">
        <f>IF($B220="","",TEXT($B220,"yymmdd")&amp;"-"&amp;TEXT(COUNTIFS($B$3:$B220,$B220),"0"))</f>
        <v/>
      </c>
      <c r="B220" s="53" t="n"/>
      <c r="C220" s="50" t="n"/>
      <c r="D220" s="50" t="n"/>
      <c r="E220" s="49" t="n"/>
      <c r="F220" s="50" t="n"/>
      <c r="G220" s="50" t="n"/>
      <c r="H220" s="50" t="n"/>
      <c r="I220" s="52" t="str">
        <f>IF($A220="","",COUNTIFS(액션아이템!$A$3:$A$1002,$A220))</f>
        <v/>
      </c>
    </row>
    <row r="221" ht="15" customHeight="1" s="41">
      <c r="A221" s="52" t="str">
        <f>IF($B221="","",TEXT($B221,"yymmdd")&amp;"-"&amp;TEXT(COUNTIFS($B$3:$B221,$B221),"0"))</f>
        <v/>
      </c>
      <c r="B221" s="53" t="n"/>
      <c r="C221" s="50" t="n"/>
      <c r="D221" s="50" t="n"/>
      <c r="E221" s="49" t="n"/>
      <c r="F221" s="50" t="n"/>
      <c r="G221" s="50" t="n"/>
      <c r="H221" s="50" t="n"/>
      <c r="I221" s="52" t="str">
        <f>IF($A221="","",COUNTIFS(액션아이템!$A$3:$A$1002,$A221))</f>
        <v/>
      </c>
    </row>
    <row r="222" ht="15" customHeight="1" s="41">
      <c r="A222" s="52" t="str">
        <f>IF($B222="","",TEXT($B222,"yymmdd")&amp;"-"&amp;TEXT(COUNTIFS($B$3:$B222,$B222),"0"))</f>
        <v/>
      </c>
      <c r="B222" s="53" t="n"/>
      <c r="C222" s="50" t="n"/>
      <c r="D222" s="50" t="n"/>
      <c r="E222" s="49" t="n"/>
      <c r="F222" s="50" t="n"/>
      <c r="G222" s="50" t="n"/>
      <c r="H222" s="50" t="n"/>
      <c r="I222" s="52" t="str">
        <f>IF($A222="","",COUNTIFS(액션아이템!$A$3:$A$1002,$A222))</f>
        <v/>
      </c>
    </row>
    <row r="223" ht="15" customHeight="1" s="41">
      <c r="A223" s="52" t="str">
        <f>IF($B223="","",TEXT($B223,"yymmdd")&amp;"-"&amp;TEXT(COUNTIFS($B$3:$B223,$B223),"0"))</f>
        <v/>
      </c>
      <c r="B223" s="53" t="n"/>
      <c r="C223" s="50" t="n"/>
      <c r="D223" s="50" t="n"/>
      <c r="E223" s="49" t="n"/>
      <c r="F223" s="50" t="n"/>
      <c r="G223" s="50" t="n"/>
      <c r="H223" s="50" t="n"/>
      <c r="I223" s="52" t="str">
        <f>IF($A223="","",COUNTIFS(액션아이템!$A$3:$A$1002,$A223))</f>
        <v/>
      </c>
    </row>
    <row r="224" ht="15" customHeight="1" s="41">
      <c r="A224" s="52" t="str">
        <f>IF($B224="","",TEXT($B224,"yymmdd")&amp;"-"&amp;TEXT(COUNTIFS($B$3:$B224,$B224),"0"))</f>
        <v/>
      </c>
      <c r="B224" s="53" t="n"/>
      <c r="C224" s="50" t="n"/>
      <c r="D224" s="50" t="n"/>
      <c r="E224" s="49" t="n"/>
      <c r="F224" s="50" t="n"/>
      <c r="G224" s="50" t="n"/>
      <c r="H224" s="50" t="n"/>
      <c r="I224" s="52" t="str">
        <f>IF($A224="","",COUNTIFS(액션아이템!$A$3:$A$1002,$A224))</f>
        <v/>
      </c>
    </row>
    <row r="225" ht="15" customHeight="1" s="41">
      <c r="A225" s="52" t="str">
        <f>IF($B225="","",TEXT($B225,"yymmdd")&amp;"-"&amp;TEXT(COUNTIFS($B$3:$B225,$B225),"0"))</f>
        <v/>
      </c>
      <c r="B225" s="53" t="n"/>
      <c r="C225" s="50" t="n"/>
      <c r="D225" s="50" t="n"/>
      <c r="E225" s="49" t="n"/>
      <c r="F225" s="50" t="n"/>
      <c r="G225" s="50" t="n"/>
      <c r="H225" s="50" t="n"/>
      <c r="I225" s="52" t="str">
        <f>IF($A225="","",COUNTIFS(액션아이템!$A$3:$A$1002,$A225))</f>
        <v/>
      </c>
    </row>
    <row r="226" ht="15" customHeight="1" s="41">
      <c r="A226" s="52" t="str">
        <f>IF($B226="","",TEXT($B226,"yymmdd")&amp;"-"&amp;TEXT(COUNTIFS($B$3:$B226,$B226),"0"))</f>
        <v/>
      </c>
      <c r="B226" s="53" t="n"/>
      <c r="C226" s="50" t="n"/>
      <c r="D226" s="50" t="n"/>
      <c r="E226" s="49" t="n"/>
      <c r="F226" s="50" t="n"/>
      <c r="G226" s="50" t="n"/>
      <c r="H226" s="50" t="n"/>
      <c r="I226" s="52" t="str">
        <f>IF($A226="","",COUNTIFS(액션아이템!$A$3:$A$1002,$A226))</f>
        <v/>
      </c>
    </row>
    <row r="227" ht="15" customHeight="1" s="41">
      <c r="A227" s="52" t="str">
        <f>IF($B227="","",TEXT($B227,"yymmdd")&amp;"-"&amp;TEXT(COUNTIFS($B$3:$B227,$B227),"0"))</f>
        <v/>
      </c>
      <c r="B227" s="53" t="n"/>
      <c r="C227" s="50" t="n"/>
      <c r="D227" s="50" t="n"/>
      <c r="E227" s="49" t="n"/>
      <c r="F227" s="50" t="n"/>
      <c r="G227" s="50" t="n"/>
      <c r="H227" s="50" t="n"/>
      <c r="I227" s="52" t="str">
        <f>IF($A227="","",COUNTIFS(액션아이템!$A$3:$A$1002,$A227))</f>
        <v/>
      </c>
    </row>
    <row r="228" ht="15" customHeight="1" s="41">
      <c r="A228" s="52" t="str">
        <f>IF($B228="","",TEXT($B228,"yymmdd")&amp;"-"&amp;TEXT(COUNTIFS($B$3:$B228,$B228),"0"))</f>
        <v/>
      </c>
      <c r="B228" s="53" t="n"/>
      <c r="C228" s="50" t="n"/>
      <c r="D228" s="50" t="n"/>
      <c r="E228" s="49" t="n"/>
      <c r="F228" s="50" t="n"/>
      <c r="G228" s="50" t="n"/>
      <c r="H228" s="50" t="n"/>
      <c r="I228" s="52" t="str">
        <f>IF($A228="","",COUNTIFS(액션아이템!$A$3:$A$1002,$A228))</f>
        <v/>
      </c>
    </row>
    <row r="229" ht="15" customHeight="1" s="41">
      <c r="A229" s="52" t="str">
        <f>IF($B229="","",TEXT($B229,"yymmdd")&amp;"-"&amp;TEXT(COUNTIFS($B$3:$B229,$B229),"0"))</f>
        <v/>
      </c>
      <c r="B229" s="53" t="n"/>
      <c r="C229" s="50" t="n"/>
      <c r="D229" s="50" t="n"/>
      <c r="E229" s="49" t="n"/>
      <c r="F229" s="50" t="n"/>
      <c r="G229" s="50" t="n"/>
      <c r="H229" s="50" t="n"/>
      <c r="I229" s="52" t="str">
        <f>IF($A229="","",COUNTIFS(액션아이템!$A$3:$A$1002,$A229))</f>
        <v/>
      </c>
    </row>
    <row r="230" ht="15" customHeight="1" s="41">
      <c r="A230" s="52" t="str">
        <f>IF($B230="","",TEXT($B230,"yymmdd")&amp;"-"&amp;TEXT(COUNTIFS($B$3:$B230,$B230),"0"))</f>
        <v/>
      </c>
      <c r="B230" s="53" t="n"/>
      <c r="C230" s="50" t="n"/>
      <c r="D230" s="50" t="n"/>
      <c r="E230" s="49" t="n"/>
      <c r="F230" s="50" t="n"/>
      <c r="G230" s="50" t="n"/>
      <c r="H230" s="50" t="n"/>
      <c r="I230" s="52" t="str">
        <f>IF($A230="","",COUNTIFS(액션아이템!$A$3:$A$1002,$A230))</f>
        <v/>
      </c>
    </row>
    <row r="231" ht="15" customHeight="1" s="41">
      <c r="A231" s="52" t="str">
        <f>IF($B231="","",TEXT($B231,"yymmdd")&amp;"-"&amp;TEXT(COUNTIFS($B$3:$B231,$B231),"0"))</f>
        <v/>
      </c>
      <c r="B231" s="53" t="n"/>
      <c r="C231" s="50" t="n"/>
      <c r="D231" s="50" t="n"/>
      <c r="E231" s="49" t="n"/>
      <c r="F231" s="50" t="n"/>
      <c r="G231" s="50" t="n"/>
      <c r="H231" s="50" t="n"/>
      <c r="I231" s="52" t="str">
        <f>IF($A231="","",COUNTIFS(액션아이템!$A$3:$A$1002,$A231))</f>
        <v/>
      </c>
    </row>
    <row r="232" ht="15" customHeight="1" s="41">
      <c r="A232" s="52" t="str">
        <f>IF($B232="","",TEXT($B232,"yymmdd")&amp;"-"&amp;TEXT(COUNTIFS($B$3:$B232,$B232),"0"))</f>
        <v/>
      </c>
      <c r="B232" s="53" t="n"/>
      <c r="C232" s="50" t="n"/>
      <c r="D232" s="50" t="n"/>
      <c r="E232" s="49" t="n"/>
      <c r="F232" s="50" t="n"/>
      <c r="G232" s="50" t="n"/>
      <c r="H232" s="50" t="n"/>
      <c r="I232" s="52" t="str">
        <f>IF($A232="","",COUNTIFS(액션아이템!$A$3:$A$1002,$A232))</f>
        <v/>
      </c>
    </row>
    <row r="233" ht="15" customHeight="1" s="41">
      <c r="A233" s="52" t="str">
        <f>IF($B233="","",TEXT($B233,"yymmdd")&amp;"-"&amp;TEXT(COUNTIFS($B$3:$B233,$B233),"0"))</f>
        <v/>
      </c>
      <c r="B233" s="53" t="n"/>
      <c r="C233" s="50" t="n"/>
      <c r="D233" s="50" t="n"/>
      <c r="E233" s="49" t="n"/>
      <c r="F233" s="50" t="n"/>
      <c r="G233" s="50" t="n"/>
      <c r="H233" s="50" t="n"/>
      <c r="I233" s="52" t="str">
        <f>IF($A233="","",COUNTIFS(액션아이템!$A$3:$A$1002,$A233))</f>
        <v/>
      </c>
    </row>
    <row r="234" ht="15" customHeight="1" s="41">
      <c r="A234" s="52" t="str">
        <f>IF($B234="","",TEXT($B234,"yymmdd")&amp;"-"&amp;TEXT(COUNTIFS($B$3:$B234,$B234),"0"))</f>
        <v/>
      </c>
      <c r="B234" s="53" t="n"/>
      <c r="C234" s="50" t="n"/>
      <c r="D234" s="50" t="n"/>
      <c r="E234" s="49" t="n"/>
      <c r="F234" s="50" t="n"/>
      <c r="G234" s="50" t="n"/>
      <c r="H234" s="50" t="n"/>
      <c r="I234" s="52" t="str">
        <f>IF($A234="","",COUNTIFS(액션아이템!$A$3:$A$1002,$A234))</f>
        <v/>
      </c>
    </row>
    <row r="235" ht="15" customHeight="1" s="41">
      <c r="A235" s="52" t="str">
        <f>IF($B235="","",TEXT($B235,"yymmdd")&amp;"-"&amp;TEXT(COUNTIFS($B$3:$B235,$B235),"0"))</f>
        <v/>
      </c>
      <c r="B235" s="53" t="n"/>
      <c r="C235" s="50" t="n"/>
      <c r="D235" s="50" t="n"/>
      <c r="E235" s="49" t="n"/>
      <c r="F235" s="50" t="n"/>
      <c r="G235" s="50" t="n"/>
      <c r="H235" s="50" t="n"/>
      <c r="I235" s="52" t="str">
        <f>IF($A235="","",COUNTIFS(액션아이템!$A$3:$A$1002,$A235))</f>
        <v/>
      </c>
    </row>
    <row r="236" ht="15" customHeight="1" s="41">
      <c r="A236" s="52" t="str">
        <f>IF($B236="","",TEXT($B236,"yymmdd")&amp;"-"&amp;TEXT(COUNTIFS($B$3:$B236,$B236),"0"))</f>
        <v/>
      </c>
      <c r="B236" s="53" t="n"/>
      <c r="C236" s="50" t="n"/>
      <c r="D236" s="50" t="n"/>
      <c r="E236" s="49" t="n"/>
      <c r="F236" s="50" t="n"/>
      <c r="G236" s="50" t="n"/>
      <c r="H236" s="50" t="n"/>
      <c r="I236" s="52" t="str">
        <f>IF($A236="","",COUNTIFS(액션아이템!$A$3:$A$1002,$A236))</f>
        <v/>
      </c>
    </row>
    <row r="237" ht="15" customHeight="1" s="41">
      <c r="A237" s="52" t="str">
        <f>IF($B237="","",TEXT($B237,"yymmdd")&amp;"-"&amp;TEXT(COUNTIFS($B$3:$B237,$B237),"0"))</f>
        <v/>
      </c>
      <c r="B237" s="53" t="n"/>
      <c r="C237" s="50" t="n"/>
      <c r="D237" s="50" t="n"/>
      <c r="E237" s="49" t="n"/>
      <c r="F237" s="50" t="n"/>
      <c r="G237" s="50" t="n"/>
      <c r="H237" s="50" t="n"/>
      <c r="I237" s="52" t="str">
        <f>IF($A237="","",COUNTIFS(액션아이템!$A$3:$A$1002,$A237))</f>
        <v/>
      </c>
    </row>
    <row r="238" ht="15" customHeight="1" s="41">
      <c r="A238" s="52" t="str">
        <f>IF($B238="","",TEXT($B238,"yymmdd")&amp;"-"&amp;TEXT(COUNTIFS($B$3:$B238,$B238),"0"))</f>
        <v/>
      </c>
      <c r="B238" s="53" t="n"/>
      <c r="C238" s="50" t="n"/>
      <c r="D238" s="50" t="n"/>
      <c r="E238" s="49" t="n"/>
      <c r="F238" s="50" t="n"/>
      <c r="G238" s="50" t="n"/>
      <c r="H238" s="50" t="n"/>
      <c r="I238" s="52" t="str">
        <f>IF($A238="","",COUNTIFS(액션아이템!$A$3:$A$1002,$A238))</f>
        <v/>
      </c>
    </row>
    <row r="239" ht="15" customHeight="1" s="41">
      <c r="A239" s="52" t="str">
        <f>IF($B239="","",TEXT($B239,"yymmdd")&amp;"-"&amp;TEXT(COUNTIFS($B$3:$B239,$B239),"0"))</f>
        <v/>
      </c>
      <c r="B239" s="53" t="n"/>
      <c r="C239" s="50" t="n"/>
      <c r="D239" s="50" t="n"/>
      <c r="E239" s="49" t="n"/>
      <c r="F239" s="50" t="n"/>
      <c r="G239" s="50" t="n"/>
      <c r="H239" s="50" t="n"/>
      <c r="I239" s="52" t="str">
        <f>IF($A239="","",COUNTIFS(액션아이템!$A$3:$A$1002,$A239))</f>
        <v/>
      </c>
    </row>
    <row r="240" ht="15" customHeight="1" s="41">
      <c r="A240" s="52" t="str">
        <f>IF($B240="","",TEXT($B240,"yymmdd")&amp;"-"&amp;TEXT(COUNTIFS($B$3:$B240,$B240),"0"))</f>
        <v/>
      </c>
      <c r="B240" s="53" t="n"/>
      <c r="C240" s="50" t="n"/>
      <c r="D240" s="50" t="n"/>
      <c r="E240" s="49" t="n"/>
      <c r="F240" s="50" t="n"/>
      <c r="G240" s="50" t="n"/>
      <c r="H240" s="50" t="n"/>
      <c r="I240" s="52" t="str">
        <f>IF($A240="","",COUNTIFS(액션아이템!$A$3:$A$1002,$A240))</f>
        <v/>
      </c>
    </row>
    <row r="241" ht="15" customHeight="1" s="41">
      <c r="A241" s="52" t="str">
        <f>IF($B241="","",TEXT($B241,"yymmdd")&amp;"-"&amp;TEXT(COUNTIFS($B$3:$B241,$B241),"0"))</f>
        <v/>
      </c>
      <c r="B241" s="53" t="n"/>
      <c r="C241" s="50" t="n"/>
      <c r="D241" s="50" t="n"/>
      <c r="E241" s="49" t="n"/>
      <c r="F241" s="50" t="n"/>
      <c r="G241" s="50" t="n"/>
      <c r="H241" s="50" t="n"/>
      <c r="I241" s="52" t="str">
        <f>IF($A241="","",COUNTIFS(액션아이템!$A$3:$A$1002,$A241))</f>
        <v/>
      </c>
    </row>
    <row r="242" ht="15" customHeight="1" s="41">
      <c r="A242" s="52" t="str">
        <f>IF($B242="","",TEXT($B242,"yymmdd")&amp;"-"&amp;TEXT(COUNTIFS($B$3:$B242,$B242),"0"))</f>
        <v/>
      </c>
      <c r="B242" s="53" t="n"/>
      <c r="C242" s="50" t="n"/>
      <c r="D242" s="50" t="n"/>
      <c r="E242" s="49" t="n"/>
      <c r="F242" s="50" t="n"/>
      <c r="G242" s="50" t="n"/>
      <c r="H242" s="50" t="n"/>
      <c r="I242" s="52" t="str">
        <f>IF($A242="","",COUNTIFS(액션아이템!$A$3:$A$1002,$A242))</f>
        <v/>
      </c>
    </row>
    <row r="243" ht="15" customHeight="1" s="41">
      <c r="A243" s="52" t="str">
        <f>IF($B243="","",TEXT($B243,"yymmdd")&amp;"-"&amp;TEXT(COUNTIFS($B$3:$B243,$B243),"0"))</f>
        <v/>
      </c>
      <c r="B243" s="53" t="n"/>
      <c r="C243" s="50" t="n"/>
      <c r="D243" s="50" t="n"/>
      <c r="E243" s="49" t="n"/>
      <c r="F243" s="50" t="n"/>
      <c r="G243" s="50" t="n"/>
      <c r="H243" s="50" t="n"/>
      <c r="I243" s="52" t="str">
        <f>IF($A243="","",COUNTIFS(액션아이템!$A$3:$A$1002,$A243))</f>
        <v/>
      </c>
    </row>
    <row r="244" ht="15" customHeight="1" s="41">
      <c r="A244" s="52" t="str">
        <f>IF($B244="","",TEXT($B244,"yymmdd")&amp;"-"&amp;TEXT(COUNTIFS($B$3:$B244,$B244),"0"))</f>
        <v/>
      </c>
      <c r="B244" s="53" t="n"/>
      <c r="C244" s="50" t="n"/>
      <c r="D244" s="50" t="n"/>
      <c r="E244" s="49" t="n"/>
      <c r="F244" s="50" t="n"/>
      <c r="G244" s="50" t="n"/>
      <c r="H244" s="50" t="n"/>
      <c r="I244" s="52" t="str">
        <f>IF($A244="","",COUNTIFS(액션아이템!$A$3:$A$1002,$A244))</f>
        <v/>
      </c>
    </row>
    <row r="245" ht="15" customHeight="1" s="41">
      <c r="A245" s="52" t="str">
        <f>IF($B245="","",TEXT($B245,"yymmdd")&amp;"-"&amp;TEXT(COUNTIFS($B$3:$B245,$B245),"0"))</f>
        <v/>
      </c>
      <c r="B245" s="53" t="n"/>
      <c r="C245" s="50" t="n"/>
      <c r="D245" s="50" t="n"/>
      <c r="E245" s="49" t="n"/>
      <c r="F245" s="50" t="n"/>
      <c r="G245" s="50" t="n"/>
      <c r="H245" s="50" t="n"/>
      <c r="I245" s="52" t="str">
        <f>IF($A245="","",COUNTIFS(액션아이템!$A$3:$A$1002,$A245))</f>
        <v/>
      </c>
    </row>
    <row r="246" ht="15" customHeight="1" s="41">
      <c r="A246" s="52" t="str">
        <f>IF($B246="","",TEXT($B246,"yymmdd")&amp;"-"&amp;TEXT(COUNTIFS($B$3:$B246,$B246),"0"))</f>
        <v/>
      </c>
      <c r="B246" s="53" t="n"/>
      <c r="C246" s="50" t="n"/>
      <c r="D246" s="50" t="n"/>
      <c r="E246" s="49" t="n"/>
      <c r="F246" s="50" t="n"/>
      <c r="G246" s="50" t="n"/>
      <c r="H246" s="50" t="n"/>
      <c r="I246" s="52" t="str">
        <f>IF($A246="","",COUNTIFS(액션아이템!$A$3:$A$1002,$A246))</f>
        <v/>
      </c>
    </row>
    <row r="247" ht="15" customHeight="1" s="41">
      <c r="A247" s="52" t="str">
        <f>IF($B247="","",TEXT($B247,"yymmdd")&amp;"-"&amp;TEXT(COUNTIFS($B$3:$B247,$B247),"0"))</f>
        <v/>
      </c>
      <c r="B247" s="53" t="n"/>
      <c r="C247" s="50" t="n"/>
      <c r="D247" s="50" t="n"/>
      <c r="E247" s="49" t="n"/>
      <c r="F247" s="50" t="n"/>
      <c r="G247" s="50" t="n"/>
      <c r="H247" s="50" t="n"/>
      <c r="I247" s="52" t="str">
        <f>IF($A247="","",COUNTIFS(액션아이템!$A$3:$A$1002,$A247))</f>
        <v/>
      </c>
    </row>
    <row r="248" ht="15" customHeight="1" s="41">
      <c r="A248" s="52" t="str">
        <f>IF($B248="","",TEXT($B248,"yymmdd")&amp;"-"&amp;TEXT(COUNTIFS($B$3:$B248,$B248),"0"))</f>
        <v/>
      </c>
      <c r="B248" s="53" t="n"/>
      <c r="C248" s="50" t="n"/>
      <c r="D248" s="50" t="n"/>
      <c r="E248" s="49" t="n"/>
      <c r="F248" s="50" t="n"/>
      <c r="G248" s="50" t="n"/>
      <c r="H248" s="50" t="n"/>
      <c r="I248" s="52" t="str">
        <f>IF($A248="","",COUNTIFS(액션아이템!$A$3:$A$1002,$A248))</f>
        <v/>
      </c>
    </row>
    <row r="249" ht="15" customHeight="1" s="41">
      <c r="A249" s="52" t="str">
        <f>IF($B249="","",TEXT($B249,"yymmdd")&amp;"-"&amp;TEXT(COUNTIFS($B$3:$B249,$B249),"0"))</f>
        <v/>
      </c>
      <c r="B249" s="53" t="n"/>
      <c r="C249" s="50" t="n"/>
      <c r="D249" s="50" t="n"/>
      <c r="E249" s="49" t="n"/>
      <c r="F249" s="50" t="n"/>
      <c r="G249" s="50" t="n"/>
      <c r="H249" s="50" t="n"/>
      <c r="I249" s="52" t="str">
        <f>IF($A249="","",COUNTIFS(액션아이템!$A$3:$A$1002,$A249))</f>
        <v/>
      </c>
    </row>
    <row r="250" ht="15" customHeight="1" s="41">
      <c r="A250" s="52" t="str">
        <f>IF($B250="","",TEXT($B250,"yymmdd")&amp;"-"&amp;TEXT(COUNTIFS($B$3:$B250,$B250),"0"))</f>
        <v/>
      </c>
      <c r="B250" s="53" t="n"/>
      <c r="C250" s="50" t="n"/>
      <c r="D250" s="50" t="n"/>
      <c r="E250" s="49" t="n"/>
      <c r="F250" s="50" t="n"/>
      <c r="G250" s="50" t="n"/>
      <c r="H250" s="50" t="n"/>
      <c r="I250" s="52" t="str">
        <f>IF($A250="","",COUNTIFS(액션아이템!$A$3:$A$1002,$A250))</f>
        <v/>
      </c>
    </row>
    <row r="251" ht="15" customHeight="1" s="41">
      <c r="A251" s="52" t="str">
        <f>IF($B251="","",TEXT($B251,"yymmdd")&amp;"-"&amp;TEXT(COUNTIFS($B$3:$B251,$B251),"0"))</f>
        <v/>
      </c>
      <c r="B251" s="53" t="n"/>
      <c r="C251" s="50" t="n"/>
      <c r="D251" s="50" t="n"/>
      <c r="E251" s="49" t="n"/>
      <c r="F251" s="50" t="n"/>
      <c r="G251" s="50" t="n"/>
      <c r="H251" s="50" t="n"/>
      <c r="I251" s="52" t="str">
        <f>IF($A251="","",COUNTIFS(액션아이템!$A$3:$A$1002,$A251))</f>
        <v/>
      </c>
    </row>
    <row r="252" ht="15" customHeight="1" s="41">
      <c r="A252" s="52" t="str">
        <f>IF($B252="","",TEXT($B252,"yymmdd")&amp;"-"&amp;TEXT(COUNTIFS($B$3:$B252,$B252),"0"))</f>
        <v/>
      </c>
      <c r="B252" s="53" t="n"/>
      <c r="C252" s="50" t="n"/>
      <c r="D252" s="50" t="n"/>
      <c r="E252" s="49" t="n"/>
      <c r="F252" s="50" t="n"/>
      <c r="G252" s="50" t="n"/>
      <c r="H252" s="50" t="n"/>
      <c r="I252" s="52" t="str">
        <f>IF($A252="","",COUNTIFS(액션아이템!$A$3:$A$1002,$A252))</f>
        <v/>
      </c>
    </row>
    <row r="253" ht="15" customHeight="1" s="41">
      <c r="A253" s="52" t="str">
        <f>IF($B253="","",TEXT($B253,"yymmdd")&amp;"-"&amp;TEXT(COUNTIFS($B$3:$B253,$B253),"0"))</f>
        <v/>
      </c>
      <c r="B253" s="53" t="n"/>
      <c r="C253" s="50" t="n"/>
      <c r="D253" s="50" t="n"/>
      <c r="E253" s="49" t="n"/>
      <c r="F253" s="50" t="n"/>
      <c r="G253" s="50" t="n"/>
      <c r="H253" s="50" t="n"/>
      <c r="I253" s="52" t="str">
        <f>IF($A253="","",COUNTIFS(액션아이템!$A$3:$A$1002,$A253))</f>
        <v/>
      </c>
    </row>
    <row r="254" ht="15" customHeight="1" s="41">
      <c r="A254" s="52" t="str">
        <f>IF($B254="","",TEXT($B254,"yymmdd")&amp;"-"&amp;TEXT(COUNTIFS($B$3:$B254,$B254),"0"))</f>
        <v/>
      </c>
      <c r="B254" s="53" t="n"/>
      <c r="C254" s="50" t="n"/>
      <c r="D254" s="50" t="n"/>
      <c r="E254" s="49" t="n"/>
      <c r="F254" s="50" t="n"/>
      <c r="G254" s="50" t="n"/>
      <c r="H254" s="50" t="n"/>
      <c r="I254" s="52" t="str">
        <f>IF($A254="","",COUNTIFS(액션아이템!$A$3:$A$1002,$A254))</f>
        <v/>
      </c>
    </row>
    <row r="255" ht="15" customHeight="1" s="41">
      <c r="A255" s="52" t="str">
        <f>IF($B255="","",TEXT($B255,"yymmdd")&amp;"-"&amp;TEXT(COUNTIFS($B$3:$B255,$B255),"0"))</f>
        <v/>
      </c>
      <c r="B255" s="53" t="n"/>
      <c r="C255" s="50" t="n"/>
      <c r="D255" s="50" t="n"/>
      <c r="E255" s="49" t="n"/>
      <c r="F255" s="50" t="n"/>
      <c r="G255" s="50" t="n"/>
      <c r="H255" s="50" t="n"/>
      <c r="I255" s="52" t="str">
        <f>IF($A255="","",COUNTIFS(액션아이템!$A$3:$A$1002,$A255))</f>
        <v/>
      </c>
    </row>
    <row r="256" ht="15" customHeight="1" s="41">
      <c r="A256" s="52" t="str">
        <f>IF($B256="","",TEXT($B256,"yymmdd")&amp;"-"&amp;TEXT(COUNTIFS($B$3:$B256,$B256),"0"))</f>
        <v/>
      </c>
      <c r="B256" s="53" t="n"/>
      <c r="C256" s="50" t="n"/>
      <c r="D256" s="50" t="n"/>
      <c r="E256" s="49" t="n"/>
      <c r="F256" s="50" t="n"/>
      <c r="G256" s="50" t="n"/>
      <c r="H256" s="50" t="n"/>
      <c r="I256" s="52" t="str">
        <f>IF($A256="","",COUNTIFS(액션아이템!$A$3:$A$1002,$A256))</f>
        <v/>
      </c>
    </row>
    <row r="257" ht="15" customHeight="1" s="41">
      <c r="A257" s="52" t="str">
        <f>IF($B257="","",TEXT($B257,"yymmdd")&amp;"-"&amp;TEXT(COUNTIFS($B$3:$B257,$B257),"0"))</f>
        <v/>
      </c>
      <c r="B257" s="53" t="n"/>
      <c r="C257" s="50" t="n"/>
      <c r="D257" s="50" t="n"/>
      <c r="E257" s="49" t="n"/>
      <c r="F257" s="50" t="n"/>
      <c r="G257" s="50" t="n"/>
      <c r="H257" s="50" t="n"/>
      <c r="I257" s="52" t="str">
        <f>IF($A257="","",COUNTIFS(액션아이템!$A$3:$A$1002,$A257))</f>
        <v/>
      </c>
    </row>
    <row r="258" ht="15" customHeight="1" s="41">
      <c r="A258" s="52" t="str">
        <f>IF($B258="","",TEXT($B258,"yymmdd")&amp;"-"&amp;TEXT(COUNTIFS($B$3:$B258,$B258),"0"))</f>
        <v/>
      </c>
      <c r="B258" s="53" t="n"/>
      <c r="C258" s="50" t="n"/>
      <c r="D258" s="50" t="n"/>
      <c r="E258" s="49" t="n"/>
      <c r="F258" s="50" t="n"/>
      <c r="G258" s="50" t="n"/>
      <c r="H258" s="50" t="n"/>
      <c r="I258" s="52" t="str">
        <f>IF($A258="","",COUNTIFS(액션아이템!$A$3:$A$1002,$A258))</f>
        <v/>
      </c>
    </row>
    <row r="259" ht="15" customHeight="1" s="41">
      <c r="A259" s="52" t="str">
        <f>IF($B259="","",TEXT($B259,"yymmdd")&amp;"-"&amp;TEXT(COUNTIFS($B$3:$B259,$B259),"0"))</f>
        <v/>
      </c>
      <c r="B259" s="53" t="n"/>
      <c r="C259" s="50" t="n"/>
      <c r="D259" s="50" t="n"/>
      <c r="E259" s="49" t="n"/>
      <c r="F259" s="50" t="n"/>
      <c r="G259" s="50" t="n"/>
      <c r="H259" s="50" t="n"/>
      <c r="I259" s="52" t="str">
        <f>IF($A259="","",COUNTIFS(액션아이템!$A$3:$A$1002,$A259))</f>
        <v/>
      </c>
    </row>
    <row r="260" ht="15" customHeight="1" s="41">
      <c r="A260" s="52" t="str">
        <f>IF($B260="","",TEXT($B260,"yymmdd")&amp;"-"&amp;TEXT(COUNTIFS($B$3:$B260,$B260),"0"))</f>
        <v/>
      </c>
      <c r="B260" s="53" t="n"/>
      <c r="C260" s="50" t="n"/>
      <c r="D260" s="50" t="n"/>
      <c r="E260" s="49" t="n"/>
      <c r="F260" s="50" t="n"/>
      <c r="G260" s="50" t="n"/>
      <c r="H260" s="50" t="n"/>
      <c r="I260" s="52" t="str">
        <f>IF($A260="","",COUNTIFS(액션아이템!$A$3:$A$1002,$A260))</f>
        <v/>
      </c>
    </row>
    <row r="261" ht="15" customHeight="1" s="41">
      <c r="A261" s="52" t="str">
        <f>IF($B261="","",TEXT($B261,"yymmdd")&amp;"-"&amp;TEXT(COUNTIFS($B$3:$B261,$B261),"0"))</f>
        <v/>
      </c>
      <c r="B261" s="53" t="n"/>
      <c r="C261" s="50" t="n"/>
      <c r="D261" s="50" t="n"/>
      <c r="E261" s="49" t="n"/>
      <c r="F261" s="50" t="n"/>
      <c r="G261" s="50" t="n"/>
      <c r="H261" s="50" t="n"/>
      <c r="I261" s="52" t="str">
        <f>IF($A261="","",COUNTIFS(액션아이템!$A$3:$A$1002,$A261))</f>
        <v/>
      </c>
    </row>
    <row r="262" ht="15" customHeight="1" s="41">
      <c r="A262" s="52" t="str">
        <f>IF($B262="","",TEXT($B262,"yymmdd")&amp;"-"&amp;TEXT(COUNTIFS($B$3:$B262,$B262),"0"))</f>
        <v/>
      </c>
      <c r="B262" s="53" t="n"/>
      <c r="C262" s="50" t="n"/>
      <c r="D262" s="50" t="n"/>
      <c r="E262" s="49" t="n"/>
      <c r="F262" s="50" t="n"/>
      <c r="G262" s="50" t="n"/>
      <c r="H262" s="50" t="n"/>
      <c r="I262" s="52" t="str">
        <f>IF($A262="","",COUNTIFS(액션아이템!$A$3:$A$1002,$A262))</f>
        <v/>
      </c>
    </row>
    <row r="263" ht="15" customHeight="1" s="41">
      <c r="A263" s="52" t="str">
        <f>IF($B263="","",TEXT($B263,"yymmdd")&amp;"-"&amp;TEXT(COUNTIFS($B$3:$B263,$B263),"0"))</f>
        <v/>
      </c>
      <c r="B263" s="53" t="n"/>
      <c r="C263" s="50" t="n"/>
      <c r="D263" s="50" t="n"/>
      <c r="E263" s="49" t="n"/>
      <c r="F263" s="50" t="n"/>
      <c r="G263" s="50" t="n"/>
      <c r="H263" s="50" t="n"/>
      <c r="I263" s="52" t="str">
        <f>IF($A263="","",COUNTIFS(액션아이템!$A$3:$A$1002,$A263))</f>
        <v/>
      </c>
    </row>
    <row r="264" ht="15" customHeight="1" s="41">
      <c r="A264" s="52" t="str">
        <f>IF($B264="","",TEXT($B264,"yymmdd")&amp;"-"&amp;TEXT(COUNTIFS($B$3:$B264,$B264),"0"))</f>
        <v/>
      </c>
      <c r="B264" s="53" t="n"/>
      <c r="C264" s="50" t="n"/>
      <c r="D264" s="50" t="n"/>
      <c r="E264" s="49" t="n"/>
      <c r="F264" s="50" t="n"/>
      <c r="G264" s="50" t="n"/>
      <c r="H264" s="50" t="n"/>
      <c r="I264" s="52" t="str">
        <f>IF($A264="","",COUNTIFS(액션아이템!$A$3:$A$1002,$A264))</f>
        <v/>
      </c>
    </row>
    <row r="265" ht="15" customHeight="1" s="41">
      <c r="A265" s="52" t="str">
        <f>IF($B265="","",TEXT($B265,"yymmdd")&amp;"-"&amp;TEXT(COUNTIFS($B$3:$B265,$B265),"0"))</f>
        <v/>
      </c>
      <c r="B265" s="53" t="n"/>
      <c r="C265" s="50" t="n"/>
      <c r="D265" s="50" t="n"/>
      <c r="E265" s="49" t="n"/>
      <c r="F265" s="50" t="n"/>
      <c r="G265" s="50" t="n"/>
      <c r="H265" s="50" t="n"/>
      <c r="I265" s="52" t="str">
        <f>IF($A265="","",COUNTIFS(액션아이템!$A$3:$A$1002,$A265))</f>
        <v/>
      </c>
    </row>
    <row r="266" ht="15" customHeight="1" s="41">
      <c r="A266" s="52" t="str">
        <f>IF($B266="","",TEXT($B266,"yymmdd")&amp;"-"&amp;TEXT(COUNTIFS($B$3:$B266,$B266),"0"))</f>
        <v/>
      </c>
      <c r="B266" s="53" t="n"/>
      <c r="C266" s="50" t="n"/>
      <c r="D266" s="50" t="n"/>
      <c r="E266" s="49" t="n"/>
      <c r="F266" s="50" t="n"/>
      <c r="G266" s="50" t="n"/>
      <c r="H266" s="50" t="n"/>
      <c r="I266" s="52" t="str">
        <f>IF($A266="","",COUNTIFS(액션아이템!$A$3:$A$1002,$A266))</f>
        <v/>
      </c>
    </row>
    <row r="267" ht="15" customHeight="1" s="41">
      <c r="A267" s="52" t="str">
        <f>IF($B267="","",TEXT($B267,"yymmdd")&amp;"-"&amp;TEXT(COUNTIFS($B$3:$B267,$B267),"0"))</f>
        <v/>
      </c>
      <c r="B267" s="53" t="n"/>
      <c r="C267" s="50" t="n"/>
      <c r="D267" s="50" t="n"/>
      <c r="E267" s="49" t="n"/>
      <c r="F267" s="50" t="n"/>
      <c r="G267" s="50" t="n"/>
      <c r="H267" s="50" t="n"/>
      <c r="I267" s="52" t="str">
        <f>IF($A267="","",COUNTIFS(액션아이템!$A$3:$A$1002,$A267))</f>
        <v/>
      </c>
    </row>
    <row r="268" ht="15" customHeight="1" s="41">
      <c r="A268" s="52" t="str">
        <f>IF($B268="","",TEXT($B268,"yymmdd")&amp;"-"&amp;TEXT(COUNTIFS($B$3:$B268,$B268),"0"))</f>
        <v/>
      </c>
      <c r="B268" s="53" t="n"/>
      <c r="C268" s="50" t="n"/>
      <c r="D268" s="50" t="n"/>
      <c r="E268" s="49" t="n"/>
      <c r="F268" s="50" t="n"/>
      <c r="G268" s="50" t="n"/>
      <c r="H268" s="50" t="n"/>
      <c r="I268" s="52" t="str">
        <f>IF($A268="","",COUNTIFS(액션아이템!$A$3:$A$1002,$A268))</f>
        <v/>
      </c>
    </row>
    <row r="269" ht="15" customHeight="1" s="41">
      <c r="A269" s="52" t="str">
        <f>IF($B269="","",TEXT($B269,"yymmdd")&amp;"-"&amp;TEXT(COUNTIFS($B$3:$B269,$B269),"0"))</f>
        <v/>
      </c>
      <c r="B269" s="53" t="n"/>
      <c r="C269" s="50" t="n"/>
      <c r="D269" s="50" t="n"/>
      <c r="E269" s="49" t="n"/>
      <c r="F269" s="50" t="n"/>
      <c r="G269" s="50" t="n"/>
      <c r="H269" s="50" t="n"/>
      <c r="I269" s="52" t="str">
        <f>IF($A269="","",COUNTIFS(액션아이템!$A$3:$A$1002,$A269))</f>
        <v/>
      </c>
    </row>
    <row r="270" ht="15" customHeight="1" s="41">
      <c r="A270" s="52" t="str">
        <f>IF($B270="","",TEXT($B270,"yymmdd")&amp;"-"&amp;TEXT(COUNTIFS($B$3:$B270,$B270),"0"))</f>
        <v/>
      </c>
      <c r="B270" s="53" t="n"/>
      <c r="C270" s="50" t="n"/>
      <c r="D270" s="50" t="n"/>
      <c r="E270" s="49" t="n"/>
      <c r="F270" s="50" t="n"/>
      <c r="G270" s="50" t="n"/>
      <c r="H270" s="50" t="n"/>
      <c r="I270" s="52" t="str">
        <f>IF($A270="","",COUNTIFS(액션아이템!$A$3:$A$1002,$A270))</f>
        <v/>
      </c>
    </row>
    <row r="271" ht="15" customHeight="1" s="41">
      <c r="A271" s="52" t="str">
        <f>IF($B271="","",TEXT($B271,"yymmdd")&amp;"-"&amp;TEXT(COUNTIFS($B$3:$B271,$B271),"0"))</f>
        <v/>
      </c>
      <c r="B271" s="53" t="n"/>
      <c r="C271" s="50" t="n"/>
      <c r="D271" s="50" t="n"/>
      <c r="E271" s="49" t="n"/>
      <c r="F271" s="50" t="n"/>
      <c r="G271" s="50" t="n"/>
      <c r="H271" s="50" t="n"/>
      <c r="I271" s="52" t="str">
        <f>IF($A271="","",COUNTIFS(액션아이템!$A$3:$A$1002,$A271))</f>
        <v/>
      </c>
    </row>
    <row r="272" ht="15" customHeight="1" s="41">
      <c r="A272" s="52" t="str">
        <f>IF($B272="","",TEXT($B272,"yymmdd")&amp;"-"&amp;TEXT(COUNTIFS($B$3:$B272,$B272),"0"))</f>
        <v/>
      </c>
      <c r="B272" s="53" t="n"/>
      <c r="C272" s="50" t="n"/>
      <c r="D272" s="50" t="n"/>
      <c r="E272" s="49" t="n"/>
      <c r="F272" s="50" t="n"/>
      <c r="G272" s="50" t="n"/>
      <c r="H272" s="50" t="n"/>
      <c r="I272" s="52" t="str">
        <f>IF($A272="","",COUNTIFS(액션아이템!$A$3:$A$1002,$A272))</f>
        <v/>
      </c>
    </row>
    <row r="273" ht="15" customHeight="1" s="41">
      <c r="A273" s="52" t="str">
        <f>IF($B273="","",TEXT($B273,"yymmdd")&amp;"-"&amp;TEXT(COUNTIFS($B$3:$B273,$B273),"0"))</f>
        <v/>
      </c>
      <c r="B273" s="53" t="n"/>
      <c r="C273" s="50" t="n"/>
      <c r="D273" s="50" t="n"/>
      <c r="E273" s="49" t="n"/>
      <c r="F273" s="50" t="n"/>
      <c r="G273" s="50" t="n"/>
      <c r="H273" s="50" t="n"/>
      <c r="I273" s="52" t="str">
        <f>IF($A273="","",COUNTIFS(액션아이템!$A$3:$A$1002,$A273))</f>
        <v/>
      </c>
    </row>
    <row r="274" ht="15" customHeight="1" s="41">
      <c r="A274" s="52" t="str">
        <f>IF($B274="","",TEXT($B274,"yymmdd")&amp;"-"&amp;TEXT(COUNTIFS($B$3:$B274,$B274),"0"))</f>
        <v/>
      </c>
      <c r="B274" s="53" t="n"/>
      <c r="C274" s="50" t="n"/>
      <c r="D274" s="50" t="n"/>
      <c r="E274" s="49" t="n"/>
      <c r="F274" s="50" t="n"/>
      <c r="G274" s="50" t="n"/>
      <c r="H274" s="50" t="n"/>
      <c r="I274" s="52" t="str">
        <f>IF($A274="","",COUNTIFS(액션아이템!$A$3:$A$1002,$A274))</f>
        <v/>
      </c>
    </row>
    <row r="275" ht="15" customHeight="1" s="41">
      <c r="A275" s="52" t="str">
        <f>IF($B275="","",TEXT($B275,"yymmdd")&amp;"-"&amp;TEXT(COUNTIFS($B$3:$B275,$B275),"0"))</f>
        <v/>
      </c>
      <c r="B275" s="53" t="n"/>
      <c r="C275" s="50" t="n"/>
      <c r="D275" s="50" t="n"/>
      <c r="E275" s="49" t="n"/>
      <c r="F275" s="50" t="n"/>
      <c r="G275" s="50" t="n"/>
      <c r="H275" s="50" t="n"/>
      <c r="I275" s="52" t="str">
        <f>IF($A275="","",COUNTIFS(액션아이템!$A$3:$A$1002,$A275))</f>
        <v/>
      </c>
    </row>
    <row r="276" ht="15" customHeight="1" s="41">
      <c r="A276" s="52" t="str">
        <f>IF($B276="","",TEXT($B276,"yymmdd")&amp;"-"&amp;TEXT(COUNTIFS($B$3:$B276,$B276),"0"))</f>
        <v/>
      </c>
      <c r="B276" s="53" t="n"/>
      <c r="C276" s="50" t="n"/>
      <c r="D276" s="50" t="n"/>
      <c r="E276" s="49" t="n"/>
      <c r="F276" s="50" t="n"/>
      <c r="G276" s="50" t="n"/>
      <c r="H276" s="50" t="n"/>
      <c r="I276" s="52" t="str">
        <f>IF($A276="","",COUNTIFS(액션아이템!$A$3:$A$1002,$A276))</f>
        <v/>
      </c>
    </row>
    <row r="277" ht="15" customHeight="1" s="41">
      <c r="A277" s="52" t="str">
        <f>IF($B277="","",TEXT($B277,"yymmdd")&amp;"-"&amp;TEXT(COUNTIFS($B$3:$B277,$B277),"0"))</f>
        <v/>
      </c>
      <c r="B277" s="53" t="n"/>
      <c r="C277" s="50" t="n"/>
      <c r="D277" s="50" t="n"/>
      <c r="E277" s="49" t="n"/>
      <c r="F277" s="50" t="n"/>
      <c r="G277" s="50" t="n"/>
      <c r="H277" s="50" t="n"/>
      <c r="I277" s="52" t="str">
        <f>IF($A277="","",COUNTIFS(액션아이템!$A$3:$A$1002,$A277))</f>
        <v/>
      </c>
    </row>
    <row r="278" ht="15" customHeight="1" s="41">
      <c r="A278" s="52" t="str">
        <f>IF($B278="","",TEXT($B278,"yymmdd")&amp;"-"&amp;TEXT(COUNTIFS($B$3:$B278,$B278),"0"))</f>
        <v/>
      </c>
      <c r="B278" s="53" t="n"/>
      <c r="C278" s="50" t="n"/>
      <c r="D278" s="50" t="n"/>
      <c r="E278" s="49" t="n"/>
      <c r="F278" s="50" t="n"/>
      <c r="G278" s="50" t="n"/>
      <c r="H278" s="50" t="n"/>
      <c r="I278" s="52" t="str">
        <f>IF($A278="","",COUNTIFS(액션아이템!$A$3:$A$1002,$A278))</f>
        <v/>
      </c>
    </row>
    <row r="279" ht="15" customHeight="1" s="41">
      <c r="A279" s="52" t="str">
        <f>IF($B279="","",TEXT($B279,"yymmdd")&amp;"-"&amp;TEXT(COUNTIFS($B$3:$B279,$B279),"0"))</f>
        <v/>
      </c>
      <c r="B279" s="53" t="n"/>
      <c r="C279" s="50" t="n"/>
      <c r="D279" s="50" t="n"/>
      <c r="E279" s="49" t="n"/>
      <c r="F279" s="50" t="n"/>
      <c r="G279" s="50" t="n"/>
      <c r="H279" s="50" t="n"/>
      <c r="I279" s="52" t="str">
        <f>IF($A279="","",COUNTIFS(액션아이템!$A$3:$A$1002,$A279))</f>
        <v/>
      </c>
    </row>
    <row r="280" ht="15" customHeight="1" s="41">
      <c r="A280" s="52" t="str">
        <f>IF($B280="","",TEXT($B280,"yymmdd")&amp;"-"&amp;TEXT(COUNTIFS($B$3:$B280,$B280),"0"))</f>
        <v/>
      </c>
      <c r="B280" s="53" t="n"/>
      <c r="C280" s="50" t="n"/>
      <c r="D280" s="50" t="n"/>
      <c r="E280" s="49" t="n"/>
      <c r="F280" s="50" t="n"/>
      <c r="G280" s="50" t="n"/>
      <c r="H280" s="50" t="n"/>
      <c r="I280" s="52" t="str">
        <f>IF($A280="","",COUNTIFS(액션아이템!$A$3:$A$1002,$A280))</f>
        <v/>
      </c>
    </row>
    <row r="281" ht="15" customHeight="1" s="41">
      <c r="A281" s="52" t="str">
        <f>IF($B281="","",TEXT($B281,"yymmdd")&amp;"-"&amp;TEXT(COUNTIFS($B$3:$B281,$B281),"0"))</f>
        <v/>
      </c>
      <c r="B281" s="53" t="n"/>
      <c r="C281" s="50" t="n"/>
      <c r="D281" s="50" t="n"/>
      <c r="E281" s="49" t="n"/>
      <c r="F281" s="50" t="n"/>
      <c r="G281" s="50" t="n"/>
      <c r="H281" s="50" t="n"/>
      <c r="I281" s="52" t="str">
        <f>IF($A281="","",COUNTIFS(액션아이템!$A$3:$A$1002,$A281))</f>
        <v/>
      </c>
    </row>
    <row r="282" ht="15" customHeight="1" s="41">
      <c r="A282" s="52" t="str">
        <f>IF($B282="","",TEXT($B282,"yymmdd")&amp;"-"&amp;TEXT(COUNTIFS($B$3:$B282,$B282),"0"))</f>
        <v/>
      </c>
      <c r="B282" s="53" t="n"/>
      <c r="C282" s="50" t="n"/>
      <c r="D282" s="50" t="n"/>
      <c r="E282" s="49" t="n"/>
      <c r="F282" s="50" t="n"/>
      <c r="G282" s="50" t="n"/>
      <c r="H282" s="50" t="n"/>
      <c r="I282" s="52" t="str">
        <f>IF($A282="","",COUNTIFS(액션아이템!$A$3:$A$1002,$A282))</f>
        <v/>
      </c>
    </row>
    <row r="283" ht="15" customHeight="1" s="41">
      <c r="A283" s="52" t="str">
        <f>IF($B283="","",TEXT($B283,"yymmdd")&amp;"-"&amp;TEXT(COUNTIFS($B$3:$B283,$B283),"0"))</f>
        <v/>
      </c>
      <c r="B283" s="53" t="n"/>
      <c r="C283" s="50" t="n"/>
      <c r="D283" s="50" t="n"/>
      <c r="E283" s="49" t="n"/>
      <c r="F283" s="50" t="n"/>
      <c r="G283" s="50" t="n"/>
      <c r="H283" s="50" t="n"/>
      <c r="I283" s="52" t="str">
        <f>IF($A283="","",COUNTIFS(액션아이템!$A$3:$A$1002,$A283))</f>
        <v/>
      </c>
    </row>
    <row r="284" ht="15" customHeight="1" s="41">
      <c r="A284" s="52" t="str">
        <f>IF($B284="","",TEXT($B284,"yymmdd")&amp;"-"&amp;TEXT(COUNTIFS($B$3:$B284,$B284),"0"))</f>
        <v/>
      </c>
      <c r="B284" s="53" t="n"/>
      <c r="C284" s="50" t="n"/>
      <c r="D284" s="50" t="n"/>
      <c r="E284" s="49" t="n"/>
      <c r="F284" s="50" t="n"/>
      <c r="G284" s="50" t="n"/>
      <c r="H284" s="50" t="n"/>
      <c r="I284" s="52" t="str">
        <f>IF($A284="","",COUNTIFS(액션아이템!$A$3:$A$1002,$A284))</f>
        <v/>
      </c>
    </row>
    <row r="285" ht="15" customHeight="1" s="41">
      <c r="A285" s="52" t="str">
        <f>IF($B285="","",TEXT($B285,"yymmdd")&amp;"-"&amp;TEXT(COUNTIFS($B$3:$B285,$B285),"0"))</f>
        <v/>
      </c>
      <c r="B285" s="53" t="n"/>
      <c r="C285" s="50" t="n"/>
      <c r="D285" s="50" t="n"/>
      <c r="E285" s="49" t="n"/>
      <c r="F285" s="50" t="n"/>
      <c r="G285" s="50" t="n"/>
      <c r="H285" s="50" t="n"/>
      <c r="I285" s="52" t="str">
        <f>IF($A285="","",COUNTIFS(액션아이템!$A$3:$A$1002,$A285))</f>
        <v/>
      </c>
    </row>
    <row r="286" ht="15" customHeight="1" s="41">
      <c r="A286" s="52" t="str">
        <f>IF($B286="","",TEXT($B286,"yymmdd")&amp;"-"&amp;TEXT(COUNTIFS($B$3:$B286,$B286),"0"))</f>
        <v/>
      </c>
      <c r="B286" s="53" t="n"/>
      <c r="C286" s="50" t="n"/>
      <c r="D286" s="50" t="n"/>
      <c r="E286" s="49" t="n"/>
      <c r="F286" s="50" t="n"/>
      <c r="G286" s="50" t="n"/>
      <c r="H286" s="50" t="n"/>
      <c r="I286" s="52" t="str">
        <f>IF($A286="","",COUNTIFS(액션아이템!$A$3:$A$1002,$A286))</f>
        <v/>
      </c>
    </row>
    <row r="287" ht="15" customHeight="1" s="41">
      <c r="A287" s="52" t="str">
        <f>IF($B287="","",TEXT($B287,"yymmdd")&amp;"-"&amp;TEXT(COUNTIFS($B$3:$B287,$B287),"0"))</f>
        <v/>
      </c>
      <c r="B287" s="53" t="n"/>
      <c r="C287" s="50" t="n"/>
      <c r="D287" s="50" t="n"/>
      <c r="E287" s="49" t="n"/>
      <c r="F287" s="50" t="n"/>
      <c r="G287" s="50" t="n"/>
      <c r="H287" s="50" t="n"/>
      <c r="I287" s="52" t="str">
        <f>IF($A287="","",COUNTIFS(액션아이템!$A$3:$A$1002,$A287))</f>
        <v/>
      </c>
    </row>
    <row r="288" ht="15" customHeight="1" s="41">
      <c r="A288" s="52" t="str">
        <f>IF($B288="","",TEXT($B288,"yymmdd")&amp;"-"&amp;TEXT(COUNTIFS($B$3:$B288,$B288),"0"))</f>
        <v/>
      </c>
      <c r="B288" s="53" t="n"/>
      <c r="C288" s="50" t="n"/>
      <c r="D288" s="50" t="n"/>
      <c r="E288" s="49" t="n"/>
      <c r="F288" s="50" t="n"/>
      <c r="G288" s="50" t="n"/>
      <c r="H288" s="50" t="n"/>
      <c r="I288" s="52" t="str">
        <f>IF($A288="","",COUNTIFS(액션아이템!$A$3:$A$1002,$A288))</f>
        <v/>
      </c>
    </row>
    <row r="289" ht="15" customHeight="1" s="41">
      <c r="A289" s="52" t="str">
        <f>IF($B289="","",TEXT($B289,"yymmdd")&amp;"-"&amp;TEXT(COUNTIFS($B$3:$B289,$B289),"0"))</f>
        <v/>
      </c>
      <c r="B289" s="53" t="n"/>
      <c r="C289" s="50" t="n"/>
      <c r="D289" s="50" t="n"/>
      <c r="E289" s="49" t="n"/>
      <c r="F289" s="50" t="n"/>
      <c r="G289" s="50" t="n"/>
      <c r="H289" s="50" t="n"/>
      <c r="I289" s="52" t="str">
        <f>IF($A289="","",COUNTIFS(액션아이템!$A$3:$A$1002,$A289))</f>
        <v/>
      </c>
    </row>
    <row r="290" ht="15" customHeight="1" s="41">
      <c r="A290" s="52" t="str">
        <f>IF($B290="","",TEXT($B290,"yymmdd")&amp;"-"&amp;TEXT(COUNTIFS($B$3:$B290,$B290),"0"))</f>
        <v/>
      </c>
      <c r="B290" s="53" t="n"/>
      <c r="C290" s="50" t="n"/>
      <c r="D290" s="50" t="n"/>
      <c r="E290" s="49" t="n"/>
      <c r="F290" s="50" t="n"/>
      <c r="G290" s="50" t="n"/>
      <c r="H290" s="50" t="n"/>
      <c r="I290" s="52" t="str">
        <f>IF($A290="","",COUNTIFS(액션아이템!$A$3:$A$1002,$A290))</f>
        <v/>
      </c>
    </row>
    <row r="291" ht="15" customHeight="1" s="41">
      <c r="A291" s="52" t="str">
        <f>IF($B291="","",TEXT($B291,"yymmdd")&amp;"-"&amp;TEXT(COUNTIFS($B$3:$B291,$B291),"0"))</f>
        <v/>
      </c>
      <c r="B291" s="53" t="n"/>
      <c r="C291" s="50" t="n"/>
      <c r="D291" s="50" t="n"/>
      <c r="E291" s="49" t="n"/>
      <c r="F291" s="50" t="n"/>
      <c r="G291" s="50" t="n"/>
      <c r="H291" s="50" t="n"/>
      <c r="I291" s="52" t="str">
        <f>IF($A291="","",COUNTIFS(액션아이템!$A$3:$A$1002,$A291))</f>
        <v/>
      </c>
    </row>
    <row r="292" ht="15" customHeight="1" s="41">
      <c r="A292" s="52" t="str">
        <f>IF($B292="","",TEXT($B292,"yymmdd")&amp;"-"&amp;TEXT(COUNTIFS($B$3:$B292,$B292),"0"))</f>
        <v/>
      </c>
      <c r="B292" s="53" t="n"/>
      <c r="C292" s="50" t="n"/>
      <c r="D292" s="50" t="n"/>
      <c r="E292" s="49" t="n"/>
      <c r="F292" s="50" t="n"/>
      <c r="G292" s="50" t="n"/>
      <c r="H292" s="50" t="n"/>
      <c r="I292" s="52" t="str">
        <f>IF($A292="","",COUNTIFS(액션아이템!$A$3:$A$1002,$A292))</f>
        <v/>
      </c>
    </row>
    <row r="293" ht="15" customHeight="1" s="41">
      <c r="A293" s="52" t="str">
        <f>IF($B293="","",TEXT($B293,"yymmdd")&amp;"-"&amp;TEXT(COUNTIFS($B$3:$B293,$B293),"0"))</f>
        <v/>
      </c>
      <c r="B293" s="53" t="n"/>
      <c r="C293" s="50" t="n"/>
      <c r="D293" s="50" t="n"/>
      <c r="E293" s="49" t="n"/>
      <c r="F293" s="50" t="n"/>
      <c r="G293" s="50" t="n"/>
      <c r="H293" s="50" t="n"/>
      <c r="I293" s="52" t="str">
        <f>IF($A293="","",COUNTIFS(액션아이템!$A$3:$A$1002,$A293))</f>
        <v/>
      </c>
    </row>
    <row r="294" ht="15" customHeight="1" s="41">
      <c r="A294" s="52" t="str">
        <f>IF($B294="","",TEXT($B294,"yymmdd")&amp;"-"&amp;TEXT(COUNTIFS($B$3:$B294,$B294),"0"))</f>
        <v/>
      </c>
      <c r="B294" s="53" t="n"/>
      <c r="C294" s="50" t="n"/>
      <c r="D294" s="50" t="n"/>
      <c r="E294" s="49" t="n"/>
      <c r="F294" s="50" t="n"/>
      <c r="G294" s="50" t="n"/>
      <c r="H294" s="50" t="n"/>
      <c r="I294" s="52" t="str">
        <f>IF($A294="","",COUNTIFS(액션아이템!$A$3:$A$1002,$A294))</f>
        <v/>
      </c>
    </row>
    <row r="295" ht="15" customHeight="1" s="41">
      <c r="A295" s="52" t="str">
        <f>IF($B295="","",TEXT($B295,"yymmdd")&amp;"-"&amp;TEXT(COUNTIFS($B$3:$B295,$B295),"0"))</f>
        <v/>
      </c>
      <c r="B295" s="53" t="n"/>
      <c r="C295" s="50" t="n"/>
      <c r="D295" s="50" t="n"/>
      <c r="E295" s="49" t="n"/>
      <c r="F295" s="50" t="n"/>
      <c r="G295" s="50" t="n"/>
      <c r="H295" s="50" t="n"/>
      <c r="I295" s="52" t="str">
        <f>IF($A295="","",COUNTIFS(액션아이템!$A$3:$A$1002,$A295))</f>
        <v/>
      </c>
    </row>
    <row r="296" ht="15" customHeight="1" s="41">
      <c r="A296" s="52" t="str">
        <f>IF($B296="","",TEXT($B296,"yymmdd")&amp;"-"&amp;TEXT(COUNTIFS($B$3:$B296,$B296),"0"))</f>
        <v/>
      </c>
      <c r="B296" s="53" t="n"/>
      <c r="C296" s="50" t="n"/>
      <c r="D296" s="50" t="n"/>
      <c r="E296" s="49" t="n"/>
      <c r="F296" s="50" t="n"/>
      <c r="G296" s="50" t="n"/>
      <c r="H296" s="50" t="n"/>
      <c r="I296" s="52" t="str">
        <f>IF($A296="","",COUNTIFS(액션아이템!$A$3:$A$1002,$A296))</f>
        <v/>
      </c>
    </row>
    <row r="297" ht="15" customHeight="1" s="41">
      <c r="A297" s="52" t="str">
        <f>IF($B297="","",TEXT($B297,"yymmdd")&amp;"-"&amp;TEXT(COUNTIFS($B$3:$B297,$B297),"0"))</f>
        <v/>
      </c>
      <c r="B297" s="53" t="n"/>
      <c r="C297" s="50" t="n"/>
      <c r="D297" s="50" t="n"/>
      <c r="E297" s="49" t="n"/>
      <c r="F297" s="50" t="n"/>
      <c r="G297" s="50" t="n"/>
      <c r="H297" s="50" t="n"/>
      <c r="I297" s="52" t="str">
        <f>IF($A297="","",COUNTIFS(액션아이템!$A$3:$A$1002,$A297))</f>
        <v/>
      </c>
    </row>
    <row r="298" ht="15" customHeight="1" s="41">
      <c r="A298" s="52" t="str">
        <f>IF($B298="","",TEXT($B298,"yymmdd")&amp;"-"&amp;TEXT(COUNTIFS($B$3:$B298,$B298),"0"))</f>
        <v/>
      </c>
      <c r="B298" s="53" t="n"/>
      <c r="C298" s="50" t="n"/>
      <c r="D298" s="50" t="n"/>
      <c r="E298" s="49" t="n"/>
      <c r="F298" s="50" t="n"/>
      <c r="G298" s="50" t="n"/>
      <c r="H298" s="50" t="n"/>
      <c r="I298" s="52" t="str">
        <f>IF($A298="","",COUNTIFS(액션아이템!$A$3:$A$1002,$A298))</f>
        <v/>
      </c>
    </row>
    <row r="299" ht="15" customHeight="1" s="41">
      <c r="A299" s="52" t="str">
        <f>IF($B299="","",TEXT($B299,"yymmdd")&amp;"-"&amp;TEXT(COUNTIFS($B$3:$B299,$B299),"0"))</f>
        <v/>
      </c>
      <c r="B299" s="53" t="n"/>
      <c r="C299" s="50" t="n"/>
      <c r="D299" s="50" t="n"/>
      <c r="E299" s="49" t="n"/>
      <c r="F299" s="50" t="n"/>
      <c r="G299" s="50" t="n"/>
      <c r="H299" s="50" t="n"/>
      <c r="I299" s="52" t="str">
        <f>IF($A299="","",COUNTIFS(액션아이템!$A$3:$A$1002,$A299))</f>
        <v/>
      </c>
    </row>
    <row r="300" ht="15" customHeight="1" s="41">
      <c r="A300" s="52" t="str">
        <f>IF($B300="","",TEXT($B300,"yymmdd")&amp;"-"&amp;TEXT(COUNTIFS($B$3:$B300,$B300),"0"))</f>
        <v/>
      </c>
      <c r="B300" s="53" t="n"/>
      <c r="C300" s="50" t="n"/>
      <c r="D300" s="50" t="n"/>
      <c r="E300" s="49" t="n"/>
      <c r="F300" s="50" t="n"/>
      <c r="G300" s="50" t="n"/>
      <c r="H300" s="50" t="n"/>
      <c r="I300" s="52" t="str">
        <f>IF($A300="","",COUNTIFS(액션아이템!$A$3:$A$1002,$A300))</f>
        <v/>
      </c>
    </row>
    <row r="301" ht="15" customHeight="1" s="41">
      <c r="A301" s="52" t="str">
        <f>IF($B301="","",TEXT($B301,"yymmdd")&amp;"-"&amp;TEXT(COUNTIFS($B$3:$B301,$B301),"0"))</f>
        <v/>
      </c>
      <c r="B301" s="53" t="n"/>
      <c r="C301" s="50" t="n"/>
      <c r="D301" s="50" t="n"/>
      <c r="E301" s="49" t="n"/>
      <c r="F301" s="50" t="n"/>
      <c r="G301" s="50" t="n"/>
      <c r="H301" s="50" t="n"/>
      <c r="I301" s="52" t="str">
        <f>IF($A301="","",COUNTIFS(액션아이템!$A$3:$A$1002,$A301))</f>
        <v/>
      </c>
    </row>
    <row r="302" ht="15" customHeight="1" s="41">
      <c r="A302" s="52" t="str">
        <f>IF($B302="","",TEXT($B302,"yymmdd")&amp;"-"&amp;TEXT(COUNTIFS($B$3:$B302,$B302),"0"))</f>
        <v/>
      </c>
      <c r="B302" s="53" t="n"/>
      <c r="C302" s="50" t="n"/>
      <c r="D302" s="50" t="n"/>
      <c r="E302" s="49" t="n"/>
      <c r="F302" s="50" t="n"/>
      <c r="G302" s="50" t="n"/>
      <c r="H302" s="50" t="n"/>
      <c r="I302" s="52" t="str">
        <f>IF($A302="","",COUNTIFS(액션아이템!$A$3:$A$1002,$A302))</f>
        <v/>
      </c>
    </row>
  </sheetData>
  <mergeCells count="1">
    <mergeCell ref="A1:I1"/>
  </mergeCells>
  <dataValidations count="1">
    <dataValidation sqref="E3:E302" showDropDown="0" showInputMessage="0" showErrorMessage="0" allowBlank="1" type="list" errorStyle="stop" operator="between">
      <formula1>구성원목록!$A$3:$A$202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10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5" customWidth="1" style="40" min="1" max="1"/>
    <col width="26" customWidth="1" style="40" min="2" max="2"/>
    <col width="40" customWidth="1" style="40" min="3" max="3"/>
    <col width="16" customWidth="1" style="40" min="4" max="4"/>
    <col width="13" customWidth="1" style="40" min="5" max="5"/>
    <col width="12" customWidth="1" style="40" min="6" max="6"/>
    <col width="13" customWidth="1" style="40" min="7" max="9"/>
    <col width="13" customWidth="1" style="41" min="8" max="8"/>
    <col width="14" customWidth="1" style="41" min="9" max="9"/>
    <col width="24" customWidth="1" style="40" min="10" max="10"/>
    <col width="18" customWidth="1" style="40" min="11" max="12"/>
    <col width="18" customWidth="1" style="41" min="12" max="12"/>
  </cols>
  <sheetData>
    <row r="1" ht="25.5" customHeight="1" s="41">
      <c r="A1" s="42" t="inlineStr">
        <is>
          <t>액션아이템  (회의에서 나온 할 일)</t>
        </is>
      </c>
    </row>
    <row r="2" ht="15" customHeight="1" s="41">
      <c r="A2" s="48" t="inlineStr">
        <is>
          <t>회의번호</t>
        </is>
      </c>
      <c r="B2" s="51" t="inlineStr">
        <is>
          <t>회의명(자동)</t>
        </is>
      </c>
      <c r="C2" s="48" t="inlineStr">
        <is>
          <t>할 일</t>
        </is>
      </c>
      <c r="D2" s="48" t="inlineStr">
        <is>
          <t>담당자</t>
        </is>
      </c>
      <c r="E2" s="48" t="inlineStr">
        <is>
          <t>기한</t>
        </is>
      </c>
      <c r="F2" s="48" t="inlineStr">
        <is>
          <t>상태</t>
        </is>
      </c>
      <c r="G2" s="48" t="inlineStr">
        <is>
          <t>완료일</t>
        </is>
      </c>
      <c r="H2" s="54" t="inlineStr">
        <is>
          <t>D-Day(자동)</t>
        </is>
      </c>
      <c r="I2" s="51" t="inlineStr">
        <is>
          <t>지연일(자동)</t>
        </is>
      </c>
      <c r="J2" s="48" t="inlineStr">
        <is>
          <t>비고</t>
        </is>
      </c>
      <c r="K2" s="55" t="inlineStr">
        <is>
          <t>조회키(자동)</t>
        </is>
      </c>
      <c r="L2" s="55" t="inlineStr">
        <is>
          <t>회의내순번(자동)</t>
        </is>
      </c>
    </row>
    <row r="3" ht="15" customHeight="1" s="41">
      <c r="A3" s="50" t="inlineStr">
        <is>
          <t>260901-1</t>
        </is>
      </c>
      <c r="B3" s="52" t="str">
        <f>IF($A3="","",IFERROR(INDEX(회의록!$C$3:$C$302,MATCH($A3,회의록!$A$3:$A$302,0)),"회의번호없음"))</f>
        <v>9월 정기회의</v>
      </c>
      <c r="C3" s="50" t="inlineStr">
        <is>
          <t>4분기 기능 명세 작성</t>
        </is>
      </c>
      <c r="D3" s="49" t="inlineStr">
        <is>
          <t>이대리</t>
        </is>
      </c>
      <c r="E3" s="53" t="n">
        <v>46285</v>
      </c>
      <c r="F3" s="49" t="inlineStr">
        <is>
          <t>진행중</t>
        </is>
      </c>
      <c r="G3" s="53" t="n"/>
      <c r="H3" s="56" t="n">
        <f>IF(OR($C3="",$E3="",$F3="완료",$F3="취소"),"",$E3-TODAY())</f>
        <v>6</v>
      </c>
      <c r="I3" s="56" t="n">
        <f>IF(OR($C3="",$E3=""),"",IF($F3="완료",IF($G3="","",MAX(0,$G3-$E3)),IF($F3="취소","",MAX(0,TODAY()-$E3))))</f>
        <v>0</v>
      </c>
      <c r="J3" s="50" t="n"/>
      <c r="K3" s="52" t="str">
        <f>IF($A3="","",$A3&amp;"|"&amp;$L3)</f>
        <v>260901-1|1</v>
      </c>
      <c r="L3" s="52" t="n">
        <f>IF($A3="","",COUNTIFS($A$3:$A3,$A3))</f>
        <v>1</v>
      </c>
    </row>
    <row r="4" ht="15" customHeight="1" s="41">
      <c r="A4" s="50" t="inlineStr">
        <is>
          <t>260901-1</t>
        </is>
      </c>
      <c r="B4" s="52" t="str">
        <f>IF($A4="","",IFERROR(INDEX(회의록!$C$3:$C$302,MATCH($A4,회의록!$A$3:$A$302,0)),"회의번호없음"))</f>
        <v>9월 정기회의</v>
      </c>
      <c r="C4" s="49" t="inlineStr">
        <is>
          <t>예산안 재검토</t>
        </is>
      </c>
      <c r="D4" s="49" t="inlineStr">
        <is>
          <t>김팀장</t>
        </is>
      </c>
      <c r="E4" s="53" t="n">
        <v>46275</v>
      </c>
      <c r="F4" s="49" t="inlineStr">
        <is>
          <t>진행중</t>
        </is>
      </c>
      <c r="G4" s="53" t="n"/>
      <c r="H4" s="56" t="n">
        <f>IF(OR($C4="",$E4="",$F4="완료",$F4="취소"),"",$E4-TODAY())</f>
        <v>-4</v>
      </c>
      <c r="I4" s="56" t="n">
        <f>IF(OR($C4="",$E4=""),"",IF($F4="완료",IF($G4="","",MAX(0,$G4-$E4)),IF($F4="취소","",MAX(0,TODAY()-$E4))))</f>
        <v>4</v>
      </c>
      <c r="J4" s="50" t="n"/>
      <c r="K4" s="52" t="str">
        <f>IF($A4="","",$A4&amp;"|"&amp;$L4)</f>
        <v>260901-1|2</v>
      </c>
      <c r="L4" s="52" t="n">
        <f>IF($A4="","",COUNTIFS($A$3:$A4,$A4))</f>
        <v>2</v>
      </c>
    </row>
    <row r="5" ht="15" customHeight="1" s="41">
      <c r="A5" s="50" t="inlineStr">
        <is>
          <t>260901-1</t>
        </is>
      </c>
      <c r="B5" s="52" t="str">
        <f>IF($A5="","",IFERROR(INDEX(회의록!$C$3:$C$302,MATCH($A5,회의록!$A$3:$A$302,0)),"회의번호없음"))</f>
        <v>9월 정기회의</v>
      </c>
      <c r="C5" s="49" t="inlineStr">
        <is>
          <t>실적 자료 정리</t>
        </is>
      </c>
      <c r="D5" s="49" t="inlineStr">
        <is>
          <t>박주임</t>
        </is>
      </c>
      <c r="E5" s="53" t="n">
        <v>46270</v>
      </c>
      <c r="F5" s="49" t="inlineStr">
        <is>
          <t>완료</t>
        </is>
      </c>
      <c r="G5" s="53" t="n">
        <v>46269</v>
      </c>
      <c r="H5" s="56" t="str">
        <f>IF(OR($C5="",$E5="",$F5="완료",$F5="취소"),"",$E5-TODAY())</f>
        <v/>
      </c>
      <c r="I5" s="56" t="n">
        <f>IF(OR($C5="",$E5=""),"",IF($F5="완료",IF($G5="","",MAX(0,$G5-$E5)),IF($F5="취소","",MAX(0,TODAY()-$E5))))</f>
        <v>0</v>
      </c>
      <c r="J5" s="50" t="n"/>
      <c r="K5" s="52" t="str">
        <f>IF($A5="","",$A5&amp;"|"&amp;$L5)</f>
        <v>260901-1|3</v>
      </c>
      <c r="L5" s="52" t="n">
        <f>IF($A5="","",COUNTIFS($A$3:$A5,$A5))</f>
        <v>3</v>
      </c>
    </row>
    <row r="6" ht="15" customHeight="1" s="41">
      <c r="A6" s="50" t="inlineStr">
        <is>
          <t>260908-1</t>
        </is>
      </c>
      <c r="B6" s="52" t="str">
        <f>IF($A6="","",IFERROR(INDEX(회의록!$C$3:$C$302,MATCH($A6,회의록!$A$3:$A$302,0)),"회의번호없음"))</f>
        <v>디자인 리뷰</v>
      </c>
      <c r="C6" s="49" t="inlineStr">
        <is>
          <t>색상 수정본 전달</t>
        </is>
      </c>
      <c r="D6" s="49" t="inlineStr">
        <is>
          <t>박주임</t>
        </is>
      </c>
      <c r="E6" s="53" t="n">
        <v>46281</v>
      </c>
      <c r="F6" s="49" t="inlineStr">
        <is>
          <t>진행중</t>
        </is>
      </c>
      <c r="G6" s="53" t="n"/>
      <c r="H6" s="56" t="n">
        <f>IF(OR($C6="",$E6="",$F6="완료",$F6="취소"),"",$E6-TODAY())</f>
        <v>2</v>
      </c>
      <c r="I6" s="56" t="n">
        <f>IF(OR($C6="",$E6=""),"",IF($F6="완료",IF($G6="","",MAX(0,$G6-$E6)),IF($F6="취소","",MAX(0,TODAY()-$E6))))</f>
        <v>0</v>
      </c>
      <c r="J6" s="50" t="n"/>
      <c r="K6" s="52" t="str">
        <f>IF($A6="","",$A6&amp;"|"&amp;$L6)</f>
        <v>260908-1|1</v>
      </c>
      <c r="L6" s="52" t="n">
        <f>IF($A6="","",COUNTIFS($A$3:$A6,$A6))</f>
        <v>1</v>
      </c>
    </row>
    <row r="7" ht="15" customHeight="1" s="41">
      <c r="A7" s="50" t="n"/>
      <c r="B7" s="52" t="str">
        <f>IF($A7="","",IFERROR(INDEX(회의록!$C$3:$C$302,MATCH($A7,회의록!$A$3:$A$302,0)),"회의번호없음"))</f>
        <v/>
      </c>
      <c r="C7" s="50" t="n"/>
      <c r="D7" s="49" t="n"/>
      <c r="E7" s="53" t="n"/>
      <c r="F7" s="49" t="n"/>
      <c r="G7" s="53" t="n"/>
      <c r="H7" s="56" t="str">
        <f>IF(OR($C7="",$E7="",$F7="완료",$F7="취소"),"",$E7-TODAY())</f>
        <v/>
      </c>
      <c r="I7" s="56" t="str">
        <f>IF(OR($C7="",$E7=""),"",IF($F7="완료",IF($G7="","",MAX(0,$G7-$E7)),IF($F7="취소","",MAX(0,TODAY()-$E7))))</f>
        <v/>
      </c>
      <c r="J7" s="50" t="n"/>
      <c r="K7" s="52" t="str">
        <f>IF($A7="","",$A7&amp;"|"&amp;$L7)</f>
        <v/>
      </c>
      <c r="L7" s="52" t="str">
        <f>IF($A7="","",COUNTIFS($A$3:$A7,$A7))</f>
        <v/>
      </c>
    </row>
    <row r="8" ht="15" customHeight="1" s="41">
      <c r="A8" s="50" t="n"/>
      <c r="B8" s="52" t="str">
        <f>IF($A8="","",IFERROR(INDEX(회의록!$C$3:$C$302,MATCH($A8,회의록!$A$3:$A$302,0)),"회의번호없음"))</f>
        <v/>
      </c>
      <c r="C8" s="50" t="n"/>
      <c r="D8" s="49" t="n"/>
      <c r="E8" s="53" t="n"/>
      <c r="F8" s="49" t="n"/>
      <c r="G8" s="53" t="n"/>
      <c r="H8" s="56" t="str">
        <f>IF(OR($C8="",$E8="",$F8="완료",$F8="취소"),"",$E8-TODAY())</f>
        <v/>
      </c>
      <c r="I8" s="56" t="str">
        <f>IF(OR($C8="",$E8=""),"",IF($F8="완료",IF($G8="","",MAX(0,$G8-$E8)),IF($F8="취소","",MAX(0,TODAY()-$E8))))</f>
        <v/>
      </c>
      <c r="J8" s="50" t="n"/>
      <c r="K8" s="52" t="str">
        <f>IF($A8="","",$A8&amp;"|"&amp;$L8)</f>
        <v/>
      </c>
      <c r="L8" s="52" t="str">
        <f>IF($A8="","",COUNTIFS($A$3:$A8,$A8))</f>
        <v/>
      </c>
    </row>
    <row r="9" ht="15" customHeight="1" s="41">
      <c r="A9" s="50" t="n"/>
      <c r="B9" s="52" t="str">
        <f>IF($A9="","",IFERROR(INDEX(회의록!$C$3:$C$302,MATCH($A9,회의록!$A$3:$A$302,0)),"회의번호없음"))</f>
        <v/>
      </c>
      <c r="C9" s="50" t="n"/>
      <c r="D9" s="49" t="n"/>
      <c r="E9" s="53" t="n"/>
      <c r="F9" s="49" t="n"/>
      <c r="G9" s="53" t="n"/>
      <c r="H9" s="56" t="str">
        <f>IF(OR($C9="",$E9="",$F9="완료",$F9="취소"),"",$E9-TODAY())</f>
        <v/>
      </c>
      <c r="I9" s="56" t="str">
        <f>IF(OR($C9="",$E9=""),"",IF($F9="완료",IF($G9="","",MAX(0,$G9-$E9)),IF($F9="취소","",MAX(0,TODAY()-$E9))))</f>
        <v/>
      </c>
      <c r="J9" s="50" t="n"/>
      <c r="K9" s="52" t="str">
        <f>IF($A9="","",$A9&amp;"|"&amp;$L9)</f>
        <v/>
      </c>
      <c r="L9" s="52" t="str">
        <f>IF($A9="","",COUNTIFS($A$3:$A9,$A9))</f>
        <v/>
      </c>
    </row>
    <row r="10" ht="15" customHeight="1" s="41">
      <c r="A10" s="50" t="n"/>
      <c r="B10" s="52" t="str">
        <f>IF($A10="","",IFERROR(INDEX(회의록!$C$3:$C$302,MATCH($A10,회의록!$A$3:$A$302,0)),"회의번호없음"))</f>
        <v/>
      </c>
      <c r="C10" s="50" t="n"/>
      <c r="D10" s="49" t="n"/>
      <c r="E10" s="53" t="n"/>
      <c r="F10" s="49" t="n"/>
      <c r="G10" s="53" t="n"/>
      <c r="H10" s="56" t="str">
        <f>IF(OR($C10="",$E10="",$F10="완료",$F10="취소"),"",$E10-TODAY())</f>
        <v/>
      </c>
      <c r="I10" s="56" t="str">
        <f>IF(OR($C10="",$E10=""),"",IF($F10="완료",IF($G10="","",MAX(0,$G10-$E10)),IF($F10="취소","",MAX(0,TODAY()-$E10))))</f>
        <v/>
      </c>
      <c r="J10" s="50" t="n"/>
      <c r="K10" s="52" t="str">
        <f>IF($A10="","",$A10&amp;"|"&amp;$L10)</f>
        <v/>
      </c>
      <c r="L10" s="52" t="str">
        <f>IF($A10="","",COUNTIFS($A$3:$A10,$A10))</f>
        <v/>
      </c>
    </row>
    <row r="11" ht="15" customHeight="1" s="41">
      <c r="A11" s="50" t="n"/>
      <c r="B11" s="52" t="str">
        <f>IF($A11="","",IFERROR(INDEX(회의록!$C$3:$C$302,MATCH($A11,회의록!$A$3:$A$302,0)),"회의번호없음"))</f>
        <v/>
      </c>
      <c r="C11" s="50" t="n"/>
      <c r="D11" s="49" t="n"/>
      <c r="E11" s="53" t="n"/>
      <c r="F11" s="49" t="n"/>
      <c r="G11" s="53" t="n"/>
      <c r="H11" s="56" t="str">
        <f>IF(OR($C11="",$E11="",$F11="완료",$F11="취소"),"",$E11-TODAY())</f>
        <v/>
      </c>
      <c r="I11" s="56" t="str">
        <f>IF(OR($C11="",$E11=""),"",IF($F11="완료",IF($G11="","",MAX(0,$G11-$E11)),IF($F11="취소","",MAX(0,TODAY()-$E11))))</f>
        <v/>
      </c>
      <c r="J11" s="50" t="n"/>
      <c r="K11" s="52" t="str">
        <f>IF($A11="","",$A11&amp;"|"&amp;$L11)</f>
        <v/>
      </c>
      <c r="L11" s="52" t="str">
        <f>IF($A11="","",COUNTIFS($A$3:$A11,$A11))</f>
        <v/>
      </c>
    </row>
    <row r="12" ht="15" customHeight="1" s="41">
      <c r="A12" s="50" t="n"/>
      <c r="B12" s="52" t="str">
        <f>IF($A12="","",IFERROR(INDEX(회의록!$C$3:$C$302,MATCH($A12,회의록!$A$3:$A$302,0)),"회의번호없음"))</f>
        <v/>
      </c>
      <c r="C12" s="50" t="n"/>
      <c r="D12" s="49" t="n"/>
      <c r="E12" s="53" t="n"/>
      <c r="F12" s="49" t="n"/>
      <c r="G12" s="53" t="n"/>
      <c r="H12" s="56" t="str">
        <f>IF(OR($C12="",$E12="",$F12="완료",$F12="취소"),"",$E12-TODAY())</f>
        <v/>
      </c>
      <c r="I12" s="56" t="str">
        <f>IF(OR($C12="",$E12=""),"",IF($F12="완료",IF($G12="","",MAX(0,$G12-$E12)),IF($F12="취소","",MAX(0,TODAY()-$E12))))</f>
        <v/>
      </c>
      <c r="J12" s="50" t="n"/>
      <c r="K12" s="52" t="str">
        <f>IF($A12="","",$A12&amp;"|"&amp;$L12)</f>
        <v/>
      </c>
      <c r="L12" s="52" t="str">
        <f>IF($A12="","",COUNTIFS($A$3:$A12,$A12))</f>
        <v/>
      </c>
    </row>
    <row r="13" ht="15" customHeight="1" s="41">
      <c r="A13" s="50" t="n"/>
      <c r="B13" s="52" t="str">
        <f>IF($A13="","",IFERROR(INDEX(회의록!$C$3:$C$302,MATCH($A13,회의록!$A$3:$A$302,0)),"회의번호없음"))</f>
        <v/>
      </c>
      <c r="C13" s="50" t="n"/>
      <c r="D13" s="49" t="n"/>
      <c r="E13" s="53" t="n"/>
      <c r="F13" s="49" t="n"/>
      <c r="G13" s="53" t="n"/>
      <c r="H13" s="56" t="str">
        <f>IF(OR($C13="",$E13="",$F13="완료",$F13="취소"),"",$E13-TODAY())</f>
        <v/>
      </c>
      <c r="I13" s="56" t="str">
        <f>IF(OR($C13="",$E13=""),"",IF($F13="완료",IF($G13="","",MAX(0,$G13-$E13)),IF($F13="취소","",MAX(0,TODAY()-$E13))))</f>
        <v/>
      </c>
      <c r="J13" s="50" t="n"/>
      <c r="K13" s="52" t="str">
        <f>IF($A13="","",$A13&amp;"|"&amp;$L13)</f>
        <v/>
      </c>
      <c r="L13" s="52" t="str">
        <f>IF($A13="","",COUNTIFS($A$3:$A13,$A13))</f>
        <v/>
      </c>
    </row>
    <row r="14" ht="15" customHeight="1" s="41">
      <c r="A14" s="50" t="n"/>
      <c r="B14" s="52" t="str">
        <f>IF($A14="","",IFERROR(INDEX(회의록!$C$3:$C$302,MATCH($A14,회의록!$A$3:$A$302,0)),"회의번호없음"))</f>
        <v/>
      </c>
      <c r="C14" s="50" t="n"/>
      <c r="D14" s="49" t="n"/>
      <c r="E14" s="53" t="n"/>
      <c r="F14" s="49" t="n"/>
      <c r="G14" s="53" t="n"/>
      <c r="H14" s="56" t="str">
        <f>IF(OR($C14="",$E14="",$F14="완료",$F14="취소"),"",$E14-TODAY())</f>
        <v/>
      </c>
      <c r="I14" s="56" t="str">
        <f>IF(OR($C14="",$E14=""),"",IF($F14="완료",IF($G14="","",MAX(0,$G14-$E14)),IF($F14="취소","",MAX(0,TODAY()-$E14))))</f>
        <v/>
      </c>
      <c r="J14" s="50" t="n"/>
      <c r="K14" s="52" t="str">
        <f>IF($A14="","",$A14&amp;"|"&amp;$L14)</f>
        <v/>
      </c>
      <c r="L14" s="52" t="str">
        <f>IF($A14="","",COUNTIFS($A$3:$A14,$A14))</f>
        <v/>
      </c>
    </row>
    <row r="15" ht="15" customHeight="1" s="41">
      <c r="A15" s="50" t="n"/>
      <c r="B15" s="52" t="str">
        <f>IF($A15="","",IFERROR(INDEX(회의록!$C$3:$C$302,MATCH($A15,회의록!$A$3:$A$302,0)),"회의번호없음"))</f>
        <v/>
      </c>
      <c r="C15" s="50" t="n"/>
      <c r="D15" s="49" t="n"/>
      <c r="E15" s="53" t="n"/>
      <c r="F15" s="49" t="n"/>
      <c r="G15" s="53" t="n"/>
      <c r="H15" s="56" t="str">
        <f>IF(OR($C15="",$E15="",$F15="완료",$F15="취소"),"",$E15-TODAY())</f>
        <v/>
      </c>
      <c r="I15" s="56" t="str">
        <f>IF(OR($C15="",$E15=""),"",IF($F15="완료",IF($G15="","",MAX(0,$G15-$E15)),IF($F15="취소","",MAX(0,TODAY()-$E15))))</f>
        <v/>
      </c>
      <c r="J15" s="50" t="n"/>
      <c r="K15" s="52" t="str">
        <f>IF($A15="","",$A15&amp;"|"&amp;$L15)</f>
        <v/>
      </c>
      <c r="L15" s="52" t="str">
        <f>IF($A15="","",COUNTIFS($A$3:$A15,$A15))</f>
        <v/>
      </c>
    </row>
    <row r="16" ht="15" customHeight="1" s="41">
      <c r="A16" s="50" t="n"/>
      <c r="B16" s="52" t="str">
        <f>IF($A16="","",IFERROR(INDEX(회의록!$C$3:$C$302,MATCH($A16,회의록!$A$3:$A$302,0)),"회의번호없음"))</f>
        <v/>
      </c>
      <c r="C16" s="50" t="n"/>
      <c r="D16" s="49" t="n"/>
      <c r="E16" s="53" t="n"/>
      <c r="F16" s="49" t="n"/>
      <c r="G16" s="53" t="n"/>
      <c r="H16" s="56" t="str">
        <f>IF(OR($C16="",$E16="",$F16="완료",$F16="취소"),"",$E16-TODAY())</f>
        <v/>
      </c>
      <c r="I16" s="56" t="str">
        <f>IF(OR($C16="",$E16=""),"",IF($F16="완료",IF($G16="","",MAX(0,$G16-$E16)),IF($F16="취소","",MAX(0,TODAY()-$E16))))</f>
        <v/>
      </c>
      <c r="J16" s="50" t="n"/>
      <c r="K16" s="52" t="str">
        <f>IF($A16="","",$A16&amp;"|"&amp;$L16)</f>
        <v/>
      </c>
      <c r="L16" s="52" t="str">
        <f>IF($A16="","",COUNTIFS($A$3:$A16,$A16))</f>
        <v/>
      </c>
    </row>
    <row r="17" ht="15" customHeight="1" s="41">
      <c r="A17" s="50" t="n"/>
      <c r="B17" s="52" t="str">
        <f>IF($A17="","",IFERROR(INDEX(회의록!$C$3:$C$302,MATCH($A17,회의록!$A$3:$A$302,0)),"회의번호없음"))</f>
        <v/>
      </c>
      <c r="C17" s="50" t="n"/>
      <c r="D17" s="49" t="n"/>
      <c r="E17" s="53" t="n"/>
      <c r="F17" s="49" t="n"/>
      <c r="G17" s="53" t="n"/>
      <c r="H17" s="56" t="str">
        <f>IF(OR($C17="",$E17="",$F17="완료",$F17="취소"),"",$E17-TODAY())</f>
        <v/>
      </c>
      <c r="I17" s="56" t="str">
        <f>IF(OR($C17="",$E17=""),"",IF($F17="완료",IF($G17="","",MAX(0,$G17-$E17)),IF($F17="취소","",MAX(0,TODAY()-$E17))))</f>
        <v/>
      </c>
      <c r="J17" s="50" t="n"/>
      <c r="K17" s="52" t="str">
        <f>IF($A17="","",$A17&amp;"|"&amp;$L17)</f>
        <v/>
      </c>
      <c r="L17" s="52" t="str">
        <f>IF($A17="","",COUNTIFS($A$3:$A17,$A17))</f>
        <v/>
      </c>
    </row>
    <row r="18" ht="15" customHeight="1" s="41">
      <c r="A18" s="50" t="n"/>
      <c r="B18" s="52" t="str">
        <f>IF($A18="","",IFERROR(INDEX(회의록!$C$3:$C$302,MATCH($A18,회의록!$A$3:$A$302,0)),"회의번호없음"))</f>
        <v/>
      </c>
      <c r="C18" s="50" t="n"/>
      <c r="D18" s="49" t="n"/>
      <c r="E18" s="53" t="n"/>
      <c r="F18" s="49" t="n"/>
      <c r="G18" s="53" t="n"/>
      <c r="H18" s="56" t="str">
        <f>IF(OR($C18="",$E18="",$F18="완료",$F18="취소"),"",$E18-TODAY())</f>
        <v/>
      </c>
      <c r="I18" s="56" t="str">
        <f>IF(OR($C18="",$E18=""),"",IF($F18="완료",IF($G18="","",MAX(0,$G18-$E18)),IF($F18="취소","",MAX(0,TODAY()-$E18))))</f>
        <v/>
      </c>
      <c r="J18" s="50" t="n"/>
      <c r="K18" s="52" t="str">
        <f>IF($A18="","",$A18&amp;"|"&amp;$L18)</f>
        <v/>
      </c>
      <c r="L18" s="52" t="str">
        <f>IF($A18="","",COUNTIFS($A$3:$A18,$A18))</f>
        <v/>
      </c>
    </row>
    <row r="19" ht="15" customHeight="1" s="41">
      <c r="A19" s="50" t="n"/>
      <c r="B19" s="52" t="str">
        <f>IF($A19="","",IFERROR(INDEX(회의록!$C$3:$C$302,MATCH($A19,회의록!$A$3:$A$302,0)),"회의번호없음"))</f>
        <v/>
      </c>
      <c r="C19" s="50" t="n"/>
      <c r="D19" s="49" t="n"/>
      <c r="E19" s="53" t="n"/>
      <c r="F19" s="49" t="n"/>
      <c r="G19" s="53" t="n"/>
      <c r="H19" s="56" t="str">
        <f>IF(OR($C19="",$E19="",$F19="완료",$F19="취소"),"",$E19-TODAY())</f>
        <v/>
      </c>
      <c r="I19" s="56" t="str">
        <f>IF(OR($C19="",$E19=""),"",IF($F19="완료",IF($G19="","",MAX(0,$G19-$E19)),IF($F19="취소","",MAX(0,TODAY()-$E19))))</f>
        <v/>
      </c>
      <c r="J19" s="50" t="n"/>
      <c r="K19" s="52" t="str">
        <f>IF($A19="","",$A19&amp;"|"&amp;$L19)</f>
        <v/>
      </c>
      <c r="L19" s="52" t="str">
        <f>IF($A19="","",COUNTIFS($A$3:$A19,$A19))</f>
        <v/>
      </c>
    </row>
    <row r="20" ht="15" customHeight="1" s="41">
      <c r="A20" s="50" t="n"/>
      <c r="B20" s="52" t="str">
        <f>IF($A20="","",IFERROR(INDEX(회의록!$C$3:$C$302,MATCH($A20,회의록!$A$3:$A$302,0)),"회의번호없음"))</f>
        <v/>
      </c>
      <c r="C20" s="50" t="n"/>
      <c r="D20" s="49" t="n"/>
      <c r="E20" s="53" t="n"/>
      <c r="F20" s="49" t="n"/>
      <c r="G20" s="53" t="n"/>
      <c r="H20" s="56" t="str">
        <f>IF(OR($C20="",$E20="",$F20="완료",$F20="취소"),"",$E20-TODAY())</f>
        <v/>
      </c>
      <c r="I20" s="56" t="str">
        <f>IF(OR($C20="",$E20=""),"",IF($F20="완료",IF($G20="","",MAX(0,$G20-$E20)),IF($F20="취소","",MAX(0,TODAY()-$E20))))</f>
        <v/>
      </c>
      <c r="J20" s="50" t="n"/>
      <c r="K20" s="52" t="str">
        <f>IF($A20="","",$A20&amp;"|"&amp;$L20)</f>
        <v/>
      </c>
      <c r="L20" s="52" t="str">
        <f>IF($A20="","",COUNTIFS($A$3:$A20,$A20))</f>
        <v/>
      </c>
    </row>
    <row r="21" ht="15" customHeight="1" s="41">
      <c r="A21" s="50" t="n"/>
      <c r="B21" s="52" t="str">
        <f>IF($A21="","",IFERROR(INDEX(회의록!$C$3:$C$302,MATCH($A21,회의록!$A$3:$A$302,0)),"회의번호없음"))</f>
        <v/>
      </c>
      <c r="C21" s="50" t="n"/>
      <c r="D21" s="49" t="n"/>
      <c r="E21" s="53" t="n"/>
      <c r="F21" s="49" t="n"/>
      <c r="G21" s="53" t="n"/>
      <c r="H21" s="56" t="str">
        <f>IF(OR($C21="",$E21="",$F21="완료",$F21="취소"),"",$E21-TODAY())</f>
        <v/>
      </c>
      <c r="I21" s="56" t="str">
        <f>IF(OR($C21="",$E21=""),"",IF($F21="완료",IF($G21="","",MAX(0,$G21-$E21)),IF($F21="취소","",MAX(0,TODAY()-$E21))))</f>
        <v/>
      </c>
      <c r="J21" s="50" t="n"/>
      <c r="K21" s="52" t="str">
        <f>IF($A21="","",$A21&amp;"|"&amp;$L21)</f>
        <v/>
      </c>
      <c r="L21" s="52" t="str">
        <f>IF($A21="","",COUNTIFS($A$3:$A21,$A21))</f>
        <v/>
      </c>
    </row>
    <row r="22" ht="15" customHeight="1" s="41">
      <c r="A22" s="50" t="n"/>
      <c r="B22" s="52" t="str">
        <f>IF($A22="","",IFERROR(INDEX(회의록!$C$3:$C$302,MATCH($A22,회의록!$A$3:$A$302,0)),"회의번호없음"))</f>
        <v/>
      </c>
      <c r="C22" s="50" t="n"/>
      <c r="D22" s="49" t="n"/>
      <c r="E22" s="53" t="n"/>
      <c r="F22" s="49" t="n"/>
      <c r="G22" s="53" t="n"/>
      <c r="H22" s="56" t="str">
        <f>IF(OR($C22="",$E22="",$F22="완료",$F22="취소"),"",$E22-TODAY())</f>
        <v/>
      </c>
      <c r="I22" s="56" t="str">
        <f>IF(OR($C22="",$E22=""),"",IF($F22="완료",IF($G22="","",MAX(0,$G22-$E22)),IF($F22="취소","",MAX(0,TODAY()-$E22))))</f>
        <v/>
      </c>
      <c r="J22" s="50" t="n"/>
      <c r="K22" s="52" t="str">
        <f>IF($A22="","",$A22&amp;"|"&amp;$L22)</f>
        <v/>
      </c>
      <c r="L22" s="52" t="str">
        <f>IF($A22="","",COUNTIFS($A$3:$A22,$A22))</f>
        <v/>
      </c>
    </row>
    <row r="23" ht="15" customHeight="1" s="41">
      <c r="A23" s="50" t="n"/>
      <c r="B23" s="52" t="str">
        <f>IF($A23="","",IFERROR(INDEX(회의록!$C$3:$C$302,MATCH($A23,회의록!$A$3:$A$302,0)),"회의번호없음"))</f>
        <v/>
      </c>
      <c r="C23" s="50" t="n"/>
      <c r="D23" s="49" t="n"/>
      <c r="E23" s="53" t="n"/>
      <c r="F23" s="49" t="n"/>
      <c r="G23" s="53" t="n"/>
      <c r="H23" s="56" t="str">
        <f>IF(OR($C23="",$E23="",$F23="완료",$F23="취소"),"",$E23-TODAY())</f>
        <v/>
      </c>
      <c r="I23" s="56" t="str">
        <f>IF(OR($C23="",$E23=""),"",IF($F23="완료",IF($G23="","",MAX(0,$G23-$E23)),IF($F23="취소","",MAX(0,TODAY()-$E23))))</f>
        <v/>
      </c>
      <c r="J23" s="50" t="n"/>
      <c r="K23" s="52" t="str">
        <f>IF($A23="","",$A23&amp;"|"&amp;$L23)</f>
        <v/>
      </c>
      <c r="L23" s="52" t="str">
        <f>IF($A23="","",COUNTIFS($A$3:$A23,$A23))</f>
        <v/>
      </c>
    </row>
    <row r="24" ht="15" customHeight="1" s="41">
      <c r="A24" s="50" t="n"/>
      <c r="B24" s="52" t="str">
        <f>IF($A24="","",IFERROR(INDEX(회의록!$C$3:$C$302,MATCH($A24,회의록!$A$3:$A$302,0)),"회의번호없음"))</f>
        <v/>
      </c>
      <c r="C24" s="50" t="n"/>
      <c r="D24" s="49" t="n"/>
      <c r="E24" s="53" t="n"/>
      <c r="F24" s="49" t="n"/>
      <c r="G24" s="53" t="n"/>
      <c r="H24" s="56" t="str">
        <f>IF(OR($C24="",$E24="",$F24="완료",$F24="취소"),"",$E24-TODAY())</f>
        <v/>
      </c>
      <c r="I24" s="56" t="str">
        <f>IF(OR($C24="",$E24=""),"",IF($F24="완료",IF($G24="","",MAX(0,$G24-$E24)),IF($F24="취소","",MAX(0,TODAY()-$E24))))</f>
        <v/>
      </c>
      <c r="J24" s="50" t="n"/>
      <c r="K24" s="52" t="str">
        <f>IF($A24="","",$A24&amp;"|"&amp;$L24)</f>
        <v/>
      </c>
      <c r="L24" s="52" t="str">
        <f>IF($A24="","",COUNTIFS($A$3:$A24,$A24))</f>
        <v/>
      </c>
    </row>
    <row r="25" ht="15" customHeight="1" s="41">
      <c r="A25" s="50" t="n"/>
      <c r="B25" s="52" t="str">
        <f>IF($A25="","",IFERROR(INDEX(회의록!$C$3:$C$302,MATCH($A25,회의록!$A$3:$A$302,0)),"회의번호없음"))</f>
        <v/>
      </c>
      <c r="C25" s="50" t="n"/>
      <c r="D25" s="49" t="n"/>
      <c r="E25" s="53" t="n"/>
      <c r="F25" s="49" t="n"/>
      <c r="G25" s="53" t="n"/>
      <c r="H25" s="56" t="str">
        <f>IF(OR($C25="",$E25="",$F25="완료",$F25="취소"),"",$E25-TODAY())</f>
        <v/>
      </c>
      <c r="I25" s="56" t="str">
        <f>IF(OR($C25="",$E25=""),"",IF($F25="완료",IF($G25="","",MAX(0,$G25-$E25)),IF($F25="취소","",MAX(0,TODAY()-$E25))))</f>
        <v/>
      </c>
      <c r="J25" s="50" t="n"/>
      <c r="K25" s="52" t="str">
        <f>IF($A25="","",$A25&amp;"|"&amp;$L25)</f>
        <v/>
      </c>
      <c r="L25" s="52" t="str">
        <f>IF($A25="","",COUNTIFS($A$3:$A25,$A25))</f>
        <v/>
      </c>
    </row>
    <row r="26" ht="15" customHeight="1" s="41">
      <c r="A26" s="50" t="n"/>
      <c r="B26" s="52" t="str">
        <f>IF($A26="","",IFERROR(INDEX(회의록!$C$3:$C$302,MATCH($A26,회의록!$A$3:$A$302,0)),"회의번호없음"))</f>
        <v/>
      </c>
      <c r="C26" s="50" t="n"/>
      <c r="D26" s="49" t="n"/>
      <c r="E26" s="53" t="n"/>
      <c r="F26" s="49" t="n"/>
      <c r="G26" s="53" t="n"/>
      <c r="H26" s="56" t="str">
        <f>IF(OR($C26="",$E26="",$F26="완료",$F26="취소"),"",$E26-TODAY())</f>
        <v/>
      </c>
      <c r="I26" s="56" t="str">
        <f>IF(OR($C26="",$E26=""),"",IF($F26="완료",IF($G26="","",MAX(0,$G26-$E26)),IF($F26="취소","",MAX(0,TODAY()-$E26))))</f>
        <v/>
      </c>
      <c r="J26" s="50" t="n"/>
      <c r="K26" s="52" t="str">
        <f>IF($A26="","",$A26&amp;"|"&amp;$L26)</f>
        <v/>
      </c>
      <c r="L26" s="52" t="str">
        <f>IF($A26="","",COUNTIFS($A$3:$A26,$A26))</f>
        <v/>
      </c>
    </row>
    <row r="27" ht="15" customHeight="1" s="41">
      <c r="A27" s="50" t="n"/>
      <c r="B27" s="52" t="str">
        <f>IF($A27="","",IFERROR(INDEX(회의록!$C$3:$C$302,MATCH($A27,회의록!$A$3:$A$302,0)),"회의번호없음"))</f>
        <v/>
      </c>
      <c r="C27" s="50" t="n"/>
      <c r="D27" s="49" t="n"/>
      <c r="E27" s="53" t="n"/>
      <c r="F27" s="49" t="n"/>
      <c r="G27" s="53" t="n"/>
      <c r="H27" s="56" t="str">
        <f>IF(OR($C27="",$E27="",$F27="완료",$F27="취소"),"",$E27-TODAY())</f>
        <v/>
      </c>
      <c r="I27" s="56" t="str">
        <f>IF(OR($C27="",$E27=""),"",IF($F27="완료",IF($G27="","",MAX(0,$G27-$E27)),IF($F27="취소","",MAX(0,TODAY()-$E27))))</f>
        <v/>
      </c>
      <c r="J27" s="50" t="n"/>
      <c r="K27" s="52" t="str">
        <f>IF($A27="","",$A27&amp;"|"&amp;$L27)</f>
        <v/>
      </c>
      <c r="L27" s="52" t="str">
        <f>IF($A27="","",COUNTIFS($A$3:$A27,$A27))</f>
        <v/>
      </c>
    </row>
    <row r="28" ht="15" customHeight="1" s="41">
      <c r="A28" s="50" t="n"/>
      <c r="B28" s="52" t="str">
        <f>IF($A28="","",IFERROR(INDEX(회의록!$C$3:$C$302,MATCH($A28,회의록!$A$3:$A$302,0)),"회의번호없음"))</f>
        <v/>
      </c>
      <c r="C28" s="50" t="n"/>
      <c r="D28" s="49" t="n"/>
      <c r="E28" s="53" t="n"/>
      <c r="F28" s="49" t="n"/>
      <c r="G28" s="53" t="n"/>
      <c r="H28" s="56" t="str">
        <f>IF(OR($C28="",$E28="",$F28="완료",$F28="취소"),"",$E28-TODAY())</f>
        <v/>
      </c>
      <c r="I28" s="56" t="str">
        <f>IF(OR($C28="",$E28=""),"",IF($F28="완료",IF($G28="","",MAX(0,$G28-$E28)),IF($F28="취소","",MAX(0,TODAY()-$E28))))</f>
        <v/>
      </c>
      <c r="J28" s="50" t="n"/>
      <c r="K28" s="52" t="str">
        <f>IF($A28="","",$A28&amp;"|"&amp;$L28)</f>
        <v/>
      </c>
      <c r="L28" s="52" t="str">
        <f>IF($A28="","",COUNTIFS($A$3:$A28,$A28))</f>
        <v/>
      </c>
    </row>
    <row r="29" ht="15" customHeight="1" s="41">
      <c r="A29" s="50" t="n"/>
      <c r="B29" s="52" t="str">
        <f>IF($A29="","",IFERROR(INDEX(회의록!$C$3:$C$302,MATCH($A29,회의록!$A$3:$A$302,0)),"회의번호없음"))</f>
        <v/>
      </c>
      <c r="C29" s="50" t="n"/>
      <c r="D29" s="49" t="n"/>
      <c r="E29" s="53" t="n"/>
      <c r="F29" s="49" t="n"/>
      <c r="G29" s="53" t="n"/>
      <c r="H29" s="56" t="str">
        <f>IF(OR($C29="",$E29="",$F29="완료",$F29="취소"),"",$E29-TODAY())</f>
        <v/>
      </c>
      <c r="I29" s="56" t="str">
        <f>IF(OR($C29="",$E29=""),"",IF($F29="완료",IF($G29="","",MAX(0,$G29-$E29)),IF($F29="취소","",MAX(0,TODAY()-$E29))))</f>
        <v/>
      </c>
      <c r="J29" s="50" t="n"/>
      <c r="K29" s="52" t="str">
        <f>IF($A29="","",$A29&amp;"|"&amp;$L29)</f>
        <v/>
      </c>
      <c r="L29" s="52" t="str">
        <f>IF($A29="","",COUNTIFS($A$3:$A29,$A29))</f>
        <v/>
      </c>
    </row>
    <row r="30" ht="15" customHeight="1" s="41">
      <c r="A30" s="50" t="n"/>
      <c r="B30" s="52" t="str">
        <f>IF($A30="","",IFERROR(INDEX(회의록!$C$3:$C$302,MATCH($A30,회의록!$A$3:$A$302,0)),"회의번호없음"))</f>
        <v/>
      </c>
      <c r="C30" s="50" t="n"/>
      <c r="D30" s="49" t="n"/>
      <c r="E30" s="53" t="n"/>
      <c r="F30" s="49" t="n"/>
      <c r="G30" s="53" t="n"/>
      <c r="H30" s="56" t="str">
        <f>IF(OR($C30="",$E30="",$F30="완료",$F30="취소"),"",$E30-TODAY())</f>
        <v/>
      </c>
      <c r="I30" s="56" t="str">
        <f>IF(OR($C30="",$E30=""),"",IF($F30="완료",IF($G30="","",MAX(0,$G30-$E30)),IF($F30="취소","",MAX(0,TODAY()-$E30))))</f>
        <v/>
      </c>
      <c r="J30" s="50" t="n"/>
      <c r="K30" s="52" t="str">
        <f>IF($A30="","",$A30&amp;"|"&amp;$L30)</f>
        <v/>
      </c>
      <c r="L30" s="52" t="str">
        <f>IF($A30="","",COUNTIFS($A$3:$A30,$A30))</f>
        <v/>
      </c>
    </row>
    <row r="31" ht="15" customHeight="1" s="41">
      <c r="A31" s="50" t="n"/>
      <c r="B31" s="52" t="str">
        <f>IF($A31="","",IFERROR(INDEX(회의록!$C$3:$C$302,MATCH($A31,회의록!$A$3:$A$302,0)),"회의번호없음"))</f>
        <v/>
      </c>
      <c r="C31" s="50" t="n"/>
      <c r="D31" s="49" t="n"/>
      <c r="E31" s="53" t="n"/>
      <c r="F31" s="49" t="n"/>
      <c r="G31" s="53" t="n"/>
      <c r="H31" s="56" t="str">
        <f>IF(OR($C31="",$E31="",$F31="완료",$F31="취소"),"",$E31-TODAY())</f>
        <v/>
      </c>
      <c r="I31" s="56" t="str">
        <f>IF(OR($C31="",$E31=""),"",IF($F31="완료",IF($G31="","",MAX(0,$G31-$E31)),IF($F31="취소","",MAX(0,TODAY()-$E31))))</f>
        <v/>
      </c>
      <c r="J31" s="50" t="n"/>
      <c r="K31" s="52" t="str">
        <f>IF($A31="","",$A31&amp;"|"&amp;$L31)</f>
        <v/>
      </c>
      <c r="L31" s="52" t="str">
        <f>IF($A31="","",COUNTIFS($A$3:$A31,$A31))</f>
        <v/>
      </c>
    </row>
    <row r="32" ht="15" customHeight="1" s="41">
      <c r="A32" s="50" t="n"/>
      <c r="B32" s="52" t="str">
        <f>IF($A32="","",IFERROR(INDEX(회의록!$C$3:$C$302,MATCH($A32,회의록!$A$3:$A$302,0)),"회의번호없음"))</f>
        <v/>
      </c>
      <c r="C32" s="50" t="n"/>
      <c r="D32" s="49" t="n"/>
      <c r="E32" s="53" t="n"/>
      <c r="F32" s="49" t="n"/>
      <c r="G32" s="53" t="n"/>
      <c r="H32" s="56" t="str">
        <f>IF(OR($C32="",$E32="",$F32="완료",$F32="취소"),"",$E32-TODAY())</f>
        <v/>
      </c>
      <c r="I32" s="56" t="str">
        <f>IF(OR($C32="",$E32=""),"",IF($F32="완료",IF($G32="","",MAX(0,$G32-$E32)),IF($F32="취소","",MAX(0,TODAY()-$E32))))</f>
        <v/>
      </c>
      <c r="J32" s="50" t="n"/>
      <c r="K32" s="52" t="str">
        <f>IF($A32="","",$A32&amp;"|"&amp;$L32)</f>
        <v/>
      </c>
      <c r="L32" s="52" t="str">
        <f>IF($A32="","",COUNTIFS($A$3:$A32,$A32))</f>
        <v/>
      </c>
    </row>
    <row r="33" ht="15" customHeight="1" s="41">
      <c r="A33" s="50" t="n"/>
      <c r="B33" s="52" t="str">
        <f>IF($A33="","",IFERROR(INDEX(회의록!$C$3:$C$302,MATCH($A33,회의록!$A$3:$A$302,0)),"회의번호없음"))</f>
        <v/>
      </c>
      <c r="C33" s="50" t="n"/>
      <c r="D33" s="49" t="n"/>
      <c r="E33" s="53" t="n"/>
      <c r="F33" s="49" t="n"/>
      <c r="G33" s="53" t="n"/>
      <c r="H33" s="56" t="str">
        <f>IF(OR($C33="",$E33="",$F33="완료",$F33="취소"),"",$E33-TODAY())</f>
        <v/>
      </c>
      <c r="I33" s="56" t="str">
        <f>IF(OR($C33="",$E33=""),"",IF($F33="완료",IF($G33="","",MAX(0,$G33-$E33)),IF($F33="취소","",MAX(0,TODAY()-$E33))))</f>
        <v/>
      </c>
      <c r="J33" s="50" t="n"/>
      <c r="K33" s="52" t="str">
        <f>IF($A33="","",$A33&amp;"|"&amp;$L33)</f>
        <v/>
      </c>
      <c r="L33" s="52" t="str">
        <f>IF($A33="","",COUNTIFS($A$3:$A33,$A33))</f>
        <v/>
      </c>
    </row>
    <row r="34" ht="15" customHeight="1" s="41">
      <c r="A34" s="50" t="n"/>
      <c r="B34" s="52" t="str">
        <f>IF($A34="","",IFERROR(INDEX(회의록!$C$3:$C$302,MATCH($A34,회의록!$A$3:$A$302,0)),"회의번호없음"))</f>
        <v/>
      </c>
      <c r="C34" s="50" t="n"/>
      <c r="D34" s="49" t="n"/>
      <c r="E34" s="53" t="n"/>
      <c r="F34" s="49" t="n"/>
      <c r="G34" s="53" t="n"/>
      <c r="H34" s="56" t="str">
        <f>IF(OR($C34="",$E34="",$F34="완료",$F34="취소"),"",$E34-TODAY())</f>
        <v/>
      </c>
      <c r="I34" s="56" t="str">
        <f>IF(OR($C34="",$E34=""),"",IF($F34="완료",IF($G34="","",MAX(0,$G34-$E34)),IF($F34="취소","",MAX(0,TODAY()-$E34))))</f>
        <v/>
      </c>
      <c r="J34" s="50" t="n"/>
      <c r="K34" s="52" t="str">
        <f>IF($A34="","",$A34&amp;"|"&amp;$L34)</f>
        <v/>
      </c>
      <c r="L34" s="52" t="str">
        <f>IF($A34="","",COUNTIFS($A$3:$A34,$A34))</f>
        <v/>
      </c>
    </row>
    <row r="35" ht="15" customHeight="1" s="41">
      <c r="A35" s="50" t="n"/>
      <c r="B35" s="52" t="str">
        <f>IF($A35="","",IFERROR(INDEX(회의록!$C$3:$C$302,MATCH($A35,회의록!$A$3:$A$302,0)),"회의번호없음"))</f>
        <v/>
      </c>
      <c r="C35" s="50" t="n"/>
      <c r="D35" s="49" t="n"/>
      <c r="E35" s="53" t="n"/>
      <c r="F35" s="49" t="n"/>
      <c r="G35" s="53" t="n"/>
      <c r="H35" s="56" t="str">
        <f>IF(OR($C35="",$E35="",$F35="완료",$F35="취소"),"",$E35-TODAY())</f>
        <v/>
      </c>
      <c r="I35" s="56" t="str">
        <f>IF(OR($C35="",$E35=""),"",IF($F35="완료",IF($G35="","",MAX(0,$G35-$E35)),IF($F35="취소","",MAX(0,TODAY()-$E35))))</f>
        <v/>
      </c>
      <c r="J35" s="50" t="n"/>
      <c r="K35" s="52" t="str">
        <f>IF($A35="","",$A35&amp;"|"&amp;$L35)</f>
        <v/>
      </c>
      <c r="L35" s="52" t="str">
        <f>IF($A35="","",COUNTIFS($A$3:$A35,$A35))</f>
        <v/>
      </c>
    </row>
    <row r="36" ht="15" customHeight="1" s="41">
      <c r="A36" s="50" t="n"/>
      <c r="B36" s="52" t="str">
        <f>IF($A36="","",IFERROR(INDEX(회의록!$C$3:$C$302,MATCH($A36,회의록!$A$3:$A$302,0)),"회의번호없음"))</f>
        <v/>
      </c>
      <c r="C36" s="50" t="n"/>
      <c r="D36" s="49" t="n"/>
      <c r="E36" s="53" t="n"/>
      <c r="F36" s="49" t="n"/>
      <c r="G36" s="53" t="n"/>
      <c r="H36" s="56" t="str">
        <f>IF(OR($C36="",$E36="",$F36="완료",$F36="취소"),"",$E36-TODAY())</f>
        <v/>
      </c>
      <c r="I36" s="56" t="str">
        <f>IF(OR($C36="",$E36=""),"",IF($F36="완료",IF($G36="","",MAX(0,$G36-$E36)),IF($F36="취소","",MAX(0,TODAY()-$E36))))</f>
        <v/>
      </c>
      <c r="J36" s="50" t="n"/>
      <c r="K36" s="52" t="str">
        <f>IF($A36="","",$A36&amp;"|"&amp;$L36)</f>
        <v/>
      </c>
      <c r="L36" s="52" t="str">
        <f>IF($A36="","",COUNTIFS($A$3:$A36,$A36))</f>
        <v/>
      </c>
    </row>
    <row r="37" ht="15" customHeight="1" s="41">
      <c r="A37" s="50" t="n"/>
      <c r="B37" s="52" t="str">
        <f>IF($A37="","",IFERROR(INDEX(회의록!$C$3:$C$302,MATCH($A37,회의록!$A$3:$A$302,0)),"회의번호없음"))</f>
        <v/>
      </c>
      <c r="C37" s="50" t="n"/>
      <c r="D37" s="49" t="n"/>
      <c r="E37" s="53" t="n"/>
      <c r="F37" s="49" t="n"/>
      <c r="G37" s="53" t="n"/>
      <c r="H37" s="56" t="str">
        <f>IF(OR($C37="",$E37="",$F37="완료",$F37="취소"),"",$E37-TODAY())</f>
        <v/>
      </c>
      <c r="I37" s="56" t="str">
        <f>IF(OR($C37="",$E37=""),"",IF($F37="완료",IF($G37="","",MAX(0,$G37-$E37)),IF($F37="취소","",MAX(0,TODAY()-$E37))))</f>
        <v/>
      </c>
      <c r="J37" s="50" t="n"/>
      <c r="K37" s="52" t="str">
        <f>IF($A37="","",$A37&amp;"|"&amp;$L37)</f>
        <v/>
      </c>
      <c r="L37" s="52" t="str">
        <f>IF($A37="","",COUNTIFS($A$3:$A37,$A37))</f>
        <v/>
      </c>
    </row>
    <row r="38" ht="15" customHeight="1" s="41">
      <c r="A38" s="50" t="n"/>
      <c r="B38" s="52" t="str">
        <f>IF($A38="","",IFERROR(INDEX(회의록!$C$3:$C$302,MATCH($A38,회의록!$A$3:$A$302,0)),"회의번호없음"))</f>
        <v/>
      </c>
      <c r="C38" s="50" t="n"/>
      <c r="D38" s="49" t="n"/>
      <c r="E38" s="53" t="n"/>
      <c r="F38" s="49" t="n"/>
      <c r="G38" s="53" t="n"/>
      <c r="H38" s="56" t="str">
        <f>IF(OR($C38="",$E38="",$F38="완료",$F38="취소"),"",$E38-TODAY())</f>
        <v/>
      </c>
      <c r="I38" s="56" t="str">
        <f>IF(OR($C38="",$E38=""),"",IF($F38="완료",IF($G38="","",MAX(0,$G38-$E38)),IF($F38="취소","",MAX(0,TODAY()-$E38))))</f>
        <v/>
      </c>
      <c r="J38" s="50" t="n"/>
      <c r="K38" s="52" t="str">
        <f>IF($A38="","",$A38&amp;"|"&amp;$L38)</f>
        <v/>
      </c>
      <c r="L38" s="52" t="str">
        <f>IF($A38="","",COUNTIFS($A$3:$A38,$A38))</f>
        <v/>
      </c>
    </row>
    <row r="39" ht="15" customHeight="1" s="41">
      <c r="A39" s="50" t="n"/>
      <c r="B39" s="52" t="str">
        <f>IF($A39="","",IFERROR(INDEX(회의록!$C$3:$C$302,MATCH($A39,회의록!$A$3:$A$302,0)),"회의번호없음"))</f>
        <v/>
      </c>
      <c r="C39" s="50" t="n"/>
      <c r="D39" s="49" t="n"/>
      <c r="E39" s="53" t="n"/>
      <c r="F39" s="49" t="n"/>
      <c r="G39" s="53" t="n"/>
      <c r="H39" s="56" t="str">
        <f>IF(OR($C39="",$E39="",$F39="완료",$F39="취소"),"",$E39-TODAY())</f>
        <v/>
      </c>
      <c r="I39" s="56" t="str">
        <f>IF(OR($C39="",$E39=""),"",IF($F39="완료",IF($G39="","",MAX(0,$G39-$E39)),IF($F39="취소","",MAX(0,TODAY()-$E39))))</f>
        <v/>
      </c>
      <c r="J39" s="50" t="n"/>
      <c r="K39" s="52" t="str">
        <f>IF($A39="","",$A39&amp;"|"&amp;$L39)</f>
        <v/>
      </c>
      <c r="L39" s="52" t="str">
        <f>IF($A39="","",COUNTIFS($A$3:$A39,$A39))</f>
        <v/>
      </c>
    </row>
    <row r="40" ht="15" customHeight="1" s="41">
      <c r="A40" s="50" t="n"/>
      <c r="B40" s="52" t="str">
        <f>IF($A40="","",IFERROR(INDEX(회의록!$C$3:$C$302,MATCH($A40,회의록!$A$3:$A$302,0)),"회의번호없음"))</f>
        <v/>
      </c>
      <c r="C40" s="50" t="n"/>
      <c r="D40" s="49" t="n"/>
      <c r="E40" s="53" t="n"/>
      <c r="F40" s="49" t="n"/>
      <c r="G40" s="53" t="n"/>
      <c r="H40" s="56" t="str">
        <f>IF(OR($C40="",$E40="",$F40="완료",$F40="취소"),"",$E40-TODAY())</f>
        <v/>
      </c>
      <c r="I40" s="56" t="str">
        <f>IF(OR($C40="",$E40=""),"",IF($F40="완료",IF($G40="","",MAX(0,$G40-$E40)),IF($F40="취소","",MAX(0,TODAY()-$E40))))</f>
        <v/>
      </c>
      <c r="J40" s="50" t="n"/>
      <c r="K40" s="52" t="str">
        <f>IF($A40="","",$A40&amp;"|"&amp;$L40)</f>
        <v/>
      </c>
      <c r="L40" s="52" t="str">
        <f>IF($A40="","",COUNTIFS($A$3:$A40,$A40))</f>
        <v/>
      </c>
    </row>
    <row r="41" ht="15" customHeight="1" s="41">
      <c r="A41" s="50" t="n"/>
      <c r="B41" s="52" t="str">
        <f>IF($A41="","",IFERROR(INDEX(회의록!$C$3:$C$302,MATCH($A41,회의록!$A$3:$A$302,0)),"회의번호없음"))</f>
        <v/>
      </c>
      <c r="C41" s="50" t="n"/>
      <c r="D41" s="49" t="n"/>
      <c r="E41" s="53" t="n"/>
      <c r="F41" s="49" t="n"/>
      <c r="G41" s="53" t="n"/>
      <c r="H41" s="56" t="str">
        <f>IF(OR($C41="",$E41="",$F41="완료",$F41="취소"),"",$E41-TODAY())</f>
        <v/>
      </c>
      <c r="I41" s="56" t="str">
        <f>IF(OR($C41="",$E41=""),"",IF($F41="완료",IF($G41="","",MAX(0,$G41-$E41)),IF($F41="취소","",MAX(0,TODAY()-$E41))))</f>
        <v/>
      </c>
      <c r="J41" s="50" t="n"/>
      <c r="K41" s="52" t="str">
        <f>IF($A41="","",$A41&amp;"|"&amp;$L41)</f>
        <v/>
      </c>
      <c r="L41" s="52" t="str">
        <f>IF($A41="","",COUNTIFS($A$3:$A41,$A41))</f>
        <v/>
      </c>
    </row>
    <row r="42" ht="15" customHeight="1" s="41">
      <c r="A42" s="50" t="n"/>
      <c r="B42" s="52" t="str">
        <f>IF($A42="","",IFERROR(INDEX(회의록!$C$3:$C$302,MATCH($A42,회의록!$A$3:$A$302,0)),"회의번호없음"))</f>
        <v/>
      </c>
      <c r="C42" s="50" t="n"/>
      <c r="D42" s="49" t="n"/>
      <c r="E42" s="53" t="n"/>
      <c r="F42" s="49" t="n"/>
      <c r="G42" s="53" t="n"/>
      <c r="H42" s="56" t="str">
        <f>IF(OR($C42="",$E42="",$F42="완료",$F42="취소"),"",$E42-TODAY())</f>
        <v/>
      </c>
      <c r="I42" s="56" t="str">
        <f>IF(OR($C42="",$E42=""),"",IF($F42="완료",IF($G42="","",MAX(0,$G42-$E42)),IF($F42="취소","",MAX(0,TODAY()-$E42))))</f>
        <v/>
      </c>
      <c r="J42" s="50" t="n"/>
      <c r="K42" s="52" t="str">
        <f>IF($A42="","",$A42&amp;"|"&amp;$L42)</f>
        <v/>
      </c>
      <c r="L42" s="52" t="str">
        <f>IF($A42="","",COUNTIFS($A$3:$A42,$A42))</f>
        <v/>
      </c>
    </row>
    <row r="43" ht="15" customHeight="1" s="41">
      <c r="A43" s="50" t="n"/>
      <c r="B43" s="52" t="str">
        <f>IF($A43="","",IFERROR(INDEX(회의록!$C$3:$C$302,MATCH($A43,회의록!$A$3:$A$302,0)),"회의번호없음"))</f>
        <v/>
      </c>
      <c r="C43" s="50" t="n"/>
      <c r="D43" s="49" t="n"/>
      <c r="E43" s="53" t="n"/>
      <c r="F43" s="49" t="n"/>
      <c r="G43" s="53" t="n"/>
      <c r="H43" s="56" t="str">
        <f>IF(OR($C43="",$E43="",$F43="완료",$F43="취소"),"",$E43-TODAY())</f>
        <v/>
      </c>
      <c r="I43" s="56" t="str">
        <f>IF(OR($C43="",$E43=""),"",IF($F43="완료",IF($G43="","",MAX(0,$G43-$E43)),IF($F43="취소","",MAX(0,TODAY()-$E43))))</f>
        <v/>
      </c>
      <c r="J43" s="50" t="n"/>
      <c r="K43" s="52" t="str">
        <f>IF($A43="","",$A43&amp;"|"&amp;$L43)</f>
        <v/>
      </c>
      <c r="L43" s="52" t="str">
        <f>IF($A43="","",COUNTIFS($A$3:$A43,$A43))</f>
        <v/>
      </c>
    </row>
    <row r="44" ht="15" customHeight="1" s="41">
      <c r="A44" s="50" t="n"/>
      <c r="B44" s="52" t="str">
        <f>IF($A44="","",IFERROR(INDEX(회의록!$C$3:$C$302,MATCH($A44,회의록!$A$3:$A$302,0)),"회의번호없음"))</f>
        <v/>
      </c>
      <c r="C44" s="50" t="n"/>
      <c r="D44" s="49" t="n"/>
      <c r="E44" s="53" t="n"/>
      <c r="F44" s="49" t="n"/>
      <c r="G44" s="53" t="n"/>
      <c r="H44" s="56" t="str">
        <f>IF(OR($C44="",$E44="",$F44="완료",$F44="취소"),"",$E44-TODAY())</f>
        <v/>
      </c>
      <c r="I44" s="56" t="str">
        <f>IF(OR($C44="",$E44=""),"",IF($F44="완료",IF($G44="","",MAX(0,$G44-$E44)),IF($F44="취소","",MAX(0,TODAY()-$E44))))</f>
        <v/>
      </c>
      <c r="J44" s="50" t="n"/>
      <c r="K44" s="52" t="str">
        <f>IF($A44="","",$A44&amp;"|"&amp;$L44)</f>
        <v/>
      </c>
      <c r="L44" s="52" t="str">
        <f>IF($A44="","",COUNTIFS($A$3:$A44,$A44))</f>
        <v/>
      </c>
    </row>
    <row r="45" ht="15" customHeight="1" s="41">
      <c r="A45" s="50" t="n"/>
      <c r="B45" s="52" t="str">
        <f>IF($A45="","",IFERROR(INDEX(회의록!$C$3:$C$302,MATCH($A45,회의록!$A$3:$A$302,0)),"회의번호없음"))</f>
        <v/>
      </c>
      <c r="C45" s="50" t="n"/>
      <c r="D45" s="49" t="n"/>
      <c r="E45" s="53" t="n"/>
      <c r="F45" s="49" t="n"/>
      <c r="G45" s="53" t="n"/>
      <c r="H45" s="56" t="str">
        <f>IF(OR($C45="",$E45="",$F45="완료",$F45="취소"),"",$E45-TODAY())</f>
        <v/>
      </c>
      <c r="I45" s="56" t="str">
        <f>IF(OR($C45="",$E45=""),"",IF($F45="완료",IF($G45="","",MAX(0,$G45-$E45)),IF($F45="취소","",MAX(0,TODAY()-$E45))))</f>
        <v/>
      </c>
      <c r="J45" s="50" t="n"/>
      <c r="K45" s="52" t="str">
        <f>IF($A45="","",$A45&amp;"|"&amp;$L45)</f>
        <v/>
      </c>
      <c r="L45" s="52" t="str">
        <f>IF($A45="","",COUNTIFS($A$3:$A45,$A45))</f>
        <v/>
      </c>
    </row>
    <row r="46" ht="15" customHeight="1" s="41">
      <c r="A46" s="50" t="n"/>
      <c r="B46" s="52" t="str">
        <f>IF($A46="","",IFERROR(INDEX(회의록!$C$3:$C$302,MATCH($A46,회의록!$A$3:$A$302,0)),"회의번호없음"))</f>
        <v/>
      </c>
      <c r="C46" s="50" t="n"/>
      <c r="D46" s="49" t="n"/>
      <c r="E46" s="53" t="n"/>
      <c r="F46" s="49" t="n"/>
      <c r="G46" s="53" t="n"/>
      <c r="H46" s="56" t="str">
        <f>IF(OR($C46="",$E46="",$F46="완료",$F46="취소"),"",$E46-TODAY())</f>
        <v/>
      </c>
      <c r="I46" s="56" t="str">
        <f>IF(OR($C46="",$E46=""),"",IF($F46="완료",IF($G46="","",MAX(0,$G46-$E46)),IF($F46="취소","",MAX(0,TODAY()-$E46))))</f>
        <v/>
      </c>
      <c r="J46" s="50" t="n"/>
      <c r="K46" s="52" t="str">
        <f>IF($A46="","",$A46&amp;"|"&amp;$L46)</f>
        <v/>
      </c>
      <c r="L46" s="52" t="str">
        <f>IF($A46="","",COUNTIFS($A$3:$A46,$A46))</f>
        <v/>
      </c>
    </row>
    <row r="47" ht="15" customHeight="1" s="41">
      <c r="A47" s="50" t="n"/>
      <c r="B47" s="52" t="str">
        <f>IF($A47="","",IFERROR(INDEX(회의록!$C$3:$C$302,MATCH($A47,회의록!$A$3:$A$302,0)),"회의번호없음"))</f>
        <v/>
      </c>
      <c r="C47" s="50" t="n"/>
      <c r="D47" s="49" t="n"/>
      <c r="E47" s="53" t="n"/>
      <c r="F47" s="49" t="n"/>
      <c r="G47" s="53" t="n"/>
      <c r="H47" s="56" t="str">
        <f>IF(OR($C47="",$E47="",$F47="완료",$F47="취소"),"",$E47-TODAY())</f>
        <v/>
      </c>
      <c r="I47" s="56" t="str">
        <f>IF(OR($C47="",$E47=""),"",IF($F47="완료",IF($G47="","",MAX(0,$G47-$E47)),IF($F47="취소","",MAX(0,TODAY()-$E47))))</f>
        <v/>
      </c>
      <c r="J47" s="50" t="n"/>
      <c r="K47" s="52" t="str">
        <f>IF($A47="","",$A47&amp;"|"&amp;$L47)</f>
        <v/>
      </c>
      <c r="L47" s="52" t="str">
        <f>IF($A47="","",COUNTIFS($A$3:$A47,$A47))</f>
        <v/>
      </c>
    </row>
    <row r="48" ht="15" customHeight="1" s="41">
      <c r="A48" s="50" t="n"/>
      <c r="B48" s="52" t="str">
        <f>IF($A48="","",IFERROR(INDEX(회의록!$C$3:$C$302,MATCH($A48,회의록!$A$3:$A$302,0)),"회의번호없음"))</f>
        <v/>
      </c>
      <c r="C48" s="50" t="n"/>
      <c r="D48" s="49" t="n"/>
      <c r="E48" s="53" t="n"/>
      <c r="F48" s="49" t="n"/>
      <c r="G48" s="53" t="n"/>
      <c r="H48" s="56" t="str">
        <f>IF(OR($C48="",$E48="",$F48="완료",$F48="취소"),"",$E48-TODAY())</f>
        <v/>
      </c>
      <c r="I48" s="56" t="str">
        <f>IF(OR($C48="",$E48=""),"",IF($F48="완료",IF($G48="","",MAX(0,$G48-$E48)),IF($F48="취소","",MAX(0,TODAY()-$E48))))</f>
        <v/>
      </c>
      <c r="J48" s="50" t="n"/>
      <c r="K48" s="52" t="str">
        <f>IF($A48="","",$A48&amp;"|"&amp;$L48)</f>
        <v/>
      </c>
      <c r="L48" s="52" t="str">
        <f>IF($A48="","",COUNTIFS($A$3:$A48,$A48))</f>
        <v/>
      </c>
    </row>
    <row r="49" ht="15" customHeight="1" s="41">
      <c r="A49" s="50" t="n"/>
      <c r="B49" s="52" t="str">
        <f>IF($A49="","",IFERROR(INDEX(회의록!$C$3:$C$302,MATCH($A49,회의록!$A$3:$A$302,0)),"회의번호없음"))</f>
        <v/>
      </c>
      <c r="C49" s="50" t="n"/>
      <c r="D49" s="49" t="n"/>
      <c r="E49" s="53" t="n"/>
      <c r="F49" s="49" t="n"/>
      <c r="G49" s="53" t="n"/>
      <c r="H49" s="56" t="str">
        <f>IF(OR($C49="",$E49="",$F49="완료",$F49="취소"),"",$E49-TODAY())</f>
        <v/>
      </c>
      <c r="I49" s="56" t="str">
        <f>IF(OR($C49="",$E49=""),"",IF($F49="완료",IF($G49="","",MAX(0,$G49-$E49)),IF($F49="취소","",MAX(0,TODAY()-$E49))))</f>
        <v/>
      </c>
      <c r="J49" s="50" t="n"/>
      <c r="K49" s="52" t="str">
        <f>IF($A49="","",$A49&amp;"|"&amp;$L49)</f>
        <v/>
      </c>
      <c r="L49" s="52" t="str">
        <f>IF($A49="","",COUNTIFS($A$3:$A49,$A49))</f>
        <v/>
      </c>
    </row>
    <row r="50" ht="15" customHeight="1" s="41">
      <c r="A50" s="50" t="n"/>
      <c r="B50" s="52" t="str">
        <f>IF($A50="","",IFERROR(INDEX(회의록!$C$3:$C$302,MATCH($A50,회의록!$A$3:$A$302,0)),"회의번호없음"))</f>
        <v/>
      </c>
      <c r="C50" s="50" t="n"/>
      <c r="D50" s="49" t="n"/>
      <c r="E50" s="53" t="n"/>
      <c r="F50" s="49" t="n"/>
      <c r="G50" s="53" t="n"/>
      <c r="H50" s="56" t="str">
        <f>IF(OR($C50="",$E50="",$F50="완료",$F50="취소"),"",$E50-TODAY())</f>
        <v/>
      </c>
      <c r="I50" s="56" t="str">
        <f>IF(OR($C50="",$E50=""),"",IF($F50="완료",IF($G50="","",MAX(0,$G50-$E50)),IF($F50="취소","",MAX(0,TODAY()-$E50))))</f>
        <v/>
      </c>
      <c r="J50" s="50" t="n"/>
      <c r="K50" s="52" t="str">
        <f>IF($A50="","",$A50&amp;"|"&amp;$L50)</f>
        <v/>
      </c>
      <c r="L50" s="52" t="str">
        <f>IF($A50="","",COUNTIFS($A$3:$A50,$A50))</f>
        <v/>
      </c>
    </row>
    <row r="51" ht="15" customHeight="1" s="41">
      <c r="A51" s="50" t="n"/>
      <c r="B51" s="52" t="str">
        <f>IF($A51="","",IFERROR(INDEX(회의록!$C$3:$C$302,MATCH($A51,회의록!$A$3:$A$302,0)),"회의번호없음"))</f>
        <v/>
      </c>
      <c r="C51" s="50" t="n"/>
      <c r="D51" s="49" t="n"/>
      <c r="E51" s="53" t="n"/>
      <c r="F51" s="49" t="n"/>
      <c r="G51" s="53" t="n"/>
      <c r="H51" s="56" t="str">
        <f>IF(OR($C51="",$E51="",$F51="완료",$F51="취소"),"",$E51-TODAY())</f>
        <v/>
      </c>
      <c r="I51" s="56" t="str">
        <f>IF(OR($C51="",$E51=""),"",IF($F51="완료",IF($G51="","",MAX(0,$G51-$E51)),IF($F51="취소","",MAX(0,TODAY()-$E51))))</f>
        <v/>
      </c>
      <c r="J51" s="50" t="n"/>
      <c r="K51" s="52" t="str">
        <f>IF($A51="","",$A51&amp;"|"&amp;$L51)</f>
        <v/>
      </c>
      <c r="L51" s="52" t="str">
        <f>IF($A51="","",COUNTIFS($A$3:$A51,$A51))</f>
        <v/>
      </c>
    </row>
    <row r="52" ht="15" customHeight="1" s="41">
      <c r="A52" s="50" t="n"/>
      <c r="B52" s="52" t="str">
        <f>IF($A52="","",IFERROR(INDEX(회의록!$C$3:$C$302,MATCH($A52,회의록!$A$3:$A$302,0)),"회의번호없음"))</f>
        <v/>
      </c>
      <c r="C52" s="50" t="n"/>
      <c r="D52" s="49" t="n"/>
      <c r="E52" s="53" t="n"/>
      <c r="F52" s="49" t="n"/>
      <c r="G52" s="53" t="n"/>
      <c r="H52" s="56" t="str">
        <f>IF(OR($C52="",$E52="",$F52="완료",$F52="취소"),"",$E52-TODAY())</f>
        <v/>
      </c>
      <c r="I52" s="56" t="str">
        <f>IF(OR($C52="",$E52=""),"",IF($F52="완료",IF($G52="","",MAX(0,$G52-$E52)),IF($F52="취소","",MAX(0,TODAY()-$E52))))</f>
        <v/>
      </c>
      <c r="J52" s="50" t="n"/>
      <c r="K52" s="52" t="str">
        <f>IF($A52="","",$A52&amp;"|"&amp;$L52)</f>
        <v/>
      </c>
      <c r="L52" s="52" t="str">
        <f>IF($A52="","",COUNTIFS($A$3:$A52,$A52))</f>
        <v/>
      </c>
    </row>
    <row r="53" ht="15" customHeight="1" s="41">
      <c r="A53" s="50" t="n"/>
      <c r="B53" s="52" t="str">
        <f>IF($A53="","",IFERROR(INDEX(회의록!$C$3:$C$302,MATCH($A53,회의록!$A$3:$A$302,0)),"회의번호없음"))</f>
        <v/>
      </c>
      <c r="C53" s="50" t="n"/>
      <c r="D53" s="49" t="n"/>
      <c r="E53" s="53" t="n"/>
      <c r="F53" s="49" t="n"/>
      <c r="G53" s="53" t="n"/>
      <c r="H53" s="56" t="str">
        <f>IF(OR($C53="",$E53="",$F53="완료",$F53="취소"),"",$E53-TODAY())</f>
        <v/>
      </c>
      <c r="I53" s="56" t="str">
        <f>IF(OR($C53="",$E53=""),"",IF($F53="완료",IF($G53="","",MAX(0,$G53-$E53)),IF($F53="취소","",MAX(0,TODAY()-$E53))))</f>
        <v/>
      </c>
      <c r="J53" s="50" t="n"/>
      <c r="K53" s="52" t="str">
        <f>IF($A53="","",$A53&amp;"|"&amp;$L53)</f>
        <v/>
      </c>
      <c r="L53" s="52" t="str">
        <f>IF($A53="","",COUNTIFS($A$3:$A53,$A53))</f>
        <v/>
      </c>
    </row>
    <row r="54" ht="15" customHeight="1" s="41">
      <c r="A54" s="50" t="n"/>
      <c r="B54" s="52" t="str">
        <f>IF($A54="","",IFERROR(INDEX(회의록!$C$3:$C$302,MATCH($A54,회의록!$A$3:$A$302,0)),"회의번호없음"))</f>
        <v/>
      </c>
      <c r="C54" s="50" t="n"/>
      <c r="D54" s="49" t="n"/>
      <c r="E54" s="53" t="n"/>
      <c r="F54" s="49" t="n"/>
      <c r="G54" s="53" t="n"/>
      <c r="H54" s="56" t="str">
        <f>IF(OR($C54="",$E54="",$F54="완료",$F54="취소"),"",$E54-TODAY())</f>
        <v/>
      </c>
      <c r="I54" s="56" t="str">
        <f>IF(OR($C54="",$E54=""),"",IF($F54="완료",IF($G54="","",MAX(0,$G54-$E54)),IF($F54="취소","",MAX(0,TODAY()-$E54))))</f>
        <v/>
      </c>
      <c r="J54" s="50" t="n"/>
      <c r="K54" s="52" t="str">
        <f>IF($A54="","",$A54&amp;"|"&amp;$L54)</f>
        <v/>
      </c>
      <c r="L54" s="52" t="str">
        <f>IF($A54="","",COUNTIFS($A$3:$A54,$A54))</f>
        <v/>
      </c>
    </row>
    <row r="55" ht="15" customHeight="1" s="41">
      <c r="A55" s="50" t="n"/>
      <c r="B55" s="52" t="str">
        <f>IF($A55="","",IFERROR(INDEX(회의록!$C$3:$C$302,MATCH($A55,회의록!$A$3:$A$302,0)),"회의번호없음"))</f>
        <v/>
      </c>
      <c r="C55" s="50" t="n"/>
      <c r="D55" s="49" t="n"/>
      <c r="E55" s="53" t="n"/>
      <c r="F55" s="49" t="n"/>
      <c r="G55" s="53" t="n"/>
      <c r="H55" s="56" t="str">
        <f>IF(OR($C55="",$E55="",$F55="완료",$F55="취소"),"",$E55-TODAY())</f>
        <v/>
      </c>
      <c r="I55" s="56" t="str">
        <f>IF(OR($C55="",$E55=""),"",IF($F55="완료",IF($G55="","",MAX(0,$G55-$E55)),IF($F55="취소","",MAX(0,TODAY()-$E55))))</f>
        <v/>
      </c>
      <c r="J55" s="50" t="n"/>
      <c r="K55" s="52" t="str">
        <f>IF($A55="","",$A55&amp;"|"&amp;$L55)</f>
        <v/>
      </c>
      <c r="L55" s="52" t="str">
        <f>IF($A55="","",COUNTIFS($A$3:$A55,$A55))</f>
        <v/>
      </c>
    </row>
    <row r="56" ht="15" customHeight="1" s="41">
      <c r="A56" s="50" t="n"/>
      <c r="B56" s="52" t="str">
        <f>IF($A56="","",IFERROR(INDEX(회의록!$C$3:$C$302,MATCH($A56,회의록!$A$3:$A$302,0)),"회의번호없음"))</f>
        <v/>
      </c>
      <c r="C56" s="50" t="n"/>
      <c r="D56" s="49" t="n"/>
      <c r="E56" s="53" t="n"/>
      <c r="F56" s="49" t="n"/>
      <c r="G56" s="53" t="n"/>
      <c r="H56" s="56" t="str">
        <f>IF(OR($C56="",$E56="",$F56="완료",$F56="취소"),"",$E56-TODAY())</f>
        <v/>
      </c>
      <c r="I56" s="56" t="str">
        <f>IF(OR($C56="",$E56=""),"",IF($F56="완료",IF($G56="","",MAX(0,$G56-$E56)),IF($F56="취소","",MAX(0,TODAY()-$E56))))</f>
        <v/>
      </c>
      <c r="J56" s="50" t="n"/>
      <c r="K56" s="52" t="str">
        <f>IF($A56="","",$A56&amp;"|"&amp;$L56)</f>
        <v/>
      </c>
      <c r="L56" s="52" t="str">
        <f>IF($A56="","",COUNTIFS($A$3:$A56,$A56))</f>
        <v/>
      </c>
    </row>
    <row r="57" ht="15" customHeight="1" s="41">
      <c r="A57" s="50" t="n"/>
      <c r="B57" s="52" t="str">
        <f>IF($A57="","",IFERROR(INDEX(회의록!$C$3:$C$302,MATCH($A57,회의록!$A$3:$A$302,0)),"회의번호없음"))</f>
        <v/>
      </c>
      <c r="C57" s="50" t="n"/>
      <c r="D57" s="49" t="n"/>
      <c r="E57" s="53" t="n"/>
      <c r="F57" s="49" t="n"/>
      <c r="G57" s="53" t="n"/>
      <c r="H57" s="56" t="str">
        <f>IF(OR($C57="",$E57="",$F57="완료",$F57="취소"),"",$E57-TODAY())</f>
        <v/>
      </c>
      <c r="I57" s="56" t="str">
        <f>IF(OR($C57="",$E57=""),"",IF($F57="완료",IF($G57="","",MAX(0,$G57-$E57)),IF($F57="취소","",MAX(0,TODAY()-$E57))))</f>
        <v/>
      </c>
      <c r="J57" s="50" t="n"/>
      <c r="K57" s="52" t="str">
        <f>IF($A57="","",$A57&amp;"|"&amp;$L57)</f>
        <v/>
      </c>
      <c r="L57" s="52" t="str">
        <f>IF($A57="","",COUNTIFS($A$3:$A57,$A57))</f>
        <v/>
      </c>
    </row>
    <row r="58" ht="15" customHeight="1" s="41">
      <c r="A58" s="50" t="n"/>
      <c r="B58" s="52" t="str">
        <f>IF($A58="","",IFERROR(INDEX(회의록!$C$3:$C$302,MATCH($A58,회의록!$A$3:$A$302,0)),"회의번호없음"))</f>
        <v/>
      </c>
      <c r="C58" s="50" t="n"/>
      <c r="D58" s="49" t="n"/>
      <c r="E58" s="53" t="n"/>
      <c r="F58" s="49" t="n"/>
      <c r="G58" s="53" t="n"/>
      <c r="H58" s="56" t="str">
        <f>IF(OR($C58="",$E58="",$F58="완료",$F58="취소"),"",$E58-TODAY())</f>
        <v/>
      </c>
      <c r="I58" s="56" t="str">
        <f>IF(OR($C58="",$E58=""),"",IF($F58="완료",IF($G58="","",MAX(0,$G58-$E58)),IF($F58="취소","",MAX(0,TODAY()-$E58))))</f>
        <v/>
      </c>
      <c r="J58" s="50" t="n"/>
      <c r="K58" s="52" t="str">
        <f>IF($A58="","",$A58&amp;"|"&amp;$L58)</f>
        <v/>
      </c>
      <c r="L58" s="52" t="str">
        <f>IF($A58="","",COUNTIFS($A$3:$A58,$A58))</f>
        <v/>
      </c>
    </row>
    <row r="59" ht="15" customHeight="1" s="41">
      <c r="A59" s="50" t="n"/>
      <c r="B59" s="52" t="str">
        <f>IF($A59="","",IFERROR(INDEX(회의록!$C$3:$C$302,MATCH($A59,회의록!$A$3:$A$302,0)),"회의번호없음"))</f>
        <v/>
      </c>
      <c r="C59" s="50" t="n"/>
      <c r="D59" s="49" t="n"/>
      <c r="E59" s="53" t="n"/>
      <c r="F59" s="49" t="n"/>
      <c r="G59" s="53" t="n"/>
      <c r="H59" s="56" t="str">
        <f>IF(OR($C59="",$E59="",$F59="완료",$F59="취소"),"",$E59-TODAY())</f>
        <v/>
      </c>
      <c r="I59" s="56" t="str">
        <f>IF(OR($C59="",$E59=""),"",IF($F59="완료",IF($G59="","",MAX(0,$G59-$E59)),IF($F59="취소","",MAX(0,TODAY()-$E59))))</f>
        <v/>
      </c>
      <c r="J59" s="50" t="n"/>
      <c r="K59" s="52" t="str">
        <f>IF($A59="","",$A59&amp;"|"&amp;$L59)</f>
        <v/>
      </c>
      <c r="L59" s="52" t="str">
        <f>IF($A59="","",COUNTIFS($A$3:$A59,$A59))</f>
        <v/>
      </c>
    </row>
    <row r="60" ht="15" customHeight="1" s="41">
      <c r="A60" s="50" t="n"/>
      <c r="B60" s="52" t="str">
        <f>IF($A60="","",IFERROR(INDEX(회의록!$C$3:$C$302,MATCH($A60,회의록!$A$3:$A$302,0)),"회의번호없음"))</f>
        <v/>
      </c>
      <c r="C60" s="50" t="n"/>
      <c r="D60" s="49" t="n"/>
      <c r="E60" s="53" t="n"/>
      <c r="F60" s="49" t="n"/>
      <c r="G60" s="53" t="n"/>
      <c r="H60" s="56" t="str">
        <f>IF(OR($C60="",$E60="",$F60="완료",$F60="취소"),"",$E60-TODAY())</f>
        <v/>
      </c>
      <c r="I60" s="56" t="str">
        <f>IF(OR($C60="",$E60=""),"",IF($F60="완료",IF($G60="","",MAX(0,$G60-$E60)),IF($F60="취소","",MAX(0,TODAY()-$E60))))</f>
        <v/>
      </c>
      <c r="J60" s="50" t="n"/>
      <c r="K60" s="52" t="str">
        <f>IF($A60="","",$A60&amp;"|"&amp;$L60)</f>
        <v/>
      </c>
      <c r="L60" s="52" t="str">
        <f>IF($A60="","",COUNTIFS($A$3:$A60,$A60))</f>
        <v/>
      </c>
    </row>
    <row r="61" ht="15" customHeight="1" s="41">
      <c r="A61" s="50" t="n"/>
      <c r="B61" s="52" t="str">
        <f>IF($A61="","",IFERROR(INDEX(회의록!$C$3:$C$302,MATCH($A61,회의록!$A$3:$A$302,0)),"회의번호없음"))</f>
        <v/>
      </c>
      <c r="C61" s="50" t="n"/>
      <c r="D61" s="49" t="n"/>
      <c r="E61" s="53" t="n"/>
      <c r="F61" s="49" t="n"/>
      <c r="G61" s="53" t="n"/>
      <c r="H61" s="56" t="str">
        <f>IF(OR($C61="",$E61="",$F61="완료",$F61="취소"),"",$E61-TODAY())</f>
        <v/>
      </c>
      <c r="I61" s="56" t="str">
        <f>IF(OR($C61="",$E61=""),"",IF($F61="완료",IF($G61="","",MAX(0,$G61-$E61)),IF($F61="취소","",MAX(0,TODAY()-$E61))))</f>
        <v/>
      </c>
      <c r="J61" s="50" t="n"/>
      <c r="K61" s="52" t="str">
        <f>IF($A61="","",$A61&amp;"|"&amp;$L61)</f>
        <v/>
      </c>
      <c r="L61" s="52" t="str">
        <f>IF($A61="","",COUNTIFS($A$3:$A61,$A61))</f>
        <v/>
      </c>
    </row>
    <row r="62" ht="15" customHeight="1" s="41">
      <c r="A62" s="50" t="n"/>
      <c r="B62" s="52" t="str">
        <f>IF($A62="","",IFERROR(INDEX(회의록!$C$3:$C$302,MATCH($A62,회의록!$A$3:$A$302,0)),"회의번호없음"))</f>
        <v/>
      </c>
      <c r="C62" s="50" t="n"/>
      <c r="D62" s="49" t="n"/>
      <c r="E62" s="53" t="n"/>
      <c r="F62" s="49" t="n"/>
      <c r="G62" s="53" t="n"/>
      <c r="H62" s="56" t="str">
        <f>IF(OR($C62="",$E62="",$F62="완료",$F62="취소"),"",$E62-TODAY())</f>
        <v/>
      </c>
      <c r="I62" s="56" t="str">
        <f>IF(OR($C62="",$E62=""),"",IF($F62="완료",IF($G62="","",MAX(0,$G62-$E62)),IF($F62="취소","",MAX(0,TODAY()-$E62))))</f>
        <v/>
      </c>
      <c r="J62" s="50" t="n"/>
      <c r="K62" s="52" t="str">
        <f>IF($A62="","",$A62&amp;"|"&amp;$L62)</f>
        <v/>
      </c>
      <c r="L62" s="52" t="str">
        <f>IF($A62="","",COUNTIFS($A$3:$A62,$A62))</f>
        <v/>
      </c>
    </row>
    <row r="63" ht="15" customHeight="1" s="41">
      <c r="A63" s="50" t="n"/>
      <c r="B63" s="52" t="str">
        <f>IF($A63="","",IFERROR(INDEX(회의록!$C$3:$C$302,MATCH($A63,회의록!$A$3:$A$302,0)),"회의번호없음"))</f>
        <v/>
      </c>
      <c r="C63" s="50" t="n"/>
      <c r="D63" s="49" t="n"/>
      <c r="E63" s="53" t="n"/>
      <c r="F63" s="49" t="n"/>
      <c r="G63" s="53" t="n"/>
      <c r="H63" s="56" t="str">
        <f>IF(OR($C63="",$E63="",$F63="완료",$F63="취소"),"",$E63-TODAY())</f>
        <v/>
      </c>
      <c r="I63" s="56" t="str">
        <f>IF(OR($C63="",$E63=""),"",IF($F63="완료",IF($G63="","",MAX(0,$G63-$E63)),IF($F63="취소","",MAX(0,TODAY()-$E63))))</f>
        <v/>
      </c>
      <c r="J63" s="50" t="n"/>
      <c r="K63" s="52" t="str">
        <f>IF($A63="","",$A63&amp;"|"&amp;$L63)</f>
        <v/>
      </c>
      <c r="L63" s="52" t="str">
        <f>IF($A63="","",COUNTIFS($A$3:$A63,$A63))</f>
        <v/>
      </c>
    </row>
    <row r="64" ht="15" customHeight="1" s="41">
      <c r="A64" s="50" t="n"/>
      <c r="B64" s="52" t="str">
        <f>IF($A64="","",IFERROR(INDEX(회의록!$C$3:$C$302,MATCH($A64,회의록!$A$3:$A$302,0)),"회의번호없음"))</f>
        <v/>
      </c>
      <c r="C64" s="50" t="n"/>
      <c r="D64" s="49" t="n"/>
      <c r="E64" s="53" t="n"/>
      <c r="F64" s="49" t="n"/>
      <c r="G64" s="53" t="n"/>
      <c r="H64" s="56" t="str">
        <f>IF(OR($C64="",$E64="",$F64="완료",$F64="취소"),"",$E64-TODAY())</f>
        <v/>
      </c>
      <c r="I64" s="56" t="str">
        <f>IF(OR($C64="",$E64=""),"",IF($F64="완료",IF($G64="","",MAX(0,$G64-$E64)),IF($F64="취소","",MAX(0,TODAY()-$E64))))</f>
        <v/>
      </c>
      <c r="J64" s="50" t="n"/>
      <c r="K64" s="52" t="str">
        <f>IF($A64="","",$A64&amp;"|"&amp;$L64)</f>
        <v/>
      </c>
      <c r="L64" s="52" t="str">
        <f>IF($A64="","",COUNTIFS($A$3:$A64,$A64))</f>
        <v/>
      </c>
    </row>
    <row r="65" ht="15" customHeight="1" s="41">
      <c r="A65" s="50" t="n"/>
      <c r="B65" s="52" t="str">
        <f>IF($A65="","",IFERROR(INDEX(회의록!$C$3:$C$302,MATCH($A65,회의록!$A$3:$A$302,0)),"회의번호없음"))</f>
        <v/>
      </c>
      <c r="C65" s="50" t="n"/>
      <c r="D65" s="49" t="n"/>
      <c r="E65" s="53" t="n"/>
      <c r="F65" s="49" t="n"/>
      <c r="G65" s="53" t="n"/>
      <c r="H65" s="56" t="str">
        <f>IF(OR($C65="",$E65="",$F65="완료",$F65="취소"),"",$E65-TODAY())</f>
        <v/>
      </c>
      <c r="I65" s="56" t="str">
        <f>IF(OR($C65="",$E65=""),"",IF($F65="완료",IF($G65="","",MAX(0,$G65-$E65)),IF($F65="취소","",MAX(0,TODAY()-$E65))))</f>
        <v/>
      </c>
      <c r="J65" s="50" t="n"/>
      <c r="K65" s="52" t="str">
        <f>IF($A65="","",$A65&amp;"|"&amp;$L65)</f>
        <v/>
      </c>
      <c r="L65" s="52" t="str">
        <f>IF($A65="","",COUNTIFS($A$3:$A65,$A65))</f>
        <v/>
      </c>
    </row>
    <row r="66" ht="15" customHeight="1" s="41">
      <c r="A66" s="50" t="n"/>
      <c r="B66" s="52" t="str">
        <f>IF($A66="","",IFERROR(INDEX(회의록!$C$3:$C$302,MATCH($A66,회의록!$A$3:$A$302,0)),"회의번호없음"))</f>
        <v/>
      </c>
      <c r="C66" s="50" t="n"/>
      <c r="D66" s="49" t="n"/>
      <c r="E66" s="53" t="n"/>
      <c r="F66" s="49" t="n"/>
      <c r="G66" s="53" t="n"/>
      <c r="H66" s="56" t="str">
        <f>IF(OR($C66="",$E66="",$F66="완료",$F66="취소"),"",$E66-TODAY())</f>
        <v/>
      </c>
      <c r="I66" s="56" t="str">
        <f>IF(OR($C66="",$E66=""),"",IF($F66="완료",IF($G66="","",MAX(0,$G66-$E66)),IF($F66="취소","",MAX(0,TODAY()-$E66))))</f>
        <v/>
      </c>
      <c r="J66" s="50" t="n"/>
      <c r="K66" s="52" t="str">
        <f>IF($A66="","",$A66&amp;"|"&amp;$L66)</f>
        <v/>
      </c>
      <c r="L66" s="52" t="str">
        <f>IF($A66="","",COUNTIFS($A$3:$A66,$A66))</f>
        <v/>
      </c>
    </row>
    <row r="67" ht="15" customHeight="1" s="41">
      <c r="A67" s="50" t="n"/>
      <c r="B67" s="52" t="str">
        <f>IF($A67="","",IFERROR(INDEX(회의록!$C$3:$C$302,MATCH($A67,회의록!$A$3:$A$302,0)),"회의번호없음"))</f>
        <v/>
      </c>
      <c r="C67" s="50" t="n"/>
      <c r="D67" s="49" t="n"/>
      <c r="E67" s="53" t="n"/>
      <c r="F67" s="49" t="n"/>
      <c r="G67" s="53" t="n"/>
      <c r="H67" s="56" t="str">
        <f>IF(OR($C67="",$E67="",$F67="완료",$F67="취소"),"",$E67-TODAY())</f>
        <v/>
      </c>
      <c r="I67" s="56" t="str">
        <f>IF(OR($C67="",$E67=""),"",IF($F67="완료",IF($G67="","",MAX(0,$G67-$E67)),IF($F67="취소","",MAX(0,TODAY()-$E67))))</f>
        <v/>
      </c>
      <c r="J67" s="50" t="n"/>
      <c r="K67" s="52" t="str">
        <f>IF($A67="","",$A67&amp;"|"&amp;$L67)</f>
        <v/>
      </c>
      <c r="L67" s="52" t="str">
        <f>IF($A67="","",COUNTIFS($A$3:$A67,$A67))</f>
        <v/>
      </c>
    </row>
    <row r="68" ht="15" customHeight="1" s="41">
      <c r="A68" s="50" t="n"/>
      <c r="B68" s="52" t="str">
        <f>IF($A68="","",IFERROR(INDEX(회의록!$C$3:$C$302,MATCH($A68,회의록!$A$3:$A$302,0)),"회의번호없음"))</f>
        <v/>
      </c>
      <c r="C68" s="50" t="n"/>
      <c r="D68" s="49" t="n"/>
      <c r="E68" s="53" t="n"/>
      <c r="F68" s="49" t="n"/>
      <c r="G68" s="53" t="n"/>
      <c r="H68" s="56" t="str">
        <f>IF(OR($C68="",$E68="",$F68="완료",$F68="취소"),"",$E68-TODAY())</f>
        <v/>
      </c>
      <c r="I68" s="56" t="str">
        <f>IF(OR($C68="",$E68=""),"",IF($F68="완료",IF($G68="","",MAX(0,$G68-$E68)),IF($F68="취소","",MAX(0,TODAY()-$E68))))</f>
        <v/>
      </c>
      <c r="J68" s="50" t="n"/>
      <c r="K68" s="52" t="str">
        <f>IF($A68="","",$A68&amp;"|"&amp;$L68)</f>
        <v/>
      </c>
      <c r="L68" s="52" t="str">
        <f>IF($A68="","",COUNTIFS($A$3:$A68,$A68))</f>
        <v/>
      </c>
    </row>
    <row r="69" ht="15" customHeight="1" s="41">
      <c r="A69" s="50" t="n"/>
      <c r="B69" s="52" t="str">
        <f>IF($A69="","",IFERROR(INDEX(회의록!$C$3:$C$302,MATCH($A69,회의록!$A$3:$A$302,0)),"회의번호없음"))</f>
        <v/>
      </c>
      <c r="C69" s="50" t="n"/>
      <c r="D69" s="49" t="n"/>
      <c r="E69" s="53" t="n"/>
      <c r="F69" s="49" t="n"/>
      <c r="G69" s="53" t="n"/>
      <c r="H69" s="56" t="str">
        <f>IF(OR($C69="",$E69="",$F69="완료",$F69="취소"),"",$E69-TODAY())</f>
        <v/>
      </c>
      <c r="I69" s="56" t="str">
        <f>IF(OR($C69="",$E69=""),"",IF($F69="완료",IF($G69="","",MAX(0,$G69-$E69)),IF($F69="취소","",MAX(0,TODAY()-$E69))))</f>
        <v/>
      </c>
      <c r="J69" s="50" t="n"/>
      <c r="K69" s="52" t="str">
        <f>IF($A69="","",$A69&amp;"|"&amp;$L69)</f>
        <v/>
      </c>
      <c r="L69" s="52" t="str">
        <f>IF($A69="","",COUNTIFS($A$3:$A69,$A69))</f>
        <v/>
      </c>
    </row>
    <row r="70" ht="15" customHeight="1" s="41">
      <c r="A70" s="50" t="n"/>
      <c r="B70" s="52" t="str">
        <f>IF($A70="","",IFERROR(INDEX(회의록!$C$3:$C$302,MATCH($A70,회의록!$A$3:$A$302,0)),"회의번호없음"))</f>
        <v/>
      </c>
      <c r="C70" s="50" t="n"/>
      <c r="D70" s="49" t="n"/>
      <c r="E70" s="53" t="n"/>
      <c r="F70" s="49" t="n"/>
      <c r="G70" s="53" t="n"/>
      <c r="H70" s="56" t="str">
        <f>IF(OR($C70="",$E70="",$F70="완료",$F70="취소"),"",$E70-TODAY())</f>
        <v/>
      </c>
      <c r="I70" s="56" t="str">
        <f>IF(OR($C70="",$E70=""),"",IF($F70="완료",IF($G70="","",MAX(0,$G70-$E70)),IF($F70="취소","",MAX(0,TODAY()-$E70))))</f>
        <v/>
      </c>
      <c r="J70" s="50" t="n"/>
      <c r="K70" s="52" t="str">
        <f>IF($A70="","",$A70&amp;"|"&amp;$L70)</f>
        <v/>
      </c>
      <c r="L70" s="52" t="str">
        <f>IF($A70="","",COUNTIFS($A$3:$A70,$A70))</f>
        <v/>
      </c>
    </row>
    <row r="71" ht="15" customHeight="1" s="41">
      <c r="A71" s="50" t="n"/>
      <c r="B71" s="52" t="str">
        <f>IF($A71="","",IFERROR(INDEX(회의록!$C$3:$C$302,MATCH($A71,회의록!$A$3:$A$302,0)),"회의번호없음"))</f>
        <v/>
      </c>
      <c r="C71" s="50" t="n"/>
      <c r="D71" s="49" t="n"/>
      <c r="E71" s="53" t="n"/>
      <c r="F71" s="49" t="n"/>
      <c r="G71" s="53" t="n"/>
      <c r="H71" s="56" t="str">
        <f>IF(OR($C71="",$E71="",$F71="완료",$F71="취소"),"",$E71-TODAY())</f>
        <v/>
      </c>
      <c r="I71" s="56" t="str">
        <f>IF(OR($C71="",$E71=""),"",IF($F71="완료",IF($G71="","",MAX(0,$G71-$E71)),IF($F71="취소","",MAX(0,TODAY()-$E71))))</f>
        <v/>
      </c>
      <c r="J71" s="50" t="n"/>
      <c r="K71" s="52" t="str">
        <f>IF($A71="","",$A71&amp;"|"&amp;$L71)</f>
        <v/>
      </c>
      <c r="L71" s="52" t="str">
        <f>IF($A71="","",COUNTIFS($A$3:$A71,$A71))</f>
        <v/>
      </c>
    </row>
    <row r="72" ht="15" customHeight="1" s="41">
      <c r="A72" s="50" t="n"/>
      <c r="B72" s="52" t="str">
        <f>IF($A72="","",IFERROR(INDEX(회의록!$C$3:$C$302,MATCH($A72,회의록!$A$3:$A$302,0)),"회의번호없음"))</f>
        <v/>
      </c>
      <c r="C72" s="50" t="n"/>
      <c r="D72" s="49" t="n"/>
      <c r="E72" s="53" t="n"/>
      <c r="F72" s="49" t="n"/>
      <c r="G72" s="53" t="n"/>
      <c r="H72" s="56" t="str">
        <f>IF(OR($C72="",$E72="",$F72="완료",$F72="취소"),"",$E72-TODAY())</f>
        <v/>
      </c>
      <c r="I72" s="56" t="str">
        <f>IF(OR($C72="",$E72=""),"",IF($F72="완료",IF($G72="","",MAX(0,$G72-$E72)),IF($F72="취소","",MAX(0,TODAY()-$E72))))</f>
        <v/>
      </c>
      <c r="J72" s="50" t="n"/>
      <c r="K72" s="52" t="str">
        <f>IF($A72="","",$A72&amp;"|"&amp;$L72)</f>
        <v/>
      </c>
      <c r="L72" s="52" t="str">
        <f>IF($A72="","",COUNTIFS($A$3:$A72,$A72))</f>
        <v/>
      </c>
    </row>
    <row r="73" ht="15" customHeight="1" s="41">
      <c r="A73" s="50" t="n"/>
      <c r="B73" s="52" t="str">
        <f>IF($A73="","",IFERROR(INDEX(회의록!$C$3:$C$302,MATCH($A73,회의록!$A$3:$A$302,0)),"회의번호없음"))</f>
        <v/>
      </c>
      <c r="C73" s="50" t="n"/>
      <c r="D73" s="49" t="n"/>
      <c r="E73" s="53" t="n"/>
      <c r="F73" s="49" t="n"/>
      <c r="G73" s="53" t="n"/>
      <c r="H73" s="56" t="str">
        <f>IF(OR($C73="",$E73="",$F73="완료",$F73="취소"),"",$E73-TODAY())</f>
        <v/>
      </c>
      <c r="I73" s="56" t="str">
        <f>IF(OR($C73="",$E73=""),"",IF($F73="완료",IF($G73="","",MAX(0,$G73-$E73)),IF($F73="취소","",MAX(0,TODAY()-$E73))))</f>
        <v/>
      </c>
      <c r="J73" s="50" t="n"/>
      <c r="K73" s="52" t="str">
        <f>IF($A73="","",$A73&amp;"|"&amp;$L73)</f>
        <v/>
      </c>
      <c r="L73" s="52" t="str">
        <f>IF($A73="","",COUNTIFS($A$3:$A73,$A73))</f>
        <v/>
      </c>
    </row>
    <row r="74" ht="15" customHeight="1" s="41">
      <c r="A74" s="50" t="n"/>
      <c r="B74" s="52" t="str">
        <f>IF($A74="","",IFERROR(INDEX(회의록!$C$3:$C$302,MATCH($A74,회의록!$A$3:$A$302,0)),"회의번호없음"))</f>
        <v/>
      </c>
      <c r="C74" s="50" t="n"/>
      <c r="D74" s="49" t="n"/>
      <c r="E74" s="53" t="n"/>
      <c r="F74" s="49" t="n"/>
      <c r="G74" s="53" t="n"/>
      <c r="H74" s="56" t="str">
        <f>IF(OR($C74="",$E74="",$F74="완료",$F74="취소"),"",$E74-TODAY())</f>
        <v/>
      </c>
      <c r="I74" s="56" t="str">
        <f>IF(OR($C74="",$E74=""),"",IF($F74="완료",IF($G74="","",MAX(0,$G74-$E74)),IF($F74="취소","",MAX(0,TODAY()-$E74))))</f>
        <v/>
      </c>
      <c r="J74" s="50" t="n"/>
      <c r="K74" s="52" t="str">
        <f>IF($A74="","",$A74&amp;"|"&amp;$L74)</f>
        <v/>
      </c>
      <c r="L74" s="52" t="str">
        <f>IF($A74="","",COUNTIFS($A$3:$A74,$A74))</f>
        <v/>
      </c>
    </row>
    <row r="75" ht="15" customHeight="1" s="41">
      <c r="A75" s="50" t="n"/>
      <c r="B75" s="52" t="str">
        <f>IF($A75="","",IFERROR(INDEX(회의록!$C$3:$C$302,MATCH($A75,회의록!$A$3:$A$302,0)),"회의번호없음"))</f>
        <v/>
      </c>
      <c r="C75" s="50" t="n"/>
      <c r="D75" s="49" t="n"/>
      <c r="E75" s="53" t="n"/>
      <c r="F75" s="49" t="n"/>
      <c r="G75" s="53" t="n"/>
      <c r="H75" s="56" t="str">
        <f>IF(OR($C75="",$E75="",$F75="완료",$F75="취소"),"",$E75-TODAY())</f>
        <v/>
      </c>
      <c r="I75" s="56" t="str">
        <f>IF(OR($C75="",$E75=""),"",IF($F75="완료",IF($G75="","",MAX(0,$G75-$E75)),IF($F75="취소","",MAX(0,TODAY()-$E75))))</f>
        <v/>
      </c>
      <c r="J75" s="50" t="n"/>
      <c r="K75" s="52" t="str">
        <f>IF($A75="","",$A75&amp;"|"&amp;$L75)</f>
        <v/>
      </c>
      <c r="L75" s="52" t="str">
        <f>IF($A75="","",COUNTIFS($A$3:$A75,$A75))</f>
        <v/>
      </c>
    </row>
    <row r="76" ht="15" customHeight="1" s="41">
      <c r="A76" s="50" t="n"/>
      <c r="B76" s="52" t="str">
        <f>IF($A76="","",IFERROR(INDEX(회의록!$C$3:$C$302,MATCH($A76,회의록!$A$3:$A$302,0)),"회의번호없음"))</f>
        <v/>
      </c>
      <c r="C76" s="50" t="n"/>
      <c r="D76" s="49" t="n"/>
      <c r="E76" s="53" t="n"/>
      <c r="F76" s="49" t="n"/>
      <c r="G76" s="53" t="n"/>
      <c r="H76" s="56" t="str">
        <f>IF(OR($C76="",$E76="",$F76="완료",$F76="취소"),"",$E76-TODAY())</f>
        <v/>
      </c>
      <c r="I76" s="56" t="str">
        <f>IF(OR($C76="",$E76=""),"",IF($F76="완료",IF($G76="","",MAX(0,$G76-$E76)),IF($F76="취소","",MAX(0,TODAY()-$E76))))</f>
        <v/>
      </c>
      <c r="J76" s="50" t="n"/>
      <c r="K76" s="52" t="str">
        <f>IF($A76="","",$A76&amp;"|"&amp;$L76)</f>
        <v/>
      </c>
      <c r="L76" s="52" t="str">
        <f>IF($A76="","",COUNTIFS($A$3:$A76,$A76))</f>
        <v/>
      </c>
    </row>
    <row r="77" ht="15" customHeight="1" s="41">
      <c r="A77" s="50" t="n"/>
      <c r="B77" s="52" t="str">
        <f>IF($A77="","",IFERROR(INDEX(회의록!$C$3:$C$302,MATCH($A77,회의록!$A$3:$A$302,0)),"회의번호없음"))</f>
        <v/>
      </c>
      <c r="C77" s="50" t="n"/>
      <c r="D77" s="49" t="n"/>
      <c r="E77" s="53" t="n"/>
      <c r="F77" s="49" t="n"/>
      <c r="G77" s="53" t="n"/>
      <c r="H77" s="56" t="str">
        <f>IF(OR($C77="",$E77="",$F77="완료",$F77="취소"),"",$E77-TODAY())</f>
        <v/>
      </c>
      <c r="I77" s="56" t="str">
        <f>IF(OR($C77="",$E77=""),"",IF($F77="완료",IF($G77="","",MAX(0,$G77-$E77)),IF($F77="취소","",MAX(0,TODAY()-$E77))))</f>
        <v/>
      </c>
      <c r="J77" s="50" t="n"/>
      <c r="K77" s="52" t="str">
        <f>IF($A77="","",$A77&amp;"|"&amp;$L77)</f>
        <v/>
      </c>
      <c r="L77" s="52" t="str">
        <f>IF($A77="","",COUNTIFS($A$3:$A77,$A77))</f>
        <v/>
      </c>
    </row>
    <row r="78" ht="15" customHeight="1" s="41">
      <c r="A78" s="50" t="n"/>
      <c r="B78" s="52" t="str">
        <f>IF($A78="","",IFERROR(INDEX(회의록!$C$3:$C$302,MATCH($A78,회의록!$A$3:$A$302,0)),"회의번호없음"))</f>
        <v/>
      </c>
      <c r="C78" s="50" t="n"/>
      <c r="D78" s="49" t="n"/>
      <c r="E78" s="53" t="n"/>
      <c r="F78" s="49" t="n"/>
      <c r="G78" s="53" t="n"/>
      <c r="H78" s="56" t="str">
        <f>IF(OR($C78="",$E78="",$F78="완료",$F78="취소"),"",$E78-TODAY())</f>
        <v/>
      </c>
      <c r="I78" s="56" t="str">
        <f>IF(OR($C78="",$E78=""),"",IF($F78="완료",IF($G78="","",MAX(0,$G78-$E78)),IF($F78="취소","",MAX(0,TODAY()-$E78))))</f>
        <v/>
      </c>
      <c r="J78" s="50" t="n"/>
      <c r="K78" s="52" t="str">
        <f>IF($A78="","",$A78&amp;"|"&amp;$L78)</f>
        <v/>
      </c>
      <c r="L78" s="52" t="str">
        <f>IF($A78="","",COUNTIFS($A$3:$A78,$A78))</f>
        <v/>
      </c>
    </row>
    <row r="79" ht="15" customHeight="1" s="41">
      <c r="A79" s="50" t="n"/>
      <c r="B79" s="52" t="str">
        <f>IF($A79="","",IFERROR(INDEX(회의록!$C$3:$C$302,MATCH($A79,회의록!$A$3:$A$302,0)),"회의번호없음"))</f>
        <v/>
      </c>
      <c r="C79" s="50" t="n"/>
      <c r="D79" s="49" t="n"/>
      <c r="E79" s="53" t="n"/>
      <c r="F79" s="49" t="n"/>
      <c r="G79" s="53" t="n"/>
      <c r="H79" s="56" t="str">
        <f>IF(OR($C79="",$E79="",$F79="완료",$F79="취소"),"",$E79-TODAY())</f>
        <v/>
      </c>
      <c r="I79" s="56" t="str">
        <f>IF(OR($C79="",$E79=""),"",IF($F79="완료",IF($G79="","",MAX(0,$G79-$E79)),IF($F79="취소","",MAX(0,TODAY()-$E79))))</f>
        <v/>
      </c>
      <c r="J79" s="50" t="n"/>
      <c r="K79" s="52" t="str">
        <f>IF($A79="","",$A79&amp;"|"&amp;$L79)</f>
        <v/>
      </c>
      <c r="L79" s="52" t="str">
        <f>IF($A79="","",COUNTIFS($A$3:$A79,$A79))</f>
        <v/>
      </c>
    </row>
    <row r="80" ht="15" customHeight="1" s="41">
      <c r="A80" s="50" t="n"/>
      <c r="B80" s="52" t="str">
        <f>IF($A80="","",IFERROR(INDEX(회의록!$C$3:$C$302,MATCH($A80,회의록!$A$3:$A$302,0)),"회의번호없음"))</f>
        <v/>
      </c>
      <c r="C80" s="50" t="n"/>
      <c r="D80" s="49" t="n"/>
      <c r="E80" s="53" t="n"/>
      <c r="F80" s="49" t="n"/>
      <c r="G80" s="53" t="n"/>
      <c r="H80" s="56" t="str">
        <f>IF(OR($C80="",$E80="",$F80="완료",$F80="취소"),"",$E80-TODAY())</f>
        <v/>
      </c>
      <c r="I80" s="56" t="str">
        <f>IF(OR($C80="",$E80=""),"",IF($F80="완료",IF($G80="","",MAX(0,$G80-$E80)),IF($F80="취소","",MAX(0,TODAY()-$E80))))</f>
        <v/>
      </c>
      <c r="J80" s="50" t="n"/>
      <c r="K80" s="52" t="str">
        <f>IF($A80="","",$A80&amp;"|"&amp;$L80)</f>
        <v/>
      </c>
      <c r="L80" s="52" t="str">
        <f>IF($A80="","",COUNTIFS($A$3:$A80,$A80))</f>
        <v/>
      </c>
    </row>
    <row r="81" ht="15" customHeight="1" s="41">
      <c r="A81" s="50" t="n"/>
      <c r="B81" s="52" t="str">
        <f>IF($A81="","",IFERROR(INDEX(회의록!$C$3:$C$302,MATCH($A81,회의록!$A$3:$A$302,0)),"회의번호없음"))</f>
        <v/>
      </c>
      <c r="C81" s="50" t="n"/>
      <c r="D81" s="49" t="n"/>
      <c r="E81" s="53" t="n"/>
      <c r="F81" s="49" t="n"/>
      <c r="G81" s="53" t="n"/>
      <c r="H81" s="56" t="str">
        <f>IF(OR($C81="",$E81="",$F81="완료",$F81="취소"),"",$E81-TODAY())</f>
        <v/>
      </c>
      <c r="I81" s="56" t="str">
        <f>IF(OR($C81="",$E81=""),"",IF($F81="완료",IF($G81="","",MAX(0,$G81-$E81)),IF($F81="취소","",MAX(0,TODAY()-$E81))))</f>
        <v/>
      </c>
      <c r="J81" s="50" t="n"/>
      <c r="K81" s="52" t="str">
        <f>IF($A81="","",$A81&amp;"|"&amp;$L81)</f>
        <v/>
      </c>
      <c r="L81" s="52" t="str">
        <f>IF($A81="","",COUNTIFS($A$3:$A81,$A81))</f>
        <v/>
      </c>
    </row>
    <row r="82" ht="15" customHeight="1" s="41">
      <c r="A82" s="50" t="n"/>
      <c r="B82" s="52" t="str">
        <f>IF($A82="","",IFERROR(INDEX(회의록!$C$3:$C$302,MATCH($A82,회의록!$A$3:$A$302,0)),"회의번호없음"))</f>
        <v/>
      </c>
      <c r="C82" s="50" t="n"/>
      <c r="D82" s="49" t="n"/>
      <c r="E82" s="53" t="n"/>
      <c r="F82" s="49" t="n"/>
      <c r="G82" s="53" t="n"/>
      <c r="H82" s="56" t="str">
        <f>IF(OR($C82="",$E82="",$F82="완료",$F82="취소"),"",$E82-TODAY())</f>
        <v/>
      </c>
      <c r="I82" s="56" t="str">
        <f>IF(OR($C82="",$E82=""),"",IF($F82="완료",IF($G82="","",MAX(0,$G82-$E82)),IF($F82="취소","",MAX(0,TODAY()-$E82))))</f>
        <v/>
      </c>
      <c r="J82" s="50" t="n"/>
      <c r="K82" s="52" t="str">
        <f>IF($A82="","",$A82&amp;"|"&amp;$L82)</f>
        <v/>
      </c>
      <c r="L82" s="52" t="str">
        <f>IF($A82="","",COUNTIFS($A$3:$A82,$A82))</f>
        <v/>
      </c>
    </row>
    <row r="83" ht="15" customHeight="1" s="41">
      <c r="A83" s="50" t="n"/>
      <c r="B83" s="52" t="str">
        <f>IF($A83="","",IFERROR(INDEX(회의록!$C$3:$C$302,MATCH($A83,회의록!$A$3:$A$302,0)),"회의번호없음"))</f>
        <v/>
      </c>
      <c r="C83" s="50" t="n"/>
      <c r="D83" s="49" t="n"/>
      <c r="E83" s="53" t="n"/>
      <c r="F83" s="49" t="n"/>
      <c r="G83" s="53" t="n"/>
      <c r="H83" s="56" t="str">
        <f>IF(OR($C83="",$E83="",$F83="완료",$F83="취소"),"",$E83-TODAY())</f>
        <v/>
      </c>
      <c r="I83" s="56" t="str">
        <f>IF(OR($C83="",$E83=""),"",IF($F83="완료",IF($G83="","",MAX(0,$G83-$E83)),IF($F83="취소","",MAX(0,TODAY()-$E83))))</f>
        <v/>
      </c>
      <c r="J83" s="50" t="n"/>
      <c r="K83" s="52" t="str">
        <f>IF($A83="","",$A83&amp;"|"&amp;$L83)</f>
        <v/>
      </c>
      <c r="L83" s="52" t="str">
        <f>IF($A83="","",COUNTIFS($A$3:$A83,$A83))</f>
        <v/>
      </c>
    </row>
    <row r="84" ht="15" customHeight="1" s="41">
      <c r="A84" s="50" t="n"/>
      <c r="B84" s="52" t="str">
        <f>IF($A84="","",IFERROR(INDEX(회의록!$C$3:$C$302,MATCH($A84,회의록!$A$3:$A$302,0)),"회의번호없음"))</f>
        <v/>
      </c>
      <c r="C84" s="50" t="n"/>
      <c r="D84" s="49" t="n"/>
      <c r="E84" s="53" t="n"/>
      <c r="F84" s="49" t="n"/>
      <c r="G84" s="53" t="n"/>
      <c r="H84" s="56" t="str">
        <f>IF(OR($C84="",$E84="",$F84="완료",$F84="취소"),"",$E84-TODAY())</f>
        <v/>
      </c>
      <c r="I84" s="56" t="str">
        <f>IF(OR($C84="",$E84=""),"",IF($F84="완료",IF($G84="","",MAX(0,$G84-$E84)),IF($F84="취소","",MAX(0,TODAY()-$E84))))</f>
        <v/>
      </c>
      <c r="J84" s="50" t="n"/>
      <c r="K84" s="52" t="str">
        <f>IF($A84="","",$A84&amp;"|"&amp;$L84)</f>
        <v/>
      </c>
      <c r="L84" s="52" t="str">
        <f>IF($A84="","",COUNTIFS($A$3:$A84,$A84))</f>
        <v/>
      </c>
    </row>
    <row r="85" ht="15" customHeight="1" s="41">
      <c r="A85" s="50" t="n"/>
      <c r="B85" s="52" t="str">
        <f>IF($A85="","",IFERROR(INDEX(회의록!$C$3:$C$302,MATCH($A85,회의록!$A$3:$A$302,0)),"회의번호없음"))</f>
        <v/>
      </c>
      <c r="C85" s="50" t="n"/>
      <c r="D85" s="49" t="n"/>
      <c r="E85" s="53" t="n"/>
      <c r="F85" s="49" t="n"/>
      <c r="G85" s="53" t="n"/>
      <c r="H85" s="56" t="str">
        <f>IF(OR($C85="",$E85="",$F85="완료",$F85="취소"),"",$E85-TODAY())</f>
        <v/>
      </c>
      <c r="I85" s="56" t="str">
        <f>IF(OR($C85="",$E85=""),"",IF($F85="완료",IF($G85="","",MAX(0,$G85-$E85)),IF($F85="취소","",MAX(0,TODAY()-$E85))))</f>
        <v/>
      </c>
      <c r="J85" s="50" t="n"/>
      <c r="K85" s="52" t="str">
        <f>IF($A85="","",$A85&amp;"|"&amp;$L85)</f>
        <v/>
      </c>
      <c r="L85" s="52" t="str">
        <f>IF($A85="","",COUNTIFS($A$3:$A85,$A85))</f>
        <v/>
      </c>
    </row>
    <row r="86" ht="15" customHeight="1" s="41">
      <c r="A86" s="50" t="n"/>
      <c r="B86" s="52" t="str">
        <f>IF($A86="","",IFERROR(INDEX(회의록!$C$3:$C$302,MATCH($A86,회의록!$A$3:$A$302,0)),"회의번호없음"))</f>
        <v/>
      </c>
      <c r="C86" s="50" t="n"/>
      <c r="D86" s="49" t="n"/>
      <c r="E86" s="53" t="n"/>
      <c r="F86" s="49" t="n"/>
      <c r="G86" s="53" t="n"/>
      <c r="H86" s="56" t="str">
        <f>IF(OR($C86="",$E86="",$F86="완료",$F86="취소"),"",$E86-TODAY())</f>
        <v/>
      </c>
      <c r="I86" s="56" t="str">
        <f>IF(OR($C86="",$E86=""),"",IF($F86="완료",IF($G86="","",MAX(0,$G86-$E86)),IF($F86="취소","",MAX(0,TODAY()-$E86))))</f>
        <v/>
      </c>
      <c r="J86" s="50" t="n"/>
      <c r="K86" s="52" t="str">
        <f>IF($A86="","",$A86&amp;"|"&amp;$L86)</f>
        <v/>
      </c>
      <c r="L86" s="52" t="str">
        <f>IF($A86="","",COUNTIFS($A$3:$A86,$A86))</f>
        <v/>
      </c>
    </row>
    <row r="87" ht="15" customHeight="1" s="41">
      <c r="A87" s="50" t="n"/>
      <c r="B87" s="52" t="str">
        <f>IF($A87="","",IFERROR(INDEX(회의록!$C$3:$C$302,MATCH($A87,회의록!$A$3:$A$302,0)),"회의번호없음"))</f>
        <v/>
      </c>
      <c r="C87" s="50" t="n"/>
      <c r="D87" s="49" t="n"/>
      <c r="E87" s="53" t="n"/>
      <c r="F87" s="49" t="n"/>
      <c r="G87" s="53" t="n"/>
      <c r="H87" s="56" t="str">
        <f>IF(OR($C87="",$E87="",$F87="완료",$F87="취소"),"",$E87-TODAY())</f>
        <v/>
      </c>
      <c r="I87" s="56" t="str">
        <f>IF(OR($C87="",$E87=""),"",IF($F87="완료",IF($G87="","",MAX(0,$G87-$E87)),IF($F87="취소","",MAX(0,TODAY()-$E87))))</f>
        <v/>
      </c>
      <c r="J87" s="50" t="n"/>
      <c r="K87" s="52" t="str">
        <f>IF($A87="","",$A87&amp;"|"&amp;$L87)</f>
        <v/>
      </c>
      <c r="L87" s="52" t="str">
        <f>IF($A87="","",COUNTIFS($A$3:$A87,$A87))</f>
        <v/>
      </c>
    </row>
    <row r="88" ht="15" customHeight="1" s="41">
      <c r="A88" s="50" t="n"/>
      <c r="B88" s="52" t="str">
        <f>IF($A88="","",IFERROR(INDEX(회의록!$C$3:$C$302,MATCH($A88,회의록!$A$3:$A$302,0)),"회의번호없음"))</f>
        <v/>
      </c>
      <c r="C88" s="50" t="n"/>
      <c r="D88" s="49" t="n"/>
      <c r="E88" s="53" t="n"/>
      <c r="F88" s="49" t="n"/>
      <c r="G88" s="53" t="n"/>
      <c r="H88" s="56" t="str">
        <f>IF(OR($C88="",$E88="",$F88="완료",$F88="취소"),"",$E88-TODAY())</f>
        <v/>
      </c>
      <c r="I88" s="56" t="str">
        <f>IF(OR($C88="",$E88=""),"",IF($F88="완료",IF($G88="","",MAX(0,$G88-$E88)),IF($F88="취소","",MAX(0,TODAY()-$E88))))</f>
        <v/>
      </c>
      <c r="J88" s="50" t="n"/>
      <c r="K88" s="52" t="str">
        <f>IF($A88="","",$A88&amp;"|"&amp;$L88)</f>
        <v/>
      </c>
      <c r="L88" s="52" t="str">
        <f>IF($A88="","",COUNTIFS($A$3:$A88,$A88))</f>
        <v/>
      </c>
    </row>
    <row r="89" ht="15" customHeight="1" s="41">
      <c r="A89" s="50" t="n"/>
      <c r="B89" s="52" t="str">
        <f>IF($A89="","",IFERROR(INDEX(회의록!$C$3:$C$302,MATCH($A89,회의록!$A$3:$A$302,0)),"회의번호없음"))</f>
        <v/>
      </c>
      <c r="C89" s="50" t="n"/>
      <c r="D89" s="49" t="n"/>
      <c r="E89" s="53" t="n"/>
      <c r="F89" s="49" t="n"/>
      <c r="G89" s="53" t="n"/>
      <c r="H89" s="56" t="str">
        <f>IF(OR($C89="",$E89="",$F89="완료",$F89="취소"),"",$E89-TODAY())</f>
        <v/>
      </c>
      <c r="I89" s="56" t="str">
        <f>IF(OR($C89="",$E89=""),"",IF($F89="완료",IF($G89="","",MAX(0,$G89-$E89)),IF($F89="취소","",MAX(0,TODAY()-$E89))))</f>
        <v/>
      </c>
      <c r="J89" s="50" t="n"/>
      <c r="K89" s="52" t="str">
        <f>IF($A89="","",$A89&amp;"|"&amp;$L89)</f>
        <v/>
      </c>
      <c r="L89" s="52" t="str">
        <f>IF($A89="","",COUNTIFS($A$3:$A89,$A89))</f>
        <v/>
      </c>
    </row>
    <row r="90" ht="15" customHeight="1" s="41">
      <c r="A90" s="50" t="n"/>
      <c r="B90" s="52" t="str">
        <f>IF($A90="","",IFERROR(INDEX(회의록!$C$3:$C$302,MATCH($A90,회의록!$A$3:$A$302,0)),"회의번호없음"))</f>
        <v/>
      </c>
      <c r="C90" s="50" t="n"/>
      <c r="D90" s="49" t="n"/>
      <c r="E90" s="53" t="n"/>
      <c r="F90" s="49" t="n"/>
      <c r="G90" s="53" t="n"/>
      <c r="H90" s="56" t="str">
        <f>IF(OR($C90="",$E90="",$F90="완료",$F90="취소"),"",$E90-TODAY())</f>
        <v/>
      </c>
      <c r="I90" s="56" t="str">
        <f>IF(OR($C90="",$E90=""),"",IF($F90="완료",IF($G90="","",MAX(0,$G90-$E90)),IF($F90="취소","",MAX(0,TODAY()-$E90))))</f>
        <v/>
      </c>
      <c r="J90" s="50" t="n"/>
      <c r="K90" s="52" t="str">
        <f>IF($A90="","",$A90&amp;"|"&amp;$L90)</f>
        <v/>
      </c>
      <c r="L90" s="52" t="str">
        <f>IF($A90="","",COUNTIFS($A$3:$A90,$A90))</f>
        <v/>
      </c>
    </row>
    <row r="91" ht="15" customHeight="1" s="41">
      <c r="A91" s="50" t="n"/>
      <c r="B91" s="52" t="str">
        <f>IF($A91="","",IFERROR(INDEX(회의록!$C$3:$C$302,MATCH($A91,회의록!$A$3:$A$302,0)),"회의번호없음"))</f>
        <v/>
      </c>
      <c r="C91" s="50" t="n"/>
      <c r="D91" s="49" t="n"/>
      <c r="E91" s="53" t="n"/>
      <c r="F91" s="49" t="n"/>
      <c r="G91" s="53" t="n"/>
      <c r="H91" s="56" t="str">
        <f>IF(OR($C91="",$E91="",$F91="완료",$F91="취소"),"",$E91-TODAY())</f>
        <v/>
      </c>
      <c r="I91" s="56" t="str">
        <f>IF(OR($C91="",$E91=""),"",IF($F91="완료",IF($G91="","",MAX(0,$G91-$E91)),IF($F91="취소","",MAX(0,TODAY()-$E91))))</f>
        <v/>
      </c>
      <c r="J91" s="50" t="n"/>
      <c r="K91" s="52" t="str">
        <f>IF($A91="","",$A91&amp;"|"&amp;$L91)</f>
        <v/>
      </c>
      <c r="L91" s="52" t="str">
        <f>IF($A91="","",COUNTIFS($A$3:$A91,$A91))</f>
        <v/>
      </c>
    </row>
    <row r="92" ht="15" customHeight="1" s="41">
      <c r="A92" s="50" t="n"/>
      <c r="B92" s="52" t="str">
        <f>IF($A92="","",IFERROR(INDEX(회의록!$C$3:$C$302,MATCH($A92,회의록!$A$3:$A$302,0)),"회의번호없음"))</f>
        <v/>
      </c>
      <c r="C92" s="50" t="n"/>
      <c r="D92" s="49" t="n"/>
      <c r="E92" s="53" t="n"/>
      <c r="F92" s="49" t="n"/>
      <c r="G92" s="53" t="n"/>
      <c r="H92" s="56" t="str">
        <f>IF(OR($C92="",$E92="",$F92="완료",$F92="취소"),"",$E92-TODAY())</f>
        <v/>
      </c>
      <c r="I92" s="56" t="str">
        <f>IF(OR($C92="",$E92=""),"",IF($F92="완료",IF($G92="","",MAX(0,$G92-$E92)),IF($F92="취소","",MAX(0,TODAY()-$E92))))</f>
        <v/>
      </c>
      <c r="J92" s="50" t="n"/>
      <c r="K92" s="52" t="str">
        <f>IF($A92="","",$A92&amp;"|"&amp;$L92)</f>
        <v/>
      </c>
      <c r="L92" s="52" t="str">
        <f>IF($A92="","",COUNTIFS($A$3:$A92,$A92))</f>
        <v/>
      </c>
    </row>
    <row r="93" ht="15" customHeight="1" s="41">
      <c r="A93" s="50" t="n"/>
      <c r="B93" s="52" t="str">
        <f>IF($A93="","",IFERROR(INDEX(회의록!$C$3:$C$302,MATCH($A93,회의록!$A$3:$A$302,0)),"회의번호없음"))</f>
        <v/>
      </c>
      <c r="C93" s="50" t="n"/>
      <c r="D93" s="49" t="n"/>
      <c r="E93" s="53" t="n"/>
      <c r="F93" s="49" t="n"/>
      <c r="G93" s="53" t="n"/>
      <c r="H93" s="56" t="str">
        <f>IF(OR($C93="",$E93="",$F93="완료",$F93="취소"),"",$E93-TODAY())</f>
        <v/>
      </c>
      <c r="I93" s="56" t="str">
        <f>IF(OR($C93="",$E93=""),"",IF($F93="완료",IF($G93="","",MAX(0,$G93-$E93)),IF($F93="취소","",MAX(0,TODAY()-$E93))))</f>
        <v/>
      </c>
      <c r="J93" s="50" t="n"/>
      <c r="K93" s="52" t="str">
        <f>IF($A93="","",$A93&amp;"|"&amp;$L93)</f>
        <v/>
      </c>
      <c r="L93" s="52" t="str">
        <f>IF($A93="","",COUNTIFS($A$3:$A93,$A93))</f>
        <v/>
      </c>
    </row>
    <row r="94" ht="15" customHeight="1" s="41">
      <c r="A94" s="50" t="n"/>
      <c r="B94" s="52" t="str">
        <f>IF($A94="","",IFERROR(INDEX(회의록!$C$3:$C$302,MATCH($A94,회의록!$A$3:$A$302,0)),"회의번호없음"))</f>
        <v/>
      </c>
      <c r="C94" s="50" t="n"/>
      <c r="D94" s="49" t="n"/>
      <c r="E94" s="53" t="n"/>
      <c r="F94" s="49" t="n"/>
      <c r="G94" s="53" t="n"/>
      <c r="H94" s="56" t="str">
        <f>IF(OR($C94="",$E94="",$F94="완료",$F94="취소"),"",$E94-TODAY())</f>
        <v/>
      </c>
      <c r="I94" s="56" t="str">
        <f>IF(OR($C94="",$E94=""),"",IF($F94="완료",IF($G94="","",MAX(0,$G94-$E94)),IF($F94="취소","",MAX(0,TODAY()-$E94))))</f>
        <v/>
      </c>
      <c r="J94" s="50" t="n"/>
      <c r="K94" s="52" t="str">
        <f>IF($A94="","",$A94&amp;"|"&amp;$L94)</f>
        <v/>
      </c>
      <c r="L94" s="52" t="str">
        <f>IF($A94="","",COUNTIFS($A$3:$A94,$A94))</f>
        <v/>
      </c>
    </row>
    <row r="95" ht="15" customHeight="1" s="41">
      <c r="A95" s="50" t="n"/>
      <c r="B95" s="52" t="str">
        <f>IF($A95="","",IFERROR(INDEX(회의록!$C$3:$C$302,MATCH($A95,회의록!$A$3:$A$302,0)),"회의번호없음"))</f>
        <v/>
      </c>
      <c r="C95" s="50" t="n"/>
      <c r="D95" s="49" t="n"/>
      <c r="E95" s="53" t="n"/>
      <c r="F95" s="49" t="n"/>
      <c r="G95" s="53" t="n"/>
      <c r="H95" s="56" t="str">
        <f>IF(OR($C95="",$E95="",$F95="완료",$F95="취소"),"",$E95-TODAY())</f>
        <v/>
      </c>
      <c r="I95" s="56" t="str">
        <f>IF(OR($C95="",$E95=""),"",IF($F95="완료",IF($G95="","",MAX(0,$G95-$E95)),IF($F95="취소","",MAX(0,TODAY()-$E95))))</f>
        <v/>
      </c>
      <c r="J95" s="50" t="n"/>
      <c r="K95" s="52" t="str">
        <f>IF($A95="","",$A95&amp;"|"&amp;$L95)</f>
        <v/>
      </c>
      <c r="L95" s="52" t="str">
        <f>IF($A95="","",COUNTIFS($A$3:$A95,$A95))</f>
        <v/>
      </c>
    </row>
    <row r="96" ht="15" customHeight="1" s="41">
      <c r="A96" s="50" t="n"/>
      <c r="B96" s="52" t="str">
        <f>IF($A96="","",IFERROR(INDEX(회의록!$C$3:$C$302,MATCH($A96,회의록!$A$3:$A$302,0)),"회의번호없음"))</f>
        <v/>
      </c>
      <c r="C96" s="50" t="n"/>
      <c r="D96" s="49" t="n"/>
      <c r="E96" s="53" t="n"/>
      <c r="F96" s="49" t="n"/>
      <c r="G96" s="53" t="n"/>
      <c r="H96" s="56" t="str">
        <f>IF(OR($C96="",$E96="",$F96="완료",$F96="취소"),"",$E96-TODAY())</f>
        <v/>
      </c>
      <c r="I96" s="56" t="str">
        <f>IF(OR($C96="",$E96=""),"",IF($F96="완료",IF($G96="","",MAX(0,$G96-$E96)),IF($F96="취소","",MAX(0,TODAY()-$E96))))</f>
        <v/>
      </c>
      <c r="J96" s="50" t="n"/>
      <c r="K96" s="52" t="str">
        <f>IF($A96="","",$A96&amp;"|"&amp;$L96)</f>
        <v/>
      </c>
      <c r="L96" s="52" t="str">
        <f>IF($A96="","",COUNTIFS($A$3:$A96,$A96))</f>
        <v/>
      </c>
    </row>
    <row r="97" ht="15" customHeight="1" s="41">
      <c r="A97" s="50" t="n"/>
      <c r="B97" s="52" t="str">
        <f>IF($A97="","",IFERROR(INDEX(회의록!$C$3:$C$302,MATCH($A97,회의록!$A$3:$A$302,0)),"회의번호없음"))</f>
        <v/>
      </c>
      <c r="C97" s="50" t="n"/>
      <c r="D97" s="49" t="n"/>
      <c r="E97" s="53" t="n"/>
      <c r="F97" s="49" t="n"/>
      <c r="G97" s="53" t="n"/>
      <c r="H97" s="56" t="str">
        <f>IF(OR($C97="",$E97="",$F97="완료",$F97="취소"),"",$E97-TODAY())</f>
        <v/>
      </c>
      <c r="I97" s="56" t="str">
        <f>IF(OR($C97="",$E97=""),"",IF($F97="완료",IF($G97="","",MAX(0,$G97-$E97)),IF($F97="취소","",MAX(0,TODAY()-$E97))))</f>
        <v/>
      </c>
      <c r="J97" s="50" t="n"/>
      <c r="K97" s="52" t="str">
        <f>IF($A97="","",$A97&amp;"|"&amp;$L97)</f>
        <v/>
      </c>
      <c r="L97" s="52" t="str">
        <f>IF($A97="","",COUNTIFS($A$3:$A97,$A97))</f>
        <v/>
      </c>
    </row>
    <row r="98" ht="15" customHeight="1" s="41">
      <c r="A98" s="50" t="n"/>
      <c r="B98" s="52" t="str">
        <f>IF($A98="","",IFERROR(INDEX(회의록!$C$3:$C$302,MATCH($A98,회의록!$A$3:$A$302,0)),"회의번호없음"))</f>
        <v/>
      </c>
      <c r="C98" s="50" t="n"/>
      <c r="D98" s="49" t="n"/>
      <c r="E98" s="53" t="n"/>
      <c r="F98" s="49" t="n"/>
      <c r="G98" s="53" t="n"/>
      <c r="H98" s="56" t="str">
        <f>IF(OR($C98="",$E98="",$F98="완료",$F98="취소"),"",$E98-TODAY())</f>
        <v/>
      </c>
      <c r="I98" s="56" t="str">
        <f>IF(OR($C98="",$E98=""),"",IF($F98="완료",IF($G98="","",MAX(0,$G98-$E98)),IF($F98="취소","",MAX(0,TODAY()-$E98))))</f>
        <v/>
      </c>
      <c r="J98" s="50" t="n"/>
      <c r="K98" s="52" t="str">
        <f>IF($A98="","",$A98&amp;"|"&amp;$L98)</f>
        <v/>
      </c>
      <c r="L98" s="52" t="str">
        <f>IF($A98="","",COUNTIFS($A$3:$A98,$A98))</f>
        <v/>
      </c>
    </row>
    <row r="99" ht="15" customHeight="1" s="41">
      <c r="A99" s="50" t="n"/>
      <c r="B99" s="52" t="str">
        <f>IF($A99="","",IFERROR(INDEX(회의록!$C$3:$C$302,MATCH($A99,회의록!$A$3:$A$302,0)),"회의번호없음"))</f>
        <v/>
      </c>
      <c r="C99" s="50" t="n"/>
      <c r="D99" s="49" t="n"/>
      <c r="E99" s="53" t="n"/>
      <c r="F99" s="49" t="n"/>
      <c r="G99" s="53" t="n"/>
      <c r="H99" s="56" t="str">
        <f>IF(OR($C99="",$E99="",$F99="완료",$F99="취소"),"",$E99-TODAY())</f>
        <v/>
      </c>
      <c r="I99" s="56" t="str">
        <f>IF(OR($C99="",$E99=""),"",IF($F99="완료",IF($G99="","",MAX(0,$G99-$E99)),IF($F99="취소","",MAX(0,TODAY()-$E99))))</f>
        <v/>
      </c>
      <c r="J99" s="50" t="n"/>
      <c r="K99" s="52" t="str">
        <f>IF($A99="","",$A99&amp;"|"&amp;$L99)</f>
        <v/>
      </c>
      <c r="L99" s="52" t="str">
        <f>IF($A99="","",COUNTIFS($A$3:$A99,$A99))</f>
        <v/>
      </c>
    </row>
    <row r="100" ht="15" customHeight="1" s="41">
      <c r="A100" s="50" t="n"/>
      <c r="B100" s="52" t="str">
        <f>IF($A100="","",IFERROR(INDEX(회의록!$C$3:$C$302,MATCH($A100,회의록!$A$3:$A$302,0)),"회의번호없음"))</f>
        <v/>
      </c>
      <c r="C100" s="50" t="n"/>
      <c r="D100" s="49" t="n"/>
      <c r="E100" s="53" t="n"/>
      <c r="F100" s="49" t="n"/>
      <c r="G100" s="53" t="n"/>
      <c r="H100" s="56" t="str">
        <f>IF(OR($C100="",$E100="",$F100="완료",$F100="취소"),"",$E100-TODAY())</f>
        <v/>
      </c>
      <c r="I100" s="56" t="str">
        <f>IF(OR($C100="",$E100=""),"",IF($F100="완료",IF($G100="","",MAX(0,$G100-$E100)),IF($F100="취소","",MAX(0,TODAY()-$E100))))</f>
        <v/>
      </c>
      <c r="J100" s="50" t="n"/>
      <c r="K100" s="52" t="str">
        <f>IF($A100="","",$A100&amp;"|"&amp;$L100)</f>
        <v/>
      </c>
      <c r="L100" s="52" t="str">
        <f>IF($A100="","",COUNTIFS($A$3:$A100,$A100))</f>
        <v/>
      </c>
    </row>
    <row r="101" ht="15" customHeight="1" s="41">
      <c r="A101" s="50" t="n"/>
      <c r="B101" s="52" t="str">
        <f>IF($A101="","",IFERROR(INDEX(회의록!$C$3:$C$302,MATCH($A101,회의록!$A$3:$A$302,0)),"회의번호없음"))</f>
        <v/>
      </c>
      <c r="C101" s="50" t="n"/>
      <c r="D101" s="49" t="n"/>
      <c r="E101" s="53" t="n"/>
      <c r="F101" s="49" t="n"/>
      <c r="G101" s="53" t="n"/>
      <c r="H101" s="56" t="str">
        <f>IF(OR($C101="",$E101="",$F101="완료",$F101="취소"),"",$E101-TODAY())</f>
        <v/>
      </c>
      <c r="I101" s="56" t="str">
        <f>IF(OR($C101="",$E101=""),"",IF($F101="완료",IF($G101="","",MAX(0,$G101-$E101)),IF($F101="취소","",MAX(0,TODAY()-$E101))))</f>
        <v/>
      </c>
      <c r="J101" s="50" t="n"/>
      <c r="K101" s="52" t="str">
        <f>IF($A101="","",$A101&amp;"|"&amp;$L101)</f>
        <v/>
      </c>
      <c r="L101" s="52" t="str">
        <f>IF($A101="","",COUNTIFS($A$3:$A101,$A101))</f>
        <v/>
      </c>
    </row>
    <row r="102" ht="15" customHeight="1" s="41">
      <c r="A102" s="50" t="n"/>
      <c r="B102" s="52" t="str">
        <f>IF($A102="","",IFERROR(INDEX(회의록!$C$3:$C$302,MATCH($A102,회의록!$A$3:$A$302,0)),"회의번호없음"))</f>
        <v/>
      </c>
      <c r="C102" s="50" t="n"/>
      <c r="D102" s="49" t="n"/>
      <c r="E102" s="53" t="n"/>
      <c r="F102" s="49" t="n"/>
      <c r="G102" s="53" t="n"/>
      <c r="H102" s="56" t="str">
        <f>IF(OR($C102="",$E102="",$F102="완료",$F102="취소"),"",$E102-TODAY())</f>
        <v/>
      </c>
      <c r="I102" s="56" t="str">
        <f>IF(OR($C102="",$E102=""),"",IF($F102="완료",IF($G102="","",MAX(0,$G102-$E102)),IF($F102="취소","",MAX(0,TODAY()-$E102))))</f>
        <v/>
      </c>
      <c r="J102" s="50" t="n"/>
      <c r="K102" s="52" t="str">
        <f>IF($A102="","",$A102&amp;"|"&amp;$L102)</f>
        <v/>
      </c>
      <c r="L102" s="52" t="str">
        <f>IF($A102="","",COUNTIFS($A$3:$A102,$A102))</f>
        <v/>
      </c>
    </row>
    <row r="103" ht="15" customHeight="1" s="41">
      <c r="A103" s="50" t="n"/>
      <c r="B103" s="52" t="str">
        <f>IF($A103="","",IFERROR(INDEX(회의록!$C$3:$C$302,MATCH($A103,회의록!$A$3:$A$302,0)),"회의번호없음"))</f>
        <v/>
      </c>
      <c r="C103" s="50" t="n"/>
      <c r="D103" s="49" t="n"/>
      <c r="E103" s="53" t="n"/>
      <c r="F103" s="49" t="n"/>
      <c r="G103" s="53" t="n"/>
      <c r="H103" s="56" t="str">
        <f>IF(OR($C103="",$E103="",$F103="완료",$F103="취소"),"",$E103-TODAY())</f>
        <v/>
      </c>
      <c r="I103" s="56" t="str">
        <f>IF(OR($C103="",$E103=""),"",IF($F103="완료",IF($G103="","",MAX(0,$G103-$E103)),IF($F103="취소","",MAX(0,TODAY()-$E103))))</f>
        <v/>
      </c>
      <c r="J103" s="50" t="n"/>
      <c r="K103" s="52" t="str">
        <f>IF($A103="","",$A103&amp;"|"&amp;$L103)</f>
        <v/>
      </c>
      <c r="L103" s="52" t="str">
        <f>IF($A103="","",COUNTIFS($A$3:$A103,$A103))</f>
        <v/>
      </c>
    </row>
    <row r="104" ht="15" customHeight="1" s="41">
      <c r="A104" s="50" t="n"/>
      <c r="B104" s="52" t="str">
        <f>IF($A104="","",IFERROR(INDEX(회의록!$C$3:$C$302,MATCH($A104,회의록!$A$3:$A$302,0)),"회의번호없음"))</f>
        <v/>
      </c>
      <c r="C104" s="50" t="n"/>
      <c r="D104" s="49" t="n"/>
      <c r="E104" s="53" t="n"/>
      <c r="F104" s="49" t="n"/>
      <c r="G104" s="53" t="n"/>
      <c r="H104" s="56" t="str">
        <f>IF(OR($C104="",$E104="",$F104="완료",$F104="취소"),"",$E104-TODAY())</f>
        <v/>
      </c>
      <c r="I104" s="56" t="str">
        <f>IF(OR($C104="",$E104=""),"",IF($F104="완료",IF($G104="","",MAX(0,$G104-$E104)),IF($F104="취소","",MAX(0,TODAY()-$E104))))</f>
        <v/>
      </c>
      <c r="J104" s="50" t="n"/>
      <c r="K104" s="52" t="str">
        <f>IF($A104="","",$A104&amp;"|"&amp;$L104)</f>
        <v/>
      </c>
      <c r="L104" s="52" t="str">
        <f>IF($A104="","",COUNTIFS($A$3:$A104,$A104))</f>
        <v/>
      </c>
    </row>
    <row r="105" ht="15" customHeight="1" s="41">
      <c r="A105" s="50" t="n"/>
      <c r="B105" s="52" t="str">
        <f>IF($A105="","",IFERROR(INDEX(회의록!$C$3:$C$302,MATCH($A105,회의록!$A$3:$A$302,0)),"회의번호없음"))</f>
        <v/>
      </c>
      <c r="C105" s="50" t="n"/>
      <c r="D105" s="49" t="n"/>
      <c r="E105" s="53" t="n"/>
      <c r="F105" s="49" t="n"/>
      <c r="G105" s="53" t="n"/>
      <c r="H105" s="56" t="str">
        <f>IF(OR($C105="",$E105="",$F105="완료",$F105="취소"),"",$E105-TODAY())</f>
        <v/>
      </c>
      <c r="I105" s="56" t="str">
        <f>IF(OR($C105="",$E105=""),"",IF($F105="완료",IF($G105="","",MAX(0,$G105-$E105)),IF($F105="취소","",MAX(0,TODAY()-$E105))))</f>
        <v/>
      </c>
      <c r="J105" s="50" t="n"/>
      <c r="K105" s="52" t="str">
        <f>IF($A105="","",$A105&amp;"|"&amp;$L105)</f>
        <v/>
      </c>
      <c r="L105" s="52" t="str">
        <f>IF($A105="","",COUNTIFS($A$3:$A105,$A105))</f>
        <v/>
      </c>
    </row>
    <row r="106" ht="15" customHeight="1" s="41">
      <c r="A106" s="50" t="n"/>
      <c r="B106" s="52" t="str">
        <f>IF($A106="","",IFERROR(INDEX(회의록!$C$3:$C$302,MATCH($A106,회의록!$A$3:$A$302,0)),"회의번호없음"))</f>
        <v/>
      </c>
      <c r="C106" s="50" t="n"/>
      <c r="D106" s="49" t="n"/>
      <c r="E106" s="53" t="n"/>
      <c r="F106" s="49" t="n"/>
      <c r="G106" s="53" t="n"/>
      <c r="H106" s="56" t="str">
        <f>IF(OR($C106="",$E106="",$F106="완료",$F106="취소"),"",$E106-TODAY())</f>
        <v/>
      </c>
      <c r="I106" s="56" t="str">
        <f>IF(OR($C106="",$E106=""),"",IF($F106="완료",IF($G106="","",MAX(0,$G106-$E106)),IF($F106="취소","",MAX(0,TODAY()-$E106))))</f>
        <v/>
      </c>
      <c r="J106" s="50" t="n"/>
      <c r="K106" s="52" t="str">
        <f>IF($A106="","",$A106&amp;"|"&amp;$L106)</f>
        <v/>
      </c>
      <c r="L106" s="52" t="str">
        <f>IF($A106="","",COUNTIFS($A$3:$A106,$A106))</f>
        <v/>
      </c>
    </row>
    <row r="107" ht="15" customHeight="1" s="41">
      <c r="A107" s="50" t="n"/>
      <c r="B107" s="52" t="str">
        <f>IF($A107="","",IFERROR(INDEX(회의록!$C$3:$C$302,MATCH($A107,회의록!$A$3:$A$302,0)),"회의번호없음"))</f>
        <v/>
      </c>
      <c r="C107" s="50" t="n"/>
      <c r="D107" s="49" t="n"/>
      <c r="E107" s="53" t="n"/>
      <c r="F107" s="49" t="n"/>
      <c r="G107" s="53" t="n"/>
      <c r="H107" s="56" t="str">
        <f>IF(OR($C107="",$E107="",$F107="완료",$F107="취소"),"",$E107-TODAY())</f>
        <v/>
      </c>
      <c r="I107" s="56" t="str">
        <f>IF(OR($C107="",$E107=""),"",IF($F107="완료",IF($G107="","",MAX(0,$G107-$E107)),IF($F107="취소","",MAX(0,TODAY()-$E107))))</f>
        <v/>
      </c>
      <c r="J107" s="50" t="n"/>
      <c r="K107" s="52" t="str">
        <f>IF($A107="","",$A107&amp;"|"&amp;$L107)</f>
        <v/>
      </c>
      <c r="L107" s="52" t="str">
        <f>IF($A107="","",COUNTIFS($A$3:$A107,$A107))</f>
        <v/>
      </c>
    </row>
    <row r="108" ht="15" customHeight="1" s="41">
      <c r="A108" s="50" t="n"/>
      <c r="B108" s="52" t="str">
        <f>IF($A108="","",IFERROR(INDEX(회의록!$C$3:$C$302,MATCH($A108,회의록!$A$3:$A$302,0)),"회의번호없음"))</f>
        <v/>
      </c>
      <c r="C108" s="50" t="n"/>
      <c r="D108" s="49" t="n"/>
      <c r="E108" s="53" t="n"/>
      <c r="F108" s="49" t="n"/>
      <c r="G108" s="53" t="n"/>
      <c r="H108" s="56" t="str">
        <f>IF(OR($C108="",$E108="",$F108="완료",$F108="취소"),"",$E108-TODAY())</f>
        <v/>
      </c>
      <c r="I108" s="56" t="str">
        <f>IF(OR($C108="",$E108=""),"",IF($F108="완료",IF($G108="","",MAX(0,$G108-$E108)),IF($F108="취소","",MAX(0,TODAY()-$E108))))</f>
        <v/>
      </c>
      <c r="J108" s="50" t="n"/>
      <c r="K108" s="52" t="str">
        <f>IF($A108="","",$A108&amp;"|"&amp;$L108)</f>
        <v/>
      </c>
      <c r="L108" s="52" t="str">
        <f>IF($A108="","",COUNTIFS($A$3:$A108,$A108))</f>
        <v/>
      </c>
    </row>
    <row r="109" ht="15" customHeight="1" s="41">
      <c r="A109" s="50" t="n"/>
      <c r="B109" s="52" t="str">
        <f>IF($A109="","",IFERROR(INDEX(회의록!$C$3:$C$302,MATCH($A109,회의록!$A$3:$A$302,0)),"회의번호없음"))</f>
        <v/>
      </c>
      <c r="C109" s="50" t="n"/>
      <c r="D109" s="49" t="n"/>
      <c r="E109" s="53" t="n"/>
      <c r="F109" s="49" t="n"/>
      <c r="G109" s="53" t="n"/>
      <c r="H109" s="56" t="str">
        <f>IF(OR($C109="",$E109="",$F109="완료",$F109="취소"),"",$E109-TODAY())</f>
        <v/>
      </c>
      <c r="I109" s="56" t="str">
        <f>IF(OR($C109="",$E109=""),"",IF($F109="완료",IF($G109="","",MAX(0,$G109-$E109)),IF($F109="취소","",MAX(0,TODAY()-$E109))))</f>
        <v/>
      </c>
      <c r="J109" s="50" t="n"/>
      <c r="K109" s="52" t="str">
        <f>IF($A109="","",$A109&amp;"|"&amp;$L109)</f>
        <v/>
      </c>
      <c r="L109" s="52" t="str">
        <f>IF($A109="","",COUNTIFS($A$3:$A109,$A109))</f>
        <v/>
      </c>
    </row>
    <row r="110" ht="15" customHeight="1" s="41">
      <c r="A110" s="50" t="n"/>
      <c r="B110" s="52" t="str">
        <f>IF($A110="","",IFERROR(INDEX(회의록!$C$3:$C$302,MATCH($A110,회의록!$A$3:$A$302,0)),"회의번호없음"))</f>
        <v/>
      </c>
      <c r="C110" s="50" t="n"/>
      <c r="D110" s="49" t="n"/>
      <c r="E110" s="53" t="n"/>
      <c r="F110" s="49" t="n"/>
      <c r="G110" s="53" t="n"/>
      <c r="H110" s="56" t="str">
        <f>IF(OR($C110="",$E110="",$F110="완료",$F110="취소"),"",$E110-TODAY())</f>
        <v/>
      </c>
      <c r="I110" s="56" t="str">
        <f>IF(OR($C110="",$E110=""),"",IF($F110="완료",IF($G110="","",MAX(0,$G110-$E110)),IF($F110="취소","",MAX(0,TODAY()-$E110))))</f>
        <v/>
      </c>
      <c r="J110" s="50" t="n"/>
      <c r="K110" s="52" t="str">
        <f>IF($A110="","",$A110&amp;"|"&amp;$L110)</f>
        <v/>
      </c>
      <c r="L110" s="52" t="str">
        <f>IF($A110="","",COUNTIFS($A$3:$A110,$A110))</f>
        <v/>
      </c>
    </row>
    <row r="111" ht="15" customHeight="1" s="41">
      <c r="A111" s="50" t="n"/>
      <c r="B111" s="52" t="str">
        <f>IF($A111="","",IFERROR(INDEX(회의록!$C$3:$C$302,MATCH($A111,회의록!$A$3:$A$302,0)),"회의번호없음"))</f>
        <v/>
      </c>
      <c r="C111" s="50" t="n"/>
      <c r="D111" s="49" t="n"/>
      <c r="E111" s="53" t="n"/>
      <c r="F111" s="49" t="n"/>
      <c r="G111" s="53" t="n"/>
      <c r="H111" s="56" t="str">
        <f>IF(OR($C111="",$E111="",$F111="완료",$F111="취소"),"",$E111-TODAY())</f>
        <v/>
      </c>
      <c r="I111" s="56" t="str">
        <f>IF(OR($C111="",$E111=""),"",IF($F111="완료",IF($G111="","",MAX(0,$G111-$E111)),IF($F111="취소","",MAX(0,TODAY()-$E111))))</f>
        <v/>
      </c>
      <c r="J111" s="50" t="n"/>
      <c r="K111" s="52" t="str">
        <f>IF($A111="","",$A111&amp;"|"&amp;$L111)</f>
        <v/>
      </c>
      <c r="L111" s="52" t="str">
        <f>IF($A111="","",COUNTIFS($A$3:$A111,$A111))</f>
        <v/>
      </c>
    </row>
    <row r="112" ht="15" customHeight="1" s="41">
      <c r="A112" s="50" t="n"/>
      <c r="B112" s="52" t="str">
        <f>IF($A112="","",IFERROR(INDEX(회의록!$C$3:$C$302,MATCH($A112,회의록!$A$3:$A$302,0)),"회의번호없음"))</f>
        <v/>
      </c>
      <c r="C112" s="50" t="n"/>
      <c r="D112" s="49" t="n"/>
      <c r="E112" s="53" t="n"/>
      <c r="F112" s="49" t="n"/>
      <c r="G112" s="53" t="n"/>
      <c r="H112" s="56" t="str">
        <f>IF(OR($C112="",$E112="",$F112="완료",$F112="취소"),"",$E112-TODAY())</f>
        <v/>
      </c>
      <c r="I112" s="56" t="str">
        <f>IF(OR($C112="",$E112=""),"",IF($F112="완료",IF($G112="","",MAX(0,$G112-$E112)),IF($F112="취소","",MAX(0,TODAY()-$E112))))</f>
        <v/>
      </c>
      <c r="J112" s="50" t="n"/>
      <c r="K112" s="52" t="str">
        <f>IF($A112="","",$A112&amp;"|"&amp;$L112)</f>
        <v/>
      </c>
      <c r="L112" s="52" t="str">
        <f>IF($A112="","",COUNTIFS($A$3:$A112,$A112))</f>
        <v/>
      </c>
    </row>
    <row r="113" ht="15" customHeight="1" s="41">
      <c r="A113" s="50" t="n"/>
      <c r="B113" s="52" t="str">
        <f>IF($A113="","",IFERROR(INDEX(회의록!$C$3:$C$302,MATCH($A113,회의록!$A$3:$A$302,0)),"회의번호없음"))</f>
        <v/>
      </c>
      <c r="C113" s="50" t="n"/>
      <c r="D113" s="49" t="n"/>
      <c r="E113" s="53" t="n"/>
      <c r="F113" s="49" t="n"/>
      <c r="G113" s="53" t="n"/>
      <c r="H113" s="56" t="str">
        <f>IF(OR($C113="",$E113="",$F113="완료",$F113="취소"),"",$E113-TODAY())</f>
        <v/>
      </c>
      <c r="I113" s="56" t="str">
        <f>IF(OR($C113="",$E113=""),"",IF($F113="완료",IF($G113="","",MAX(0,$G113-$E113)),IF($F113="취소","",MAX(0,TODAY()-$E113))))</f>
        <v/>
      </c>
      <c r="J113" s="50" t="n"/>
      <c r="K113" s="52" t="str">
        <f>IF($A113="","",$A113&amp;"|"&amp;$L113)</f>
        <v/>
      </c>
      <c r="L113" s="52" t="str">
        <f>IF($A113="","",COUNTIFS($A$3:$A113,$A113))</f>
        <v/>
      </c>
    </row>
    <row r="114" ht="15" customHeight="1" s="41">
      <c r="A114" s="50" t="n"/>
      <c r="B114" s="52" t="str">
        <f>IF($A114="","",IFERROR(INDEX(회의록!$C$3:$C$302,MATCH($A114,회의록!$A$3:$A$302,0)),"회의번호없음"))</f>
        <v/>
      </c>
      <c r="C114" s="50" t="n"/>
      <c r="D114" s="49" t="n"/>
      <c r="E114" s="53" t="n"/>
      <c r="F114" s="49" t="n"/>
      <c r="G114" s="53" t="n"/>
      <c r="H114" s="56" t="str">
        <f>IF(OR($C114="",$E114="",$F114="완료",$F114="취소"),"",$E114-TODAY())</f>
        <v/>
      </c>
      <c r="I114" s="56" t="str">
        <f>IF(OR($C114="",$E114=""),"",IF($F114="완료",IF($G114="","",MAX(0,$G114-$E114)),IF($F114="취소","",MAX(0,TODAY()-$E114))))</f>
        <v/>
      </c>
      <c r="J114" s="50" t="n"/>
      <c r="K114" s="52" t="str">
        <f>IF($A114="","",$A114&amp;"|"&amp;$L114)</f>
        <v/>
      </c>
      <c r="L114" s="52" t="str">
        <f>IF($A114="","",COUNTIFS($A$3:$A114,$A114))</f>
        <v/>
      </c>
    </row>
    <row r="115" ht="15" customHeight="1" s="41">
      <c r="A115" s="50" t="n"/>
      <c r="B115" s="52" t="str">
        <f>IF($A115="","",IFERROR(INDEX(회의록!$C$3:$C$302,MATCH($A115,회의록!$A$3:$A$302,0)),"회의번호없음"))</f>
        <v/>
      </c>
      <c r="C115" s="50" t="n"/>
      <c r="D115" s="49" t="n"/>
      <c r="E115" s="53" t="n"/>
      <c r="F115" s="49" t="n"/>
      <c r="G115" s="53" t="n"/>
      <c r="H115" s="56" t="str">
        <f>IF(OR($C115="",$E115="",$F115="완료",$F115="취소"),"",$E115-TODAY())</f>
        <v/>
      </c>
      <c r="I115" s="56" t="str">
        <f>IF(OR($C115="",$E115=""),"",IF($F115="완료",IF($G115="","",MAX(0,$G115-$E115)),IF($F115="취소","",MAX(0,TODAY()-$E115))))</f>
        <v/>
      </c>
      <c r="J115" s="50" t="n"/>
      <c r="K115" s="52" t="str">
        <f>IF($A115="","",$A115&amp;"|"&amp;$L115)</f>
        <v/>
      </c>
      <c r="L115" s="52" t="str">
        <f>IF($A115="","",COUNTIFS($A$3:$A115,$A115))</f>
        <v/>
      </c>
    </row>
    <row r="116" ht="15" customHeight="1" s="41">
      <c r="A116" s="50" t="n"/>
      <c r="B116" s="52" t="str">
        <f>IF($A116="","",IFERROR(INDEX(회의록!$C$3:$C$302,MATCH($A116,회의록!$A$3:$A$302,0)),"회의번호없음"))</f>
        <v/>
      </c>
      <c r="C116" s="50" t="n"/>
      <c r="D116" s="49" t="n"/>
      <c r="E116" s="53" t="n"/>
      <c r="F116" s="49" t="n"/>
      <c r="G116" s="53" t="n"/>
      <c r="H116" s="56" t="str">
        <f>IF(OR($C116="",$E116="",$F116="완료",$F116="취소"),"",$E116-TODAY())</f>
        <v/>
      </c>
      <c r="I116" s="56" t="str">
        <f>IF(OR($C116="",$E116=""),"",IF($F116="완료",IF($G116="","",MAX(0,$G116-$E116)),IF($F116="취소","",MAX(0,TODAY()-$E116))))</f>
        <v/>
      </c>
      <c r="J116" s="50" t="n"/>
      <c r="K116" s="52" t="str">
        <f>IF($A116="","",$A116&amp;"|"&amp;$L116)</f>
        <v/>
      </c>
      <c r="L116" s="52" t="str">
        <f>IF($A116="","",COUNTIFS($A$3:$A116,$A116))</f>
        <v/>
      </c>
    </row>
    <row r="117" ht="15" customHeight="1" s="41">
      <c r="A117" s="50" t="n"/>
      <c r="B117" s="52" t="str">
        <f>IF($A117="","",IFERROR(INDEX(회의록!$C$3:$C$302,MATCH($A117,회의록!$A$3:$A$302,0)),"회의번호없음"))</f>
        <v/>
      </c>
      <c r="C117" s="50" t="n"/>
      <c r="D117" s="49" t="n"/>
      <c r="E117" s="53" t="n"/>
      <c r="F117" s="49" t="n"/>
      <c r="G117" s="53" t="n"/>
      <c r="H117" s="56" t="str">
        <f>IF(OR($C117="",$E117="",$F117="완료",$F117="취소"),"",$E117-TODAY())</f>
        <v/>
      </c>
      <c r="I117" s="56" t="str">
        <f>IF(OR($C117="",$E117=""),"",IF($F117="완료",IF($G117="","",MAX(0,$G117-$E117)),IF($F117="취소","",MAX(0,TODAY()-$E117))))</f>
        <v/>
      </c>
      <c r="J117" s="50" t="n"/>
      <c r="K117" s="52" t="str">
        <f>IF($A117="","",$A117&amp;"|"&amp;$L117)</f>
        <v/>
      </c>
      <c r="L117" s="52" t="str">
        <f>IF($A117="","",COUNTIFS($A$3:$A117,$A117))</f>
        <v/>
      </c>
    </row>
    <row r="118" ht="15" customHeight="1" s="41">
      <c r="A118" s="50" t="n"/>
      <c r="B118" s="52" t="str">
        <f>IF($A118="","",IFERROR(INDEX(회의록!$C$3:$C$302,MATCH($A118,회의록!$A$3:$A$302,0)),"회의번호없음"))</f>
        <v/>
      </c>
      <c r="C118" s="50" t="n"/>
      <c r="D118" s="49" t="n"/>
      <c r="E118" s="53" t="n"/>
      <c r="F118" s="49" t="n"/>
      <c r="G118" s="53" t="n"/>
      <c r="H118" s="56" t="str">
        <f>IF(OR($C118="",$E118="",$F118="완료",$F118="취소"),"",$E118-TODAY())</f>
        <v/>
      </c>
      <c r="I118" s="56" t="str">
        <f>IF(OR($C118="",$E118=""),"",IF($F118="완료",IF($G118="","",MAX(0,$G118-$E118)),IF($F118="취소","",MAX(0,TODAY()-$E118))))</f>
        <v/>
      </c>
      <c r="J118" s="50" t="n"/>
      <c r="K118" s="52" t="str">
        <f>IF($A118="","",$A118&amp;"|"&amp;$L118)</f>
        <v/>
      </c>
      <c r="L118" s="52" t="str">
        <f>IF($A118="","",COUNTIFS($A$3:$A118,$A118))</f>
        <v/>
      </c>
    </row>
    <row r="119" ht="15" customHeight="1" s="41">
      <c r="A119" s="50" t="n"/>
      <c r="B119" s="52" t="str">
        <f>IF($A119="","",IFERROR(INDEX(회의록!$C$3:$C$302,MATCH($A119,회의록!$A$3:$A$302,0)),"회의번호없음"))</f>
        <v/>
      </c>
      <c r="C119" s="50" t="n"/>
      <c r="D119" s="49" t="n"/>
      <c r="E119" s="53" t="n"/>
      <c r="F119" s="49" t="n"/>
      <c r="G119" s="53" t="n"/>
      <c r="H119" s="56" t="str">
        <f>IF(OR($C119="",$E119="",$F119="완료",$F119="취소"),"",$E119-TODAY())</f>
        <v/>
      </c>
      <c r="I119" s="56" t="str">
        <f>IF(OR($C119="",$E119=""),"",IF($F119="완료",IF($G119="","",MAX(0,$G119-$E119)),IF($F119="취소","",MAX(0,TODAY()-$E119))))</f>
        <v/>
      </c>
      <c r="J119" s="50" t="n"/>
      <c r="K119" s="52" t="str">
        <f>IF($A119="","",$A119&amp;"|"&amp;$L119)</f>
        <v/>
      </c>
      <c r="L119" s="52" t="str">
        <f>IF($A119="","",COUNTIFS($A$3:$A119,$A119))</f>
        <v/>
      </c>
    </row>
    <row r="120" ht="15" customHeight="1" s="41">
      <c r="A120" s="50" t="n"/>
      <c r="B120" s="52" t="str">
        <f>IF($A120="","",IFERROR(INDEX(회의록!$C$3:$C$302,MATCH($A120,회의록!$A$3:$A$302,0)),"회의번호없음"))</f>
        <v/>
      </c>
      <c r="C120" s="50" t="n"/>
      <c r="D120" s="49" t="n"/>
      <c r="E120" s="53" t="n"/>
      <c r="F120" s="49" t="n"/>
      <c r="G120" s="53" t="n"/>
      <c r="H120" s="56" t="str">
        <f>IF(OR($C120="",$E120="",$F120="완료",$F120="취소"),"",$E120-TODAY())</f>
        <v/>
      </c>
      <c r="I120" s="56" t="str">
        <f>IF(OR($C120="",$E120=""),"",IF($F120="완료",IF($G120="","",MAX(0,$G120-$E120)),IF($F120="취소","",MAX(0,TODAY()-$E120))))</f>
        <v/>
      </c>
      <c r="J120" s="50" t="n"/>
      <c r="K120" s="52" t="str">
        <f>IF($A120="","",$A120&amp;"|"&amp;$L120)</f>
        <v/>
      </c>
      <c r="L120" s="52" t="str">
        <f>IF($A120="","",COUNTIFS($A$3:$A120,$A120))</f>
        <v/>
      </c>
    </row>
    <row r="121" ht="15" customHeight="1" s="41">
      <c r="A121" s="50" t="n"/>
      <c r="B121" s="52" t="str">
        <f>IF($A121="","",IFERROR(INDEX(회의록!$C$3:$C$302,MATCH($A121,회의록!$A$3:$A$302,0)),"회의번호없음"))</f>
        <v/>
      </c>
      <c r="C121" s="50" t="n"/>
      <c r="D121" s="49" t="n"/>
      <c r="E121" s="53" t="n"/>
      <c r="F121" s="49" t="n"/>
      <c r="G121" s="53" t="n"/>
      <c r="H121" s="56" t="str">
        <f>IF(OR($C121="",$E121="",$F121="완료",$F121="취소"),"",$E121-TODAY())</f>
        <v/>
      </c>
      <c r="I121" s="56" t="str">
        <f>IF(OR($C121="",$E121=""),"",IF($F121="완료",IF($G121="","",MAX(0,$G121-$E121)),IF($F121="취소","",MAX(0,TODAY()-$E121))))</f>
        <v/>
      </c>
      <c r="J121" s="50" t="n"/>
      <c r="K121" s="52" t="str">
        <f>IF($A121="","",$A121&amp;"|"&amp;$L121)</f>
        <v/>
      </c>
      <c r="L121" s="52" t="str">
        <f>IF($A121="","",COUNTIFS($A$3:$A121,$A121))</f>
        <v/>
      </c>
    </row>
    <row r="122" ht="15" customHeight="1" s="41">
      <c r="A122" s="50" t="n"/>
      <c r="B122" s="52" t="str">
        <f>IF($A122="","",IFERROR(INDEX(회의록!$C$3:$C$302,MATCH($A122,회의록!$A$3:$A$302,0)),"회의번호없음"))</f>
        <v/>
      </c>
      <c r="C122" s="50" t="n"/>
      <c r="D122" s="49" t="n"/>
      <c r="E122" s="53" t="n"/>
      <c r="F122" s="49" t="n"/>
      <c r="G122" s="53" t="n"/>
      <c r="H122" s="56" t="str">
        <f>IF(OR($C122="",$E122="",$F122="완료",$F122="취소"),"",$E122-TODAY())</f>
        <v/>
      </c>
      <c r="I122" s="56" t="str">
        <f>IF(OR($C122="",$E122=""),"",IF($F122="완료",IF($G122="","",MAX(0,$G122-$E122)),IF($F122="취소","",MAX(0,TODAY()-$E122))))</f>
        <v/>
      </c>
      <c r="J122" s="50" t="n"/>
      <c r="K122" s="52" t="str">
        <f>IF($A122="","",$A122&amp;"|"&amp;$L122)</f>
        <v/>
      </c>
      <c r="L122" s="52" t="str">
        <f>IF($A122="","",COUNTIFS($A$3:$A122,$A122))</f>
        <v/>
      </c>
    </row>
    <row r="123" ht="15" customHeight="1" s="41">
      <c r="A123" s="50" t="n"/>
      <c r="B123" s="52" t="str">
        <f>IF($A123="","",IFERROR(INDEX(회의록!$C$3:$C$302,MATCH($A123,회의록!$A$3:$A$302,0)),"회의번호없음"))</f>
        <v/>
      </c>
      <c r="C123" s="50" t="n"/>
      <c r="D123" s="49" t="n"/>
      <c r="E123" s="53" t="n"/>
      <c r="F123" s="49" t="n"/>
      <c r="G123" s="53" t="n"/>
      <c r="H123" s="56" t="str">
        <f>IF(OR($C123="",$E123="",$F123="완료",$F123="취소"),"",$E123-TODAY())</f>
        <v/>
      </c>
      <c r="I123" s="56" t="str">
        <f>IF(OR($C123="",$E123=""),"",IF($F123="완료",IF($G123="","",MAX(0,$G123-$E123)),IF($F123="취소","",MAX(0,TODAY()-$E123))))</f>
        <v/>
      </c>
      <c r="J123" s="50" t="n"/>
      <c r="K123" s="52" t="str">
        <f>IF($A123="","",$A123&amp;"|"&amp;$L123)</f>
        <v/>
      </c>
      <c r="L123" s="52" t="str">
        <f>IF($A123="","",COUNTIFS($A$3:$A123,$A123))</f>
        <v/>
      </c>
    </row>
    <row r="124" ht="15" customHeight="1" s="41">
      <c r="A124" s="50" t="n"/>
      <c r="B124" s="52" t="str">
        <f>IF($A124="","",IFERROR(INDEX(회의록!$C$3:$C$302,MATCH($A124,회의록!$A$3:$A$302,0)),"회의번호없음"))</f>
        <v/>
      </c>
      <c r="C124" s="50" t="n"/>
      <c r="D124" s="49" t="n"/>
      <c r="E124" s="53" t="n"/>
      <c r="F124" s="49" t="n"/>
      <c r="G124" s="53" t="n"/>
      <c r="H124" s="56" t="str">
        <f>IF(OR($C124="",$E124="",$F124="완료",$F124="취소"),"",$E124-TODAY())</f>
        <v/>
      </c>
      <c r="I124" s="56" t="str">
        <f>IF(OR($C124="",$E124=""),"",IF($F124="완료",IF($G124="","",MAX(0,$G124-$E124)),IF($F124="취소","",MAX(0,TODAY()-$E124))))</f>
        <v/>
      </c>
      <c r="J124" s="50" t="n"/>
      <c r="K124" s="52" t="str">
        <f>IF($A124="","",$A124&amp;"|"&amp;$L124)</f>
        <v/>
      </c>
      <c r="L124" s="52" t="str">
        <f>IF($A124="","",COUNTIFS($A$3:$A124,$A124))</f>
        <v/>
      </c>
    </row>
    <row r="125" ht="15" customHeight="1" s="41">
      <c r="A125" s="50" t="n"/>
      <c r="B125" s="52" t="str">
        <f>IF($A125="","",IFERROR(INDEX(회의록!$C$3:$C$302,MATCH($A125,회의록!$A$3:$A$302,0)),"회의번호없음"))</f>
        <v/>
      </c>
      <c r="C125" s="50" t="n"/>
      <c r="D125" s="49" t="n"/>
      <c r="E125" s="53" t="n"/>
      <c r="F125" s="49" t="n"/>
      <c r="G125" s="53" t="n"/>
      <c r="H125" s="56" t="str">
        <f>IF(OR($C125="",$E125="",$F125="완료",$F125="취소"),"",$E125-TODAY())</f>
        <v/>
      </c>
      <c r="I125" s="56" t="str">
        <f>IF(OR($C125="",$E125=""),"",IF($F125="완료",IF($G125="","",MAX(0,$G125-$E125)),IF($F125="취소","",MAX(0,TODAY()-$E125))))</f>
        <v/>
      </c>
      <c r="J125" s="50" t="n"/>
      <c r="K125" s="52" t="str">
        <f>IF($A125="","",$A125&amp;"|"&amp;$L125)</f>
        <v/>
      </c>
      <c r="L125" s="52" t="str">
        <f>IF($A125="","",COUNTIFS($A$3:$A125,$A125))</f>
        <v/>
      </c>
    </row>
    <row r="126" ht="15" customHeight="1" s="41">
      <c r="A126" s="50" t="n"/>
      <c r="B126" s="52" t="str">
        <f>IF($A126="","",IFERROR(INDEX(회의록!$C$3:$C$302,MATCH($A126,회의록!$A$3:$A$302,0)),"회의번호없음"))</f>
        <v/>
      </c>
      <c r="C126" s="50" t="n"/>
      <c r="D126" s="49" t="n"/>
      <c r="E126" s="53" t="n"/>
      <c r="F126" s="49" t="n"/>
      <c r="G126" s="53" t="n"/>
      <c r="H126" s="56" t="str">
        <f>IF(OR($C126="",$E126="",$F126="완료",$F126="취소"),"",$E126-TODAY())</f>
        <v/>
      </c>
      <c r="I126" s="56" t="str">
        <f>IF(OR($C126="",$E126=""),"",IF($F126="완료",IF($G126="","",MAX(0,$G126-$E126)),IF($F126="취소","",MAX(0,TODAY()-$E126))))</f>
        <v/>
      </c>
      <c r="J126" s="50" t="n"/>
      <c r="K126" s="52" t="str">
        <f>IF($A126="","",$A126&amp;"|"&amp;$L126)</f>
        <v/>
      </c>
      <c r="L126" s="52" t="str">
        <f>IF($A126="","",COUNTIFS($A$3:$A126,$A126))</f>
        <v/>
      </c>
    </row>
    <row r="127" ht="15" customHeight="1" s="41">
      <c r="A127" s="50" t="n"/>
      <c r="B127" s="52" t="str">
        <f>IF($A127="","",IFERROR(INDEX(회의록!$C$3:$C$302,MATCH($A127,회의록!$A$3:$A$302,0)),"회의번호없음"))</f>
        <v/>
      </c>
      <c r="C127" s="50" t="n"/>
      <c r="D127" s="49" t="n"/>
      <c r="E127" s="53" t="n"/>
      <c r="F127" s="49" t="n"/>
      <c r="G127" s="53" t="n"/>
      <c r="H127" s="56" t="str">
        <f>IF(OR($C127="",$E127="",$F127="완료",$F127="취소"),"",$E127-TODAY())</f>
        <v/>
      </c>
      <c r="I127" s="56" t="str">
        <f>IF(OR($C127="",$E127=""),"",IF($F127="완료",IF($G127="","",MAX(0,$G127-$E127)),IF($F127="취소","",MAX(0,TODAY()-$E127))))</f>
        <v/>
      </c>
      <c r="J127" s="50" t="n"/>
      <c r="K127" s="52" t="str">
        <f>IF($A127="","",$A127&amp;"|"&amp;$L127)</f>
        <v/>
      </c>
      <c r="L127" s="52" t="str">
        <f>IF($A127="","",COUNTIFS($A$3:$A127,$A127))</f>
        <v/>
      </c>
    </row>
    <row r="128" ht="15" customHeight="1" s="41">
      <c r="A128" s="50" t="n"/>
      <c r="B128" s="52" t="str">
        <f>IF($A128="","",IFERROR(INDEX(회의록!$C$3:$C$302,MATCH($A128,회의록!$A$3:$A$302,0)),"회의번호없음"))</f>
        <v/>
      </c>
      <c r="C128" s="50" t="n"/>
      <c r="D128" s="49" t="n"/>
      <c r="E128" s="53" t="n"/>
      <c r="F128" s="49" t="n"/>
      <c r="G128" s="53" t="n"/>
      <c r="H128" s="56" t="str">
        <f>IF(OR($C128="",$E128="",$F128="완료",$F128="취소"),"",$E128-TODAY())</f>
        <v/>
      </c>
      <c r="I128" s="56" t="str">
        <f>IF(OR($C128="",$E128=""),"",IF($F128="완료",IF($G128="","",MAX(0,$G128-$E128)),IF($F128="취소","",MAX(0,TODAY()-$E128))))</f>
        <v/>
      </c>
      <c r="J128" s="50" t="n"/>
      <c r="K128" s="52" t="str">
        <f>IF($A128="","",$A128&amp;"|"&amp;$L128)</f>
        <v/>
      </c>
      <c r="L128" s="52" t="str">
        <f>IF($A128="","",COUNTIFS($A$3:$A128,$A128))</f>
        <v/>
      </c>
    </row>
    <row r="129" ht="15" customHeight="1" s="41">
      <c r="A129" s="50" t="n"/>
      <c r="B129" s="52" t="str">
        <f>IF($A129="","",IFERROR(INDEX(회의록!$C$3:$C$302,MATCH($A129,회의록!$A$3:$A$302,0)),"회의번호없음"))</f>
        <v/>
      </c>
      <c r="C129" s="50" t="n"/>
      <c r="D129" s="49" t="n"/>
      <c r="E129" s="53" t="n"/>
      <c r="F129" s="49" t="n"/>
      <c r="G129" s="53" t="n"/>
      <c r="H129" s="56" t="str">
        <f>IF(OR($C129="",$E129="",$F129="완료",$F129="취소"),"",$E129-TODAY())</f>
        <v/>
      </c>
      <c r="I129" s="56" t="str">
        <f>IF(OR($C129="",$E129=""),"",IF($F129="완료",IF($G129="","",MAX(0,$G129-$E129)),IF($F129="취소","",MAX(0,TODAY()-$E129))))</f>
        <v/>
      </c>
      <c r="J129" s="50" t="n"/>
      <c r="K129" s="52" t="str">
        <f>IF($A129="","",$A129&amp;"|"&amp;$L129)</f>
        <v/>
      </c>
      <c r="L129" s="52" t="str">
        <f>IF($A129="","",COUNTIFS($A$3:$A129,$A129))</f>
        <v/>
      </c>
    </row>
    <row r="130" ht="15" customHeight="1" s="41">
      <c r="A130" s="50" t="n"/>
      <c r="B130" s="52" t="str">
        <f>IF($A130="","",IFERROR(INDEX(회의록!$C$3:$C$302,MATCH($A130,회의록!$A$3:$A$302,0)),"회의번호없음"))</f>
        <v/>
      </c>
      <c r="C130" s="50" t="n"/>
      <c r="D130" s="49" t="n"/>
      <c r="E130" s="53" t="n"/>
      <c r="F130" s="49" t="n"/>
      <c r="G130" s="53" t="n"/>
      <c r="H130" s="56" t="str">
        <f>IF(OR($C130="",$E130="",$F130="완료",$F130="취소"),"",$E130-TODAY())</f>
        <v/>
      </c>
      <c r="I130" s="56" t="str">
        <f>IF(OR($C130="",$E130=""),"",IF($F130="완료",IF($G130="","",MAX(0,$G130-$E130)),IF($F130="취소","",MAX(0,TODAY()-$E130))))</f>
        <v/>
      </c>
      <c r="J130" s="50" t="n"/>
      <c r="K130" s="52" t="str">
        <f>IF($A130="","",$A130&amp;"|"&amp;$L130)</f>
        <v/>
      </c>
      <c r="L130" s="52" t="str">
        <f>IF($A130="","",COUNTIFS($A$3:$A130,$A130))</f>
        <v/>
      </c>
    </row>
    <row r="131" ht="15" customHeight="1" s="41">
      <c r="A131" s="50" t="n"/>
      <c r="B131" s="52" t="str">
        <f>IF($A131="","",IFERROR(INDEX(회의록!$C$3:$C$302,MATCH($A131,회의록!$A$3:$A$302,0)),"회의번호없음"))</f>
        <v/>
      </c>
      <c r="C131" s="50" t="n"/>
      <c r="D131" s="49" t="n"/>
      <c r="E131" s="53" t="n"/>
      <c r="F131" s="49" t="n"/>
      <c r="G131" s="53" t="n"/>
      <c r="H131" s="56" t="str">
        <f>IF(OR($C131="",$E131="",$F131="완료",$F131="취소"),"",$E131-TODAY())</f>
        <v/>
      </c>
      <c r="I131" s="56" t="str">
        <f>IF(OR($C131="",$E131=""),"",IF($F131="완료",IF($G131="","",MAX(0,$G131-$E131)),IF($F131="취소","",MAX(0,TODAY()-$E131))))</f>
        <v/>
      </c>
      <c r="J131" s="50" t="n"/>
      <c r="K131" s="52" t="str">
        <f>IF($A131="","",$A131&amp;"|"&amp;$L131)</f>
        <v/>
      </c>
      <c r="L131" s="52" t="str">
        <f>IF($A131="","",COUNTIFS($A$3:$A131,$A131))</f>
        <v/>
      </c>
    </row>
    <row r="132" ht="15" customHeight="1" s="41">
      <c r="A132" s="50" t="n"/>
      <c r="B132" s="52" t="str">
        <f>IF($A132="","",IFERROR(INDEX(회의록!$C$3:$C$302,MATCH($A132,회의록!$A$3:$A$302,0)),"회의번호없음"))</f>
        <v/>
      </c>
      <c r="C132" s="50" t="n"/>
      <c r="D132" s="49" t="n"/>
      <c r="E132" s="53" t="n"/>
      <c r="F132" s="49" t="n"/>
      <c r="G132" s="53" t="n"/>
      <c r="H132" s="56" t="str">
        <f>IF(OR($C132="",$E132="",$F132="완료",$F132="취소"),"",$E132-TODAY())</f>
        <v/>
      </c>
      <c r="I132" s="56" t="str">
        <f>IF(OR($C132="",$E132=""),"",IF($F132="완료",IF($G132="","",MAX(0,$G132-$E132)),IF($F132="취소","",MAX(0,TODAY()-$E132))))</f>
        <v/>
      </c>
      <c r="J132" s="50" t="n"/>
      <c r="K132" s="52" t="str">
        <f>IF($A132="","",$A132&amp;"|"&amp;$L132)</f>
        <v/>
      </c>
      <c r="L132" s="52" t="str">
        <f>IF($A132="","",COUNTIFS($A$3:$A132,$A132))</f>
        <v/>
      </c>
    </row>
    <row r="133" ht="15" customHeight="1" s="41">
      <c r="A133" s="50" t="n"/>
      <c r="B133" s="52" t="str">
        <f>IF($A133="","",IFERROR(INDEX(회의록!$C$3:$C$302,MATCH($A133,회의록!$A$3:$A$302,0)),"회의번호없음"))</f>
        <v/>
      </c>
      <c r="C133" s="50" t="n"/>
      <c r="D133" s="49" t="n"/>
      <c r="E133" s="53" t="n"/>
      <c r="F133" s="49" t="n"/>
      <c r="G133" s="53" t="n"/>
      <c r="H133" s="56" t="str">
        <f>IF(OR($C133="",$E133="",$F133="완료",$F133="취소"),"",$E133-TODAY())</f>
        <v/>
      </c>
      <c r="I133" s="56" t="str">
        <f>IF(OR($C133="",$E133=""),"",IF($F133="완료",IF($G133="","",MAX(0,$G133-$E133)),IF($F133="취소","",MAX(0,TODAY()-$E133))))</f>
        <v/>
      </c>
      <c r="J133" s="50" t="n"/>
      <c r="K133" s="52" t="str">
        <f>IF($A133="","",$A133&amp;"|"&amp;$L133)</f>
        <v/>
      </c>
      <c r="L133" s="52" t="str">
        <f>IF($A133="","",COUNTIFS($A$3:$A133,$A133))</f>
        <v/>
      </c>
    </row>
    <row r="134" ht="15" customHeight="1" s="41">
      <c r="A134" s="50" t="n"/>
      <c r="B134" s="52" t="str">
        <f>IF($A134="","",IFERROR(INDEX(회의록!$C$3:$C$302,MATCH($A134,회의록!$A$3:$A$302,0)),"회의번호없음"))</f>
        <v/>
      </c>
      <c r="C134" s="50" t="n"/>
      <c r="D134" s="49" t="n"/>
      <c r="E134" s="53" t="n"/>
      <c r="F134" s="49" t="n"/>
      <c r="G134" s="53" t="n"/>
      <c r="H134" s="56" t="str">
        <f>IF(OR($C134="",$E134="",$F134="완료",$F134="취소"),"",$E134-TODAY())</f>
        <v/>
      </c>
      <c r="I134" s="56" t="str">
        <f>IF(OR($C134="",$E134=""),"",IF($F134="완료",IF($G134="","",MAX(0,$G134-$E134)),IF($F134="취소","",MAX(0,TODAY()-$E134))))</f>
        <v/>
      </c>
      <c r="J134" s="50" t="n"/>
      <c r="K134" s="52" t="str">
        <f>IF($A134="","",$A134&amp;"|"&amp;$L134)</f>
        <v/>
      </c>
      <c r="L134" s="52" t="str">
        <f>IF($A134="","",COUNTIFS($A$3:$A134,$A134))</f>
        <v/>
      </c>
    </row>
    <row r="135" ht="15" customHeight="1" s="41">
      <c r="A135" s="50" t="n"/>
      <c r="B135" s="52" t="str">
        <f>IF($A135="","",IFERROR(INDEX(회의록!$C$3:$C$302,MATCH($A135,회의록!$A$3:$A$302,0)),"회의번호없음"))</f>
        <v/>
      </c>
      <c r="C135" s="50" t="n"/>
      <c r="D135" s="49" t="n"/>
      <c r="E135" s="53" t="n"/>
      <c r="F135" s="49" t="n"/>
      <c r="G135" s="53" t="n"/>
      <c r="H135" s="56" t="str">
        <f>IF(OR($C135="",$E135="",$F135="완료",$F135="취소"),"",$E135-TODAY())</f>
        <v/>
      </c>
      <c r="I135" s="56" t="str">
        <f>IF(OR($C135="",$E135=""),"",IF($F135="완료",IF($G135="","",MAX(0,$G135-$E135)),IF($F135="취소","",MAX(0,TODAY()-$E135))))</f>
        <v/>
      </c>
      <c r="J135" s="50" t="n"/>
      <c r="K135" s="52" t="str">
        <f>IF($A135="","",$A135&amp;"|"&amp;$L135)</f>
        <v/>
      </c>
      <c r="L135" s="52" t="str">
        <f>IF($A135="","",COUNTIFS($A$3:$A135,$A135))</f>
        <v/>
      </c>
    </row>
    <row r="136" ht="15" customHeight="1" s="41">
      <c r="A136" s="50" t="n"/>
      <c r="B136" s="52" t="str">
        <f>IF($A136="","",IFERROR(INDEX(회의록!$C$3:$C$302,MATCH($A136,회의록!$A$3:$A$302,0)),"회의번호없음"))</f>
        <v/>
      </c>
      <c r="C136" s="50" t="n"/>
      <c r="D136" s="49" t="n"/>
      <c r="E136" s="53" t="n"/>
      <c r="F136" s="49" t="n"/>
      <c r="G136" s="53" t="n"/>
      <c r="H136" s="56" t="str">
        <f>IF(OR($C136="",$E136="",$F136="완료",$F136="취소"),"",$E136-TODAY())</f>
        <v/>
      </c>
      <c r="I136" s="56" t="str">
        <f>IF(OR($C136="",$E136=""),"",IF($F136="완료",IF($G136="","",MAX(0,$G136-$E136)),IF($F136="취소","",MAX(0,TODAY()-$E136))))</f>
        <v/>
      </c>
      <c r="J136" s="50" t="n"/>
      <c r="K136" s="52" t="str">
        <f>IF($A136="","",$A136&amp;"|"&amp;$L136)</f>
        <v/>
      </c>
      <c r="L136" s="52" t="str">
        <f>IF($A136="","",COUNTIFS($A$3:$A136,$A136))</f>
        <v/>
      </c>
    </row>
    <row r="137" ht="15" customHeight="1" s="41">
      <c r="A137" s="50" t="n"/>
      <c r="B137" s="52" t="str">
        <f>IF($A137="","",IFERROR(INDEX(회의록!$C$3:$C$302,MATCH($A137,회의록!$A$3:$A$302,0)),"회의번호없음"))</f>
        <v/>
      </c>
      <c r="C137" s="50" t="n"/>
      <c r="D137" s="49" t="n"/>
      <c r="E137" s="53" t="n"/>
      <c r="F137" s="49" t="n"/>
      <c r="G137" s="53" t="n"/>
      <c r="H137" s="56" t="str">
        <f>IF(OR($C137="",$E137="",$F137="완료",$F137="취소"),"",$E137-TODAY())</f>
        <v/>
      </c>
      <c r="I137" s="56" t="str">
        <f>IF(OR($C137="",$E137=""),"",IF($F137="완료",IF($G137="","",MAX(0,$G137-$E137)),IF($F137="취소","",MAX(0,TODAY()-$E137))))</f>
        <v/>
      </c>
      <c r="J137" s="50" t="n"/>
      <c r="K137" s="52" t="str">
        <f>IF($A137="","",$A137&amp;"|"&amp;$L137)</f>
        <v/>
      </c>
      <c r="L137" s="52" t="str">
        <f>IF($A137="","",COUNTIFS($A$3:$A137,$A137))</f>
        <v/>
      </c>
    </row>
    <row r="138" ht="15" customHeight="1" s="41">
      <c r="A138" s="50" t="n"/>
      <c r="B138" s="52" t="str">
        <f>IF($A138="","",IFERROR(INDEX(회의록!$C$3:$C$302,MATCH($A138,회의록!$A$3:$A$302,0)),"회의번호없음"))</f>
        <v/>
      </c>
      <c r="C138" s="50" t="n"/>
      <c r="D138" s="49" t="n"/>
      <c r="E138" s="53" t="n"/>
      <c r="F138" s="49" t="n"/>
      <c r="G138" s="53" t="n"/>
      <c r="H138" s="56" t="str">
        <f>IF(OR($C138="",$E138="",$F138="완료",$F138="취소"),"",$E138-TODAY())</f>
        <v/>
      </c>
      <c r="I138" s="56" t="str">
        <f>IF(OR($C138="",$E138=""),"",IF($F138="완료",IF($G138="","",MAX(0,$G138-$E138)),IF($F138="취소","",MAX(0,TODAY()-$E138))))</f>
        <v/>
      </c>
      <c r="J138" s="50" t="n"/>
      <c r="K138" s="52" t="str">
        <f>IF($A138="","",$A138&amp;"|"&amp;$L138)</f>
        <v/>
      </c>
      <c r="L138" s="52" t="str">
        <f>IF($A138="","",COUNTIFS($A$3:$A138,$A138))</f>
        <v/>
      </c>
    </row>
    <row r="139" ht="15" customHeight="1" s="41">
      <c r="A139" s="50" t="n"/>
      <c r="B139" s="52" t="str">
        <f>IF($A139="","",IFERROR(INDEX(회의록!$C$3:$C$302,MATCH($A139,회의록!$A$3:$A$302,0)),"회의번호없음"))</f>
        <v/>
      </c>
      <c r="C139" s="50" t="n"/>
      <c r="D139" s="49" t="n"/>
      <c r="E139" s="53" t="n"/>
      <c r="F139" s="49" t="n"/>
      <c r="G139" s="53" t="n"/>
      <c r="H139" s="56" t="str">
        <f>IF(OR($C139="",$E139="",$F139="완료",$F139="취소"),"",$E139-TODAY())</f>
        <v/>
      </c>
      <c r="I139" s="56" t="str">
        <f>IF(OR($C139="",$E139=""),"",IF($F139="완료",IF($G139="","",MAX(0,$G139-$E139)),IF($F139="취소","",MAX(0,TODAY()-$E139))))</f>
        <v/>
      </c>
      <c r="J139" s="50" t="n"/>
      <c r="K139" s="52" t="str">
        <f>IF($A139="","",$A139&amp;"|"&amp;$L139)</f>
        <v/>
      </c>
      <c r="L139" s="52" t="str">
        <f>IF($A139="","",COUNTIFS($A$3:$A139,$A139))</f>
        <v/>
      </c>
    </row>
    <row r="140" ht="15" customHeight="1" s="41">
      <c r="A140" s="50" t="n"/>
      <c r="B140" s="52" t="str">
        <f>IF($A140="","",IFERROR(INDEX(회의록!$C$3:$C$302,MATCH($A140,회의록!$A$3:$A$302,0)),"회의번호없음"))</f>
        <v/>
      </c>
      <c r="C140" s="50" t="n"/>
      <c r="D140" s="49" t="n"/>
      <c r="E140" s="53" t="n"/>
      <c r="F140" s="49" t="n"/>
      <c r="G140" s="53" t="n"/>
      <c r="H140" s="56" t="str">
        <f>IF(OR($C140="",$E140="",$F140="완료",$F140="취소"),"",$E140-TODAY())</f>
        <v/>
      </c>
      <c r="I140" s="56" t="str">
        <f>IF(OR($C140="",$E140=""),"",IF($F140="완료",IF($G140="","",MAX(0,$G140-$E140)),IF($F140="취소","",MAX(0,TODAY()-$E140))))</f>
        <v/>
      </c>
      <c r="J140" s="50" t="n"/>
      <c r="K140" s="52" t="str">
        <f>IF($A140="","",$A140&amp;"|"&amp;$L140)</f>
        <v/>
      </c>
      <c r="L140" s="52" t="str">
        <f>IF($A140="","",COUNTIFS($A$3:$A140,$A140))</f>
        <v/>
      </c>
    </row>
    <row r="141" ht="15" customHeight="1" s="41">
      <c r="A141" s="50" t="n"/>
      <c r="B141" s="52" t="str">
        <f>IF($A141="","",IFERROR(INDEX(회의록!$C$3:$C$302,MATCH($A141,회의록!$A$3:$A$302,0)),"회의번호없음"))</f>
        <v/>
      </c>
      <c r="C141" s="50" t="n"/>
      <c r="D141" s="49" t="n"/>
      <c r="E141" s="53" t="n"/>
      <c r="F141" s="49" t="n"/>
      <c r="G141" s="53" t="n"/>
      <c r="H141" s="56" t="str">
        <f>IF(OR($C141="",$E141="",$F141="완료",$F141="취소"),"",$E141-TODAY())</f>
        <v/>
      </c>
      <c r="I141" s="56" t="str">
        <f>IF(OR($C141="",$E141=""),"",IF($F141="완료",IF($G141="","",MAX(0,$G141-$E141)),IF($F141="취소","",MAX(0,TODAY()-$E141))))</f>
        <v/>
      </c>
      <c r="J141" s="50" t="n"/>
      <c r="K141" s="52" t="str">
        <f>IF($A141="","",$A141&amp;"|"&amp;$L141)</f>
        <v/>
      </c>
      <c r="L141" s="52" t="str">
        <f>IF($A141="","",COUNTIFS($A$3:$A141,$A141))</f>
        <v/>
      </c>
    </row>
    <row r="142" ht="15" customHeight="1" s="41">
      <c r="A142" s="50" t="n"/>
      <c r="B142" s="52" t="str">
        <f>IF($A142="","",IFERROR(INDEX(회의록!$C$3:$C$302,MATCH($A142,회의록!$A$3:$A$302,0)),"회의번호없음"))</f>
        <v/>
      </c>
      <c r="C142" s="50" t="n"/>
      <c r="D142" s="49" t="n"/>
      <c r="E142" s="53" t="n"/>
      <c r="F142" s="49" t="n"/>
      <c r="G142" s="53" t="n"/>
      <c r="H142" s="56" t="str">
        <f>IF(OR($C142="",$E142="",$F142="완료",$F142="취소"),"",$E142-TODAY())</f>
        <v/>
      </c>
      <c r="I142" s="56" t="str">
        <f>IF(OR($C142="",$E142=""),"",IF($F142="완료",IF($G142="","",MAX(0,$G142-$E142)),IF($F142="취소","",MAX(0,TODAY()-$E142))))</f>
        <v/>
      </c>
      <c r="J142" s="50" t="n"/>
      <c r="K142" s="52" t="str">
        <f>IF($A142="","",$A142&amp;"|"&amp;$L142)</f>
        <v/>
      </c>
      <c r="L142" s="52" t="str">
        <f>IF($A142="","",COUNTIFS($A$3:$A142,$A142))</f>
        <v/>
      </c>
    </row>
    <row r="143" ht="15" customHeight="1" s="41">
      <c r="A143" s="50" t="n"/>
      <c r="B143" s="52" t="str">
        <f>IF($A143="","",IFERROR(INDEX(회의록!$C$3:$C$302,MATCH($A143,회의록!$A$3:$A$302,0)),"회의번호없음"))</f>
        <v/>
      </c>
      <c r="C143" s="50" t="n"/>
      <c r="D143" s="49" t="n"/>
      <c r="E143" s="53" t="n"/>
      <c r="F143" s="49" t="n"/>
      <c r="G143" s="53" t="n"/>
      <c r="H143" s="56" t="str">
        <f>IF(OR($C143="",$E143="",$F143="완료",$F143="취소"),"",$E143-TODAY())</f>
        <v/>
      </c>
      <c r="I143" s="56" t="str">
        <f>IF(OR($C143="",$E143=""),"",IF($F143="완료",IF($G143="","",MAX(0,$G143-$E143)),IF($F143="취소","",MAX(0,TODAY()-$E143))))</f>
        <v/>
      </c>
      <c r="J143" s="50" t="n"/>
      <c r="K143" s="52" t="str">
        <f>IF($A143="","",$A143&amp;"|"&amp;$L143)</f>
        <v/>
      </c>
      <c r="L143" s="52" t="str">
        <f>IF($A143="","",COUNTIFS($A$3:$A143,$A143))</f>
        <v/>
      </c>
    </row>
    <row r="144" ht="15" customHeight="1" s="41">
      <c r="A144" s="50" t="n"/>
      <c r="B144" s="52" t="str">
        <f>IF($A144="","",IFERROR(INDEX(회의록!$C$3:$C$302,MATCH($A144,회의록!$A$3:$A$302,0)),"회의번호없음"))</f>
        <v/>
      </c>
      <c r="C144" s="50" t="n"/>
      <c r="D144" s="49" t="n"/>
      <c r="E144" s="53" t="n"/>
      <c r="F144" s="49" t="n"/>
      <c r="G144" s="53" t="n"/>
      <c r="H144" s="56" t="str">
        <f>IF(OR($C144="",$E144="",$F144="완료",$F144="취소"),"",$E144-TODAY())</f>
        <v/>
      </c>
      <c r="I144" s="56" t="str">
        <f>IF(OR($C144="",$E144=""),"",IF($F144="완료",IF($G144="","",MAX(0,$G144-$E144)),IF($F144="취소","",MAX(0,TODAY()-$E144))))</f>
        <v/>
      </c>
      <c r="J144" s="50" t="n"/>
      <c r="K144" s="52" t="str">
        <f>IF($A144="","",$A144&amp;"|"&amp;$L144)</f>
        <v/>
      </c>
      <c r="L144" s="52" t="str">
        <f>IF($A144="","",COUNTIFS($A$3:$A144,$A144))</f>
        <v/>
      </c>
    </row>
    <row r="145" ht="15" customHeight="1" s="41">
      <c r="A145" s="50" t="n"/>
      <c r="B145" s="52" t="str">
        <f>IF($A145="","",IFERROR(INDEX(회의록!$C$3:$C$302,MATCH($A145,회의록!$A$3:$A$302,0)),"회의번호없음"))</f>
        <v/>
      </c>
      <c r="C145" s="50" t="n"/>
      <c r="D145" s="49" t="n"/>
      <c r="E145" s="53" t="n"/>
      <c r="F145" s="49" t="n"/>
      <c r="G145" s="53" t="n"/>
      <c r="H145" s="56" t="str">
        <f>IF(OR($C145="",$E145="",$F145="완료",$F145="취소"),"",$E145-TODAY())</f>
        <v/>
      </c>
      <c r="I145" s="56" t="str">
        <f>IF(OR($C145="",$E145=""),"",IF($F145="완료",IF($G145="","",MAX(0,$G145-$E145)),IF($F145="취소","",MAX(0,TODAY()-$E145))))</f>
        <v/>
      </c>
      <c r="J145" s="50" t="n"/>
      <c r="K145" s="52" t="str">
        <f>IF($A145="","",$A145&amp;"|"&amp;$L145)</f>
        <v/>
      </c>
      <c r="L145" s="52" t="str">
        <f>IF($A145="","",COUNTIFS($A$3:$A145,$A145))</f>
        <v/>
      </c>
    </row>
    <row r="146" ht="15" customHeight="1" s="41">
      <c r="A146" s="50" t="n"/>
      <c r="B146" s="52" t="str">
        <f>IF($A146="","",IFERROR(INDEX(회의록!$C$3:$C$302,MATCH($A146,회의록!$A$3:$A$302,0)),"회의번호없음"))</f>
        <v/>
      </c>
      <c r="C146" s="50" t="n"/>
      <c r="D146" s="49" t="n"/>
      <c r="E146" s="53" t="n"/>
      <c r="F146" s="49" t="n"/>
      <c r="G146" s="53" t="n"/>
      <c r="H146" s="56" t="str">
        <f>IF(OR($C146="",$E146="",$F146="완료",$F146="취소"),"",$E146-TODAY())</f>
        <v/>
      </c>
      <c r="I146" s="56" t="str">
        <f>IF(OR($C146="",$E146=""),"",IF($F146="완료",IF($G146="","",MAX(0,$G146-$E146)),IF($F146="취소","",MAX(0,TODAY()-$E146))))</f>
        <v/>
      </c>
      <c r="J146" s="50" t="n"/>
      <c r="K146" s="52" t="str">
        <f>IF($A146="","",$A146&amp;"|"&amp;$L146)</f>
        <v/>
      </c>
      <c r="L146" s="52" t="str">
        <f>IF($A146="","",COUNTIFS($A$3:$A146,$A146))</f>
        <v/>
      </c>
    </row>
    <row r="147" ht="15" customHeight="1" s="41">
      <c r="A147" s="50" t="n"/>
      <c r="B147" s="52" t="str">
        <f>IF($A147="","",IFERROR(INDEX(회의록!$C$3:$C$302,MATCH($A147,회의록!$A$3:$A$302,0)),"회의번호없음"))</f>
        <v/>
      </c>
      <c r="C147" s="50" t="n"/>
      <c r="D147" s="49" t="n"/>
      <c r="E147" s="53" t="n"/>
      <c r="F147" s="49" t="n"/>
      <c r="G147" s="53" t="n"/>
      <c r="H147" s="56" t="str">
        <f>IF(OR($C147="",$E147="",$F147="완료",$F147="취소"),"",$E147-TODAY())</f>
        <v/>
      </c>
      <c r="I147" s="56" t="str">
        <f>IF(OR($C147="",$E147=""),"",IF($F147="완료",IF($G147="","",MAX(0,$G147-$E147)),IF($F147="취소","",MAX(0,TODAY()-$E147))))</f>
        <v/>
      </c>
      <c r="J147" s="50" t="n"/>
      <c r="K147" s="52" t="str">
        <f>IF($A147="","",$A147&amp;"|"&amp;$L147)</f>
        <v/>
      </c>
      <c r="L147" s="52" t="str">
        <f>IF($A147="","",COUNTIFS($A$3:$A147,$A147))</f>
        <v/>
      </c>
    </row>
    <row r="148" ht="15" customHeight="1" s="41">
      <c r="A148" s="50" t="n"/>
      <c r="B148" s="52" t="str">
        <f>IF($A148="","",IFERROR(INDEX(회의록!$C$3:$C$302,MATCH($A148,회의록!$A$3:$A$302,0)),"회의번호없음"))</f>
        <v/>
      </c>
      <c r="C148" s="50" t="n"/>
      <c r="D148" s="49" t="n"/>
      <c r="E148" s="53" t="n"/>
      <c r="F148" s="49" t="n"/>
      <c r="G148" s="53" t="n"/>
      <c r="H148" s="56" t="str">
        <f>IF(OR($C148="",$E148="",$F148="완료",$F148="취소"),"",$E148-TODAY())</f>
        <v/>
      </c>
      <c r="I148" s="56" t="str">
        <f>IF(OR($C148="",$E148=""),"",IF($F148="완료",IF($G148="","",MAX(0,$G148-$E148)),IF($F148="취소","",MAX(0,TODAY()-$E148))))</f>
        <v/>
      </c>
      <c r="J148" s="50" t="n"/>
      <c r="K148" s="52" t="str">
        <f>IF($A148="","",$A148&amp;"|"&amp;$L148)</f>
        <v/>
      </c>
      <c r="L148" s="52" t="str">
        <f>IF($A148="","",COUNTIFS($A$3:$A148,$A148))</f>
        <v/>
      </c>
    </row>
    <row r="149" ht="15" customHeight="1" s="41">
      <c r="A149" s="50" t="n"/>
      <c r="B149" s="52" t="str">
        <f>IF($A149="","",IFERROR(INDEX(회의록!$C$3:$C$302,MATCH($A149,회의록!$A$3:$A$302,0)),"회의번호없음"))</f>
        <v/>
      </c>
      <c r="C149" s="50" t="n"/>
      <c r="D149" s="49" t="n"/>
      <c r="E149" s="53" t="n"/>
      <c r="F149" s="49" t="n"/>
      <c r="G149" s="53" t="n"/>
      <c r="H149" s="56" t="str">
        <f>IF(OR($C149="",$E149="",$F149="완료",$F149="취소"),"",$E149-TODAY())</f>
        <v/>
      </c>
      <c r="I149" s="56" t="str">
        <f>IF(OR($C149="",$E149=""),"",IF($F149="완료",IF($G149="","",MAX(0,$G149-$E149)),IF($F149="취소","",MAX(0,TODAY()-$E149))))</f>
        <v/>
      </c>
      <c r="J149" s="50" t="n"/>
      <c r="K149" s="52" t="str">
        <f>IF($A149="","",$A149&amp;"|"&amp;$L149)</f>
        <v/>
      </c>
      <c r="L149" s="52" t="str">
        <f>IF($A149="","",COUNTIFS($A$3:$A149,$A149))</f>
        <v/>
      </c>
    </row>
    <row r="150" ht="15" customHeight="1" s="41">
      <c r="A150" s="50" t="n"/>
      <c r="B150" s="52" t="str">
        <f>IF($A150="","",IFERROR(INDEX(회의록!$C$3:$C$302,MATCH($A150,회의록!$A$3:$A$302,0)),"회의번호없음"))</f>
        <v/>
      </c>
      <c r="C150" s="50" t="n"/>
      <c r="D150" s="49" t="n"/>
      <c r="E150" s="53" t="n"/>
      <c r="F150" s="49" t="n"/>
      <c r="G150" s="53" t="n"/>
      <c r="H150" s="56" t="str">
        <f>IF(OR($C150="",$E150="",$F150="완료",$F150="취소"),"",$E150-TODAY())</f>
        <v/>
      </c>
      <c r="I150" s="56" t="str">
        <f>IF(OR($C150="",$E150=""),"",IF($F150="완료",IF($G150="","",MAX(0,$G150-$E150)),IF($F150="취소","",MAX(0,TODAY()-$E150))))</f>
        <v/>
      </c>
      <c r="J150" s="50" t="n"/>
      <c r="K150" s="52" t="str">
        <f>IF($A150="","",$A150&amp;"|"&amp;$L150)</f>
        <v/>
      </c>
      <c r="L150" s="52" t="str">
        <f>IF($A150="","",COUNTIFS($A$3:$A150,$A150))</f>
        <v/>
      </c>
    </row>
    <row r="151" ht="15" customHeight="1" s="41">
      <c r="A151" s="50" t="n"/>
      <c r="B151" s="52" t="str">
        <f>IF($A151="","",IFERROR(INDEX(회의록!$C$3:$C$302,MATCH($A151,회의록!$A$3:$A$302,0)),"회의번호없음"))</f>
        <v/>
      </c>
      <c r="C151" s="50" t="n"/>
      <c r="D151" s="49" t="n"/>
      <c r="E151" s="53" t="n"/>
      <c r="F151" s="49" t="n"/>
      <c r="G151" s="53" t="n"/>
      <c r="H151" s="56" t="str">
        <f>IF(OR($C151="",$E151="",$F151="완료",$F151="취소"),"",$E151-TODAY())</f>
        <v/>
      </c>
      <c r="I151" s="56" t="str">
        <f>IF(OR($C151="",$E151=""),"",IF($F151="완료",IF($G151="","",MAX(0,$G151-$E151)),IF($F151="취소","",MAX(0,TODAY()-$E151))))</f>
        <v/>
      </c>
      <c r="J151" s="50" t="n"/>
      <c r="K151" s="52" t="str">
        <f>IF($A151="","",$A151&amp;"|"&amp;$L151)</f>
        <v/>
      </c>
      <c r="L151" s="52" t="str">
        <f>IF($A151="","",COUNTIFS($A$3:$A151,$A151))</f>
        <v/>
      </c>
    </row>
    <row r="152" ht="15" customHeight="1" s="41">
      <c r="A152" s="50" t="n"/>
      <c r="B152" s="52" t="str">
        <f>IF($A152="","",IFERROR(INDEX(회의록!$C$3:$C$302,MATCH($A152,회의록!$A$3:$A$302,0)),"회의번호없음"))</f>
        <v/>
      </c>
      <c r="C152" s="50" t="n"/>
      <c r="D152" s="49" t="n"/>
      <c r="E152" s="53" t="n"/>
      <c r="F152" s="49" t="n"/>
      <c r="G152" s="53" t="n"/>
      <c r="H152" s="56" t="str">
        <f>IF(OR($C152="",$E152="",$F152="완료",$F152="취소"),"",$E152-TODAY())</f>
        <v/>
      </c>
      <c r="I152" s="56" t="str">
        <f>IF(OR($C152="",$E152=""),"",IF($F152="완료",IF($G152="","",MAX(0,$G152-$E152)),IF($F152="취소","",MAX(0,TODAY()-$E152))))</f>
        <v/>
      </c>
      <c r="J152" s="50" t="n"/>
      <c r="K152" s="52" t="str">
        <f>IF($A152="","",$A152&amp;"|"&amp;$L152)</f>
        <v/>
      </c>
      <c r="L152" s="52" t="str">
        <f>IF($A152="","",COUNTIFS($A$3:$A152,$A152))</f>
        <v/>
      </c>
    </row>
    <row r="153" ht="15" customHeight="1" s="41">
      <c r="A153" s="50" t="n"/>
      <c r="B153" s="52" t="str">
        <f>IF($A153="","",IFERROR(INDEX(회의록!$C$3:$C$302,MATCH($A153,회의록!$A$3:$A$302,0)),"회의번호없음"))</f>
        <v/>
      </c>
      <c r="C153" s="50" t="n"/>
      <c r="D153" s="49" t="n"/>
      <c r="E153" s="53" t="n"/>
      <c r="F153" s="49" t="n"/>
      <c r="G153" s="53" t="n"/>
      <c r="H153" s="56" t="str">
        <f>IF(OR($C153="",$E153="",$F153="완료",$F153="취소"),"",$E153-TODAY())</f>
        <v/>
      </c>
      <c r="I153" s="56" t="str">
        <f>IF(OR($C153="",$E153=""),"",IF($F153="완료",IF($G153="","",MAX(0,$G153-$E153)),IF($F153="취소","",MAX(0,TODAY()-$E153))))</f>
        <v/>
      </c>
      <c r="J153" s="50" t="n"/>
      <c r="K153" s="52" t="str">
        <f>IF($A153="","",$A153&amp;"|"&amp;$L153)</f>
        <v/>
      </c>
      <c r="L153" s="52" t="str">
        <f>IF($A153="","",COUNTIFS($A$3:$A153,$A153))</f>
        <v/>
      </c>
    </row>
    <row r="154" ht="15" customHeight="1" s="41">
      <c r="A154" s="50" t="n"/>
      <c r="B154" s="52" t="str">
        <f>IF($A154="","",IFERROR(INDEX(회의록!$C$3:$C$302,MATCH($A154,회의록!$A$3:$A$302,0)),"회의번호없음"))</f>
        <v/>
      </c>
      <c r="C154" s="50" t="n"/>
      <c r="D154" s="49" t="n"/>
      <c r="E154" s="53" t="n"/>
      <c r="F154" s="49" t="n"/>
      <c r="G154" s="53" t="n"/>
      <c r="H154" s="56" t="str">
        <f>IF(OR($C154="",$E154="",$F154="완료",$F154="취소"),"",$E154-TODAY())</f>
        <v/>
      </c>
      <c r="I154" s="56" t="str">
        <f>IF(OR($C154="",$E154=""),"",IF($F154="완료",IF($G154="","",MAX(0,$G154-$E154)),IF($F154="취소","",MAX(0,TODAY()-$E154))))</f>
        <v/>
      </c>
      <c r="J154" s="50" t="n"/>
      <c r="K154" s="52" t="str">
        <f>IF($A154="","",$A154&amp;"|"&amp;$L154)</f>
        <v/>
      </c>
      <c r="L154" s="52" t="str">
        <f>IF($A154="","",COUNTIFS($A$3:$A154,$A154))</f>
        <v/>
      </c>
    </row>
    <row r="155" ht="15" customHeight="1" s="41">
      <c r="A155" s="50" t="n"/>
      <c r="B155" s="52" t="str">
        <f>IF($A155="","",IFERROR(INDEX(회의록!$C$3:$C$302,MATCH($A155,회의록!$A$3:$A$302,0)),"회의번호없음"))</f>
        <v/>
      </c>
      <c r="C155" s="50" t="n"/>
      <c r="D155" s="49" t="n"/>
      <c r="E155" s="53" t="n"/>
      <c r="F155" s="49" t="n"/>
      <c r="G155" s="53" t="n"/>
      <c r="H155" s="56" t="str">
        <f>IF(OR($C155="",$E155="",$F155="완료",$F155="취소"),"",$E155-TODAY())</f>
        <v/>
      </c>
      <c r="I155" s="56" t="str">
        <f>IF(OR($C155="",$E155=""),"",IF($F155="완료",IF($G155="","",MAX(0,$G155-$E155)),IF($F155="취소","",MAX(0,TODAY()-$E155))))</f>
        <v/>
      </c>
      <c r="J155" s="50" t="n"/>
      <c r="K155" s="52" t="str">
        <f>IF($A155="","",$A155&amp;"|"&amp;$L155)</f>
        <v/>
      </c>
      <c r="L155" s="52" t="str">
        <f>IF($A155="","",COUNTIFS($A$3:$A155,$A155))</f>
        <v/>
      </c>
    </row>
    <row r="156" ht="15" customHeight="1" s="41">
      <c r="A156" s="50" t="n"/>
      <c r="B156" s="52" t="str">
        <f>IF($A156="","",IFERROR(INDEX(회의록!$C$3:$C$302,MATCH($A156,회의록!$A$3:$A$302,0)),"회의번호없음"))</f>
        <v/>
      </c>
      <c r="C156" s="50" t="n"/>
      <c r="D156" s="49" t="n"/>
      <c r="E156" s="53" t="n"/>
      <c r="F156" s="49" t="n"/>
      <c r="G156" s="53" t="n"/>
      <c r="H156" s="56" t="str">
        <f>IF(OR($C156="",$E156="",$F156="완료",$F156="취소"),"",$E156-TODAY())</f>
        <v/>
      </c>
      <c r="I156" s="56" t="str">
        <f>IF(OR($C156="",$E156=""),"",IF($F156="완료",IF($G156="","",MAX(0,$G156-$E156)),IF($F156="취소","",MAX(0,TODAY()-$E156))))</f>
        <v/>
      </c>
      <c r="J156" s="50" t="n"/>
      <c r="K156" s="52" t="str">
        <f>IF($A156="","",$A156&amp;"|"&amp;$L156)</f>
        <v/>
      </c>
      <c r="L156" s="52" t="str">
        <f>IF($A156="","",COUNTIFS($A$3:$A156,$A156))</f>
        <v/>
      </c>
    </row>
    <row r="157" ht="15" customHeight="1" s="41">
      <c r="A157" s="50" t="n"/>
      <c r="B157" s="52" t="str">
        <f>IF($A157="","",IFERROR(INDEX(회의록!$C$3:$C$302,MATCH($A157,회의록!$A$3:$A$302,0)),"회의번호없음"))</f>
        <v/>
      </c>
      <c r="C157" s="50" t="n"/>
      <c r="D157" s="49" t="n"/>
      <c r="E157" s="53" t="n"/>
      <c r="F157" s="49" t="n"/>
      <c r="G157" s="53" t="n"/>
      <c r="H157" s="56" t="str">
        <f>IF(OR($C157="",$E157="",$F157="완료",$F157="취소"),"",$E157-TODAY())</f>
        <v/>
      </c>
      <c r="I157" s="56" t="str">
        <f>IF(OR($C157="",$E157=""),"",IF($F157="완료",IF($G157="","",MAX(0,$G157-$E157)),IF($F157="취소","",MAX(0,TODAY()-$E157))))</f>
        <v/>
      </c>
      <c r="J157" s="50" t="n"/>
      <c r="K157" s="52" t="str">
        <f>IF($A157="","",$A157&amp;"|"&amp;$L157)</f>
        <v/>
      </c>
      <c r="L157" s="52" t="str">
        <f>IF($A157="","",COUNTIFS($A$3:$A157,$A157))</f>
        <v/>
      </c>
    </row>
    <row r="158" ht="15" customHeight="1" s="41">
      <c r="A158" s="50" t="n"/>
      <c r="B158" s="52" t="str">
        <f>IF($A158="","",IFERROR(INDEX(회의록!$C$3:$C$302,MATCH($A158,회의록!$A$3:$A$302,0)),"회의번호없음"))</f>
        <v/>
      </c>
      <c r="C158" s="50" t="n"/>
      <c r="D158" s="49" t="n"/>
      <c r="E158" s="53" t="n"/>
      <c r="F158" s="49" t="n"/>
      <c r="G158" s="53" t="n"/>
      <c r="H158" s="56" t="str">
        <f>IF(OR($C158="",$E158="",$F158="완료",$F158="취소"),"",$E158-TODAY())</f>
        <v/>
      </c>
      <c r="I158" s="56" t="str">
        <f>IF(OR($C158="",$E158=""),"",IF($F158="완료",IF($G158="","",MAX(0,$G158-$E158)),IF($F158="취소","",MAX(0,TODAY()-$E158))))</f>
        <v/>
      </c>
      <c r="J158" s="50" t="n"/>
      <c r="K158" s="52" t="str">
        <f>IF($A158="","",$A158&amp;"|"&amp;$L158)</f>
        <v/>
      </c>
      <c r="L158" s="52" t="str">
        <f>IF($A158="","",COUNTIFS($A$3:$A158,$A158))</f>
        <v/>
      </c>
    </row>
    <row r="159" ht="15" customHeight="1" s="41">
      <c r="A159" s="50" t="n"/>
      <c r="B159" s="52" t="str">
        <f>IF($A159="","",IFERROR(INDEX(회의록!$C$3:$C$302,MATCH($A159,회의록!$A$3:$A$302,0)),"회의번호없음"))</f>
        <v/>
      </c>
      <c r="C159" s="50" t="n"/>
      <c r="D159" s="49" t="n"/>
      <c r="E159" s="53" t="n"/>
      <c r="F159" s="49" t="n"/>
      <c r="G159" s="53" t="n"/>
      <c r="H159" s="56" t="str">
        <f>IF(OR($C159="",$E159="",$F159="완료",$F159="취소"),"",$E159-TODAY())</f>
        <v/>
      </c>
      <c r="I159" s="56" t="str">
        <f>IF(OR($C159="",$E159=""),"",IF($F159="완료",IF($G159="","",MAX(0,$G159-$E159)),IF($F159="취소","",MAX(0,TODAY()-$E159))))</f>
        <v/>
      </c>
      <c r="J159" s="50" t="n"/>
      <c r="K159" s="52" t="str">
        <f>IF($A159="","",$A159&amp;"|"&amp;$L159)</f>
        <v/>
      </c>
      <c r="L159" s="52" t="str">
        <f>IF($A159="","",COUNTIFS($A$3:$A159,$A159))</f>
        <v/>
      </c>
    </row>
    <row r="160" ht="15" customHeight="1" s="41">
      <c r="A160" s="50" t="n"/>
      <c r="B160" s="52" t="str">
        <f>IF($A160="","",IFERROR(INDEX(회의록!$C$3:$C$302,MATCH($A160,회의록!$A$3:$A$302,0)),"회의번호없음"))</f>
        <v/>
      </c>
      <c r="C160" s="50" t="n"/>
      <c r="D160" s="49" t="n"/>
      <c r="E160" s="53" t="n"/>
      <c r="F160" s="49" t="n"/>
      <c r="G160" s="53" t="n"/>
      <c r="H160" s="56" t="str">
        <f>IF(OR($C160="",$E160="",$F160="완료",$F160="취소"),"",$E160-TODAY())</f>
        <v/>
      </c>
      <c r="I160" s="56" t="str">
        <f>IF(OR($C160="",$E160=""),"",IF($F160="완료",IF($G160="","",MAX(0,$G160-$E160)),IF($F160="취소","",MAX(0,TODAY()-$E160))))</f>
        <v/>
      </c>
      <c r="J160" s="50" t="n"/>
      <c r="K160" s="52" t="str">
        <f>IF($A160="","",$A160&amp;"|"&amp;$L160)</f>
        <v/>
      </c>
      <c r="L160" s="52" t="str">
        <f>IF($A160="","",COUNTIFS($A$3:$A160,$A160))</f>
        <v/>
      </c>
    </row>
    <row r="161" ht="15" customHeight="1" s="41">
      <c r="A161" s="50" t="n"/>
      <c r="B161" s="52" t="str">
        <f>IF($A161="","",IFERROR(INDEX(회의록!$C$3:$C$302,MATCH($A161,회의록!$A$3:$A$302,0)),"회의번호없음"))</f>
        <v/>
      </c>
      <c r="C161" s="50" t="n"/>
      <c r="D161" s="49" t="n"/>
      <c r="E161" s="53" t="n"/>
      <c r="F161" s="49" t="n"/>
      <c r="G161" s="53" t="n"/>
      <c r="H161" s="56" t="str">
        <f>IF(OR($C161="",$E161="",$F161="완료",$F161="취소"),"",$E161-TODAY())</f>
        <v/>
      </c>
      <c r="I161" s="56" t="str">
        <f>IF(OR($C161="",$E161=""),"",IF($F161="완료",IF($G161="","",MAX(0,$G161-$E161)),IF($F161="취소","",MAX(0,TODAY()-$E161))))</f>
        <v/>
      </c>
      <c r="J161" s="50" t="n"/>
      <c r="K161" s="52" t="str">
        <f>IF($A161="","",$A161&amp;"|"&amp;$L161)</f>
        <v/>
      </c>
      <c r="L161" s="52" t="str">
        <f>IF($A161="","",COUNTIFS($A$3:$A161,$A161))</f>
        <v/>
      </c>
    </row>
    <row r="162" ht="15" customHeight="1" s="41">
      <c r="A162" s="50" t="n"/>
      <c r="B162" s="52" t="str">
        <f>IF($A162="","",IFERROR(INDEX(회의록!$C$3:$C$302,MATCH($A162,회의록!$A$3:$A$302,0)),"회의번호없음"))</f>
        <v/>
      </c>
      <c r="C162" s="50" t="n"/>
      <c r="D162" s="49" t="n"/>
      <c r="E162" s="53" t="n"/>
      <c r="F162" s="49" t="n"/>
      <c r="G162" s="53" t="n"/>
      <c r="H162" s="56" t="str">
        <f>IF(OR($C162="",$E162="",$F162="완료",$F162="취소"),"",$E162-TODAY())</f>
        <v/>
      </c>
      <c r="I162" s="56" t="str">
        <f>IF(OR($C162="",$E162=""),"",IF($F162="완료",IF($G162="","",MAX(0,$G162-$E162)),IF($F162="취소","",MAX(0,TODAY()-$E162))))</f>
        <v/>
      </c>
      <c r="J162" s="50" t="n"/>
      <c r="K162" s="52" t="str">
        <f>IF($A162="","",$A162&amp;"|"&amp;$L162)</f>
        <v/>
      </c>
      <c r="L162" s="52" t="str">
        <f>IF($A162="","",COUNTIFS($A$3:$A162,$A162))</f>
        <v/>
      </c>
    </row>
    <row r="163" ht="15" customHeight="1" s="41">
      <c r="A163" s="50" t="n"/>
      <c r="B163" s="52" t="str">
        <f>IF($A163="","",IFERROR(INDEX(회의록!$C$3:$C$302,MATCH($A163,회의록!$A$3:$A$302,0)),"회의번호없음"))</f>
        <v/>
      </c>
      <c r="C163" s="50" t="n"/>
      <c r="D163" s="49" t="n"/>
      <c r="E163" s="53" t="n"/>
      <c r="F163" s="49" t="n"/>
      <c r="G163" s="53" t="n"/>
      <c r="H163" s="56" t="str">
        <f>IF(OR($C163="",$E163="",$F163="완료",$F163="취소"),"",$E163-TODAY())</f>
        <v/>
      </c>
      <c r="I163" s="56" t="str">
        <f>IF(OR($C163="",$E163=""),"",IF($F163="완료",IF($G163="","",MAX(0,$G163-$E163)),IF($F163="취소","",MAX(0,TODAY()-$E163))))</f>
        <v/>
      </c>
      <c r="J163" s="50" t="n"/>
      <c r="K163" s="52" t="str">
        <f>IF($A163="","",$A163&amp;"|"&amp;$L163)</f>
        <v/>
      </c>
      <c r="L163" s="52" t="str">
        <f>IF($A163="","",COUNTIFS($A$3:$A163,$A163))</f>
        <v/>
      </c>
    </row>
    <row r="164" ht="15" customHeight="1" s="41">
      <c r="A164" s="50" t="n"/>
      <c r="B164" s="52" t="str">
        <f>IF($A164="","",IFERROR(INDEX(회의록!$C$3:$C$302,MATCH($A164,회의록!$A$3:$A$302,0)),"회의번호없음"))</f>
        <v/>
      </c>
      <c r="C164" s="50" t="n"/>
      <c r="D164" s="49" t="n"/>
      <c r="E164" s="53" t="n"/>
      <c r="F164" s="49" t="n"/>
      <c r="G164" s="53" t="n"/>
      <c r="H164" s="56" t="str">
        <f>IF(OR($C164="",$E164="",$F164="완료",$F164="취소"),"",$E164-TODAY())</f>
        <v/>
      </c>
      <c r="I164" s="56" t="str">
        <f>IF(OR($C164="",$E164=""),"",IF($F164="완료",IF($G164="","",MAX(0,$G164-$E164)),IF($F164="취소","",MAX(0,TODAY()-$E164))))</f>
        <v/>
      </c>
      <c r="J164" s="50" t="n"/>
      <c r="K164" s="52" t="str">
        <f>IF($A164="","",$A164&amp;"|"&amp;$L164)</f>
        <v/>
      </c>
      <c r="L164" s="52" t="str">
        <f>IF($A164="","",COUNTIFS($A$3:$A164,$A164))</f>
        <v/>
      </c>
    </row>
    <row r="165" ht="15" customHeight="1" s="41">
      <c r="A165" s="50" t="n"/>
      <c r="B165" s="52" t="str">
        <f>IF($A165="","",IFERROR(INDEX(회의록!$C$3:$C$302,MATCH($A165,회의록!$A$3:$A$302,0)),"회의번호없음"))</f>
        <v/>
      </c>
      <c r="C165" s="50" t="n"/>
      <c r="D165" s="49" t="n"/>
      <c r="E165" s="53" t="n"/>
      <c r="F165" s="49" t="n"/>
      <c r="G165" s="53" t="n"/>
      <c r="H165" s="56" t="str">
        <f>IF(OR($C165="",$E165="",$F165="완료",$F165="취소"),"",$E165-TODAY())</f>
        <v/>
      </c>
      <c r="I165" s="56" t="str">
        <f>IF(OR($C165="",$E165=""),"",IF($F165="완료",IF($G165="","",MAX(0,$G165-$E165)),IF($F165="취소","",MAX(0,TODAY()-$E165))))</f>
        <v/>
      </c>
      <c r="J165" s="50" t="n"/>
      <c r="K165" s="52" t="str">
        <f>IF($A165="","",$A165&amp;"|"&amp;$L165)</f>
        <v/>
      </c>
      <c r="L165" s="52" t="str">
        <f>IF($A165="","",COUNTIFS($A$3:$A165,$A165))</f>
        <v/>
      </c>
    </row>
    <row r="166" ht="15" customHeight="1" s="41">
      <c r="A166" s="50" t="n"/>
      <c r="B166" s="52" t="str">
        <f>IF($A166="","",IFERROR(INDEX(회의록!$C$3:$C$302,MATCH($A166,회의록!$A$3:$A$302,0)),"회의번호없음"))</f>
        <v/>
      </c>
      <c r="C166" s="50" t="n"/>
      <c r="D166" s="49" t="n"/>
      <c r="E166" s="53" t="n"/>
      <c r="F166" s="49" t="n"/>
      <c r="G166" s="53" t="n"/>
      <c r="H166" s="56" t="str">
        <f>IF(OR($C166="",$E166="",$F166="완료",$F166="취소"),"",$E166-TODAY())</f>
        <v/>
      </c>
      <c r="I166" s="56" t="str">
        <f>IF(OR($C166="",$E166=""),"",IF($F166="완료",IF($G166="","",MAX(0,$G166-$E166)),IF($F166="취소","",MAX(0,TODAY()-$E166))))</f>
        <v/>
      </c>
      <c r="J166" s="50" t="n"/>
      <c r="K166" s="52" t="str">
        <f>IF($A166="","",$A166&amp;"|"&amp;$L166)</f>
        <v/>
      </c>
      <c r="L166" s="52" t="str">
        <f>IF($A166="","",COUNTIFS($A$3:$A166,$A166))</f>
        <v/>
      </c>
    </row>
    <row r="167" ht="15" customHeight="1" s="41">
      <c r="A167" s="50" t="n"/>
      <c r="B167" s="52" t="str">
        <f>IF($A167="","",IFERROR(INDEX(회의록!$C$3:$C$302,MATCH($A167,회의록!$A$3:$A$302,0)),"회의번호없음"))</f>
        <v/>
      </c>
      <c r="C167" s="50" t="n"/>
      <c r="D167" s="49" t="n"/>
      <c r="E167" s="53" t="n"/>
      <c r="F167" s="49" t="n"/>
      <c r="G167" s="53" t="n"/>
      <c r="H167" s="56" t="str">
        <f>IF(OR($C167="",$E167="",$F167="완료",$F167="취소"),"",$E167-TODAY())</f>
        <v/>
      </c>
      <c r="I167" s="56" t="str">
        <f>IF(OR($C167="",$E167=""),"",IF($F167="완료",IF($G167="","",MAX(0,$G167-$E167)),IF($F167="취소","",MAX(0,TODAY()-$E167))))</f>
        <v/>
      </c>
      <c r="J167" s="50" t="n"/>
      <c r="K167" s="52" t="str">
        <f>IF($A167="","",$A167&amp;"|"&amp;$L167)</f>
        <v/>
      </c>
      <c r="L167" s="52" t="str">
        <f>IF($A167="","",COUNTIFS($A$3:$A167,$A167))</f>
        <v/>
      </c>
    </row>
    <row r="168" ht="15" customHeight="1" s="41">
      <c r="A168" s="50" t="n"/>
      <c r="B168" s="52" t="str">
        <f>IF($A168="","",IFERROR(INDEX(회의록!$C$3:$C$302,MATCH($A168,회의록!$A$3:$A$302,0)),"회의번호없음"))</f>
        <v/>
      </c>
      <c r="C168" s="50" t="n"/>
      <c r="D168" s="49" t="n"/>
      <c r="E168" s="53" t="n"/>
      <c r="F168" s="49" t="n"/>
      <c r="G168" s="53" t="n"/>
      <c r="H168" s="56" t="str">
        <f>IF(OR($C168="",$E168="",$F168="완료",$F168="취소"),"",$E168-TODAY())</f>
        <v/>
      </c>
      <c r="I168" s="56" t="str">
        <f>IF(OR($C168="",$E168=""),"",IF($F168="완료",IF($G168="","",MAX(0,$G168-$E168)),IF($F168="취소","",MAX(0,TODAY()-$E168))))</f>
        <v/>
      </c>
      <c r="J168" s="50" t="n"/>
      <c r="K168" s="52" t="str">
        <f>IF($A168="","",$A168&amp;"|"&amp;$L168)</f>
        <v/>
      </c>
      <c r="L168" s="52" t="str">
        <f>IF($A168="","",COUNTIFS($A$3:$A168,$A168))</f>
        <v/>
      </c>
    </row>
    <row r="169" ht="15" customHeight="1" s="41">
      <c r="A169" s="50" t="n"/>
      <c r="B169" s="52" t="str">
        <f>IF($A169="","",IFERROR(INDEX(회의록!$C$3:$C$302,MATCH($A169,회의록!$A$3:$A$302,0)),"회의번호없음"))</f>
        <v/>
      </c>
      <c r="C169" s="50" t="n"/>
      <c r="D169" s="49" t="n"/>
      <c r="E169" s="53" t="n"/>
      <c r="F169" s="49" t="n"/>
      <c r="G169" s="53" t="n"/>
      <c r="H169" s="56" t="str">
        <f>IF(OR($C169="",$E169="",$F169="완료",$F169="취소"),"",$E169-TODAY())</f>
        <v/>
      </c>
      <c r="I169" s="56" t="str">
        <f>IF(OR($C169="",$E169=""),"",IF($F169="완료",IF($G169="","",MAX(0,$G169-$E169)),IF($F169="취소","",MAX(0,TODAY()-$E169))))</f>
        <v/>
      </c>
      <c r="J169" s="50" t="n"/>
      <c r="K169" s="52" t="str">
        <f>IF($A169="","",$A169&amp;"|"&amp;$L169)</f>
        <v/>
      </c>
      <c r="L169" s="52" t="str">
        <f>IF($A169="","",COUNTIFS($A$3:$A169,$A169))</f>
        <v/>
      </c>
    </row>
    <row r="170" ht="15" customHeight="1" s="41">
      <c r="A170" s="50" t="n"/>
      <c r="B170" s="52" t="str">
        <f>IF($A170="","",IFERROR(INDEX(회의록!$C$3:$C$302,MATCH($A170,회의록!$A$3:$A$302,0)),"회의번호없음"))</f>
        <v/>
      </c>
      <c r="C170" s="50" t="n"/>
      <c r="D170" s="49" t="n"/>
      <c r="E170" s="53" t="n"/>
      <c r="F170" s="49" t="n"/>
      <c r="G170" s="53" t="n"/>
      <c r="H170" s="56" t="str">
        <f>IF(OR($C170="",$E170="",$F170="완료",$F170="취소"),"",$E170-TODAY())</f>
        <v/>
      </c>
      <c r="I170" s="56" t="str">
        <f>IF(OR($C170="",$E170=""),"",IF($F170="완료",IF($G170="","",MAX(0,$G170-$E170)),IF($F170="취소","",MAX(0,TODAY()-$E170))))</f>
        <v/>
      </c>
      <c r="J170" s="50" t="n"/>
      <c r="K170" s="52" t="str">
        <f>IF($A170="","",$A170&amp;"|"&amp;$L170)</f>
        <v/>
      </c>
      <c r="L170" s="52" t="str">
        <f>IF($A170="","",COUNTIFS($A$3:$A170,$A170))</f>
        <v/>
      </c>
    </row>
    <row r="171" ht="15" customHeight="1" s="41">
      <c r="A171" s="50" t="n"/>
      <c r="B171" s="52" t="str">
        <f>IF($A171="","",IFERROR(INDEX(회의록!$C$3:$C$302,MATCH($A171,회의록!$A$3:$A$302,0)),"회의번호없음"))</f>
        <v/>
      </c>
      <c r="C171" s="50" t="n"/>
      <c r="D171" s="49" t="n"/>
      <c r="E171" s="53" t="n"/>
      <c r="F171" s="49" t="n"/>
      <c r="G171" s="53" t="n"/>
      <c r="H171" s="56" t="str">
        <f>IF(OR($C171="",$E171="",$F171="완료",$F171="취소"),"",$E171-TODAY())</f>
        <v/>
      </c>
      <c r="I171" s="56" t="str">
        <f>IF(OR($C171="",$E171=""),"",IF($F171="완료",IF($G171="","",MAX(0,$G171-$E171)),IF($F171="취소","",MAX(0,TODAY()-$E171))))</f>
        <v/>
      </c>
      <c r="J171" s="50" t="n"/>
      <c r="K171" s="52" t="str">
        <f>IF($A171="","",$A171&amp;"|"&amp;$L171)</f>
        <v/>
      </c>
      <c r="L171" s="52" t="str">
        <f>IF($A171="","",COUNTIFS($A$3:$A171,$A171))</f>
        <v/>
      </c>
    </row>
    <row r="172" ht="15" customHeight="1" s="41">
      <c r="A172" s="50" t="n"/>
      <c r="B172" s="52" t="str">
        <f>IF($A172="","",IFERROR(INDEX(회의록!$C$3:$C$302,MATCH($A172,회의록!$A$3:$A$302,0)),"회의번호없음"))</f>
        <v/>
      </c>
      <c r="C172" s="50" t="n"/>
      <c r="D172" s="49" t="n"/>
      <c r="E172" s="53" t="n"/>
      <c r="F172" s="49" t="n"/>
      <c r="G172" s="53" t="n"/>
      <c r="H172" s="56" t="str">
        <f>IF(OR($C172="",$E172="",$F172="완료",$F172="취소"),"",$E172-TODAY())</f>
        <v/>
      </c>
      <c r="I172" s="56" t="str">
        <f>IF(OR($C172="",$E172=""),"",IF($F172="완료",IF($G172="","",MAX(0,$G172-$E172)),IF($F172="취소","",MAX(0,TODAY()-$E172))))</f>
        <v/>
      </c>
      <c r="J172" s="50" t="n"/>
      <c r="K172" s="52" t="str">
        <f>IF($A172="","",$A172&amp;"|"&amp;$L172)</f>
        <v/>
      </c>
      <c r="L172" s="52" t="str">
        <f>IF($A172="","",COUNTIFS($A$3:$A172,$A172))</f>
        <v/>
      </c>
    </row>
    <row r="173" ht="15" customHeight="1" s="41">
      <c r="A173" s="50" t="n"/>
      <c r="B173" s="52" t="str">
        <f>IF($A173="","",IFERROR(INDEX(회의록!$C$3:$C$302,MATCH($A173,회의록!$A$3:$A$302,0)),"회의번호없음"))</f>
        <v/>
      </c>
      <c r="C173" s="50" t="n"/>
      <c r="D173" s="49" t="n"/>
      <c r="E173" s="53" t="n"/>
      <c r="F173" s="49" t="n"/>
      <c r="G173" s="53" t="n"/>
      <c r="H173" s="56" t="str">
        <f>IF(OR($C173="",$E173="",$F173="완료",$F173="취소"),"",$E173-TODAY())</f>
        <v/>
      </c>
      <c r="I173" s="56" t="str">
        <f>IF(OR($C173="",$E173=""),"",IF($F173="완료",IF($G173="","",MAX(0,$G173-$E173)),IF($F173="취소","",MAX(0,TODAY()-$E173))))</f>
        <v/>
      </c>
      <c r="J173" s="50" t="n"/>
      <c r="K173" s="52" t="str">
        <f>IF($A173="","",$A173&amp;"|"&amp;$L173)</f>
        <v/>
      </c>
      <c r="L173" s="52" t="str">
        <f>IF($A173="","",COUNTIFS($A$3:$A173,$A173))</f>
        <v/>
      </c>
    </row>
    <row r="174" ht="15" customHeight="1" s="41">
      <c r="A174" s="50" t="n"/>
      <c r="B174" s="52" t="str">
        <f>IF($A174="","",IFERROR(INDEX(회의록!$C$3:$C$302,MATCH($A174,회의록!$A$3:$A$302,0)),"회의번호없음"))</f>
        <v/>
      </c>
      <c r="C174" s="50" t="n"/>
      <c r="D174" s="49" t="n"/>
      <c r="E174" s="53" t="n"/>
      <c r="F174" s="49" t="n"/>
      <c r="G174" s="53" t="n"/>
      <c r="H174" s="56" t="str">
        <f>IF(OR($C174="",$E174="",$F174="완료",$F174="취소"),"",$E174-TODAY())</f>
        <v/>
      </c>
      <c r="I174" s="56" t="str">
        <f>IF(OR($C174="",$E174=""),"",IF($F174="완료",IF($G174="","",MAX(0,$G174-$E174)),IF($F174="취소","",MAX(0,TODAY()-$E174))))</f>
        <v/>
      </c>
      <c r="J174" s="50" t="n"/>
      <c r="K174" s="52" t="str">
        <f>IF($A174="","",$A174&amp;"|"&amp;$L174)</f>
        <v/>
      </c>
      <c r="L174" s="52" t="str">
        <f>IF($A174="","",COUNTIFS($A$3:$A174,$A174))</f>
        <v/>
      </c>
    </row>
    <row r="175" ht="15" customHeight="1" s="41">
      <c r="A175" s="50" t="n"/>
      <c r="B175" s="52" t="str">
        <f>IF($A175="","",IFERROR(INDEX(회의록!$C$3:$C$302,MATCH($A175,회의록!$A$3:$A$302,0)),"회의번호없음"))</f>
        <v/>
      </c>
      <c r="C175" s="50" t="n"/>
      <c r="D175" s="49" t="n"/>
      <c r="E175" s="53" t="n"/>
      <c r="F175" s="49" t="n"/>
      <c r="G175" s="53" t="n"/>
      <c r="H175" s="56" t="str">
        <f>IF(OR($C175="",$E175="",$F175="완료",$F175="취소"),"",$E175-TODAY())</f>
        <v/>
      </c>
      <c r="I175" s="56" t="str">
        <f>IF(OR($C175="",$E175=""),"",IF($F175="완료",IF($G175="","",MAX(0,$G175-$E175)),IF($F175="취소","",MAX(0,TODAY()-$E175))))</f>
        <v/>
      </c>
      <c r="J175" s="50" t="n"/>
      <c r="K175" s="52" t="str">
        <f>IF($A175="","",$A175&amp;"|"&amp;$L175)</f>
        <v/>
      </c>
      <c r="L175" s="52" t="str">
        <f>IF($A175="","",COUNTIFS($A$3:$A175,$A175))</f>
        <v/>
      </c>
    </row>
    <row r="176" ht="15" customHeight="1" s="41">
      <c r="A176" s="50" t="n"/>
      <c r="B176" s="52" t="str">
        <f>IF($A176="","",IFERROR(INDEX(회의록!$C$3:$C$302,MATCH($A176,회의록!$A$3:$A$302,0)),"회의번호없음"))</f>
        <v/>
      </c>
      <c r="C176" s="50" t="n"/>
      <c r="D176" s="49" t="n"/>
      <c r="E176" s="53" t="n"/>
      <c r="F176" s="49" t="n"/>
      <c r="G176" s="53" t="n"/>
      <c r="H176" s="56" t="str">
        <f>IF(OR($C176="",$E176="",$F176="완료",$F176="취소"),"",$E176-TODAY())</f>
        <v/>
      </c>
      <c r="I176" s="56" t="str">
        <f>IF(OR($C176="",$E176=""),"",IF($F176="완료",IF($G176="","",MAX(0,$G176-$E176)),IF($F176="취소","",MAX(0,TODAY()-$E176))))</f>
        <v/>
      </c>
      <c r="J176" s="50" t="n"/>
      <c r="K176" s="52" t="str">
        <f>IF($A176="","",$A176&amp;"|"&amp;$L176)</f>
        <v/>
      </c>
      <c r="L176" s="52" t="str">
        <f>IF($A176="","",COUNTIFS($A$3:$A176,$A176))</f>
        <v/>
      </c>
    </row>
    <row r="177" ht="15" customHeight="1" s="41">
      <c r="A177" s="50" t="n"/>
      <c r="B177" s="52" t="str">
        <f>IF($A177="","",IFERROR(INDEX(회의록!$C$3:$C$302,MATCH($A177,회의록!$A$3:$A$302,0)),"회의번호없음"))</f>
        <v/>
      </c>
      <c r="C177" s="50" t="n"/>
      <c r="D177" s="49" t="n"/>
      <c r="E177" s="53" t="n"/>
      <c r="F177" s="49" t="n"/>
      <c r="G177" s="53" t="n"/>
      <c r="H177" s="56" t="str">
        <f>IF(OR($C177="",$E177="",$F177="완료",$F177="취소"),"",$E177-TODAY())</f>
        <v/>
      </c>
      <c r="I177" s="56" t="str">
        <f>IF(OR($C177="",$E177=""),"",IF($F177="완료",IF($G177="","",MAX(0,$G177-$E177)),IF($F177="취소","",MAX(0,TODAY()-$E177))))</f>
        <v/>
      </c>
      <c r="J177" s="50" t="n"/>
      <c r="K177" s="52" t="str">
        <f>IF($A177="","",$A177&amp;"|"&amp;$L177)</f>
        <v/>
      </c>
      <c r="L177" s="52" t="str">
        <f>IF($A177="","",COUNTIFS($A$3:$A177,$A177))</f>
        <v/>
      </c>
    </row>
    <row r="178" ht="15" customHeight="1" s="41">
      <c r="A178" s="50" t="n"/>
      <c r="B178" s="52" t="str">
        <f>IF($A178="","",IFERROR(INDEX(회의록!$C$3:$C$302,MATCH($A178,회의록!$A$3:$A$302,0)),"회의번호없음"))</f>
        <v/>
      </c>
      <c r="C178" s="50" t="n"/>
      <c r="D178" s="49" t="n"/>
      <c r="E178" s="53" t="n"/>
      <c r="F178" s="49" t="n"/>
      <c r="G178" s="53" t="n"/>
      <c r="H178" s="56" t="str">
        <f>IF(OR($C178="",$E178="",$F178="완료",$F178="취소"),"",$E178-TODAY())</f>
        <v/>
      </c>
      <c r="I178" s="56" t="str">
        <f>IF(OR($C178="",$E178=""),"",IF($F178="완료",IF($G178="","",MAX(0,$G178-$E178)),IF($F178="취소","",MAX(0,TODAY()-$E178))))</f>
        <v/>
      </c>
      <c r="J178" s="50" t="n"/>
      <c r="K178" s="52" t="str">
        <f>IF($A178="","",$A178&amp;"|"&amp;$L178)</f>
        <v/>
      </c>
      <c r="L178" s="52" t="str">
        <f>IF($A178="","",COUNTIFS($A$3:$A178,$A178))</f>
        <v/>
      </c>
    </row>
    <row r="179" ht="15" customHeight="1" s="41">
      <c r="A179" s="50" t="n"/>
      <c r="B179" s="52" t="str">
        <f>IF($A179="","",IFERROR(INDEX(회의록!$C$3:$C$302,MATCH($A179,회의록!$A$3:$A$302,0)),"회의번호없음"))</f>
        <v/>
      </c>
      <c r="C179" s="50" t="n"/>
      <c r="D179" s="49" t="n"/>
      <c r="E179" s="53" t="n"/>
      <c r="F179" s="49" t="n"/>
      <c r="G179" s="53" t="n"/>
      <c r="H179" s="56" t="str">
        <f>IF(OR($C179="",$E179="",$F179="완료",$F179="취소"),"",$E179-TODAY())</f>
        <v/>
      </c>
      <c r="I179" s="56" t="str">
        <f>IF(OR($C179="",$E179=""),"",IF($F179="완료",IF($G179="","",MAX(0,$G179-$E179)),IF($F179="취소","",MAX(0,TODAY()-$E179))))</f>
        <v/>
      </c>
      <c r="J179" s="50" t="n"/>
      <c r="K179" s="52" t="str">
        <f>IF($A179="","",$A179&amp;"|"&amp;$L179)</f>
        <v/>
      </c>
      <c r="L179" s="52" t="str">
        <f>IF($A179="","",COUNTIFS($A$3:$A179,$A179))</f>
        <v/>
      </c>
    </row>
    <row r="180" ht="15" customHeight="1" s="41">
      <c r="A180" s="50" t="n"/>
      <c r="B180" s="52" t="str">
        <f>IF($A180="","",IFERROR(INDEX(회의록!$C$3:$C$302,MATCH($A180,회의록!$A$3:$A$302,0)),"회의번호없음"))</f>
        <v/>
      </c>
      <c r="C180" s="50" t="n"/>
      <c r="D180" s="49" t="n"/>
      <c r="E180" s="53" t="n"/>
      <c r="F180" s="49" t="n"/>
      <c r="G180" s="53" t="n"/>
      <c r="H180" s="56" t="str">
        <f>IF(OR($C180="",$E180="",$F180="완료",$F180="취소"),"",$E180-TODAY())</f>
        <v/>
      </c>
      <c r="I180" s="56" t="str">
        <f>IF(OR($C180="",$E180=""),"",IF($F180="완료",IF($G180="","",MAX(0,$G180-$E180)),IF($F180="취소","",MAX(0,TODAY()-$E180))))</f>
        <v/>
      </c>
      <c r="J180" s="50" t="n"/>
      <c r="K180" s="52" t="str">
        <f>IF($A180="","",$A180&amp;"|"&amp;$L180)</f>
        <v/>
      </c>
      <c r="L180" s="52" t="str">
        <f>IF($A180="","",COUNTIFS($A$3:$A180,$A180))</f>
        <v/>
      </c>
    </row>
    <row r="181" ht="15" customHeight="1" s="41">
      <c r="A181" s="50" t="n"/>
      <c r="B181" s="52" t="str">
        <f>IF($A181="","",IFERROR(INDEX(회의록!$C$3:$C$302,MATCH($A181,회의록!$A$3:$A$302,0)),"회의번호없음"))</f>
        <v/>
      </c>
      <c r="C181" s="50" t="n"/>
      <c r="D181" s="49" t="n"/>
      <c r="E181" s="53" t="n"/>
      <c r="F181" s="49" t="n"/>
      <c r="G181" s="53" t="n"/>
      <c r="H181" s="56" t="str">
        <f>IF(OR($C181="",$E181="",$F181="완료",$F181="취소"),"",$E181-TODAY())</f>
        <v/>
      </c>
      <c r="I181" s="56" t="str">
        <f>IF(OR($C181="",$E181=""),"",IF($F181="완료",IF($G181="","",MAX(0,$G181-$E181)),IF($F181="취소","",MAX(0,TODAY()-$E181))))</f>
        <v/>
      </c>
      <c r="J181" s="50" t="n"/>
      <c r="K181" s="52" t="str">
        <f>IF($A181="","",$A181&amp;"|"&amp;$L181)</f>
        <v/>
      </c>
      <c r="L181" s="52" t="str">
        <f>IF($A181="","",COUNTIFS($A$3:$A181,$A181))</f>
        <v/>
      </c>
    </row>
    <row r="182" ht="15" customHeight="1" s="41">
      <c r="A182" s="50" t="n"/>
      <c r="B182" s="52" t="str">
        <f>IF($A182="","",IFERROR(INDEX(회의록!$C$3:$C$302,MATCH($A182,회의록!$A$3:$A$302,0)),"회의번호없음"))</f>
        <v/>
      </c>
      <c r="C182" s="50" t="n"/>
      <c r="D182" s="49" t="n"/>
      <c r="E182" s="53" t="n"/>
      <c r="F182" s="49" t="n"/>
      <c r="G182" s="53" t="n"/>
      <c r="H182" s="56" t="str">
        <f>IF(OR($C182="",$E182="",$F182="완료",$F182="취소"),"",$E182-TODAY())</f>
        <v/>
      </c>
      <c r="I182" s="56" t="str">
        <f>IF(OR($C182="",$E182=""),"",IF($F182="완료",IF($G182="","",MAX(0,$G182-$E182)),IF($F182="취소","",MAX(0,TODAY()-$E182))))</f>
        <v/>
      </c>
      <c r="J182" s="50" t="n"/>
      <c r="K182" s="52" t="str">
        <f>IF($A182="","",$A182&amp;"|"&amp;$L182)</f>
        <v/>
      </c>
      <c r="L182" s="52" t="str">
        <f>IF($A182="","",COUNTIFS($A$3:$A182,$A182))</f>
        <v/>
      </c>
    </row>
    <row r="183" ht="15" customHeight="1" s="41">
      <c r="A183" s="50" t="n"/>
      <c r="B183" s="52" t="str">
        <f>IF($A183="","",IFERROR(INDEX(회의록!$C$3:$C$302,MATCH($A183,회의록!$A$3:$A$302,0)),"회의번호없음"))</f>
        <v/>
      </c>
      <c r="C183" s="50" t="n"/>
      <c r="D183" s="49" t="n"/>
      <c r="E183" s="53" t="n"/>
      <c r="F183" s="49" t="n"/>
      <c r="G183" s="53" t="n"/>
      <c r="H183" s="56" t="str">
        <f>IF(OR($C183="",$E183="",$F183="완료",$F183="취소"),"",$E183-TODAY())</f>
        <v/>
      </c>
      <c r="I183" s="56" t="str">
        <f>IF(OR($C183="",$E183=""),"",IF($F183="완료",IF($G183="","",MAX(0,$G183-$E183)),IF($F183="취소","",MAX(0,TODAY()-$E183))))</f>
        <v/>
      </c>
      <c r="J183" s="50" t="n"/>
      <c r="K183" s="52" t="str">
        <f>IF($A183="","",$A183&amp;"|"&amp;$L183)</f>
        <v/>
      </c>
      <c r="L183" s="52" t="str">
        <f>IF($A183="","",COUNTIFS($A$3:$A183,$A183))</f>
        <v/>
      </c>
    </row>
    <row r="184" ht="15" customHeight="1" s="41">
      <c r="A184" s="50" t="n"/>
      <c r="B184" s="52" t="str">
        <f>IF($A184="","",IFERROR(INDEX(회의록!$C$3:$C$302,MATCH($A184,회의록!$A$3:$A$302,0)),"회의번호없음"))</f>
        <v/>
      </c>
      <c r="C184" s="50" t="n"/>
      <c r="D184" s="49" t="n"/>
      <c r="E184" s="53" t="n"/>
      <c r="F184" s="49" t="n"/>
      <c r="G184" s="53" t="n"/>
      <c r="H184" s="56" t="str">
        <f>IF(OR($C184="",$E184="",$F184="완료",$F184="취소"),"",$E184-TODAY())</f>
        <v/>
      </c>
      <c r="I184" s="56" t="str">
        <f>IF(OR($C184="",$E184=""),"",IF($F184="완료",IF($G184="","",MAX(0,$G184-$E184)),IF($F184="취소","",MAX(0,TODAY()-$E184))))</f>
        <v/>
      </c>
      <c r="J184" s="50" t="n"/>
      <c r="K184" s="52" t="str">
        <f>IF($A184="","",$A184&amp;"|"&amp;$L184)</f>
        <v/>
      </c>
      <c r="L184" s="52" t="str">
        <f>IF($A184="","",COUNTIFS($A$3:$A184,$A184))</f>
        <v/>
      </c>
    </row>
    <row r="185" ht="15" customHeight="1" s="41">
      <c r="A185" s="50" t="n"/>
      <c r="B185" s="52" t="str">
        <f>IF($A185="","",IFERROR(INDEX(회의록!$C$3:$C$302,MATCH($A185,회의록!$A$3:$A$302,0)),"회의번호없음"))</f>
        <v/>
      </c>
      <c r="C185" s="50" t="n"/>
      <c r="D185" s="49" t="n"/>
      <c r="E185" s="53" t="n"/>
      <c r="F185" s="49" t="n"/>
      <c r="G185" s="53" t="n"/>
      <c r="H185" s="56" t="str">
        <f>IF(OR($C185="",$E185="",$F185="완료",$F185="취소"),"",$E185-TODAY())</f>
        <v/>
      </c>
      <c r="I185" s="56" t="str">
        <f>IF(OR($C185="",$E185=""),"",IF($F185="완료",IF($G185="","",MAX(0,$G185-$E185)),IF($F185="취소","",MAX(0,TODAY()-$E185))))</f>
        <v/>
      </c>
      <c r="J185" s="50" t="n"/>
      <c r="K185" s="52" t="str">
        <f>IF($A185="","",$A185&amp;"|"&amp;$L185)</f>
        <v/>
      </c>
      <c r="L185" s="52" t="str">
        <f>IF($A185="","",COUNTIFS($A$3:$A185,$A185))</f>
        <v/>
      </c>
    </row>
    <row r="186" ht="15" customHeight="1" s="41">
      <c r="A186" s="50" t="n"/>
      <c r="B186" s="52" t="str">
        <f>IF($A186="","",IFERROR(INDEX(회의록!$C$3:$C$302,MATCH($A186,회의록!$A$3:$A$302,0)),"회의번호없음"))</f>
        <v/>
      </c>
      <c r="C186" s="50" t="n"/>
      <c r="D186" s="49" t="n"/>
      <c r="E186" s="53" t="n"/>
      <c r="F186" s="49" t="n"/>
      <c r="G186" s="53" t="n"/>
      <c r="H186" s="56" t="str">
        <f>IF(OR($C186="",$E186="",$F186="완료",$F186="취소"),"",$E186-TODAY())</f>
        <v/>
      </c>
      <c r="I186" s="56" t="str">
        <f>IF(OR($C186="",$E186=""),"",IF($F186="완료",IF($G186="","",MAX(0,$G186-$E186)),IF($F186="취소","",MAX(0,TODAY()-$E186))))</f>
        <v/>
      </c>
      <c r="J186" s="50" t="n"/>
      <c r="K186" s="52" t="str">
        <f>IF($A186="","",$A186&amp;"|"&amp;$L186)</f>
        <v/>
      </c>
      <c r="L186" s="52" t="str">
        <f>IF($A186="","",COUNTIFS($A$3:$A186,$A186))</f>
        <v/>
      </c>
    </row>
    <row r="187" ht="15" customHeight="1" s="41">
      <c r="A187" s="50" t="n"/>
      <c r="B187" s="52" t="str">
        <f>IF($A187="","",IFERROR(INDEX(회의록!$C$3:$C$302,MATCH($A187,회의록!$A$3:$A$302,0)),"회의번호없음"))</f>
        <v/>
      </c>
      <c r="C187" s="50" t="n"/>
      <c r="D187" s="49" t="n"/>
      <c r="E187" s="53" t="n"/>
      <c r="F187" s="49" t="n"/>
      <c r="G187" s="53" t="n"/>
      <c r="H187" s="56" t="str">
        <f>IF(OR($C187="",$E187="",$F187="완료",$F187="취소"),"",$E187-TODAY())</f>
        <v/>
      </c>
      <c r="I187" s="56" t="str">
        <f>IF(OR($C187="",$E187=""),"",IF($F187="완료",IF($G187="","",MAX(0,$G187-$E187)),IF($F187="취소","",MAX(0,TODAY()-$E187))))</f>
        <v/>
      </c>
      <c r="J187" s="50" t="n"/>
      <c r="K187" s="52" t="str">
        <f>IF($A187="","",$A187&amp;"|"&amp;$L187)</f>
        <v/>
      </c>
      <c r="L187" s="52" t="str">
        <f>IF($A187="","",COUNTIFS($A$3:$A187,$A187))</f>
        <v/>
      </c>
    </row>
    <row r="188" ht="15" customHeight="1" s="41">
      <c r="A188" s="50" t="n"/>
      <c r="B188" s="52" t="str">
        <f>IF($A188="","",IFERROR(INDEX(회의록!$C$3:$C$302,MATCH($A188,회의록!$A$3:$A$302,0)),"회의번호없음"))</f>
        <v/>
      </c>
      <c r="C188" s="50" t="n"/>
      <c r="D188" s="49" t="n"/>
      <c r="E188" s="53" t="n"/>
      <c r="F188" s="49" t="n"/>
      <c r="G188" s="53" t="n"/>
      <c r="H188" s="56" t="str">
        <f>IF(OR($C188="",$E188="",$F188="완료",$F188="취소"),"",$E188-TODAY())</f>
        <v/>
      </c>
      <c r="I188" s="56" t="str">
        <f>IF(OR($C188="",$E188=""),"",IF($F188="완료",IF($G188="","",MAX(0,$G188-$E188)),IF($F188="취소","",MAX(0,TODAY()-$E188))))</f>
        <v/>
      </c>
      <c r="J188" s="50" t="n"/>
      <c r="K188" s="52" t="str">
        <f>IF($A188="","",$A188&amp;"|"&amp;$L188)</f>
        <v/>
      </c>
      <c r="L188" s="52" t="str">
        <f>IF($A188="","",COUNTIFS($A$3:$A188,$A188))</f>
        <v/>
      </c>
    </row>
    <row r="189" ht="15" customHeight="1" s="41">
      <c r="A189" s="50" t="n"/>
      <c r="B189" s="52" t="str">
        <f>IF($A189="","",IFERROR(INDEX(회의록!$C$3:$C$302,MATCH($A189,회의록!$A$3:$A$302,0)),"회의번호없음"))</f>
        <v/>
      </c>
      <c r="C189" s="50" t="n"/>
      <c r="D189" s="49" t="n"/>
      <c r="E189" s="53" t="n"/>
      <c r="F189" s="49" t="n"/>
      <c r="G189" s="53" t="n"/>
      <c r="H189" s="56" t="str">
        <f>IF(OR($C189="",$E189="",$F189="완료",$F189="취소"),"",$E189-TODAY())</f>
        <v/>
      </c>
      <c r="I189" s="56" t="str">
        <f>IF(OR($C189="",$E189=""),"",IF($F189="완료",IF($G189="","",MAX(0,$G189-$E189)),IF($F189="취소","",MAX(0,TODAY()-$E189))))</f>
        <v/>
      </c>
      <c r="J189" s="50" t="n"/>
      <c r="K189" s="52" t="str">
        <f>IF($A189="","",$A189&amp;"|"&amp;$L189)</f>
        <v/>
      </c>
      <c r="L189" s="52" t="str">
        <f>IF($A189="","",COUNTIFS($A$3:$A189,$A189))</f>
        <v/>
      </c>
    </row>
    <row r="190" ht="15" customHeight="1" s="41">
      <c r="A190" s="50" t="n"/>
      <c r="B190" s="52" t="str">
        <f>IF($A190="","",IFERROR(INDEX(회의록!$C$3:$C$302,MATCH($A190,회의록!$A$3:$A$302,0)),"회의번호없음"))</f>
        <v/>
      </c>
      <c r="C190" s="50" t="n"/>
      <c r="D190" s="49" t="n"/>
      <c r="E190" s="53" t="n"/>
      <c r="F190" s="49" t="n"/>
      <c r="G190" s="53" t="n"/>
      <c r="H190" s="56" t="str">
        <f>IF(OR($C190="",$E190="",$F190="완료",$F190="취소"),"",$E190-TODAY())</f>
        <v/>
      </c>
      <c r="I190" s="56" t="str">
        <f>IF(OR($C190="",$E190=""),"",IF($F190="완료",IF($G190="","",MAX(0,$G190-$E190)),IF($F190="취소","",MAX(0,TODAY()-$E190))))</f>
        <v/>
      </c>
      <c r="J190" s="50" t="n"/>
      <c r="K190" s="52" t="str">
        <f>IF($A190="","",$A190&amp;"|"&amp;$L190)</f>
        <v/>
      </c>
      <c r="L190" s="52" t="str">
        <f>IF($A190="","",COUNTIFS($A$3:$A190,$A190))</f>
        <v/>
      </c>
    </row>
    <row r="191" ht="15" customHeight="1" s="41">
      <c r="A191" s="50" t="n"/>
      <c r="B191" s="52" t="str">
        <f>IF($A191="","",IFERROR(INDEX(회의록!$C$3:$C$302,MATCH($A191,회의록!$A$3:$A$302,0)),"회의번호없음"))</f>
        <v/>
      </c>
      <c r="C191" s="50" t="n"/>
      <c r="D191" s="49" t="n"/>
      <c r="E191" s="53" t="n"/>
      <c r="F191" s="49" t="n"/>
      <c r="G191" s="53" t="n"/>
      <c r="H191" s="56" t="str">
        <f>IF(OR($C191="",$E191="",$F191="완료",$F191="취소"),"",$E191-TODAY())</f>
        <v/>
      </c>
      <c r="I191" s="56" t="str">
        <f>IF(OR($C191="",$E191=""),"",IF($F191="완료",IF($G191="","",MAX(0,$G191-$E191)),IF($F191="취소","",MAX(0,TODAY()-$E191))))</f>
        <v/>
      </c>
      <c r="J191" s="50" t="n"/>
      <c r="K191" s="52" t="str">
        <f>IF($A191="","",$A191&amp;"|"&amp;$L191)</f>
        <v/>
      </c>
      <c r="L191" s="52" t="str">
        <f>IF($A191="","",COUNTIFS($A$3:$A191,$A191))</f>
        <v/>
      </c>
    </row>
    <row r="192" ht="15" customHeight="1" s="41">
      <c r="A192" s="50" t="n"/>
      <c r="B192" s="52" t="str">
        <f>IF($A192="","",IFERROR(INDEX(회의록!$C$3:$C$302,MATCH($A192,회의록!$A$3:$A$302,0)),"회의번호없음"))</f>
        <v/>
      </c>
      <c r="C192" s="50" t="n"/>
      <c r="D192" s="49" t="n"/>
      <c r="E192" s="53" t="n"/>
      <c r="F192" s="49" t="n"/>
      <c r="G192" s="53" t="n"/>
      <c r="H192" s="56" t="str">
        <f>IF(OR($C192="",$E192="",$F192="완료",$F192="취소"),"",$E192-TODAY())</f>
        <v/>
      </c>
      <c r="I192" s="56" t="str">
        <f>IF(OR($C192="",$E192=""),"",IF($F192="완료",IF($G192="","",MAX(0,$G192-$E192)),IF($F192="취소","",MAX(0,TODAY()-$E192))))</f>
        <v/>
      </c>
      <c r="J192" s="50" t="n"/>
      <c r="K192" s="52" t="str">
        <f>IF($A192="","",$A192&amp;"|"&amp;$L192)</f>
        <v/>
      </c>
      <c r="L192" s="52" t="str">
        <f>IF($A192="","",COUNTIFS($A$3:$A192,$A192))</f>
        <v/>
      </c>
    </row>
    <row r="193" ht="15" customHeight="1" s="41">
      <c r="A193" s="50" t="n"/>
      <c r="B193" s="52" t="str">
        <f>IF($A193="","",IFERROR(INDEX(회의록!$C$3:$C$302,MATCH($A193,회의록!$A$3:$A$302,0)),"회의번호없음"))</f>
        <v/>
      </c>
      <c r="C193" s="50" t="n"/>
      <c r="D193" s="49" t="n"/>
      <c r="E193" s="53" t="n"/>
      <c r="F193" s="49" t="n"/>
      <c r="G193" s="53" t="n"/>
      <c r="H193" s="56" t="str">
        <f>IF(OR($C193="",$E193="",$F193="완료",$F193="취소"),"",$E193-TODAY())</f>
        <v/>
      </c>
      <c r="I193" s="56" t="str">
        <f>IF(OR($C193="",$E193=""),"",IF($F193="완료",IF($G193="","",MAX(0,$G193-$E193)),IF($F193="취소","",MAX(0,TODAY()-$E193))))</f>
        <v/>
      </c>
      <c r="J193" s="50" t="n"/>
      <c r="K193" s="52" t="str">
        <f>IF($A193="","",$A193&amp;"|"&amp;$L193)</f>
        <v/>
      </c>
      <c r="L193" s="52" t="str">
        <f>IF($A193="","",COUNTIFS($A$3:$A193,$A193))</f>
        <v/>
      </c>
    </row>
    <row r="194" ht="15" customHeight="1" s="41">
      <c r="A194" s="50" t="n"/>
      <c r="B194" s="52" t="str">
        <f>IF($A194="","",IFERROR(INDEX(회의록!$C$3:$C$302,MATCH($A194,회의록!$A$3:$A$302,0)),"회의번호없음"))</f>
        <v/>
      </c>
      <c r="C194" s="50" t="n"/>
      <c r="D194" s="49" t="n"/>
      <c r="E194" s="53" t="n"/>
      <c r="F194" s="49" t="n"/>
      <c r="G194" s="53" t="n"/>
      <c r="H194" s="56" t="str">
        <f>IF(OR($C194="",$E194="",$F194="완료",$F194="취소"),"",$E194-TODAY())</f>
        <v/>
      </c>
      <c r="I194" s="56" t="str">
        <f>IF(OR($C194="",$E194=""),"",IF($F194="완료",IF($G194="","",MAX(0,$G194-$E194)),IF($F194="취소","",MAX(0,TODAY()-$E194))))</f>
        <v/>
      </c>
      <c r="J194" s="50" t="n"/>
      <c r="K194" s="52" t="str">
        <f>IF($A194="","",$A194&amp;"|"&amp;$L194)</f>
        <v/>
      </c>
      <c r="L194" s="52" t="str">
        <f>IF($A194="","",COUNTIFS($A$3:$A194,$A194))</f>
        <v/>
      </c>
    </row>
    <row r="195" ht="15" customHeight="1" s="41">
      <c r="A195" s="50" t="n"/>
      <c r="B195" s="52" t="str">
        <f>IF($A195="","",IFERROR(INDEX(회의록!$C$3:$C$302,MATCH($A195,회의록!$A$3:$A$302,0)),"회의번호없음"))</f>
        <v/>
      </c>
      <c r="C195" s="50" t="n"/>
      <c r="D195" s="49" t="n"/>
      <c r="E195" s="53" t="n"/>
      <c r="F195" s="49" t="n"/>
      <c r="G195" s="53" t="n"/>
      <c r="H195" s="56" t="str">
        <f>IF(OR($C195="",$E195="",$F195="완료",$F195="취소"),"",$E195-TODAY())</f>
        <v/>
      </c>
      <c r="I195" s="56" t="str">
        <f>IF(OR($C195="",$E195=""),"",IF($F195="완료",IF($G195="","",MAX(0,$G195-$E195)),IF($F195="취소","",MAX(0,TODAY()-$E195))))</f>
        <v/>
      </c>
      <c r="J195" s="50" t="n"/>
      <c r="K195" s="52" t="str">
        <f>IF($A195="","",$A195&amp;"|"&amp;$L195)</f>
        <v/>
      </c>
      <c r="L195" s="52" t="str">
        <f>IF($A195="","",COUNTIFS($A$3:$A195,$A195))</f>
        <v/>
      </c>
    </row>
    <row r="196" ht="15" customHeight="1" s="41">
      <c r="A196" s="50" t="n"/>
      <c r="B196" s="52" t="str">
        <f>IF($A196="","",IFERROR(INDEX(회의록!$C$3:$C$302,MATCH($A196,회의록!$A$3:$A$302,0)),"회의번호없음"))</f>
        <v/>
      </c>
      <c r="C196" s="50" t="n"/>
      <c r="D196" s="49" t="n"/>
      <c r="E196" s="53" t="n"/>
      <c r="F196" s="49" t="n"/>
      <c r="G196" s="53" t="n"/>
      <c r="H196" s="56" t="str">
        <f>IF(OR($C196="",$E196="",$F196="완료",$F196="취소"),"",$E196-TODAY())</f>
        <v/>
      </c>
      <c r="I196" s="56" t="str">
        <f>IF(OR($C196="",$E196=""),"",IF($F196="완료",IF($G196="","",MAX(0,$G196-$E196)),IF($F196="취소","",MAX(0,TODAY()-$E196))))</f>
        <v/>
      </c>
      <c r="J196" s="50" t="n"/>
      <c r="K196" s="52" t="str">
        <f>IF($A196="","",$A196&amp;"|"&amp;$L196)</f>
        <v/>
      </c>
      <c r="L196" s="52" t="str">
        <f>IF($A196="","",COUNTIFS($A$3:$A196,$A196))</f>
        <v/>
      </c>
    </row>
    <row r="197" ht="15" customHeight="1" s="41">
      <c r="A197" s="50" t="n"/>
      <c r="B197" s="52" t="str">
        <f>IF($A197="","",IFERROR(INDEX(회의록!$C$3:$C$302,MATCH($A197,회의록!$A$3:$A$302,0)),"회의번호없음"))</f>
        <v/>
      </c>
      <c r="C197" s="50" t="n"/>
      <c r="D197" s="49" t="n"/>
      <c r="E197" s="53" t="n"/>
      <c r="F197" s="49" t="n"/>
      <c r="G197" s="53" t="n"/>
      <c r="H197" s="56" t="str">
        <f>IF(OR($C197="",$E197="",$F197="완료",$F197="취소"),"",$E197-TODAY())</f>
        <v/>
      </c>
      <c r="I197" s="56" t="str">
        <f>IF(OR($C197="",$E197=""),"",IF($F197="완료",IF($G197="","",MAX(0,$G197-$E197)),IF($F197="취소","",MAX(0,TODAY()-$E197))))</f>
        <v/>
      </c>
      <c r="J197" s="50" t="n"/>
      <c r="K197" s="52" t="str">
        <f>IF($A197="","",$A197&amp;"|"&amp;$L197)</f>
        <v/>
      </c>
      <c r="L197" s="52" t="str">
        <f>IF($A197="","",COUNTIFS($A$3:$A197,$A197))</f>
        <v/>
      </c>
    </row>
    <row r="198" ht="15" customHeight="1" s="41">
      <c r="A198" s="50" t="n"/>
      <c r="B198" s="52" t="str">
        <f>IF($A198="","",IFERROR(INDEX(회의록!$C$3:$C$302,MATCH($A198,회의록!$A$3:$A$302,0)),"회의번호없음"))</f>
        <v/>
      </c>
      <c r="C198" s="50" t="n"/>
      <c r="D198" s="49" t="n"/>
      <c r="E198" s="53" t="n"/>
      <c r="F198" s="49" t="n"/>
      <c r="G198" s="53" t="n"/>
      <c r="H198" s="56" t="str">
        <f>IF(OR($C198="",$E198="",$F198="완료",$F198="취소"),"",$E198-TODAY())</f>
        <v/>
      </c>
      <c r="I198" s="56" t="str">
        <f>IF(OR($C198="",$E198=""),"",IF($F198="완료",IF($G198="","",MAX(0,$G198-$E198)),IF($F198="취소","",MAX(0,TODAY()-$E198))))</f>
        <v/>
      </c>
      <c r="J198" s="50" t="n"/>
      <c r="K198" s="52" t="str">
        <f>IF($A198="","",$A198&amp;"|"&amp;$L198)</f>
        <v/>
      </c>
      <c r="L198" s="52" t="str">
        <f>IF($A198="","",COUNTIFS($A$3:$A198,$A198))</f>
        <v/>
      </c>
    </row>
    <row r="199" ht="15" customHeight="1" s="41">
      <c r="A199" s="50" t="n"/>
      <c r="B199" s="52" t="str">
        <f>IF($A199="","",IFERROR(INDEX(회의록!$C$3:$C$302,MATCH($A199,회의록!$A$3:$A$302,0)),"회의번호없음"))</f>
        <v/>
      </c>
      <c r="C199" s="50" t="n"/>
      <c r="D199" s="49" t="n"/>
      <c r="E199" s="53" t="n"/>
      <c r="F199" s="49" t="n"/>
      <c r="G199" s="53" t="n"/>
      <c r="H199" s="56" t="str">
        <f>IF(OR($C199="",$E199="",$F199="완료",$F199="취소"),"",$E199-TODAY())</f>
        <v/>
      </c>
      <c r="I199" s="56" t="str">
        <f>IF(OR($C199="",$E199=""),"",IF($F199="완료",IF($G199="","",MAX(0,$G199-$E199)),IF($F199="취소","",MAX(0,TODAY()-$E199))))</f>
        <v/>
      </c>
      <c r="J199" s="50" t="n"/>
      <c r="K199" s="52" t="str">
        <f>IF($A199="","",$A199&amp;"|"&amp;$L199)</f>
        <v/>
      </c>
      <c r="L199" s="52" t="str">
        <f>IF($A199="","",COUNTIFS($A$3:$A199,$A199))</f>
        <v/>
      </c>
    </row>
    <row r="200" ht="15" customHeight="1" s="41">
      <c r="A200" s="50" t="n"/>
      <c r="B200" s="52" t="str">
        <f>IF($A200="","",IFERROR(INDEX(회의록!$C$3:$C$302,MATCH($A200,회의록!$A$3:$A$302,0)),"회의번호없음"))</f>
        <v/>
      </c>
      <c r="C200" s="50" t="n"/>
      <c r="D200" s="49" t="n"/>
      <c r="E200" s="53" t="n"/>
      <c r="F200" s="49" t="n"/>
      <c r="G200" s="53" t="n"/>
      <c r="H200" s="56" t="str">
        <f>IF(OR($C200="",$E200="",$F200="완료",$F200="취소"),"",$E200-TODAY())</f>
        <v/>
      </c>
      <c r="I200" s="56" t="str">
        <f>IF(OR($C200="",$E200=""),"",IF($F200="완료",IF($G200="","",MAX(0,$G200-$E200)),IF($F200="취소","",MAX(0,TODAY()-$E200))))</f>
        <v/>
      </c>
      <c r="J200" s="50" t="n"/>
      <c r="K200" s="52" t="str">
        <f>IF($A200="","",$A200&amp;"|"&amp;$L200)</f>
        <v/>
      </c>
      <c r="L200" s="52" t="str">
        <f>IF($A200="","",COUNTIFS($A$3:$A200,$A200))</f>
        <v/>
      </c>
    </row>
    <row r="201" ht="15" customHeight="1" s="41">
      <c r="A201" s="50" t="n"/>
      <c r="B201" s="52" t="str">
        <f>IF($A201="","",IFERROR(INDEX(회의록!$C$3:$C$302,MATCH($A201,회의록!$A$3:$A$302,0)),"회의번호없음"))</f>
        <v/>
      </c>
      <c r="C201" s="50" t="n"/>
      <c r="D201" s="49" t="n"/>
      <c r="E201" s="53" t="n"/>
      <c r="F201" s="49" t="n"/>
      <c r="G201" s="53" t="n"/>
      <c r="H201" s="56" t="str">
        <f>IF(OR($C201="",$E201="",$F201="완료",$F201="취소"),"",$E201-TODAY())</f>
        <v/>
      </c>
      <c r="I201" s="56" t="str">
        <f>IF(OR($C201="",$E201=""),"",IF($F201="완료",IF($G201="","",MAX(0,$G201-$E201)),IF($F201="취소","",MAX(0,TODAY()-$E201))))</f>
        <v/>
      </c>
      <c r="J201" s="50" t="n"/>
      <c r="K201" s="52" t="str">
        <f>IF($A201="","",$A201&amp;"|"&amp;$L201)</f>
        <v/>
      </c>
      <c r="L201" s="52" t="str">
        <f>IF($A201="","",COUNTIFS($A$3:$A201,$A201))</f>
        <v/>
      </c>
    </row>
    <row r="202" ht="15" customHeight="1" s="41">
      <c r="A202" s="50" t="n"/>
      <c r="B202" s="52" t="str">
        <f>IF($A202="","",IFERROR(INDEX(회의록!$C$3:$C$302,MATCH($A202,회의록!$A$3:$A$302,0)),"회의번호없음"))</f>
        <v/>
      </c>
      <c r="C202" s="50" t="n"/>
      <c r="D202" s="49" t="n"/>
      <c r="E202" s="53" t="n"/>
      <c r="F202" s="49" t="n"/>
      <c r="G202" s="53" t="n"/>
      <c r="H202" s="56" t="str">
        <f>IF(OR($C202="",$E202="",$F202="완료",$F202="취소"),"",$E202-TODAY())</f>
        <v/>
      </c>
      <c r="I202" s="56" t="str">
        <f>IF(OR($C202="",$E202=""),"",IF($F202="완료",IF($G202="","",MAX(0,$G202-$E202)),IF($F202="취소","",MAX(0,TODAY()-$E202))))</f>
        <v/>
      </c>
      <c r="J202" s="50" t="n"/>
      <c r="K202" s="52" t="str">
        <f>IF($A202="","",$A202&amp;"|"&amp;$L202)</f>
        <v/>
      </c>
      <c r="L202" s="52" t="str">
        <f>IF($A202="","",COUNTIFS($A$3:$A202,$A202))</f>
        <v/>
      </c>
    </row>
    <row r="203" ht="15" customHeight="1" s="41">
      <c r="A203" s="50" t="n"/>
      <c r="B203" s="52" t="str">
        <f>IF($A203="","",IFERROR(INDEX(회의록!$C$3:$C$302,MATCH($A203,회의록!$A$3:$A$302,0)),"회의번호없음"))</f>
        <v/>
      </c>
      <c r="C203" s="50" t="n"/>
      <c r="D203" s="49" t="n"/>
      <c r="E203" s="53" t="n"/>
      <c r="F203" s="49" t="n"/>
      <c r="G203" s="53" t="n"/>
      <c r="H203" s="56" t="str">
        <f>IF(OR($C203="",$E203="",$F203="완료",$F203="취소"),"",$E203-TODAY())</f>
        <v/>
      </c>
      <c r="I203" s="56" t="str">
        <f>IF(OR($C203="",$E203=""),"",IF($F203="완료",IF($G203="","",MAX(0,$G203-$E203)),IF($F203="취소","",MAX(0,TODAY()-$E203))))</f>
        <v/>
      </c>
      <c r="J203" s="50" t="n"/>
      <c r="K203" s="52" t="str">
        <f>IF($A203="","",$A203&amp;"|"&amp;$L203)</f>
        <v/>
      </c>
      <c r="L203" s="52" t="str">
        <f>IF($A203="","",COUNTIFS($A$3:$A203,$A203))</f>
        <v/>
      </c>
    </row>
    <row r="204" ht="15" customHeight="1" s="41">
      <c r="A204" s="50" t="n"/>
      <c r="B204" s="52" t="str">
        <f>IF($A204="","",IFERROR(INDEX(회의록!$C$3:$C$302,MATCH($A204,회의록!$A$3:$A$302,0)),"회의번호없음"))</f>
        <v/>
      </c>
      <c r="C204" s="50" t="n"/>
      <c r="D204" s="49" t="n"/>
      <c r="E204" s="53" t="n"/>
      <c r="F204" s="49" t="n"/>
      <c r="G204" s="53" t="n"/>
      <c r="H204" s="56" t="str">
        <f>IF(OR($C204="",$E204="",$F204="완료",$F204="취소"),"",$E204-TODAY())</f>
        <v/>
      </c>
      <c r="I204" s="56" t="str">
        <f>IF(OR($C204="",$E204=""),"",IF($F204="완료",IF($G204="","",MAX(0,$G204-$E204)),IF($F204="취소","",MAX(0,TODAY()-$E204))))</f>
        <v/>
      </c>
      <c r="J204" s="50" t="n"/>
      <c r="K204" s="52" t="str">
        <f>IF($A204="","",$A204&amp;"|"&amp;$L204)</f>
        <v/>
      </c>
      <c r="L204" s="52" t="str">
        <f>IF($A204="","",COUNTIFS($A$3:$A204,$A204))</f>
        <v/>
      </c>
    </row>
    <row r="205" ht="15" customHeight="1" s="41">
      <c r="A205" s="50" t="n"/>
      <c r="B205" s="52" t="str">
        <f>IF($A205="","",IFERROR(INDEX(회의록!$C$3:$C$302,MATCH($A205,회의록!$A$3:$A$302,0)),"회의번호없음"))</f>
        <v/>
      </c>
      <c r="C205" s="50" t="n"/>
      <c r="D205" s="49" t="n"/>
      <c r="E205" s="53" t="n"/>
      <c r="F205" s="49" t="n"/>
      <c r="G205" s="53" t="n"/>
      <c r="H205" s="56" t="str">
        <f>IF(OR($C205="",$E205="",$F205="완료",$F205="취소"),"",$E205-TODAY())</f>
        <v/>
      </c>
      <c r="I205" s="56" t="str">
        <f>IF(OR($C205="",$E205=""),"",IF($F205="완료",IF($G205="","",MAX(0,$G205-$E205)),IF($F205="취소","",MAX(0,TODAY()-$E205))))</f>
        <v/>
      </c>
      <c r="J205" s="50" t="n"/>
      <c r="K205" s="52" t="str">
        <f>IF($A205="","",$A205&amp;"|"&amp;$L205)</f>
        <v/>
      </c>
      <c r="L205" s="52" t="str">
        <f>IF($A205="","",COUNTIFS($A$3:$A205,$A205))</f>
        <v/>
      </c>
    </row>
    <row r="206" ht="15" customHeight="1" s="41">
      <c r="A206" s="50" t="n"/>
      <c r="B206" s="52" t="str">
        <f>IF($A206="","",IFERROR(INDEX(회의록!$C$3:$C$302,MATCH($A206,회의록!$A$3:$A$302,0)),"회의번호없음"))</f>
        <v/>
      </c>
      <c r="C206" s="50" t="n"/>
      <c r="D206" s="49" t="n"/>
      <c r="E206" s="53" t="n"/>
      <c r="F206" s="49" t="n"/>
      <c r="G206" s="53" t="n"/>
      <c r="H206" s="56" t="str">
        <f>IF(OR($C206="",$E206="",$F206="완료",$F206="취소"),"",$E206-TODAY())</f>
        <v/>
      </c>
      <c r="I206" s="56" t="str">
        <f>IF(OR($C206="",$E206=""),"",IF($F206="완료",IF($G206="","",MAX(0,$G206-$E206)),IF($F206="취소","",MAX(0,TODAY()-$E206))))</f>
        <v/>
      </c>
      <c r="J206" s="50" t="n"/>
      <c r="K206" s="52" t="str">
        <f>IF($A206="","",$A206&amp;"|"&amp;$L206)</f>
        <v/>
      </c>
      <c r="L206" s="52" t="str">
        <f>IF($A206="","",COUNTIFS($A$3:$A206,$A206))</f>
        <v/>
      </c>
    </row>
    <row r="207" ht="15" customHeight="1" s="41">
      <c r="A207" s="50" t="n"/>
      <c r="B207" s="52" t="str">
        <f>IF($A207="","",IFERROR(INDEX(회의록!$C$3:$C$302,MATCH($A207,회의록!$A$3:$A$302,0)),"회의번호없음"))</f>
        <v/>
      </c>
      <c r="C207" s="50" t="n"/>
      <c r="D207" s="49" t="n"/>
      <c r="E207" s="53" t="n"/>
      <c r="F207" s="49" t="n"/>
      <c r="G207" s="53" t="n"/>
      <c r="H207" s="56" t="str">
        <f>IF(OR($C207="",$E207="",$F207="완료",$F207="취소"),"",$E207-TODAY())</f>
        <v/>
      </c>
      <c r="I207" s="56" t="str">
        <f>IF(OR($C207="",$E207=""),"",IF($F207="완료",IF($G207="","",MAX(0,$G207-$E207)),IF($F207="취소","",MAX(0,TODAY()-$E207))))</f>
        <v/>
      </c>
      <c r="J207" s="50" t="n"/>
      <c r="K207" s="52" t="str">
        <f>IF($A207="","",$A207&amp;"|"&amp;$L207)</f>
        <v/>
      </c>
      <c r="L207" s="52" t="str">
        <f>IF($A207="","",COUNTIFS($A$3:$A207,$A207))</f>
        <v/>
      </c>
    </row>
    <row r="208" ht="15" customHeight="1" s="41">
      <c r="A208" s="50" t="n"/>
      <c r="B208" s="52" t="str">
        <f>IF($A208="","",IFERROR(INDEX(회의록!$C$3:$C$302,MATCH($A208,회의록!$A$3:$A$302,0)),"회의번호없음"))</f>
        <v/>
      </c>
      <c r="C208" s="50" t="n"/>
      <c r="D208" s="49" t="n"/>
      <c r="E208" s="53" t="n"/>
      <c r="F208" s="49" t="n"/>
      <c r="G208" s="53" t="n"/>
      <c r="H208" s="56" t="str">
        <f>IF(OR($C208="",$E208="",$F208="완료",$F208="취소"),"",$E208-TODAY())</f>
        <v/>
      </c>
      <c r="I208" s="56" t="str">
        <f>IF(OR($C208="",$E208=""),"",IF($F208="완료",IF($G208="","",MAX(0,$G208-$E208)),IF($F208="취소","",MAX(0,TODAY()-$E208))))</f>
        <v/>
      </c>
      <c r="J208" s="50" t="n"/>
      <c r="K208" s="52" t="str">
        <f>IF($A208="","",$A208&amp;"|"&amp;$L208)</f>
        <v/>
      </c>
      <c r="L208" s="52" t="str">
        <f>IF($A208="","",COUNTIFS($A$3:$A208,$A208))</f>
        <v/>
      </c>
    </row>
    <row r="209" ht="15" customHeight="1" s="41">
      <c r="A209" s="50" t="n"/>
      <c r="B209" s="52" t="str">
        <f>IF($A209="","",IFERROR(INDEX(회의록!$C$3:$C$302,MATCH($A209,회의록!$A$3:$A$302,0)),"회의번호없음"))</f>
        <v/>
      </c>
      <c r="C209" s="50" t="n"/>
      <c r="D209" s="49" t="n"/>
      <c r="E209" s="53" t="n"/>
      <c r="F209" s="49" t="n"/>
      <c r="G209" s="53" t="n"/>
      <c r="H209" s="56" t="str">
        <f>IF(OR($C209="",$E209="",$F209="완료",$F209="취소"),"",$E209-TODAY())</f>
        <v/>
      </c>
      <c r="I209" s="56" t="str">
        <f>IF(OR($C209="",$E209=""),"",IF($F209="완료",IF($G209="","",MAX(0,$G209-$E209)),IF($F209="취소","",MAX(0,TODAY()-$E209))))</f>
        <v/>
      </c>
      <c r="J209" s="50" t="n"/>
      <c r="K209" s="52" t="str">
        <f>IF($A209="","",$A209&amp;"|"&amp;$L209)</f>
        <v/>
      </c>
      <c r="L209" s="52" t="str">
        <f>IF($A209="","",COUNTIFS($A$3:$A209,$A209))</f>
        <v/>
      </c>
    </row>
    <row r="210" ht="15" customHeight="1" s="41">
      <c r="A210" s="50" t="n"/>
      <c r="B210" s="52" t="str">
        <f>IF($A210="","",IFERROR(INDEX(회의록!$C$3:$C$302,MATCH($A210,회의록!$A$3:$A$302,0)),"회의번호없음"))</f>
        <v/>
      </c>
      <c r="C210" s="50" t="n"/>
      <c r="D210" s="49" t="n"/>
      <c r="E210" s="53" t="n"/>
      <c r="F210" s="49" t="n"/>
      <c r="G210" s="53" t="n"/>
      <c r="H210" s="56" t="str">
        <f>IF(OR($C210="",$E210="",$F210="완료",$F210="취소"),"",$E210-TODAY())</f>
        <v/>
      </c>
      <c r="I210" s="56" t="str">
        <f>IF(OR($C210="",$E210=""),"",IF($F210="완료",IF($G210="","",MAX(0,$G210-$E210)),IF($F210="취소","",MAX(0,TODAY()-$E210))))</f>
        <v/>
      </c>
      <c r="J210" s="50" t="n"/>
      <c r="K210" s="52" t="str">
        <f>IF($A210="","",$A210&amp;"|"&amp;$L210)</f>
        <v/>
      </c>
      <c r="L210" s="52" t="str">
        <f>IF($A210="","",COUNTIFS($A$3:$A210,$A210))</f>
        <v/>
      </c>
    </row>
    <row r="211" ht="15" customHeight="1" s="41">
      <c r="A211" s="50" t="n"/>
      <c r="B211" s="52" t="str">
        <f>IF($A211="","",IFERROR(INDEX(회의록!$C$3:$C$302,MATCH($A211,회의록!$A$3:$A$302,0)),"회의번호없음"))</f>
        <v/>
      </c>
      <c r="C211" s="50" t="n"/>
      <c r="D211" s="49" t="n"/>
      <c r="E211" s="53" t="n"/>
      <c r="F211" s="49" t="n"/>
      <c r="G211" s="53" t="n"/>
      <c r="H211" s="56" t="str">
        <f>IF(OR($C211="",$E211="",$F211="완료",$F211="취소"),"",$E211-TODAY())</f>
        <v/>
      </c>
      <c r="I211" s="56" t="str">
        <f>IF(OR($C211="",$E211=""),"",IF($F211="완료",IF($G211="","",MAX(0,$G211-$E211)),IF($F211="취소","",MAX(0,TODAY()-$E211))))</f>
        <v/>
      </c>
      <c r="J211" s="50" t="n"/>
      <c r="K211" s="52" t="str">
        <f>IF($A211="","",$A211&amp;"|"&amp;$L211)</f>
        <v/>
      </c>
      <c r="L211" s="52" t="str">
        <f>IF($A211="","",COUNTIFS($A$3:$A211,$A211))</f>
        <v/>
      </c>
    </row>
    <row r="212" ht="15" customHeight="1" s="41">
      <c r="A212" s="50" t="n"/>
      <c r="B212" s="52" t="str">
        <f>IF($A212="","",IFERROR(INDEX(회의록!$C$3:$C$302,MATCH($A212,회의록!$A$3:$A$302,0)),"회의번호없음"))</f>
        <v/>
      </c>
      <c r="C212" s="50" t="n"/>
      <c r="D212" s="49" t="n"/>
      <c r="E212" s="53" t="n"/>
      <c r="F212" s="49" t="n"/>
      <c r="G212" s="53" t="n"/>
      <c r="H212" s="56" t="str">
        <f>IF(OR($C212="",$E212="",$F212="완료",$F212="취소"),"",$E212-TODAY())</f>
        <v/>
      </c>
      <c r="I212" s="56" t="str">
        <f>IF(OR($C212="",$E212=""),"",IF($F212="완료",IF($G212="","",MAX(0,$G212-$E212)),IF($F212="취소","",MAX(0,TODAY()-$E212))))</f>
        <v/>
      </c>
      <c r="J212" s="50" t="n"/>
      <c r="K212" s="52" t="str">
        <f>IF($A212="","",$A212&amp;"|"&amp;$L212)</f>
        <v/>
      </c>
      <c r="L212" s="52" t="str">
        <f>IF($A212="","",COUNTIFS($A$3:$A212,$A212))</f>
        <v/>
      </c>
    </row>
    <row r="213" ht="15" customHeight="1" s="41">
      <c r="A213" s="50" t="n"/>
      <c r="B213" s="52" t="str">
        <f>IF($A213="","",IFERROR(INDEX(회의록!$C$3:$C$302,MATCH($A213,회의록!$A$3:$A$302,0)),"회의번호없음"))</f>
        <v/>
      </c>
      <c r="C213" s="50" t="n"/>
      <c r="D213" s="49" t="n"/>
      <c r="E213" s="53" t="n"/>
      <c r="F213" s="49" t="n"/>
      <c r="G213" s="53" t="n"/>
      <c r="H213" s="56" t="str">
        <f>IF(OR($C213="",$E213="",$F213="완료",$F213="취소"),"",$E213-TODAY())</f>
        <v/>
      </c>
      <c r="I213" s="56" t="str">
        <f>IF(OR($C213="",$E213=""),"",IF($F213="완료",IF($G213="","",MAX(0,$G213-$E213)),IF($F213="취소","",MAX(0,TODAY()-$E213))))</f>
        <v/>
      </c>
      <c r="J213" s="50" t="n"/>
      <c r="K213" s="52" t="str">
        <f>IF($A213="","",$A213&amp;"|"&amp;$L213)</f>
        <v/>
      </c>
      <c r="L213" s="52" t="str">
        <f>IF($A213="","",COUNTIFS($A$3:$A213,$A213))</f>
        <v/>
      </c>
    </row>
    <row r="214" ht="15" customHeight="1" s="41">
      <c r="A214" s="50" t="n"/>
      <c r="B214" s="52" t="str">
        <f>IF($A214="","",IFERROR(INDEX(회의록!$C$3:$C$302,MATCH($A214,회의록!$A$3:$A$302,0)),"회의번호없음"))</f>
        <v/>
      </c>
      <c r="C214" s="50" t="n"/>
      <c r="D214" s="49" t="n"/>
      <c r="E214" s="53" t="n"/>
      <c r="F214" s="49" t="n"/>
      <c r="G214" s="53" t="n"/>
      <c r="H214" s="56" t="str">
        <f>IF(OR($C214="",$E214="",$F214="완료",$F214="취소"),"",$E214-TODAY())</f>
        <v/>
      </c>
      <c r="I214" s="56" t="str">
        <f>IF(OR($C214="",$E214=""),"",IF($F214="완료",IF($G214="","",MAX(0,$G214-$E214)),IF($F214="취소","",MAX(0,TODAY()-$E214))))</f>
        <v/>
      </c>
      <c r="J214" s="50" t="n"/>
      <c r="K214" s="52" t="str">
        <f>IF($A214="","",$A214&amp;"|"&amp;$L214)</f>
        <v/>
      </c>
      <c r="L214" s="52" t="str">
        <f>IF($A214="","",COUNTIFS($A$3:$A214,$A214))</f>
        <v/>
      </c>
    </row>
    <row r="215" ht="15" customHeight="1" s="41">
      <c r="A215" s="50" t="n"/>
      <c r="B215" s="52" t="str">
        <f>IF($A215="","",IFERROR(INDEX(회의록!$C$3:$C$302,MATCH($A215,회의록!$A$3:$A$302,0)),"회의번호없음"))</f>
        <v/>
      </c>
      <c r="C215" s="50" t="n"/>
      <c r="D215" s="49" t="n"/>
      <c r="E215" s="53" t="n"/>
      <c r="F215" s="49" t="n"/>
      <c r="G215" s="53" t="n"/>
      <c r="H215" s="56" t="str">
        <f>IF(OR($C215="",$E215="",$F215="완료",$F215="취소"),"",$E215-TODAY())</f>
        <v/>
      </c>
      <c r="I215" s="56" t="str">
        <f>IF(OR($C215="",$E215=""),"",IF($F215="완료",IF($G215="","",MAX(0,$G215-$E215)),IF($F215="취소","",MAX(0,TODAY()-$E215))))</f>
        <v/>
      </c>
      <c r="J215" s="50" t="n"/>
      <c r="K215" s="52" t="str">
        <f>IF($A215="","",$A215&amp;"|"&amp;$L215)</f>
        <v/>
      </c>
      <c r="L215" s="52" t="str">
        <f>IF($A215="","",COUNTIFS($A$3:$A215,$A215))</f>
        <v/>
      </c>
    </row>
    <row r="216" ht="15" customHeight="1" s="41">
      <c r="A216" s="50" t="n"/>
      <c r="B216" s="52" t="str">
        <f>IF($A216="","",IFERROR(INDEX(회의록!$C$3:$C$302,MATCH($A216,회의록!$A$3:$A$302,0)),"회의번호없음"))</f>
        <v/>
      </c>
      <c r="C216" s="50" t="n"/>
      <c r="D216" s="49" t="n"/>
      <c r="E216" s="53" t="n"/>
      <c r="F216" s="49" t="n"/>
      <c r="G216" s="53" t="n"/>
      <c r="H216" s="56" t="str">
        <f>IF(OR($C216="",$E216="",$F216="완료",$F216="취소"),"",$E216-TODAY())</f>
        <v/>
      </c>
      <c r="I216" s="56" t="str">
        <f>IF(OR($C216="",$E216=""),"",IF($F216="완료",IF($G216="","",MAX(0,$G216-$E216)),IF($F216="취소","",MAX(0,TODAY()-$E216))))</f>
        <v/>
      </c>
      <c r="J216" s="50" t="n"/>
      <c r="K216" s="52" t="str">
        <f>IF($A216="","",$A216&amp;"|"&amp;$L216)</f>
        <v/>
      </c>
      <c r="L216" s="52" t="str">
        <f>IF($A216="","",COUNTIFS($A$3:$A216,$A216))</f>
        <v/>
      </c>
    </row>
    <row r="217" ht="15" customHeight="1" s="41">
      <c r="A217" s="50" t="n"/>
      <c r="B217" s="52" t="str">
        <f>IF($A217="","",IFERROR(INDEX(회의록!$C$3:$C$302,MATCH($A217,회의록!$A$3:$A$302,0)),"회의번호없음"))</f>
        <v/>
      </c>
      <c r="C217" s="50" t="n"/>
      <c r="D217" s="49" t="n"/>
      <c r="E217" s="53" t="n"/>
      <c r="F217" s="49" t="n"/>
      <c r="G217" s="53" t="n"/>
      <c r="H217" s="56" t="str">
        <f>IF(OR($C217="",$E217="",$F217="완료",$F217="취소"),"",$E217-TODAY())</f>
        <v/>
      </c>
      <c r="I217" s="56" t="str">
        <f>IF(OR($C217="",$E217=""),"",IF($F217="완료",IF($G217="","",MAX(0,$G217-$E217)),IF($F217="취소","",MAX(0,TODAY()-$E217))))</f>
        <v/>
      </c>
      <c r="J217" s="50" t="n"/>
      <c r="K217" s="52" t="str">
        <f>IF($A217="","",$A217&amp;"|"&amp;$L217)</f>
        <v/>
      </c>
      <c r="L217" s="52" t="str">
        <f>IF($A217="","",COUNTIFS($A$3:$A217,$A217))</f>
        <v/>
      </c>
    </row>
    <row r="218" ht="15" customHeight="1" s="41">
      <c r="A218" s="50" t="n"/>
      <c r="B218" s="52" t="str">
        <f>IF($A218="","",IFERROR(INDEX(회의록!$C$3:$C$302,MATCH($A218,회의록!$A$3:$A$302,0)),"회의번호없음"))</f>
        <v/>
      </c>
      <c r="C218" s="50" t="n"/>
      <c r="D218" s="49" t="n"/>
      <c r="E218" s="53" t="n"/>
      <c r="F218" s="49" t="n"/>
      <c r="G218" s="53" t="n"/>
      <c r="H218" s="56" t="str">
        <f>IF(OR($C218="",$E218="",$F218="완료",$F218="취소"),"",$E218-TODAY())</f>
        <v/>
      </c>
      <c r="I218" s="56" t="str">
        <f>IF(OR($C218="",$E218=""),"",IF($F218="완료",IF($G218="","",MAX(0,$G218-$E218)),IF($F218="취소","",MAX(0,TODAY()-$E218))))</f>
        <v/>
      </c>
      <c r="J218" s="50" t="n"/>
      <c r="K218" s="52" t="str">
        <f>IF($A218="","",$A218&amp;"|"&amp;$L218)</f>
        <v/>
      </c>
      <c r="L218" s="52" t="str">
        <f>IF($A218="","",COUNTIFS($A$3:$A218,$A218))</f>
        <v/>
      </c>
    </row>
    <row r="219" ht="15" customHeight="1" s="41">
      <c r="A219" s="50" t="n"/>
      <c r="B219" s="52" t="str">
        <f>IF($A219="","",IFERROR(INDEX(회의록!$C$3:$C$302,MATCH($A219,회의록!$A$3:$A$302,0)),"회의번호없음"))</f>
        <v/>
      </c>
      <c r="C219" s="50" t="n"/>
      <c r="D219" s="49" t="n"/>
      <c r="E219" s="53" t="n"/>
      <c r="F219" s="49" t="n"/>
      <c r="G219" s="53" t="n"/>
      <c r="H219" s="56" t="str">
        <f>IF(OR($C219="",$E219="",$F219="완료",$F219="취소"),"",$E219-TODAY())</f>
        <v/>
      </c>
      <c r="I219" s="56" t="str">
        <f>IF(OR($C219="",$E219=""),"",IF($F219="완료",IF($G219="","",MAX(0,$G219-$E219)),IF($F219="취소","",MAX(0,TODAY()-$E219))))</f>
        <v/>
      </c>
      <c r="J219" s="50" t="n"/>
      <c r="K219" s="52" t="str">
        <f>IF($A219="","",$A219&amp;"|"&amp;$L219)</f>
        <v/>
      </c>
      <c r="L219" s="52" t="str">
        <f>IF($A219="","",COUNTIFS($A$3:$A219,$A219))</f>
        <v/>
      </c>
    </row>
    <row r="220" ht="15" customHeight="1" s="41">
      <c r="A220" s="50" t="n"/>
      <c r="B220" s="52" t="str">
        <f>IF($A220="","",IFERROR(INDEX(회의록!$C$3:$C$302,MATCH($A220,회의록!$A$3:$A$302,0)),"회의번호없음"))</f>
        <v/>
      </c>
      <c r="C220" s="50" t="n"/>
      <c r="D220" s="49" t="n"/>
      <c r="E220" s="53" t="n"/>
      <c r="F220" s="49" t="n"/>
      <c r="G220" s="53" t="n"/>
      <c r="H220" s="56" t="str">
        <f>IF(OR($C220="",$E220="",$F220="완료",$F220="취소"),"",$E220-TODAY())</f>
        <v/>
      </c>
      <c r="I220" s="56" t="str">
        <f>IF(OR($C220="",$E220=""),"",IF($F220="완료",IF($G220="","",MAX(0,$G220-$E220)),IF($F220="취소","",MAX(0,TODAY()-$E220))))</f>
        <v/>
      </c>
      <c r="J220" s="50" t="n"/>
      <c r="K220" s="52" t="str">
        <f>IF($A220="","",$A220&amp;"|"&amp;$L220)</f>
        <v/>
      </c>
      <c r="L220" s="52" t="str">
        <f>IF($A220="","",COUNTIFS($A$3:$A220,$A220))</f>
        <v/>
      </c>
    </row>
    <row r="221" ht="15" customHeight="1" s="41">
      <c r="A221" s="50" t="n"/>
      <c r="B221" s="52" t="str">
        <f>IF($A221="","",IFERROR(INDEX(회의록!$C$3:$C$302,MATCH($A221,회의록!$A$3:$A$302,0)),"회의번호없음"))</f>
        <v/>
      </c>
      <c r="C221" s="50" t="n"/>
      <c r="D221" s="49" t="n"/>
      <c r="E221" s="53" t="n"/>
      <c r="F221" s="49" t="n"/>
      <c r="G221" s="53" t="n"/>
      <c r="H221" s="56" t="str">
        <f>IF(OR($C221="",$E221="",$F221="완료",$F221="취소"),"",$E221-TODAY())</f>
        <v/>
      </c>
      <c r="I221" s="56" t="str">
        <f>IF(OR($C221="",$E221=""),"",IF($F221="완료",IF($G221="","",MAX(0,$G221-$E221)),IF($F221="취소","",MAX(0,TODAY()-$E221))))</f>
        <v/>
      </c>
      <c r="J221" s="50" t="n"/>
      <c r="K221" s="52" t="str">
        <f>IF($A221="","",$A221&amp;"|"&amp;$L221)</f>
        <v/>
      </c>
      <c r="L221" s="52" t="str">
        <f>IF($A221="","",COUNTIFS($A$3:$A221,$A221))</f>
        <v/>
      </c>
    </row>
    <row r="222" ht="15" customHeight="1" s="41">
      <c r="A222" s="50" t="n"/>
      <c r="B222" s="52" t="str">
        <f>IF($A222="","",IFERROR(INDEX(회의록!$C$3:$C$302,MATCH($A222,회의록!$A$3:$A$302,0)),"회의번호없음"))</f>
        <v/>
      </c>
      <c r="C222" s="50" t="n"/>
      <c r="D222" s="49" t="n"/>
      <c r="E222" s="53" t="n"/>
      <c r="F222" s="49" t="n"/>
      <c r="G222" s="53" t="n"/>
      <c r="H222" s="56" t="str">
        <f>IF(OR($C222="",$E222="",$F222="완료",$F222="취소"),"",$E222-TODAY())</f>
        <v/>
      </c>
      <c r="I222" s="56" t="str">
        <f>IF(OR($C222="",$E222=""),"",IF($F222="완료",IF($G222="","",MAX(0,$G222-$E222)),IF($F222="취소","",MAX(0,TODAY()-$E222))))</f>
        <v/>
      </c>
      <c r="J222" s="50" t="n"/>
      <c r="K222" s="52" t="str">
        <f>IF($A222="","",$A222&amp;"|"&amp;$L222)</f>
        <v/>
      </c>
      <c r="L222" s="52" t="str">
        <f>IF($A222="","",COUNTIFS($A$3:$A222,$A222))</f>
        <v/>
      </c>
    </row>
    <row r="223" ht="15" customHeight="1" s="41">
      <c r="A223" s="50" t="n"/>
      <c r="B223" s="52" t="str">
        <f>IF($A223="","",IFERROR(INDEX(회의록!$C$3:$C$302,MATCH($A223,회의록!$A$3:$A$302,0)),"회의번호없음"))</f>
        <v/>
      </c>
      <c r="C223" s="50" t="n"/>
      <c r="D223" s="49" t="n"/>
      <c r="E223" s="53" t="n"/>
      <c r="F223" s="49" t="n"/>
      <c r="G223" s="53" t="n"/>
      <c r="H223" s="56" t="str">
        <f>IF(OR($C223="",$E223="",$F223="완료",$F223="취소"),"",$E223-TODAY())</f>
        <v/>
      </c>
      <c r="I223" s="56" t="str">
        <f>IF(OR($C223="",$E223=""),"",IF($F223="완료",IF($G223="","",MAX(0,$G223-$E223)),IF($F223="취소","",MAX(0,TODAY()-$E223))))</f>
        <v/>
      </c>
      <c r="J223" s="50" t="n"/>
      <c r="K223" s="52" t="str">
        <f>IF($A223="","",$A223&amp;"|"&amp;$L223)</f>
        <v/>
      </c>
      <c r="L223" s="52" t="str">
        <f>IF($A223="","",COUNTIFS($A$3:$A223,$A223))</f>
        <v/>
      </c>
    </row>
    <row r="224" ht="15" customHeight="1" s="41">
      <c r="A224" s="50" t="n"/>
      <c r="B224" s="52" t="str">
        <f>IF($A224="","",IFERROR(INDEX(회의록!$C$3:$C$302,MATCH($A224,회의록!$A$3:$A$302,0)),"회의번호없음"))</f>
        <v/>
      </c>
      <c r="C224" s="50" t="n"/>
      <c r="D224" s="49" t="n"/>
      <c r="E224" s="53" t="n"/>
      <c r="F224" s="49" t="n"/>
      <c r="G224" s="53" t="n"/>
      <c r="H224" s="56" t="str">
        <f>IF(OR($C224="",$E224="",$F224="완료",$F224="취소"),"",$E224-TODAY())</f>
        <v/>
      </c>
      <c r="I224" s="56" t="str">
        <f>IF(OR($C224="",$E224=""),"",IF($F224="완료",IF($G224="","",MAX(0,$G224-$E224)),IF($F224="취소","",MAX(0,TODAY()-$E224))))</f>
        <v/>
      </c>
      <c r="J224" s="50" t="n"/>
      <c r="K224" s="52" t="str">
        <f>IF($A224="","",$A224&amp;"|"&amp;$L224)</f>
        <v/>
      </c>
      <c r="L224" s="52" t="str">
        <f>IF($A224="","",COUNTIFS($A$3:$A224,$A224))</f>
        <v/>
      </c>
    </row>
    <row r="225" ht="15" customHeight="1" s="41">
      <c r="A225" s="50" t="n"/>
      <c r="B225" s="52" t="str">
        <f>IF($A225="","",IFERROR(INDEX(회의록!$C$3:$C$302,MATCH($A225,회의록!$A$3:$A$302,0)),"회의번호없음"))</f>
        <v/>
      </c>
      <c r="C225" s="50" t="n"/>
      <c r="D225" s="49" t="n"/>
      <c r="E225" s="53" t="n"/>
      <c r="F225" s="49" t="n"/>
      <c r="G225" s="53" t="n"/>
      <c r="H225" s="56" t="str">
        <f>IF(OR($C225="",$E225="",$F225="완료",$F225="취소"),"",$E225-TODAY())</f>
        <v/>
      </c>
      <c r="I225" s="56" t="str">
        <f>IF(OR($C225="",$E225=""),"",IF($F225="완료",IF($G225="","",MAX(0,$G225-$E225)),IF($F225="취소","",MAX(0,TODAY()-$E225))))</f>
        <v/>
      </c>
      <c r="J225" s="50" t="n"/>
      <c r="K225" s="52" t="str">
        <f>IF($A225="","",$A225&amp;"|"&amp;$L225)</f>
        <v/>
      </c>
      <c r="L225" s="52" t="str">
        <f>IF($A225="","",COUNTIFS($A$3:$A225,$A225))</f>
        <v/>
      </c>
    </row>
    <row r="226" ht="15" customHeight="1" s="41">
      <c r="A226" s="50" t="n"/>
      <c r="B226" s="52" t="str">
        <f>IF($A226="","",IFERROR(INDEX(회의록!$C$3:$C$302,MATCH($A226,회의록!$A$3:$A$302,0)),"회의번호없음"))</f>
        <v/>
      </c>
      <c r="C226" s="50" t="n"/>
      <c r="D226" s="49" t="n"/>
      <c r="E226" s="53" t="n"/>
      <c r="F226" s="49" t="n"/>
      <c r="G226" s="53" t="n"/>
      <c r="H226" s="56" t="str">
        <f>IF(OR($C226="",$E226="",$F226="완료",$F226="취소"),"",$E226-TODAY())</f>
        <v/>
      </c>
      <c r="I226" s="56" t="str">
        <f>IF(OR($C226="",$E226=""),"",IF($F226="완료",IF($G226="","",MAX(0,$G226-$E226)),IF($F226="취소","",MAX(0,TODAY()-$E226))))</f>
        <v/>
      </c>
      <c r="J226" s="50" t="n"/>
      <c r="K226" s="52" t="str">
        <f>IF($A226="","",$A226&amp;"|"&amp;$L226)</f>
        <v/>
      </c>
      <c r="L226" s="52" t="str">
        <f>IF($A226="","",COUNTIFS($A$3:$A226,$A226))</f>
        <v/>
      </c>
    </row>
    <row r="227" ht="15" customHeight="1" s="41">
      <c r="A227" s="50" t="n"/>
      <c r="B227" s="52" t="str">
        <f>IF($A227="","",IFERROR(INDEX(회의록!$C$3:$C$302,MATCH($A227,회의록!$A$3:$A$302,0)),"회의번호없음"))</f>
        <v/>
      </c>
      <c r="C227" s="50" t="n"/>
      <c r="D227" s="49" t="n"/>
      <c r="E227" s="53" t="n"/>
      <c r="F227" s="49" t="n"/>
      <c r="G227" s="53" t="n"/>
      <c r="H227" s="56" t="str">
        <f>IF(OR($C227="",$E227="",$F227="완료",$F227="취소"),"",$E227-TODAY())</f>
        <v/>
      </c>
      <c r="I227" s="56" t="str">
        <f>IF(OR($C227="",$E227=""),"",IF($F227="완료",IF($G227="","",MAX(0,$G227-$E227)),IF($F227="취소","",MAX(0,TODAY()-$E227))))</f>
        <v/>
      </c>
      <c r="J227" s="50" t="n"/>
      <c r="K227" s="52" t="str">
        <f>IF($A227="","",$A227&amp;"|"&amp;$L227)</f>
        <v/>
      </c>
      <c r="L227" s="52" t="str">
        <f>IF($A227="","",COUNTIFS($A$3:$A227,$A227))</f>
        <v/>
      </c>
    </row>
    <row r="228" ht="15" customHeight="1" s="41">
      <c r="A228" s="50" t="n"/>
      <c r="B228" s="52" t="str">
        <f>IF($A228="","",IFERROR(INDEX(회의록!$C$3:$C$302,MATCH($A228,회의록!$A$3:$A$302,0)),"회의번호없음"))</f>
        <v/>
      </c>
      <c r="C228" s="50" t="n"/>
      <c r="D228" s="49" t="n"/>
      <c r="E228" s="53" t="n"/>
      <c r="F228" s="49" t="n"/>
      <c r="G228" s="53" t="n"/>
      <c r="H228" s="56" t="str">
        <f>IF(OR($C228="",$E228="",$F228="완료",$F228="취소"),"",$E228-TODAY())</f>
        <v/>
      </c>
      <c r="I228" s="56" t="str">
        <f>IF(OR($C228="",$E228=""),"",IF($F228="완료",IF($G228="","",MAX(0,$G228-$E228)),IF($F228="취소","",MAX(0,TODAY()-$E228))))</f>
        <v/>
      </c>
      <c r="J228" s="50" t="n"/>
      <c r="K228" s="52" t="str">
        <f>IF($A228="","",$A228&amp;"|"&amp;$L228)</f>
        <v/>
      </c>
      <c r="L228" s="52" t="str">
        <f>IF($A228="","",COUNTIFS($A$3:$A228,$A228))</f>
        <v/>
      </c>
    </row>
    <row r="229" ht="15" customHeight="1" s="41">
      <c r="A229" s="50" t="n"/>
      <c r="B229" s="52" t="str">
        <f>IF($A229="","",IFERROR(INDEX(회의록!$C$3:$C$302,MATCH($A229,회의록!$A$3:$A$302,0)),"회의번호없음"))</f>
        <v/>
      </c>
      <c r="C229" s="50" t="n"/>
      <c r="D229" s="49" t="n"/>
      <c r="E229" s="53" t="n"/>
      <c r="F229" s="49" t="n"/>
      <c r="G229" s="53" t="n"/>
      <c r="H229" s="56" t="str">
        <f>IF(OR($C229="",$E229="",$F229="완료",$F229="취소"),"",$E229-TODAY())</f>
        <v/>
      </c>
      <c r="I229" s="56" t="str">
        <f>IF(OR($C229="",$E229=""),"",IF($F229="완료",IF($G229="","",MAX(0,$G229-$E229)),IF($F229="취소","",MAX(0,TODAY()-$E229))))</f>
        <v/>
      </c>
      <c r="J229" s="50" t="n"/>
      <c r="K229" s="52" t="str">
        <f>IF($A229="","",$A229&amp;"|"&amp;$L229)</f>
        <v/>
      </c>
      <c r="L229" s="52" t="str">
        <f>IF($A229="","",COUNTIFS($A$3:$A229,$A229))</f>
        <v/>
      </c>
    </row>
    <row r="230" ht="15" customHeight="1" s="41">
      <c r="A230" s="50" t="n"/>
      <c r="B230" s="52" t="str">
        <f>IF($A230="","",IFERROR(INDEX(회의록!$C$3:$C$302,MATCH($A230,회의록!$A$3:$A$302,0)),"회의번호없음"))</f>
        <v/>
      </c>
      <c r="C230" s="50" t="n"/>
      <c r="D230" s="49" t="n"/>
      <c r="E230" s="53" t="n"/>
      <c r="F230" s="49" t="n"/>
      <c r="G230" s="53" t="n"/>
      <c r="H230" s="56" t="str">
        <f>IF(OR($C230="",$E230="",$F230="완료",$F230="취소"),"",$E230-TODAY())</f>
        <v/>
      </c>
      <c r="I230" s="56" t="str">
        <f>IF(OR($C230="",$E230=""),"",IF($F230="완료",IF($G230="","",MAX(0,$G230-$E230)),IF($F230="취소","",MAX(0,TODAY()-$E230))))</f>
        <v/>
      </c>
      <c r="J230" s="50" t="n"/>
      <c r="K230" s="52" t="str">
        <f>IF($A230="","",$A230&amp;"|"&amp;$L230)</f>
        <v/>
      </c>
      <c r="L230" s="52" t="str">
        <f>IF($A230="","",COUNTIFS($A$3:$A230,$A230))</f>
        <v/>
      </c>
    </row>
    <row r="231" ht="15" customHeight="1" s="41">
      <c r="A231" s="50" t="n"/>
      <c r="B231" s="52" t="str">
        <f>IF($A231="","",IFERROR(INDEX(회의록!$C$3:$C$302,MATCH($A231,회의록!$A$3:$A$302,0)),"회의번호없음"))</f>
        <v/>
      </c>
      <c r="C231" s="50" t="n"/>
      <c r="D231" s="49" t="n"/>
      <c r="E231" s="53" t="n"/>
      <c r="F231" s="49" t="n"/>
      <c r="G231" s="53" t="n"/>
      <c r="H231" s="56" t="str">
        <f>IF(OR($C231="",$E231="",$F231="완료",$F231="취소"),"",$E231-TODAY())</f>
        <v/>
      </c>
      <c r="I231" s="56" t="str">
        <f>IF(OR($C231="",$E231=""),"",IF($F231="완료",IF($G231="","",MAX(0,$G231-$E231)),IF($F231="취소","",MAX(0,TODAY()-$E231))))</f>
        <v/>
      </c>
      <c r="J231" s="50" t="n"/>
      <c r="K231" s="52" t="str">
        <f>IF($A231="","",$A231&amp;"|"&amp;$L231)</f>
        <v/>
      </c>
      <c r="L231" s="52" t="str">
        <f>IF($A231="","",COUNTIFS($A$3:$A231,$A231))</f>
        <v/>
      </c>
    </row>
    <row r="232" ht="15" customHeight="1" s="41">
      <c r="A232" s="50" t="n"/>
      <c r="B232" s="52" t="str">
        <f>IF($A232="","",IFERROR(INDEX(회의록!$C$3:$C$302,MATCH($A232,회의록!$A$3:$A$302,0)),"회의번호없음"))</f>
        <v/>
      </c>
      <c r="C232" s="50" t="n"/>
      <c r="D232" s="49" t="n"/>
      <c r="E232" s="53" t="n"/>
      <c r="F232" s="49" t="n"/>
      <c r="G232" s="53" t="n"/>
      <c r="H232" s="56" t="str">
        <f>IF(OR($C232="",$E232="",$F232="완료",$F232="취소"),"",$E232-TODAY())</f>
        <v/>
      </c>
      <c r="I232" s="56" t="str">
        <f>IF(OR($C232="",$E232=""),"",IF($F232="완료",IF($G232="","",MAX(0,$G232-$E232)),IF($F232="취소","",MAX(0,TODAY()-$E232))))</f>
        <v/>
      </c>
      <c r="J232" s="50" t="n"/>
      <c r="K232" s="52" t="str">
        <f>IF($A232="","",$A232&amp;"|"&amp;$L232)</f>
        <v/>
      </c>
      <c r="L232" s="52" t="str">
        <f>IF($A232="","",COUNTIFS($A$3:$A232,$A232))</f>
        <v/>
      </c>
    </row>
    <row r="233" ht="15" customHeight="1" s="41">
      <c r="A233" s="50" t="n"/>
      <c r="B233" s="52" t="str">
        <f>IF($A233="","",IFERROR(INDEX(회의록!$C$3:$C$302,MATCH($A233,회의록!$A$3:$A$302,0)),"회의번호없음"))</f>
        <v/>
      </c>
      <c r="C233" s="50" t="n"/>
      <c r="D233" s="49" t="n"/>
      <c r="E233" s="53" t="n"/>
      <c r="F233" s="49" t="n"/>
      <c r="G233" s="53" t="n"/>
      <c r="H233" s="56" t="str">
        <f>IF(OR($C233="",$E233="",$F233="완료",$F233="취소"),"",$E233-TODAY())</f>
        <v/>
      </c>
      <c r="I233" s="56" t="str">
        <f>IF(OR($C233="",$E233=""),"",IF($F233="완료",IF($G233="","",MAX(0,$G233-$E233)),IF($F233="취소","",MAX(0,TODAY()-$E233))))</f>
        <v/>
      </c>
      <c r="J233" s="50" t="n"/>
      <c r="K233" s="52" t="str">
        <f>IF($A233="","",$A233&amp;"|"&amp;$L233)</f>
        <v/>
      </c>
      <c r="L233" s="52" t="str">
        <f>IF($A233="","",COUNTIFS($A$3:$A233,$A233))</f>
        <v/>
      </c>
    </row>
    <row r="234" ht="15" customHeight="1" s="41">
      <c r="A234" s="50" t="n"/>
      <c r="B234" s="52" t="str">
        <f>IF($A234="","",IFERROR(INDEX(회의록!$C$3:$C$302,MATCH($A234,회의록!$A$3:$A$302,0)),"회의번호없음"))</f>
        <v/>
      </c>
      <c r="C234" s="50" t="n"/>
      <c r="D234" s="49" t="n"/>
      <c r="E234" s="53" t="n"/>
      <c r="F234" s="49" t="n"/>
      <c r="G234" s="53" t="n"/>
      <c r="H234" s="56" t="str">
        <f>IF(OR($C234="",$E234="",$F234="완료",$F234="취소"),"",$E234-TODAY())</f>
        <v/>
      </c>
      <c r="I234" s="56" t="str">
        <f>IF(OR($C234="",$E234=""),"",IF($F234="완료",IF($G234="","",MAX(0,$G234-$E234)),IF($F234="취소","",MAX(0,TODAY()-$E234))))</f>
        <v/>
      </c>
      <c r="J234" s="50" t="n"/>
      <c r="K234" s="52" t="str">
        <f>IF($A234="","",$A234&amp;"|"&amp;$L234)</f>
        <v/>
      </c>
      <c r="L234" s="52" t="str">
        <f>IF($A234="","",COUNTIFS($A$3:$A234,$A234))</f>
        <v/>
      </c>
    </row>
    <row r="235" ht="15" customHeight="1" s="41">
      <c r="A235" s="50" t="n"/>
      <c r="B235" s="52" t="str">
        <f>IF($A235="","",IFERROR(INDEX(회의록!$C$3:$C$302,MATCH($A235,회의록!$A$3:$A$302,0)),"회의번호없음"))</f>
        <v/>
      </c>
      <c r="C235" s="50" t="n"/>
      <c r="D235" s="49" t="n"/>
      <c r="E235" s="53" t="n"/>
      <c r="F235" s="49" t="n"/>
      <c r="G235" s="53" t="n"/>
      <c r="H235" s="56" t="str">
        <f>IF(OR($C235="",$E235="",$F235="완료",$F235="취소"),"",$E235-TODAY())</f>
        <v/>
      </c>
      <c r="I235" s="56" t="str">
        <f>IF(OR($C235="",$E235=""),"",IF($F235="완료",IF($G235="","",MAX(0,$G235-$E235)),IF($F235="취소","",MAX(0,TODAY()-$E235))))</f>
        <v/>
      </c>
      <c r="J235" s="50" t="n"/>
      <c r="K235" s="52" t="str">
        <f>IF($A235="","",$A235&amp;"|"&amp;$L235)</f>
        <v/>
      </c>
      <c r="L235" s="52" t="str">
        <f>IF($A235="","",COUNTIFS($A$3:$A235,$A235))</f>
        <v/>
      </c>
    </row>
    <row r="236" ht="15" customHeight="1" s="41">
      <c r="A236" s="50" t="n"/>
      <c r="B236" s="52" t="str">
        <f>IF($A236="","",IFERROR(INDEX(회의록!$C$3:$C$302,MATCH($A236,회의록!$A$3:$A$302,0)),"회의번호없음"))</f>
        <v/>
      </c>
      <c r="C236" s="50" t="n"/>
      <c r="D236" s="49" t="n"/>
      <c r="E236" s="53" t="n"/>
      <c r="F236" s="49" t="n"/>
      <c r="G236" s="53" t="n"/>
      <c r="H236" s="56" t="str">
        <f>IF(OR($C236="",$E236="",$F236="완료",$F236="취소"),"",$E236-TODAY())</f>
        <v/>
      </c>
      <c r="I236" s="56" t="str">
        <f>IF(OR($C236="",$E236=""),"",IF($F236="완료",IF($G236="","",MAX(0,$G236-$E236)),IF($F236="취소","",MAX(0,TODAY()-$E236))))</f>
        <v/>
      </c>
      <c r="J236" s="50" t="n"/>
      <c r="K236" s="52" t="str">
        <f>IF($A236="","",$A236&amp;"|"&amp;$L236)</f>
        <v/>
      </c>
      <c r="L236" s="52" t="str">
        <f>IF($A236="","",COUNTIFS($A$3:$A236,$A236))</f>
        <v/>
      </c>
    </row>
    <row r="237" ht="15" customHeight="1" s="41">
      <c r="A237" s="50" t="n"/>
      <c r="B237" s="52" t="str">
        <f>IF($A237="","",IFERROR(INDEX(회의록!$C$3:$C$302,MATCH($A237,회의록!$A$3:$A$302,0)),"회의번호없음"))</f>
        <v/>
      </c>
      <c r="C237" s="50" t="n"/>
      <c r="D237" s="49" t="n"/>
      <c r="E237" s="53" t="n"/>
      <c r="F237" s="49" t="n"/>
      <c r="G237" s="53" t="n"/>
      <c r="H237" s="56" t="str">
        <f>IF(OR($C237="",$E237="",$F237="완료",$F237="취소"),"",$E237-TODAY())</f>
        <v/>
      </c>
      <c r="I237" s="56" t="str">
        <f>IF(OR($C237="",$E237=""),"",IF($F237="완료",IF($G237="","",MAX(0,$G237-$E237)),IF($F237="취소","",MAX(0,TODAY()-$E237))))</f>
        <v/>
      </c>
      <c r="J237" s="50" t="n"/>
      <c r="K237" s="52" t="str">
        <f>IF($A237="","",$A237&amp;"|"&amp;$L237)</f>
        <v/>
      </c>
      <c r="L237" s="52" t="str">
        <f>IF($A237="","",COUNTIFS($A$3:$A237,$A237))</f>
        <v/>
      </c>
    </row>
    <row r="238" ht="15" customHeight="1" s="41">
      <c r="A238" s="50" t="n"/>
      <c r="B238" s="52" t="str">
        <f>IF($A238="","",IFERROR(INDEX(회의록!$C$3:$C$302,MATCH($A238,회의록!$A$3:$A$302,0)),"회의번호없음"))</f>
        <v/>
      </c>
      <c r="C238" s="50" t="n"/>
      <c r="D238" s="49" t="n"/>
      <c r="E238" s="53" t="n"/>
      <c r="F238" s="49" t="n"/>
      <c r="G238" s="53" t="n"/>
      <c r="H238" s="56" t="str">
        <f>IF(OR($C238="",$E238="",$F238="완료",$F238="취소"),"",$E238-TODAY())</f>
        <v/>
      </c>
      <c r="I238" s="56" t="str">
        <f>IF(OR($C238="",$E238=""),"",IF($F238="완료",IF($G238="","",MAX(0,$G238-$E238)),IF($F238="취소","",MAX(0,TODAY()-$E238))))</f>
        <v/>
      </c>
      <c r="J238" s="50" t="n"/>
      <c r="K238" s="52" t="str">
        <f>IF($A238="","",$A238&amp;"|"&amp;$L238)</f>
        <v/>
      </c>
      <c r="L238" s="52" t="str">
        <f>IF($A238="","",COUNTIFS($A$3:$A238,$A238))</f>
        <v/>
      </c>
    </row>
    <row r="239" ht="15" customHeight="1" s="41">
      <c r="A239" s="50" t="n"/>
      <c r="B239" s="52" t="str">
        <f>IF($A239="","",IFERROR(INDEX(회의록!$C$3:$C$302,MATCH($A239,회의록!$A$3:$A$302,0)),"회의번호없음"))</f>
        <v/>
      </c>
      <c r="C239" s="50" t="n"/>
      <c r="D239" s="49" t="n"/>
      <c r="E239" s="53" t="n"/>
      <c r="F239" s="49" t="n"/>
      <c r="G239" s="53" t="n"/>
      <c r="H239" s="56" t="str">
        <f>IF(OR($C239="",$E239="",$F239="완료",$F239="취소"),"",$E239-TODAY())</f>
        <v/>
      </c>
      <c r="I239" s="56" t="str">
        <f>IF(OR($C239="",$E239=""),"",IF($F239="완료",IF($G239="","",MAX(0,$G239-$E239)),IF($F239="취소","",MAX(0,TODAY()-$E239))))</f>
        <v/>
      </c>
      <c r="J239" s="50" t="n"/>
      <c r="K239" s="52" t="str">
        <f>IF($A239="","",$A239&amp;"|"&amp;$L239)</f>
        <v/>
      </c>
      <c r="L239" s="52" t="str">
        <f>IF($A239="","",COUNTIFS($A$3:$A239,$A239))</f>
        <v/>
      </c>
    </row>
    <row r="240" ht="15" customHeight="1" s="41">
      <c r="A240" s="50" t="n"/>
      <c r="B240" s="52" t="str">
        <f>IF($A240="","",IFERROR(INDEX(회의록!$C$3:$C$302,MATCH($A240,회의록!$A$3:$A$302,0)),"회의번호없음"))</f>
        <v/>
      </c>
      <c r="C240" s="50" t="n"/>
      <c r="D240" s="49" t="n"/>
      <c r="E240" s="53" t="n"/>
      <c r="F240" s="49" t="n"/>
      <c r="G240" s="53" t="n"/>
      <c r="H240" s="56" t="str">
        <f>IF(OR($C240="",$E240="",$F240="완료",$F240="취소"),"",$E240-TODAY())</f>
        <v/>
      </c>
      <c r="I240" s="56" t="str">
        <f>IF(OR($C240="",$E240=""),"",IF($F240="완료",IF($G240="","",MAX(0,$G240-$E240)),IF($F240="취소","",MAX(0,TODAY()-$E240))))</f>
        <v/>
      </c>
      <c r="J240" s="50" t="n"/>
      <c r="K240" s="52" t="str">
        <f>IF($A240="","",$A240&amp;"|"&amp;$L240)</f>
        <v/>
      </c>
      <c r="L240" s="52" t="str">
        <f>IF($A240="","",COUNTIFS($A$3:$A240,$A240))</f>
        <v/>
      </c>
    </row>
    <row r="241" ht="15" customHeight="1" s="41">
      <c r="A241" s="50" t="n"/>
      <c r="B241" s="52" t="str">
        <f>IF($A241="","",IFERROR(INDEX(회의록!$C$3:$C$302,MATCH($A241,회의록!$A$3:$A$302,0)),"회의번호없음"))</f>
        <v/>
      </c>
      <c r="C241" s="50" t="n"/>
      <c r="D241" s="49" t="n"/>
      <c r="E241" s="53" t="n"/>
      <c r="F241" s="49" t="n"/>
      <c r="G241" s="53" t="n"/>
      <c r="H241" s="56" t="str">
        <f>IF(OR($C241="",$E241="",$F241="완료",$F241="취소"),"",$E241-TODAY())</f>
        <v/>
      </c>
      <c r="I241" s="56" t="str">
        <f>IF(OR($C241="",$E241=""),"",IF($F241="완료",IF($G241="","",MAX(0,$G241-$E241)),IF($F241="취소","",MAX(0,TODAY()-$E241))))</f>
        <v/>
      </c>
      <c r="J241" s="50" t="n"/>
      <c r="K241" s="52" t="str">
        <f>IF($A241="","",$A241&amp;"|"&amp;$L241)</f>
        <v/>
      </c>
      <c r="L241" s="52" t="str">
        <f>IF($A241="","",COUNTIFS($A$3:$A241,$A241))</f>
        <v/>
      </c>
    </row>
    <row r="242" ht="15" customHeight="1" s="41">
      <c r="A242" s="50" t="n"/>
      <c r="B242" s="52" t="str">
        <f>IF($A242="","",IFERROR(INDEX(회의록!$C$3:$C$302,MATCH($A242,회의록!$A$3:$A$302,0)),"회의번호없음"))</f>
        <v/>
      </c>
      <c r="C242" s="50" t="n"/>
      <c r="D242" s="49" t="n"/>
      <c r="E242" s="53" t="n"/>
      <c r="F242" s="49" t="n"/>
      <c r="G242" s="53" t="n"/>
      <c r="H242" s="56" t="str">
        <f>IF(OR($C242="",$E242="",$F242="완료",$F242="취소"),"",$E242-TODAY())</f>
        <v/>
      </c>
      <c r="I242" s="56" t="str">
        <f>IF(OR($C242="",$E242=""),"",IF($F242="완료",IF($G242="","",MAX(0,$G242-$E242)),IF($F242="취소","",MAX(0,TODAY()-$E242))))</f>
        <v/>
      </c>
      <c r="J242" s="50" t="n"/>
      <c r="K242" s="52" t="str">
        <f>IF($A242="","",$A242&amp;"|"&amp;$L242)</f>
        <v/>
      </c>
      <c r="L242" s="52" t="str">
        <f>IF($A242="","",COUNTIFS($A$3:$A242,$A242))</f>
        <v/>
      </c>
    </row>
    <row r="243" ht="15" customHeight="1" s="41">
      <c r="A243" s="50" t="n"/>
      <c r="B243" s="52" t="str">
        <f>IF($A243="","",IFERROR(INDEX(회의록!$C$3:$C$302,MATCH($A243,회의록!$A$3:$A$302,0)),"회의번호없음"))</f>
        <v/>
      </c>
      <c r="C243" s="50" t="n"/>
      <c r="D243" s="49" t="n"/>
      <c r="E243" s="53" t="n"/>
      <c r="F243" s="49" t="n"/>
      <c r="G243" s="53" t="n"/>
      <c r="H243" s="56" t="str">
        <f>IF(OR($C243="",$E243="",$F243="완료",$F243="취소"),"",$E243-TODAY())</f>
        <v/>
      </c>
      <c r="I243" s="56" t="str">
        <f>IF(OR($C243="",$E243=""),"",IF($F243="완료",IF($G243="","",MAX(0,$G243-$E243)),IF($F243="취소","",MAX(0,TODAY()-$E243))))</f>
        <v/>
      </c>
      <c r="J243" s="50" t="n"/>
      <c r="K243" s="52" t="str">
        <f>IF($A243="","",$A243&amp;"|"&amp;$L243)</f>
        <v/>
      </c>
      <c r="L243" s="52" t="str">
        <f>IF($A243="","",COUNTIFS($A$3:$A243,$A243))</f>
        <v/>
      </c>
    </row>
    <row r="244" ht="15" customHeight="1" s="41">
      <c r="A244" s="50" t="n"/>
      <c r="B244" s="52" t="str">
        <f>IF($A244="","",IFERROR(INDEX(회의록!$C$3:$C$302,MATCH($A244,회의록!$A$3:$A$302,0)),"회의번호없음"))</f>
        <v/>
      </c>
      <c r="C244" s="50" t="n"/>
      <c r="D244" s="49" t="n"/>
      <c r="E244" s="53" t="n"/>
      <c r="F244" s="49" t="n"/>
      <c r="G244" s="53" t="n"/>
      <c r="H244" s="56" t="str">
        <f>IF(OR($C244="",$E244="",$F244="완료",$F244="취소"),"",$E244-TODAY())</f>
        <v/>
      </c>
      <c r="I244" s="56" t="str">
        <f>IF(OR($C244="",$E244=""),"",IF($F244="완료",IF($G244="","",MAX(0,$G244-$E244)),IF($F244="취소","",MAX(0,TODAY()-$E244))))</f>
        <v/>
      </c>
      <c r="J244" s="50" t="n"/>
      <c r="K244" s="52" t="str">
        <f>IF($A244="","",$A244&amp;"|"&amp;$L244)</f>
        <v/>
      </c>
      <c r="L244" s="52" t="str">
        <f>IF($A244="","",COUNTIFS($A$3:$A244,$A244))</f>
        <v/>
      </c>
    </row>
    <row r="245" ht="15" customHeight="1" s="41">
      <c r="A245" s="50" t="n"/>
      <c r="B245" s="52" t="str">
        <f>IF($A245="","",IFERROR(INDEX(회의록!$C$3:$C$302,MATCH($A245,회의록!$A$3:$A$302,0)),"회의번호없음"))</f>
        <v/>
      </c>
      <c r="C245" s="50" t="n"/>
      <c r="D245" s="49" t="n"/>
      <c r="E245" s="53" t="n"/>
      <c r="F245" s="49" t="n"/>
      <c r="G245" s="53" t="n"/>
      <c r="H245" s="56" t="str">
        <f>IF(OR($C245="",$E245="",$F245="완료",$F245="취소"),"",$E245-TODAY())</f>
        <v/>
      </c>
      <c r="I245" s="56" t="str">
        <f>IF(OR($C245="",$E245=""),"",IF($F245="완료",IF($G245="","",MAX(0,$G245-$E245)),IF($F245="취소","",MAX(0,TODAY()-$E245))))</f>
        <v/>
      </c>
      <c r="J245" s="50" t="n"/>
      <c r="K245" s="52" t="str">
        <f>IF($A245="","",$A245&amp;"|"&amp;$L245)</f>
        <v/>
      </c>
      <c r="L245" s="52" t="str">
        <f>IF($A245="","",COUNTIFS($A$3:$A245,$A245))</f>
        <v/>
      </c>
    </row>
    <row r="246" ht="15" customHeight="1" s="41">
      <c r="A246" s="50" t="n"/>
      <c r="B246" s="52" t="str">
        <f>IF($A246="","",IFERROR(INDEX(회의록!$C$3:$C$302,MATCH($A246,회의록!$A$3:$A$302,0)),"회의번호없음"))</f>
        <v/>
      </c>
      <c r="C246" s="50" t="n"/>
      <c r="D246" s="49" t="n"/>
      <c r="E246" s="53" t="n"/>
      <c r="F246" s="49" t="n"/>
      <c r="G246" s="53" t="n"/>
      <c r="H246" s="56" t="str">
        <f>IF(OR($C246="",$E246="",$F246="완료",$F246="취소"),"",$E246-TODAY())</f>
        <v/>
      </c>
      <c r="I246" s="56" t="str">
        <f>IF(OR($C246="",$E246=""),"",IF($F246="완료",IF($G246="","",MAX(0,$G246-$E246)),IF($F246="취소","",MAX(0,TODAY()-$E246))))</f>
        <v/>
      </c>
      <c r="J246" s="50" t="n"/>
      <c r="K246" s="52" t="str">
        <f>IF($A246="","",$A246&amp;"|"&amp;$L246)</f>
        <v/>
      </c>
      <c r="L246" s="52" t="str">
        <f>IF($A246="","",COUNTIFS($A$3:$A246,$A246))</f>
        <v/>
      </c>
    </row>
    <row r="247" ht="15" customHeight="1" s="41">
      <c r="A247" s="50" t="n"/>
      <c r="B247" s="52" t="str">
        <f>IF($A247="","",IFERROR(INDEX(회의록!$C$3:$C$302,MATCH($A247,회의록!$A$3:$A$302,0)),"회의번호없음"))</f>
        <v/>
      </c>
      <c r="C247" s="50" t="n"/>
      <c r="D247" s="49" t="n"/>
      <c r="E247" s="53" t="n"/>
      <c r="F247" s="49" t="n"/>
      <c r="G247" s="53" t="n"/>
      <c r="H247" s="56" t="str">
        <f>IF(OR($C247="",$E247="",$F247="완료",$F247="취소"),"",$E247-TODAY())</f>
        <v/>
      </c>
      <c r="I247" s="56" t="str">
        <f>IF(OR($C247="",$E247=""),"",IF($F247="완료",IF($G247="","",MAX(0,$G247-$E247)),IF($F247="취소","",MAX(0,TODAY()-$E247))))</f>
        <v/>
      </c>
      <c r="J247" s="50" t="n"/>
      <c r="K247" s="52" t="str">
        <f>IF($A247="","",$A247&amp;"|"&amp;$L247)</f>
        <v/>
      </c>
      <c r="L247" s="52" t="str">
        <f>IF($A247="","",COUNTIFS($A$3:$A247,$A247))</f>
        <v/>
      </c>
    </row>
    <row r="248" ht="15" customHeight="1" s="41">
      <c r="A248" s="50" t="n"/>
      <c r="B248" s="52" t="str">
        <f>IF($A248="","",IFERROR(INDEX(회의록!$C$3:$C$302,MATCH($A248,회의록!$A$3:$A$302,0)),"회의번호없음"))</f>
        <v/>
      </c>
      <c r="C248" s="50" t="n"/>
      <c r="D248" s="49" t="n"/>
      <c r="E248" s="53" t="n"/>
      <c r="F248" s="49" t="n"/>
      <c r="G248" s="53" t="n"/>
      <c r="H248" s="56" t="str">
        <f>IF(OR($C248="",$E248="",$F248="완료",$F248="취소"),"",$E248-TODAY())</f>
        <v/>
      </c>
      <c r="I248" s="56" t="str">
        <f>IF(OR($C248="",$E248=""),"",IF($F248="완료",IF($G248="","",MAX(0,$G248-$E248)),IF($F248="취소","",MAX(0,TODAY()-$E248))))</f>
        <v/>
      </c>
      <c r="J248" s="50" t="n"/>
      <c r="K248" s="52" t="str">
        <f>IF($A248="","",$A248&amp;"|"&amp;$L248)</f>
        <v/>
      </c>
      <c r="L248" s="52" t="str">
        <f>IF($A248="","",COUNTIFS($A$3:$A248,$A248))</f>
        <v/>
      </c>
    </row>
    <row r="249" ht="15" customHeight="1" s="41">
      <c r="A249" s="50" t="n"/>
      <c r="B249" s="52" t="str">
        <f>IF($A249="","",IFERROR(INDEX(회의록!$C$3:$C$302,MATCH($A249,회의록!$A$3:$A$302,0)),"회의번호없음"))</f>
        <v/>
      </c>
      <c r="C249" s="50" t="n"/>
      <c r="D249" s="49" t="n"/>
      <c r="E249" s="53" t="n"/>
      <c r="F249" s="49" t="n"/>
      <c r="G249" s="53" t="n"/>
      <c r="H249" s="56" t="str">
        <f>IF(OR($C249="",$E249="",$F249="완료",$F249="취소"),"",$E249-TODAY())</f>
        <v/>
      </c>
      <c r="I249" s="56" t="str">
        <f>IF(OR($C249="",$E249=""),"",IF($F249="완료",IF($G249="","",MAX(0,$G249-$E249)),IF($F249="취소","",MAX(0,TODAY()-$E249))))</f>
        <v/>
      </c>
      <c r="J249" s="50" t="n"/>
      <c r="K249" s="52" t="str">
        <f>IF($A249="","",$A249&amp;"|"&amp;$L249)</f>
        <v/>
      </c>
      <c r="L249" s="52" t="str">
        <f>IF($A249="","",COUNTIFS($A$3:$A249,$A249))</f>
        <v/>
      </c>
    </row>
    <row r="250" ht="15" customHeight="1" s="41">
      <c r="A250" s="50" t="n"/>
      <c r="B250" s="52" t="str">
        <f>IF($A250="","",IFERROR(INDEX(회의록!$C$3:$C$302,MATCH($A250,회의록!$A$3:$A$302,0)),"회의번호없음"))</f>
        <v/>
      </c>
      <c r="C250" s="50" t="n"/>
      <c r="D250" s="49" t="n"/>
      <c r="E250" s="53" t="n"/>
      <c r="F250" s="49" t="n"/>
      <c r="G250" s="53" t="n"/>
      <c r="H250" s="56" t="str">
        <f>IF(OR($C250="",$E250="",$F250="완료",$F250="취소"),"",$E250-TODAY())</f>
        <v/>
      </c>
      <c r="I250" s="56" t="str">
        <f>IF(OR($C250="",$E250=""),"",IF($F250="완료",IF($G250="","",MAX(0,$G250-$E250)),IF($F250="취소","",MAX(0,TODAY()-$E250))))</f>
        <v/>
      </c>
      <c r="J250" s="50" t="n"/>
      <c r="K250" s="52" t="str">
        <f>IF($A250="","",$A250&amp;"|"&amp;$L250)</f>
        <v/>
      </c>
      <c r="L250" s="52" t="str">
        <f>IF($A250="","",COUNTIFS($A$3:$A250,$A250))</f>
        <v/>
      </c>
    </row>
    <row r="251" ht="15" customHeight="1" s="41">
      <c r="A251" s="50" t="n"/>
      <c r="B251" s="52" t="str">
        <f>IF($A251="","",IFERROR(INDEX(회의록!$C$3:$C$302,MATCH($A251,회의록!$A$3:$A$302,0)),"회의번호없음"))</f>
        <v/>
      </c>
      <c r="C251" s="50" t="n"/>
      <c r="D251" s="49" t="n"/>
      <c r="E251" s="53" t="n"/>
      <c r="F251" s="49" t="n"/>
      <c r="G251" s="53" t="n"/>
      <c r="H251" s="56" t="str">
        <f>IF(OR($C251="",$E251="",$F251="완료",$F251="취소"),"",$E251-TODAY())</f>
        <v/>
      </c>
      <c r="I251" s="56" t="str">
        <f>IF(OR($C251="",$E251=""),"",IF($F251="완료",IF($G251="","",MAX(0,$G251-$E251)),IF($F251="취소","",MAX(0,TODAY()-$E251))))</f>
        <v/>
      </c>
      <c r="J251" s="50" t="n"/>
      <c r="K251" s="52" t="str">
        <f>IF($A251="","",$A251&amp;"|"&amp;$L251)</f>
        <v/>
      </c>
      <c r="L251" s="52" t="str">
        <f>IF($A251="","",COUNTIFS($A$3:$A251,$A251))</f>
        <v/>
      </c>
    </row>
    <row r="252" ht="15" customHeight="1" s="41">
      <c r="A252" s="50" t="n"/>
      <c r="B252" s="52" t="str">
        <f>IF($A252="","",IFERROR(INDEX(회의록!$C$3:$C$302,MATCH($A252,회의록!$A$3:$A$302,0)),"회의번호없음"))</f>
        <v/>
      </c>
      <c r="C252" s="50" t="n"/>
      <c r="D252" s="49" t="n"/>
      <c r="E252" s="53" t="n"/>
      <c r="F252" s="49" t="n"/>
      <c r="G252" s="53" t="n"/>
      <c r="H252" s="56" t="str">
        <f>IF(OR($C252="",$E252="",$F252="완료",$F252="취소"),"",$E252-TODAY())</f>
        <v/>
      </c>
      <c r="I252" s="56" t="str">
        <f>IF(OR($C252="",$E252=""),"",IF($F252="완료",IF($G252="","",MAX(0,$G252-$E252)),IF($F252="취소","",MAX(0,TODAY()-$E252))))</f>
        <v/>
      </c>
      <c r="J252" s="50" t="n"/>
      <c r="K252" s="52" t="str">
        <f>IF($A252="","",$A252&amp;"|"&amp;$L252)</f>
        <v/>
      </c>
      <c r="L252" s="52" t="str">
        <f>IF($A252="","",COUNTIFS($A$3:$A252,$A252))</f>
        <v/>
      </c>
    </row>
    <row r="253" ht="15" customHeight="1" s="41">
      <c r="A253" s="50" t="n"/>
      <c r="B253" s="52" t="str">
        <f>IF($A253="","",IFERROR(INDEX(회의록!$C$3:$C$302,MATCH($A253,회의록!$A$3:$A$302,0)),"회의번호없음"))</f>
        <v/>
      </c>
      <c r="C253" s="50" t="n"/>
      <c r="D253" s="49" t="n"/>
      <c r="E253" s="53" t="n"/>
      <c r="F253" s="49" t="n"/>
      <c r="G253" s="53" t="n"/>
      <c r="H253" s="56" t="str">
        <f>IF(OR($C253="",$E253="",$F253="완료",$F253="취소"),"",$E253-TODAY())</f>
        <v/>
      </c>
      <c r="I253" s="56" t="str">
        <f>IF(OR($C253="",$E253=""),"",IF($F253="완료",IF($G253="","",MAX(0,$G253-$E253)),IF($F253="취소","",MAX(0,TODAY()-$E253))))</f>
        <v/>
      </c>
      <c r="J253" s="50" t="n"/>
      <c r="K253" s="52" t="str">
        <f>IF($A253="","",$A253&amp;"|"&amp;$L253)</f>
        <v/>
      </c>
      <c r="L253" s="52" t="str">
        <f>IF($A253="","",COUNTIFS($A$3:$A253,$A253))</f>
        <v/>
      </c>
    </row>
    <row r="254" ht="15" customHeight="1" s="41">
      <c r="A254" s="50" t="n"/>
      <c r="B254" s="52" t="str">
        <f>IF($A254="","",IFERROR(INDEX(회의록!$C$3:$C$302,MATCH($A254,회의록!$A$3:$A$302,0)),"회의번호없음"))</f>
        <v/>
      </c>
      <c r="C254" s="50" t="n"/>
      <c r="D254" s="49" t="n"/>
      <c r="E254" s="53" t="n"/>
      <c r="F254" s="49" t="n"/>
      <c r="G254" s="53" t="n"/>
      <c r="H254" s="56" t="str">
        <f>IF(OR($C254="",$E254="",$F254="완료",$F254="취소"),"",$E254-TODAY())</f>
        <v/>
      </c>
      <c r="I254" s="56" t="str">
        <f>IF(OR($C254="",$E254=""),"",IF($F254="완료",IF($G254="","",MAX(0,$G254-$E254)),IF($F254="취소","",MAX(0,TODAY()-$E254))))</f>
        <v/>
      </c>
      <c r="J254" s="50" t="n"/>
      <c r="K254" s="52" t="str">
        <f>IF($A254="","",$A254&amp;"|"&amp;$L254)</f>
        <v/>
      </c>
      <c r="L254" s="52" t="str">
        <f>IF($A254="","",COUNTIFS($A$3:$A254,$A254))</f>
        <v/>
      </c>
    </row>
    <row r="255" ht="15" customHeight="1" s="41">
      <c r="A255" s="50" t="n"/>
      <c r="B255" s="52" t="str">
        <f>IF($A255="","",IFERROR(INDEX(회의록!$C$3:$C$302,MATCH($A255,회의록!$A$3:$A$302,0)),"회의번호없음"))</f>
        <v/>
      </c>
      <c r="C255" s="50" t="n"/>
      <c r="D255" s="49" t="n"/>
      <c r="E255" s="53" t="n"/>
      <c r="F255" s="49" t="n"/>
      <c r="G255" s="53" t="n"/>
      <c r="H255" s="56" t="str">
        <f>IF(OR($C255="",$E255="",$F255="완료",$F255="취소"),"",$E255-TODAY())</f>
        <v/>
      </c>
      <c r="I255" s="56" t="str">
        <f>IF(OR($C255="",$E255=""),"",IF($F255="완료",IF($G255="","",MAX(0,$G255-$E255)),IF($F255="취소","",MAX(0,TODAY()-$E255))))</f>
        <v/>
      </c>
      <c r="J255" s="50" t="n"/>
      <c r="K255" s="52" t="str">
        <f>IF($A255="","",$A255&amp;"|"&amp;$L255)</f>
        <v/>
      </c>
      <c r="L255" s="52" t="str">
        <f>IF($A255="","",COUNTIFS($A$3:$A255,$A255))</f>
        <v/>
      </c>
    </row>
    <row r="256" ht="15" customHeight="1" s="41">
      <c r="A256" s="50" t="n"/>
      <c r="B256" s="52" t="str">
        <f>IF($A256="","",IFERROR(INDEX(회의록!$C$3:$C$302,MATCH($A256,회의록!$A$3:$A$302,0)),"회의번호없음"))</f>
        <v/>
      </c>
      <c r="C256" s="50" t="n"/>
      <c r="D256" s="49" t="n"/>
      <c r="E256" s="53" t="n"/>
      <c r="F256" s="49" t="n"/>
      <c r="G256" s="53" t="n"/>
      <c r="H256" s="56" t="str">
        <f>IF(OR($C256="",$E256="",$F256="완료",$F256="취소"),"",$E256-TODAY())</f>
        <v/>
      </c>
      <c r="I256" s="56" t="str">
        <f>IF(OR($C256="",$E256=""),"",IF($F256="완료",IF($G256="","",MAX(0,$G256-$E256)),IF($F256="취소","",MAX(0,TODAY()-$E256))))</f>
        <v/>
      </c>
      <c r="J256" s="50" t="n"/>
      <c r="K256" s="52" t="str">
        <f>IF($A256="","",$A256&amp;"|"&amp;$L256)</f>
        <v/>
      </c>
      <c r="L256" s="52" t="str">
        <f>IF($A256="","",COUNTIFS($A$3:$A256,$A256))</f>
        <v/>
      </c>
    </row>
    <row r="257" ht="15" customHeight="1" s="41">
      <c r="A257" s="50" t="n"/>
      <c r="B257" s="52" t="str">
        <f>IF($A257="","",IFERROR(INDEX(회의록!$C$3:$C$302,MATCH($A257,회의록!$A$3:$A$302,0)),"회의번호없음"))</f>
        <v/>
      </c>
      <c r="C257" s="50" t="n"/>
      <c r="D257" s="49" t="n"/>
      <c r="E257" s="53" t="n"/>
      <c r="F257" s="49" t="n"/>
      <c r="G257" s="53" t="n"/>
      <c r="H257" s="56" t="str">
        <f>IF(OR($C257="",$E257="",$F257="완료",$F257="취소"),"",$E257-TODAY())</f>
        <v/>
      </c>
      <c r="I257" s="56" t="str">
        <f>IF(OR($C257="",$E257=""),"",IF($F257="완료",IF($G257="","",MAX(0,$G257-$E257)),IF($F257="취소","",MAX(0,TODAY()-$E257))))</f>
        <v/>
      </c>
      <c r="J257" s="50" t="n"/>
      <c r="K257" s="52" t="str">
        <f>IF($A257="","",$A257&amp;"|"&amp;$L257)</f>
        <v/>
      </c>
      <c r="L257" s="52" t="str">
        <f>IF($A257="","",COUNTIFS($A$3:$A257,$A257))</f>
        <v/>
      </c>
    </row>
    <row r="258" ht="15" customHeight="1" s="41">
      <c r="A258" s="50" t="n"/>
      <c r="B258" s="52" t="str">
        <f>IF($A258="","",IFERROR(INDEX(회의록!$C$3:$C$302,MATCH($A258,회의록!$A$3:$A$302,0)),"회의번호없음"))</f>
        <v/>
      </c>
      <c r="C258" s="50" t="n"/>
      <c r="D258" s="49" t="n"/>
      <c r="E258" s="53" t="n"/>
      <c r="F258" s="49" t="n"/>
      <c r="G258" s="53" t="n"/>
      <c r="H258" s="56" t="str">
        <f>IF(OR($C258="",$E258="",$F258="완료",$F258="취소"),"",$E258-TODAY())</f>
        <v/>
      </c>
      <c r="I258" s="56" t="str">
        <f>IF(OR($C258="",$E258=""),"",IF($F258="완료",IF($G258="","",MAX(0,$G258-$E258)),IF($F258="취소","",MAX(0,TODAY()-$E258))))</f>
        <v/>
      </c>
      <c r="J258" s="50" t="n"/>
      <c r="K258" s="52" t="str">
        <f>IF($A258="","",$A258&amp;"|"&amp;$L258)</f>
        <v/>
      </c>
      <c r="L258" s="52" t="str">
        <f>IF($A258="","",COUNTIFS($A$3:$A258,$A258))</f>
        <v/>
      </c>
    </row>
    <row r="259" ht="15" customHeight="1" s="41">
      <c r="A259" s="50" t="n"/>
      <c r="B259" s="52" t="str">
        <f>IF($A259="","",IFERROR(INDEX(회의록!$C$3:$C$302,MATCH($A259,회의록!$A$3:$A$302,0)),"회의번호없음"))</f>
        <v/>
      </c>
      <c r="C259" s="50" t="n"/>
      <c r="D259" s="49" t="n"/>
      <c r="E259" s="53" t="n"/>
      <c r="F259" s="49" t="n"/>
      <c r="G259" s="53" t="n"/>
      <c r="H259" s="56" t="str">
        <f>IF(OR($C259="",$E259="",$F259="완료",$F259="취소"),"",$E259-TODAY())</f>
        <v/>
      </c>
      <c r="I259" s="56" t="str">
        <f>IF(OR($C259="",$E259=""),"",IF($F259="완료",IF($G259="","",MAX(0,$G259-$E259)),IF($F259="취소","",MAX(0,TODAY()-$E259))))</f>
        <v/>
      </c>
      <c r="J259" s="50" t="n"/>
      <c r="K259" s="52" t="str">
        <f>IF($A259="","",$A259&amp;"|"&amp;$L259)</f>
        <v/>
      </c>
      <c r="L259" s="52" t="str">
        <f>IF($A259="","",COUNTIFS($A$3:$A259,$A259))</f>
        <v/>
      </c>
    </row>
    <row r="260" ht="15" customHeight="1" s="41">
      <c r="A260" s="50" t="n"/>
      <c r="B260" s="52" t="str">
        <f>IF($A260="","",IFERROR(INDEX(회의록!$C$3:$C$302,MATCH($A260,회의록!$A$3:$A$302,0)),"회의번호없음"))</f>
        <v/>
      </c>
      <c r="C260" s="50" t="n"/>
      <c r="D260" s="49" t="n"/>
      <c r="E260" s="53" t="n"/>
      <c r="F260" s="49" t="n"/>
      <c r="G260" s="53" t="n"/>
      <c r="H260" s="56" t="str">
        <f>IF(OR($C260="",$E260="",$F260="완료",$F260="취소"),"",$E260-TODAY())</f>
        <v/>
      </c>
      <c r="I260" s="56" t="str">
        <f>IF(OR($C260="",$E260=""),"",IF($F260="완료",IF($G260="","",MAX(0,$G260-$E260)),IF($F260="취소","",MAX(0,TODAY()-$E260))))</f>
        <v/>
      </c>
      <c r="J260" s="50" t="n"/>
      <c r="K260" s="52" t="str">
        <f>IF($A260="","",$A260&amp;"|"&amp;$L260)</f>
        <v/>
      </c>
      <c r="L260" s="52" t="str">
        <f>IF($A260="","",COUNTIFS($A$3:$A260,$A260))</f>
        <v/>
      </c>
    </row>
    <row r="261" ht="15" customHeight="1" s="41">
      <c r="A261" s="50" t="n"/>
      <c r="B261" s="52" t="str">
        <f>IF($A261="","",IFERROR(INDEX(회의록!$C$3:$C$302,MATCH($A261,회의록!$A$3:$A$302,0)),"회의번호없음"))</f>
        <v/>
      </c>
      <c r="C261" s="50" t="n"/>
      <c r="D261" s="49" t="n"/>
      <c r="E261" s="53" t="n"/>
      <c r="F261" s="49" t="n"/>
      <c r="G261" s="53" t="n"/>
      <c r="H261" s="56" t="str">
        <f>IF(OR($C261="",$E261="",$F261="완료",$F261="취소"),"",$E261-TODAY())</f>
        <v/>
      </c>
      <c r="I261" s="56" t="str">
        <f>IF(OR($C261="",$E261=""),"",IF($F261="완료",IF($G261="","",MAX(0,$G261-$E261)),IF($F261="취소","",MAX(0,TODAY()-$E261))))</f>
        <v/>
      </c>
      <c r="J261" s="50" t="n"/>
      <c r="K261" s="52" t="str">
        <f>IF($A261="","",$A261&amp;"|"&amp;$L261)</f>
        <v/>
      </c>
      <c r="L261" s="52" t="str">
        <f>IF($A261="","",COUNTIFS($A$3:$A261,$A261))</f>
        <v/>
      </c>
    </row>
    <row r="262" ht="15" customHeight="1" s="41">
      <c r="A262" s="50" t="n"/>
      <c r="B262" s="52" t="str">
        <f>IF($A262="","",IFERROR(INDEX(회의록!$C$3:$C$302,MATCH($A262,회의록!$A$3:$A$302,0)),"회의번호없음"))</f>
        <v/>
      </c>
      <c r="C262" s="50" t="n"/>
      <c r="D262" s="49" t="n"/>
      <c r="E262" s="53" t="n"/>
      <c r="F262" s="49" t="n"/>
      <c r="G262" s="53" t="n"/>
      <c r="H262" s="56" t="str">
        <f>IF(OR($C262="",$E262="",$F262="완료",$F262="취소"),"",$E262-TODAY())</f>
        <v/>
      </c>
      <c r="I262" s="56" t="str">
        <f>IF(OR($C262="",$E262=""),"",IF($F262="완료",IF($G262="","",MAX(0,$G262-$E262)),IF($F262="취소","",MAX(0,TODAY()-$E262))))</f>
        <v/>
      </c>
      <c r="J262" s="50" t="n"/>
      <c r="K262" s="52" t="str">
        <f>IF($A262="","",$A262&amp;"|"&amp;$L262)</f>
        <v/>
      </c>
      <c r="L262" s="52" t="str">
        <f>IF($A262="","",COUNTIFS($A$3:$A262,$A262))</f>
        <v/>
      </c>
    </row>
    <row r="263" ht="15" customHeight="1" s="41">
      <c r="A263" s="50" t="n"/>
      <c r="B263" s="52" t="str">
        <f>IF($A263="","",IFERROR(INDEX(회의록!$C$3:$C$302,MATCH($A263,회의록!$A$3:$A$302,0)),"회의번호없음"))</f>
        <v/>
      </c>
      <c r="C263" s="50" t="n"/>
      <c r="D263" s="49" t="n"/>
      <c r="E263" s="53" t="n"/>
      <c r="F263" s="49" t="n"/>
      <c r="G263" s="53" t="n"/>
      <c r="H263" s="56" t="str">
        <f>IF(OR($C263="",$E263="",$F263="완료",$F263="취소"),"",$E263-TODAY())</f>
        <v/>
      </c>
      <c r="I263" s="56" t="str">
        <f>IF(OR($C263="",$E263=""),"",IF($F263="완료",IF($G263="","",MAX(0,$G263-$E263)),IF($F263="취소","",MAX(0,TODAY()-$E263))))</f>
        <v/>
      </c>
      <c r="J263" s="50" t="n"/>
      <c r="K263" s="52" t="str">
        <f>IF($A263="","",$A263&amp;"|"&amp;$L263)</f>
        <v/>
      </c>
      <c r="L263" s="52" t="str">
        <f>IF($A263="","",COUNTIFS($A$3:$A263,$A263))</f>
        <v/>
      </c>
    </row>
    <row r="264" ht="15" customHeight="1" s="41">
      <c r="A264" s="50" t="n"/>
      <c r="B264" s="52" t="str">
        <f>IF($A264="","",IFERROR(INDEX(회의록!$C$3:$C$302,MATCH($A264,회의록!$A$3:$A$302,0)),"회의번호없음"))</f>
        <v/>
      </c>
      <c r="C264" s="50" t="n"/>
      <c r="D264" s="49" t="n"/>
      <c r="E264" s="53" t="n"/>
      <c r="F264" s="49" t="n"/>
      <c r="G264" s="53" t="n"/>
      <c r="H264" s="56" t="str">
        <f>IF(OR($C264="",$E264="",$F264="완료",$F264="취소"),"",$E264-TODAY())</f>
        <v/>
      </c>
      <c r="I264" s="56" t="str">
        <f>IF(OR($C264="",$E264=""),"",IF($F264="완료",IF($G264="","",MAX(0,$G264-$E264)),IF($F264="취소","",MAX(0,TODAY()-$E264))))</f>
        <v/>
      </c>
      <c r="J264" s="50" t="n"/>
      <c r="K264" s="52" t="str">
        <f>IF($A264="","",$A264&amp;"|"&amp;$L264)</f>
        <v/>
      </c>
      <c r="L264" s="52" t="str">
        <f>IF($A264="","",COUNTIFS($A$3:$A264,$A264))</f>
        <v/>
      </c>
    </row>
    <row r="265" ht="15" customHeight="1" s="41">
      <c r="A265" s="50" t="n"/>
      <c r="B265" s="52" t="str">
        <f>IF($A265="","",IFERROR(INDEX(회의록!$C$3:$C$302,MATCH($A265,회의록!$A$3:$A$302,0)),"회의번호없음"))</f>
        <v/>
      </c>
      <c r="C265" s="50" t="n"/>
      <c r="D265" s="49" t="n"/>
      <c r="E265" s="53" t="n"/>
      <c r="F265" s="49" t="n"/>
      <c r="G265" s="53" t="n"/>
      <c r="H265" s="56" t="str">
        <f>IF(OR($C265="",$E265="",$F265="완료",$F265="취소"),"",$E265-TODAY())</f>
        <v/>
      </c>
      <c r="I265" s="56" t="str">
        <f>IF(OR($C265="",$E265=""),"",IF($F265="완료",IF($G265="","",MAX(0,$G265-$E265)),IF($F265="취소","",MAX(0,TODAY()-$E265))))</f>
        <v/>
      </c>
      <c r="J265" s="50" t="n"/>
      <c r="K265" s="52" t="str">
        <f>IF($A265="","",$A265&amp;"|"&amp;$L265)</f>
        <v/>
      </c>
      <c r="L265" s="52" t="str">
        <f>IF($A265="","",COUNTIFS($A$3:$A265,$A265))</f>
        <v/>
      </c>
    </row>
    <row r="266" ht="15" customHeight="1" s="41">
      <c r="A266" s="50" t="n"/>
      <c r="B266" s="52" t="str">
        <f>IF($A266="","",IFERROR(INDEX(회의록!$C$3:$C$302,MATCH($A266,회의록!$A$3:$A$302,0)),"회의번호없음"))</f>
        <v/>
      </c>
      <c r="C266" s="50" t="n"/>
      <c r="D266" s="49" t="n"/>
      <c r="E266" s="53" t="n"/>
      <c r="F266" s="49" t="n"/>
      <c r="G266" s="53" t="n"/>
      <c r="H266" s="56" t="str">
        <f>IF(OR($C266="",$E266="",$F266="완료",$F266="취소"),"",$E266-TODAY())</f>
        <v/>
      </c>
      <c r="I266" s="56" t="str">
        <f>IF(OR($C266="",$E266=""),"",IF($F266="완료",IF($G266="","",MAX(0,$G266-$E266)),IF($F266="취소","",MAX(0,TODAY()-$E266))))</f>
        <v/>
      </c>
      <c r="J266" s="50" t="n"/>
      <c r="K266" s="52" t="str">
        <f>IF($A266="","",$A266&amp;"|"&amp;$L266)</f>
        <v/>
      </c>
      <c r="L266" s="52" t="str">
        <f>IF($A266="","",COUNTIFS($A$3:$A266,$A266))</f>
        <v/>
      </c>
    </row>
    <row r="267" ht="15" customHeight="1" s="41">
      <c r="A267" s="50" t="n"/>
      <c r="B267" s="52" t="str">
        <f>IF($A267="","",IFERROR(INDEX(회의록!$C$3:$C$302,MATCH($A267,회의록!$A$3:$A$302,0)),"회의번호없음"))</f>
        <v/>
      </c>
      <c r="C267" s="50" t="n"/>
      <c r="D267" s="49" t="n"/>
      <c r="E267" s="53" t="n"/>
      <c r="F267" s="49" t="n"/>
      <c r="G267" s="53" t="n"/>
      <c r="H267" s="56" t="str">
        <f>IF(OR($C267="",$E267="",$F267="완료",$F267="취소"),"",$E267-TODAY())</f>
        <v/>
      </c>
      <c r="I267" s="56" t="str">
        <f>IF(OR($C267="",$E267=""),"",IF($F267="완료",IF($G267="","",MAX(0,$G267-$E267)),IF($F267="취소","",MAX(0,TODAY()-$E267))))</f>
        <v/>
      </c>
      <c r="J267" s="50" t="n"/>
      <c r="K267" s="52" t="str">
        <f>IF($A267="","",$A267&amp;"|"&amp;$L267)</f>
        <v/>
      </c>
      <c r="L267" s="52" t="str">
        <f>IF($A267="","",COUNTIFS($A$3:$A267,$A267))</f>
        <v/>
      </c>
    </row>
    <row r="268" ht="15" customHeight="1" s="41">
      <c r="A268" s="50" t="n"/>
      <c r="B268" s="52" t="str">
        <f>IF($A268="","",IFERROR(INDEX(회의록!$C$3:$C$302,MATCH($A268,회의록!$A$3:$A$302,0)),"회의번호없음"))</f>
        <v/>
      </c>
      <c r="C268" s="50" t="n"/>
      <c r="D268" s="49" t="n"/>
      <c r="E268" s="53" t="n"/>
      <c r="F268" s="49" t="n"/>
      <c r="G268" s="53" t="n"/>
      <c r="H268" s="56" t="str">
        <f>IF(OR($C268="",$E268="",$F268="완료",$F268="취소"),"",$E268-TODAY())</f>
        <v/>
      </c>
      <c r="I268" s="56" t="str">
        <f>IF(OR($C268="",$E268=""),"",IF($F268="완료",IF($G268="","",MAX(0,$G268-$E268)),IF($F268="취소","",MAX(0,TODAY()-$E268))))</f>
        <v/>
      </c>
      <c r="J268" s="50" t="n"/>
      <c r="K268" s="52" t="str">
        <f>IF($A268="","",$A268&amp;"|"&amp;$L268)</f>
        <v/>
      </c>
      <c r="L268" s="52" t="str">
        <f>IF($A268="","",COUNTIFS($A$3:$A268,$A268))</f>
        <v/>
      </c>
    </row>
    <row r="269" ht="15" customHeight="1" s="41">
      <c r="A269" s="50" t="n"/>
      <c r="B269" s="52" t="str">
        <f>IF($A269="","",IFERROR(INDEX(회의록!$C$3:$C$302,MATCH($A269,회의록!$A$3:$A$302,0)),"회의번호없음"))</f>
        <v/>
      </c>
      <c r="C269" s="50" t="n"/>
      <c r="D269" s="49" t="n"/>
      <c r="E269" s="53" t="n"/>
      <c r="F269" s="49" t="n"/>
      <c r="G269" s="53" t="n"/>
      <c r="H269" s="56" t="str">
        <f>IF(OR($C269="",$E269="",$F269="완료",$F269="취소"),"",$E269-TODAY())</f>
        <v/>
      </c>
      <c r="I269" s="56" t="str">
        <f>IF(OR($C269="",$E269=""),"",IF($F269="완료",IF($G269="","",MAX(0,$G269-$E269)),IF($F269="취소","",MAX(0,TODAY()-$E269))))</f>
        <v/>
      </c>
      <c r="J269" s="50" t="n"/>
      <c r="K269" s="52" t="str">
        <f>IF($A269="","",$A269&amp;"|"&amp;$L269)</f>
        <v/>
      </c>
      <c r="L269" s="52" t="str">
        <f>IF($A269="","",COUNTIFS($A$3:$A269,$A269))</f>
        <v/>
      </c>
    </row>
    <row r="270" ht="15" customHeight="1" s="41">
      <c r="A270" s="50" t="n"/>
      <c r="B270" s="52" t="str">
        <f>IF($A270="","",IFERROR(INDEX(회의록!$C$3:$C$302,MATCH($A270,회의록!$A$3:$A$302,0)),"회의번호없음"))</f>
        <v/>
      </c>
      <c r="C270" s="50" t="n"/>
      <c r="D270" s="49" t="n"/>
      <c r="E270" s="53" t="n"/>
      <c r="F270" s="49" t="n"/>
      <c r="G270" s="53" t="n"/>
      <c r="H270" s="56" t="str">
        <f>IF(OR($C270="",$E270="",$F270="완료",$F270="취소"),"",$E270-TODAY())</f>
        <v/>
      </c>
      <c r="I270" s="56" t="str">
        <f>IF(OR($C270="",$E270=""),"",IF($F270="완료",IF($G270="","",MAX(0,$G270-$E270)),IF($F270="취소","",MAX(0,TODAY()-$E270))))</f>
        <v/>
      </c>
      <c r="J270" s="50" t="n"/>
      <c r="K270" s="52" t="str">
        <f>IF($A270="","",$A270&amp;"|"&amp;$L270)</f>
        <v/>
      </c>
      <c r="L270" s="52" t="str">
        <f>IF($A270="","",COUNTIFS($A$3:$A270,$A270))</f>
        <v/>
      </c>
    </row>
    <row r="271" ht="15" customHeight="1" s="41">
      <c r="A271" s="50" t="n"/>
      <c r="B271" s="52" t="str">
        <f>IF($A271="","",IFERROR(INDEX(회의록!$C$3:$C$302,MATCH($A271,회의록!$A$3:$A$302,0)),"회의번호없음"))</f>
        <v/>
      </c>
      <c r="C271" s="50" t="n"/>
      <c r="D271" s="49" t="n"/>
      <c r="E271" s="53" t="n"/>
      <c r="F271" s="49" t="n"/>
      <c r="G271" s="53" t="n"/>
      <c r="H271" s="56" t="str">
        <f>IF(OR($C271="",$E271="",$F271="완료",$F271="취소"),"",$E271-TODAY())</f>
        <v/>
      </c>
      <c r="I271" s="56" t="str">
        <f>IF(OR($C271="",$E271=""),"",IF($F271="완료",IF($G271="","",MAX(0,$G271-$E271)),IF($F271="취소","",MAX(0,TODAY()-$E271))))</f>
        <v/>
      </c>
      <c r="J271" s="50" t="n"/>
      <c r="K271" s="52" t="str">
        <f>IF($A271="","",$A271&amp;"|"&amp;$L271)</f>
        <v/>
      </c>
      <c r="L271" s="52" t="str">
        <f>IF($A271="","",COUNTIFS($A$3:$A271,$A271))</f>
        <v/>
      </c>
    </row>
    <row r="272" ht="15" customHeight="1" s="41">
      <c r="A272" s="50" t="n"/>
      <c r="B272" s="52" t="str">
        <f>IF($A272="","",IFERROR(INDEX(회의록!$C$3:$C$302,MATCH($A272,회의록!$A$3:$A$302,0)),"회의번호없음"))</f>
        <v/>
      </c>
      <c r="C272" s="50" t="n"/>
      <c r="D272" s="49" t="n"/>
      <c r="E272" s="53" t="n"/>
      <c r="F272" s="49" t="n"/>
      <c r="G272" s="53" t="n"/>
      <c r="H272" s="56" t="str">
        <f>IF(OR($C272="",$E272="",$F272="완료",$F272="취소"),"",$E272-TODAY())</f>
        <v/>
      </c>
      <c r="I272" s="56" t="str">
        <f>IF(OR($C272="",$E272=""),"",IF($F272="완료",IF($G272="","",MAX(0,$G272-$E272)),IF($F272="취소","",MAX(0,TODAY()-$E272))))</f>
        <v/>
      </c>
      <c r="J272" s="50" t="n"/>
      <c r="K272" s="52" t="str">
        <f>IF($A272="","",$A272&amp;"|"&amp;$L272)</f>
        <v/>
      </c>
      <c r="L272" s="52" t="str">
        <f>IF($A272="","",COUNTIFS($A$3:$A272,$A272))</f>
        <v/>
      </c>
    </row>
    <row r="273" ht="15" customHeight="1" s="41">
      <c r="A273" s="50" t="n"/>
      <c r="B273" s="52" t="str">
        <f>IF($A273="","",IFERROR(INDEX(회의록!$C$3:$C$302,MATCH($A273,회의록!$A$3:$A$302,0)),"회의번호없음"))</f>
        <v/>
      </c>
      <c r="C273" s="50" t="n"/>
      <c r="D273" s="49" t="n"/>
      <c r="E273" s="53" t="n"/>
      <c r="F273" s="49" t="n"/>
      <c r="G273" s="53" t="n"/>
      <c r="H273" s="56" t="str">
        <f>IF(OR($C273="",$E273="",$F273="완료",$F273="취소"),"",$E273-TODAY())</f>
        <v/>
      </c>
      <c r="I273" s="56" t="str">
        <f>IF(OR($C273="",$E273=""),"",IF($F273="완료",IF($G273="","",MAX(0,$G273-$E273)),IF($F273="취소","",MAX(0,TODAY()-$E273))))</f>
        <v/>
      </c>
      <c r="J273" s="50" t="n"/>
      <c r="K273" s="52" t="str">
        <f>IF($A273="","",$A273&amp;"|"&amp;$L273)</f>
        <v/>
      </c>
      <c r="L273" s="52" t="str">
        <f>IF($A273="","",COUNTIFS($A$3:$A273,$A273))</f>
        <v/>
      </c>
    </row>
    <row r="274" ht="15" customHeight="1" s="41">
      <c r="A274" s="50" t="n"/>
      <c r="B274" s="52" t="str">
        <f>IF($A274="","",IFERROR(INDEX(회의록!$C$3:$C$302,MATCH($A274,회의록!$A$3:$A$302,0)),"회의번호없음"))</f>
        <v/>
      </c>
      <c r="C274" s="50" t="n"/>
      <c r="D274" s="49" t="n"/>
      <c r="E274" s="53" t="n"/>
      <c r="F274" s="49" t="n"/>
      <c r="G274" s="53" t="n"/>
      <c r="H274" s="56" t="str">
        <f>IF(OR($C274="",$E274="",$F274="완료",$F274="취소"),"",$E274-TODAY())</f>
        <v/>
      </c>
      <c r="I274" s="56" t="str">
        <f>IF(OR($C274="",$E274=""),"",IF($F274="완료",IF($G274="","",MAX(0,$G274-$E274)),IF($F274="취소","",MAX(0,TODAY()-$E274))))</f>
        <v/>
      </c>
      <c r="J274" s="50" t="n"/>
      <c r="K274" s="52" t="str">
        <f>IF($A274="","",$A274&amp;"|"&amp;$L274)</f>
        <v/>
      </c>
      <c r="L274" s="52" t="str">
        <f>IF($A274="","",COUNTIFS($A$3:$A274,$A274))</f>
        <v/>
      </c>
    </row>
    <row r="275" ht="15" customHeight="1" s="41">
      <c r="A275" s="50" t="n"/>
      <c r="B275" s="52" t="str">
        <f>IF($A275="","",IFERROR(INDEX(회의록!$C$3:$C$302,MATCH($A275,회의록!$A$3:$A$302,0)),"회의번호없음"))</f>
        <v/>
      </c>
      <c r="C275" s="50" t="n"/>
      <c r="D275" s="49" t="n"/>
      <c r="E275" s="53" t="n"/>
      <c r="F275" s="49" t="n"/>
      <c r="G275" s="53" t="n"/>
      <c r="H275" s="56" t="str">
        <f>IF(OR($C275="",$E275="",$F275="완료",$F275="취소"),"",$E275-TODAY())</f>
        <v/>
      </c>
      <c r="I275" s="56" t="str">
        <f>IF(OR($C275="",$E275=""),"",IF($F275="완료",IF($G275="","",MAX(0,$G275-$E275)),IF($F275="취소","",MAX(0,TODAY()-$E275))))</f>
        <v/>
      </c>
      <c r="J275" s="50" t="n"/>
      <c r="K275" s="52" t="str">
        <f>IF($A275="","",$A275&amp;"|"&amp;$L275)</f>
        <v/>
      </c>
      <c r="L275" s="52" t="str">
        <f>IF($A275="","",COUNTIFS($A$3:$A275,$A275))</f>
        <v/>
      </c>
    </row>
    <row r="276" ht="15" customHeight="1" s="41">
      <c r="A276" s="50" t="n"/>
      <c r="B276" s="52" t="str">
        <f>IF($A276="","",IFERROR(INDEX(회의록!$C$3:$C$302,MATCH($A276,회의록!$A$3:$A$302,0)),"회의번호없음"))</f>
        <v/>
      </c>
      <c r="C276" s="50" t="n"/>
      <c r="D276" s="49" t="n"/>
      <c r="E276" s="53" t="n"/>
      <c r="F276" s="49" t="n"/>
      <c r="G276" s="53" t="n"/>
      <c r="H276" s="56" t="str">
        <f>IF(OR($C276="",$E276="",$F276="완료",$F276="취소"),"",$E276-TODAY())</f>
        <v/>
      </c>
      <c r="I276" s="56" t="str">
        <f>IF(OR($C276="",$E276=""),"",IF($F276="완료",IF($G276="","",MAX(0,$G276-$E276)),IF($F276="취소","",MAX(0,TODAY()-$E276))))</f>
        <v/>
      </c>
      <c r="J276" s="50" t="n"/>
      <c r="K276" s="52" t="str">
        <f>IF($A276="","",$A276&amp;"|"&amp;$L276)</f>
        <v/>
      </c>
      <c r="L276" s="52" t="str">
        <f>IF($A276="","",COUNTIFS($A$3:$A276,$A276))</f>
        <v/>
      </c>
    </row>
    <row r="277" ht="15" customHeight="1" s="41">
      <c r="A277" s="50" t="n"/>
      <c r="B277" s="52" t="str">
        <f>IF($A277="","",IFERROR(INDEX(회의록!$C$3:$C$302,MATCH($A277,회의록!$A$3:$A$302,0)),"회의번호없음"))</f>
        <v/>
      </c>
      <c r="C277" s="50" t="n"/>
      <c r="D277" s="49" t="n"/>
      <c r="E277" s="53" t="n"/>
      <c r="F277" s="49" t="n"/>
      <c r="G277" s="53" t="n"/>
      <c r="H277" s="56" t="str">
        <f>IF(OR($C277="",$E277="",$F277="완료",$F277="취소"),"",$E277-TODAY())</f>
        <v/>
      </c>
      <c r="I277" s="56" t="str">
        <f>IF(OR($C277="",$E277=""),"",IF($F277="완료",IF($G277="","",MAX(0,$G277-$E277)),IF($F277="취소","",MAX(0,TODAY()-$E277))))</f>
        <v/>
      </c>
      <c r="J277" s="50" t="n"/>
      <c r="K277" s="52" t="str">
        <f>IF($A277="","",$A277&amp;"|"&amp;$L277)</f>
        <v/>
      </c>
      <c r="L277" s="52" t="str">
        <f>IF($A277="","",COUNTIFS($A$3:$A277,$A277))</f>
        <v/>
      </c>
    </row>
    <row r="278" ht="15" customHeight="1" s="41">
      <c r="A278" s="50" t="n"/>
      <c r="B278" s="52" t="str">
        <f>IF($A278="","",IFERROR(INDEX(회의록!$C$3:$C$302,MATCH($A278,회의록!$A$3:$A$302,0)),"회의번호없음"))</f>
        <v/>
      </c>
      <c r="C278" s="50" t="n"/>
      <c r="D278" s="49" t="n"/>
      <c r="E278" s="53" t="n"/>
      <c r="F278" s="49" t="n"/>
      <c r="G278" s="53" t="n"/>
      <c r="H278" s="56" t="str">
        <f>IF(OR($C278="",$E278="",$F278="완료",$F278="취소"),"",$E278-TODAY())</f>
        <v/>
      </c>
      <c r="I278" s="56" t="str">
        <f>IF(OR($C278="",$E278=""),"",IF($F278="완료",IF($G278="","",MAX(0,$G278-$E278)),IF($F278="취소","",MAX(0,TODAY()-$E278))))</f>
        <v/>
      </c>
      <c r="J278" s="50" t="n"/>
      <c r="K278" s="52" t="str">
        <f>IF($A278="","",$A278&amp;"|"&amp;$L278)</f>
        <v/>
      </c>
      <c r="L278" s="52" t="str">
        <f>IF($A278="","",COUNTIFS($A$3:$A278,$A278))</f>
        <v/>
      </c>
    </row>
    <row r="279" ht="15" customHeight="1" s="41">
      <c r="A279" s="50" t="n"/>
      <c r="B279" s="52" t="str">
        <f>IF($A279="","",IFERROR(INDEX(회의록!$C$3:$C$302,MATCH($A279,회의록!$A$3:$A$302,0)),"회의번호없음"))</f>
        <v/>
      </c>
      <c r="C279" s="50" t="n"/>
      <c r="D279" s="49" t="n"/>
      <c r="E279" s="53" t="n"/>
      <c r="F279" s="49" t="n"/>
      <c r="G279" s="53" t="n"/>
      <c r="H279" s="56" t="str">
        <f>IF(OR($C279="",$E279="",$F279="완료",$F279="취소"),"",$E279-TODAY())</f>
        <v/>
      </c>
      <c r="I279" s="56" t="str">
        <f>IF(OR($C279="",$E279=""),"",IF($F279="완료",IF($G279="","",MAX(0,$G279-$E279)),IF($F279="취소","",MAX(0,TODAY()-$E279))))</f>
        <v/>
      </c>
      <c r="J279" s="50" t="n"/>
      <c r="K279" s="52" t="str">
        <f>IF($A279="","",$A279&amp;"|"&amp;$L279)</f>
        <v/>
      </c>
      <c r="L279" s="52" t="str">
        <f>IF($A279="","",COUNTIFS($A$3:$A279,$A279))</f>
        <v/>
      </c>
    </row>
    <row r="280" ht="15" customHeight="1" s="41">
      <c r="A280" s="50" t="n"/>
      <c r="B280" s="52" t="str">
        <f>IF($A280="","",IFERROR(INDEX(회의록!$C$3:$C$302,MATCH($A280,회의록!$A$3:$A$302,0)),"회의번호없음"))</f>
        <v/>
      </c>
      <c r="C280" s="50" t="n"/>
      <c r="D280" s="49" t="n"/>
      <c r="E280" s="53" t="n"/>
      <c r="F280" s="49" t="n"/>
      <c r="G280" s="53" t="n"/>
      <c r="H280" s="56" t="str">
        <f>IF(OR($C280="",$E280="",$F280="완료",$F280="취소"),"",$E280-TODAY())</f>
        <v/>
      </c>
      <c r="I280" s="56" t="str">
        <f>IF(OR($C280="",$E280=""),"",IF($F280="완료",IF($G280="","",MAX(0,$G280-$E280)),IF($F280="취소","",MAX(0,TODAY()-$E280))))</f>
        <v/>
      </c>
      <c r="J280" s="50" t="n"/>
      <c r="K280" s="52" t="str">
        <f>IF($A280="","",$A280&amp;"|"&amp;$L280)</f>
        <v/>
      </c>
      <c r="L280" s="52" t="str">
        <f>IF($A280="","",COUNTIFS($A$3:$A280,$A280))</f>
        <v/>
      </c>
    </row>
    <row r="281" ht="15" customHeight="1" s="41">
      <c r="A281" s="50" t="n"/>
      <c r="B281" s="52" t="str">
        <f>IF($A281="","",IFERROR(INDEX(회의록!$C$3:$C$302,MATCH($A281,회의록!$A$3:$A$302,0)),"회의번호없음"))</f>
        <v/>
      </c>
      <c r="C281" s="50" t="n"/>
      <c r="D281" s="49" t="n"/>
      <c r="E281" s="53" t="n"/>
      <c r="F281" s="49" t="n"/>
      <c r="G281" s="53" t="n"/>
      <c r="H281" s="56" t="str">
        <f>IF(OR($C281="",$E281="",$F281="완료",$F281="취소"),"",$E281-TODAY())</f>
        <v/>
      </c>
      <c r="I281" s="56" t="str">
        <f>IF(OR($C281="",$E281=""),"",IF($F281="완료",IF($G281="","",MAX(0,$G281-$E281)),IF($F281="취소","",MAX(0,TODAY()-$E281))))</f>
        <v/>
      </c>
      <c r="J281" s="50" t="n"/>
      <c r="K281" s="52" t="str">
        <f>IF($A281="","",$A281&amp;"|"&amp;$L281)</f>
        <v/>
      </c>
      <c r="L281" s="52" t="str">
        <f>IF($A281="","",COUNTIFS($A$3:$A281,$A281))</f>
        <v/>
      </c>
    </row>
    <row r="282" ht="15" customHeight="1" s="41">
      <c r="A282" s="50" t="n"/>
      <c r="B282" s="52" t="str">
        <f>IF($A282="","",IFERROR(INDEX(회의록!$C$3:$C$302,MATCH($A282,회의록!$A$3:$A$302,0)),"회의번호없음"))</f>
        <v/>
      </c>
      <c r="C282" s="50" t="n"/>
      <c r="D282" s="49" t="n"/>
      <c r="E282" s="53" t="n"/>
      <c r="F282" s="49" t="n"/>
      <c r="G282" s="53" t="n"/>
      <c r="H282" s="56" t="str">
        <f>IF(OR($C282="",$E282="",$F282="완료",$F282="취소"),"",$E282-TODAY())</f>
        <v/>
      </c>
      <c r="I282" s="56" t="str">
        <f>IF(OR($C282="",$E282=""),"",IF($F282="완료",IF($G282="","",MAX(0,$G282-$E282)),IF($F282="취소","",MAX(0,TODAY()-$E282))))</f>
        <v/>
      </c>
      <c r="J282" s="50" t="n"/>
      <c r="K282" s="52" t="str">
        <f>IF($A282="","",$A282&amp;"|"&amp;$L282)</f>
        <v/>
      </c>
      <c r="L282" s="52" t="str">
        <f>IF($A282="","",COUNTIFS($A$3:$A282,$A282))</f>
        <v/>
      </c>
    </row>
    <row r="283" ht="15" customHeight="1" s="41">
      <c r="A283" s="50" t="n"/>
      <c r="B283" s="52" t="str">
        <f>IF($A283="","",IFERROR(INDEX(회의록!$C$3:$C$302,MATCH($A283,회의록!$A$3:$A$302,0)),"회의번호없음"))</f>
        <v/>
      </c>
      <c r="C283" s="50" t="n"/>
      <c r="D283" s="49" t="n"/>
      <c r="E283" s="53" t="n"/>
      <c r="F283" s="49" t="n"/>
      <c r="G283" s="53" t="n"/>
      <c r="H283" s="56" t="str">
        <f>IF(OR($C283="",$E283="",$F283="완료",$F283="취소"),"",$E283-TODAY())</f>
        <v/>
      </c>
      <c r="I283" s="56" t="str">
        <f>IF(OR($C283="",$E283=""),"",IF($F283="완료",IF($G283="","",MAX(0,$G283-$E283)),IF($F283="취소","",MAX(0,TODAY()-$E283))))</f>
        <v/>
      </c>
      <c r="J283" s="50" t="n"/>
      <c r="K283" s="52" t="str">
        <f>IF($A283="","",$A283&amp;"|"&amp;$L283)</f>
        <v/>
      </c>
      <c r="L283" s="52" t="str">
        <f>IF($A283="","",COUNTIFS($A$3:$A283,$A283))</f>
        <v/>
      </c>
    </row>
    <row r="284" ht="15" customHeight="1" s="41">
      <c r="A284" s="50" t="n"/>
      <c r="B284" s="52" t="str">
        <f>IF($A284="","",IFERROR(INDEX(회의록!$C$3:$C$302,MATCH($A284,회의록!$A$3:$A$302,0)),"회의번호없음"))</f>
        <v/>
      </c>
      <c r="C284" s="50" t="n"/>
      <c r="D284" s="49" t="n"/>
      <c r="E284" s="53" t="n"/>
      <c r="F284" s="49" t="n"/>
      <c r="G284" s="53" t="n"/>
      <c r="H284" s="56" t="str">
        <f>IF(OR($C284="",$E284="",$F284="완료",$F284="취소"),"",$E284-TODAY())</f>
        <v/>
      </c>
      <c r="I284" s="56" t="str">
        <f>IF(OR($C284="",$E284=""),"",IF($F284="완료",IF($G284="","",MAX(0,$G284-$E284)),IF($F284="취소","",MAX(0,TODAY()-$E284))))</f>
        <v/>
      </c>
      <c r="J284" s="50" t="n"/>
      <c r="K284" s="52" t="str">
        <f>IF($A284="","",$A284&amp;"|"&amp;$L284)</f>
        <v/>
      </c>
      <c r="L284" s="52" t="str">
        <f>IF($A284="","",COUNTIFS($A$3:$A284,$A284))</f>
        <v/>
      </c>
    </row>
    <row r="285" ht="15" customHeight="1" s="41">
      <c r="A285" s="50" t="n"/>
      <c r="B285" s="52" t="str">
        <f>IF($A285="","",IFERROR(INDEX(회의록!$C$3:$C$302,MATCH($A285,회의록!$A$3:$A$302,0)),"회의번호없음"))</f>
        <v/>
      </c>
      <c r="C285" s="50" t="n"/>
      <c r="D285" s="49" t="n"/>
      <c r="E285" s="53" t="n"/>
      <c r="F285" s="49" t="n"/>
      <c r="G285" s="53" t="n"/>
      <c r="H285" s="56" t="str">
        <f>IF(OR($C285="",$E285="",$F285="완료",$F285="취소"),"",$E285-TODAY())</f>
        <v/>
      </c>
      <c r="I285" s="56" t="str">
        <f>IF(OR($C285="",$E285=""),"",IF($F285="완료",IF($G285="","",MAX(0,$G285-$E285)),IF($F285="취소","",MAX(0,TODAY()-$E285))))</f>
        <v/>
      </c>
      <c r="J285" s="50" t="n"/>
      <c r="K285" s="52" t="str">
        <f>IF($A285="","",$A285&amp;"|"&amp;$L285)</f>
        <v/>
      </c>
      <c r="L285" s="52" t="str">
        <f>IF($A285="","",COUNTIFS($A$3:$A285,$A285))</f>
        <v/>
      </c>
    </row>
    <row r="286" ht="15" customHeight="1" s="41">
      <c r="A286" s="50" t="n"/>
      <c r="B286" s="52" t="str">
        <f>IF($A286="","",IFERROR(INDEX(회의록!$C$3:$C$302,MATCH($A286,회의록!$A$3:$A$302,0)),"회의번호없음"))</f>
        <v/>
      </c>
      <c r="C286" s="50" t="n"/>
      <c r="D286" s="49" t="n"/>
      <c r="E286" s="53" t="n"/>
      <c r="F286" s="49" t="n"/>
      <c r="G286" s="53" t="n"/>
      <c r="H286" s="56" t="str">
        <f>IF(OR($C286="",$E286="",$F286="완료",$F286="취소"),"",$E286-TODAY())</f>
        <v/>
      </c>
      <c r="I286" s="56" t="str">
        <f>IF(OR($C286="",$E286=""),"",IF($F286="완료",IF($G286="","",MAX(0,$G286-$E286)),IF($F286="취소","",MAX(0,TODAY()-$E286))))</f>
        <v/>
      </c>
      <c r="J286" s="50" t="n"/>
      <c r="K286" s="52" t="str">
        <f>IF($A286="","",$A286&amp;"|"&amp;$L286)</f>
        <v/>
      </c>
      <c r="L286" s="52" t="str">
        <f>IF($A286="","",COUNTIFS($A$3:$A286,$A286))</f>
        <v/>
      </c>
    </row>
    <row r="287" ht="15" customHeight="1" s="41">
      <c r="A287" s="50" t="n"/>
      <c r="B287" s="52" t="str">
        <f>IF($A287="","",IFERROR(INDEX(회의록!$C$3:$C$302,MATCH($A287,회의록!$A$3:$A$302,0)),"회의번호없음"))</f>
        <v/>
      </c>
      <c r="C287" s="50" t="n"/>
      <c r="D287" s="49" t="n"/>
      <c r="E287" s="53" t="n"/>
      <c r="F287" s="49" t="n"/>
      <c r="G287" s="53" t="n"/>
      <c r="H287" s="56" t="str">
        <f>IF(OR($C287="",$E287="",$F287="완료",$F287="취소"),"",$E287-TODAY())</f>
        <v/>
      </c>
      <c r="I287" s="56" t="str">
        <f>IF(OR($C287="",$E287=""),"",IF($F287="완료",IF($G287="","",MAX(0,$G287-$E287)),IF($F287="취소","",MAX(0,TODAY()-$E287))))</f>
        <v/>
      </c>
      <c r="J287" s="50" t="n"/>
      <c r="K287" s="52" t="str">
        <f>IF($A287="","",$A287&amp;"|"&amp;$L287)</f>
        <v/>
      </c>
      <c r="L287" s="52" t="str">
        <f>IF($A287="","",COUNTIFS($A$3:$A287,$A287))</f>
        <v/>
      </c>
    </row>
    <row r="288" ht="15" customHeight="1" s="41">
      <c r="A288" s="50" t="n"/>
      <c r="B288" s="52" t="str">
        <f>IF($A288="","",IFERROR(INDEX(회의록!$C$3:$C$302,MATCH($A288,회의록!$A$3:$A$302,0)),"회의번호없음"))</f>
        <v/>
      </c>
      <c r="C288" s="50" t="n"/>
      <c r="D288" s="49" t="n"/>
      <c r="E288" s="53" t="n"/>
      <c r="F288" s="49" t="n"/>
      <c r="G288" s="53" t="n"/>
      <c r="H288" s="56" t="str">
        <f>IF(OR($C288="",$E288="",$F288="완료",$F288="취소"),"",$E288-TODAY())</f>
        <v/>
      </c>
      <c r="I288" s="56" t="str">
        <f>IF(OR($C288="",$E288=""),"",IF($F288="완료",IF($G288="","",MAX(0,$G288-$E288)),IF($F288="취소","",MAX(0,TODAY()-$E288))))</f>
        <v/>
      </c>
      <c r="J288" s="50" t="n"/>
      <c r="K288" s="52" t="str">
        <f>IF($A288="","",$A288&amp;"|"&amp;$L288)</f>
        <v/>
      </c>
      <c r="L288" s="52" t="str">
        <f>IF($A288="","",COUNTIFS($A$3:$A288,$A288))</f>
        <v/>
      </c>
    </row>
    <row r="289" ht="15" customHeight="1" s="41">
      <c r="A289" s="50" t="n"/>
      <c r="B289" s="52" t="str">
        <f>IF($A289="","",IFERROR(INDEX(회의록!$C$3:$C$302,MATCH($A289,회의록!$A$3:$A$302,0)),"회의번호없음"))</f>
        <v/>
      </c>
      <c r="C289" s="50" t="n"/>
      <c r="D289" s="49" t="n"/>
      <c r="E289" s="53" t="n"/>
      <c r="F289" s="49" t="n"/>
      <c r="G289" s="53" t="n"/>
      <c r="H289" s="56" t="str">
        <f>IF(OR($C289="",$E289="",$F289="완료",$F289="취소"),"",$E289-TODAY())</f>
        <v/>
      </c>
      <c r="I289" s="56" t="str">
        <f>IF(OR($C289="",$E289=""),"",IF($F289="완료",IF($G289="","",MAX(0,$G289-$E289)),IF($F289="취소","",MAX(0,TODAY()-$E289))))</f>
        <v/>
      </c>
      <c r="J289" s="50" t="n"/>
      <c r="K289" s="52" t="str">
        <f>IF($A289="","",$A289&amp;"|"&amp;$L289)</f>
        <v/>
      </c>
      <c r="L289" s="52" t="str">
        <f>IF($A289="","",COUNTIFS($A$3:$A289,$A289))</f>
        <v/>
      </c>
    </row>
    <row r="290" ht="15" customHeight="1" s="41">
      <c r="A290" s="50" t="n"/>
      <c r="B290" s="52" t="str">
        <f>IF($A290="","",IFERROR(INDEX(회의록!$C$3:$C$302,MATCH($A290,회의록!$A$3:$A$302,0)),"회의번호없음"))</f>
        <v/>
      </c>
      <c r="C290" s="50" t="n"/>
      <c r="D290" s="49" t="n"/>
      <c r="E290" s="53" t="n"/>
      <c r="F290" s="49" t="n"/>
      <c r="G290" s="53" t="n"/>
      <c r="H290" s="56" t="str">
        <f>IF(OR($C290="",$E290="",$F290="완료",$F290="취소"),"",$E290-TODAY())</f>
        <v/>
      </c>
      <c r="I290" s="56" t="str">
        <f>IF(OR($C290="",$E290=""),"",IF($F290="완료",IF($G290="","",MAX(0,$G290-$E290)),IF($F290="취소","",MAX(0,TODAY()-$E290))))</f>
        <v/>
      </c>
      <c r="J290" s="50" t="n"/>
      <c r="K290" s="52" t="str">
        <f>IF($A290="","",$A290&amp;"|"&amp;$L290)</f>
        <v/>
      </c>
      <c r="L290" s="52" t="str">
        <f>IF($A290="","",COUNTIFS($A$3:$A290,$A290))</f>
        <v/>
      </c>
    </row>
    <row r="291" ht="15" customHeight="1" s="41">
      <c r="A291" s="50" t="n"/>
      <c r="B291" s="52" t="str">
        <f>IF($A291="","",IFERROR(INDEX(회의록!$C$3:$C$302,MATCH($A291,회의록!$A$3:$A$302,0)),"회의번호없음"))</f>
        <v/>
      </c>
      <c r="C291" s="50" t="n"/>
      <c r="D291" s="49" t="n"/>
      <c r="E291" s="53" t="n"/>
      <c r="F291" s="49" t="n"/>
      <c r="G291" s="53" t="n"/>
      <c r="H291" s="56" t="str">
        <f>IF(OR($C291="",$E291="",$F291="완료",$F291="취소"),"",$E291-TODAY())</f>
        <v/>
      </c>
      <c r="I291" s="56" t="str">
        <f>IF(OR($C291="",$E291=""),"",IF($F291="완료",IF($G291="","",MAX(0,$G291-$E291)),IF($F291="취소","",MAX(0,TODAY()-$E291))))</f>
        <v/>
      </c>
      <c r="J291" s="50" t="n"/>
      <c r="K291" s="52" t="str">
        <f>IF($A291="","",$A291&amp;"|"&amp;$L291)</f>
        <v/>
      </c>
      <c r="L291" s="52" t="str">
        <f>IF($A291="","",COUNTIFS($A$3:$A291,$A291))</f>
        <v/>
      </c>
    </row>
    <row r="292" ht="15" customHeight="1" s="41">
      <c r="A292" s="50" t="n"/>
      <c r="B292" s="52" t="str">
        <f>IF($A292="","",IFERROR(INDEX(회의록!$C$3:$C$302,MATCH($A292,회의록!$A$3:$A$302,0)),"회의번호없음"))</f>
        <v/>
      </c>
      <c r="C292" s="50" t="n"/>
      <c r="D292" s="49" t="n"/>
      <c r="E292" s="53" t="n"/>
      <c r="F292" s="49" t="n"/>
      <c r="G292" s="53" t="n"/>
      <c r="H292" s="56" t="str">
        <f>IF(OR($C292="",$E292="",$F292="완료",$F292="취소"),"",$E292-TODAY())</f>
        <v/>
      </c>
      <c r="I292" s="56" t="str">
        <f>IF(OR($C292="",$E292=""),"",IF($F292="완료",IF($G292="","",MAX(0,$G292-$E292)),IF($F292="취소","",MAX(0,TODAY()-$E292))))</f>
        <v/>
      </c>
      <c r="J292" s="50" t="n"/>
      <c r="K292" s="52" t="str">
        <f>IF($A292="","",$A292&amp;"|"&amp;$L292)</f>
        <v/>
      </c>
      <c r="L292" s="52" t="str">
        <f>IF($A292="","",COUNTIFS($A$3:$A292,$A292))</f>
        <v/>
      </c>
    </row>
    <row r="293" ht="15" customHeight="1" s="41">
      <c r="A293" s="50" t="n"/>
      <c r="B293" s="52" t="str">
        <f>IF($A293="","",IFERROR(INDEX(회의록!$C$3:$C$302,MATCH($A293,회의록!$A$3:$A$302,0)),"회의번호없음"))</f>
        <v/>
      </c>
      <c r="C293" s="50" t="n"/>
      <c r="D293" s="49" t="n"/>
      <c r="E293" s="53" t="n"/>
      <c r="F293" s="49" t="n"/>
      <c r="G293" s="53" t="n"/>
      <c r="H293" s="56" t="str">
        <f>IF(OR($C293="",$E293="",$F293="완료",$F293="취소"),"",$E293-TODAY())</f>
        <v/>
      </c>
      <c r="I293" s="56" t="str">
        <f>IF(OR($C293="",$E293=""),"",IF($F293="완료",IF($G293="","",MAX(0,$G293-$E293)),IF($F293="취소","",MAX(0,TODAY()-$E293))))</f>
        <v/>
      </c>
      <c r="J293" s="50" t="n"/>
      <c r="K293" s="52" t="str">
        <f>IF($A293="","",$A293&amp;"|"&amp;$L293)</f>
        <v/>
      </c>
      <c r="L293" s="52" t="str">
        <f>IF($A293="","",COUNTIFS($A$3:$A293,$A293))</f>
        <v/>
      </c>
    </row>
    <row r="294" ht="15" customHeight="1" s="41">
      <c r="A294" s="50" t="n"/>
      <c r="B294" s="52" t="str">
        <f>IF($A294="","",IFERROR(INDEX(회의록!$C$3:$C$302,MATCH($A294,회의록!$A$3:$A$302,0)),"회의번호없음"))</f>
        <v/>
      </c>
      <c r="C294" s="50" t="n"/>
      <c r="D294" s="49" t="n"/>
      <c r="E294" s="53" t="n"/>
      <c r="F294" s="49" t="n"/>
      <c r="G294" s="53" t="n"/>
      <c r="H294" s="56" t="str">
        <f>IF(OR($C294="",$E294="",$F294="완료",$F294="취소"),"",$E294-TODAY())</f>
        <v/>
      </c>
      <c r="I294" s="56" t="str">
        <f>IF(OR($C294="",$E294=""),"",IF($F294="완료",IF($G294="","",MAX(0,$G294-$E294)),IF($F294="취소","",MAX(0,TODAY()-$E294))))</f>
        <v/>
      </c>
      <c r="J294" s="50" t="n"/>
      <c r="K294" s="52" t="str">
        <f>IF($A294="","",$A294&amp;"|"&amp;$L294)</f>
        <v/>
      </c>
      <c r="L294" s="52" t="str">
        <f>IF($A294="","",COUNTIFS($A$3:$A294,$A294))</f>
        <v/>
      </c>
    </row>
    <row r="295" ht="15" customHeight="1" s="41">
      <c r="A295" s="50" t="n"/>
      <c r="B295" s="52" t="str">
        <f>IF($A295="","",IFERROR(INDEX(회의록!$C$3:$C$302,MATCH($A295,회의록!$A$3:$A$302,0)),"회의번호없음"))</f>
        <v/>
      </c>
      <c r="C295" s="50" t="n"/>
      <c r="D295" s="49" t="n"/>
      <c r="E295" s="53" t="n"/>
      <c r="F295" s="49" t="n"/>
      <c r="G295" s="53" t="n"/>
      <c r="H295" s="56" t="str">
        <f>IF(OR($C295="",$E295="",$F295="완료",$F295="취소"),"",$E295-TODAY())</f>
        <v/>
      </c>
      <c r="I295" s="56" t="str">
        <f>IF(OR($C295="",$E295=""),"",IF($F295="완료",IF($G295="","",MAX(0,$G295-$E295)),IF($F295="취소","",MAX(0,TODAY()-$E295))))</f>
        <v/>
      </c>
      <c r="J295" s="50" t="n"/>
      <c r="K295" s="52" t="str">
        <f>IF($A295="","",$A295&amp;"|"&amp;$L295)</f>
        <v/>
      </c>
      <c r="L295" s="52" t="str">
        <f>IF($A295="","",COUNTIFS($A$3:$A295,$A295))</f>
        <v/>
      </c>
    </row>
    <row r="296" ht="15" customHeight="1" s="41">
      <c r="A296" s="50" t="n"/>
      <c r="B296" s="52" t="str">
        <f>IF($A296="","",IFERROR(INDEX(회의록!$C$3:$C$302,MATCH($A296,회의록!$A$3:$A$302,0)),"회의번호없음"))</f>
        <v/>
      </c>
      <c r="C296" s="50" t="n"/>
      <c r="D296" s="49" t="n"/>
      <c r="E296" s="53" t="n"/>
      <c r="F296" s="49" t="n"/>
      <c r="G296" s="53" t="n"/>
      <c r="H296" s="56" t="str">
        <f>IF(OR($C296="",$E296="",$F296="완료",$F296="취소"),"",$E296-TODAY())</f>
        <v/>
      </c>
      <c r="I296" s="56" t="str">
        <f>IF(OR($C296="",$E296=""),"",IF($F296="완료",IF($G296="","",MAX(0,$G296-$E296)),IF($F296="취소","",MAX(0,TODAY()-$E296))))</f>
        <v/>
      </c>
      <c r="J296" s="50" t="n"/>
      <c r="K296" s="52" t="str">
        <f>IF($A296="","",$A296&amp;"|"&amp;$L296)</f>
        <v/>
      </c>
      <c r="L296" s="52" t="str">
        <f>IF($A296="","",COUNTIFS($A$3:$A296,$A296))</f>
        <v/>
      </c>
    </row>
    <row r="297" ht="15" customHeight="1" s="41">
      <c r="A297" s="50" t="n"/>
      <c r="B297" s="52" t="str">
        <f>IF($A297="","",IFERROR(INDEX(회의록!$C$3:$C$302,MATCH($A297,회의록!$A$3:$A$302,0)),"회의번호없음"))</f>
        <v/>
      </c>
      <c r="C297" s="50" t="n"/>
      <c r="D297" s="49" t="n"/>
      <c r="E297" s="53" t="n"/>
      <c r="F297" s="49" t="n"/>
      <c r="G297" s="53" t="n"/>
      <c r="H297" s="56" t="str">
        <f>IF(OR($C297="",$E297="",$F297="완료",$F297="취소"),"",$E297-TODAY())</f>
        <v/>
      </c>
      <c r="I297" s="56" t="str">
        <f>IF(OR($C297="",$E297=""),"",IF($F297="완료",IF($G297="","",MAX(0,$G297-$E297)),IF($F297="취소","",MAX(0,TODAY()-$E297))))</f>
        <v/>
      </c>
      <c r="J297" s="50" t="n"/>
      <c r="K297" s="52" t="str">
        <f>IF($A297="","",$A297&amp;"|"&amp;$L297)</f>
        <v/>
      </c>
      <c r="L297" s="52" t="str">
        <f>IF($A297="","",COUNTIFS($A$3:$A297,$A297))</f>
        <v/>
      </c>
    </row>
    <row r="298" ht="15" customHeight="1" s="41">
      <c r="A298" s="50" t="n"/>
      <c r="B298" s="52" t="str">
        <f>IF($A298="","",IFERROR(INDEX(회의록!$C$3:$C$302,MATCH($A298,회의록!$A$3:$A$302,0)),"회의번호없음"))</f>
        <v/>
      </c>
      <c r="C298" s="50" t="n"/>
      <c r="D298" s="49" t="n"/>
      <c r="E298" s="53" t="n"/>
      <c r="F298" s="49" t="n"/>
      <c r="G298" s="53" t="n"/>
      <c r="H298" s="56" t="str">
        <f>IF(OR($C298="",$E298="",$F298="완료",$F298="취소"),"",$E298-TODAY())</f>
        <v/>
      </c>
      <c r="I298" s="56" t="str">
        <f>IF(OR($C298="",$E298=""),"",IF($F298="완료",IF($G298="","",MAX(0,$G298-$E298)),IF($F298="취소","",MAX(0,TODAY()-$E298))))</f>
        <v/>
      </c>
      <c r="J298" s="50" t="n"/>
      <c r="K298" s="52" t="str">
        <f>IF($A298="","",$A298&amp;"|"&amp;$L298)</f>
        <v/>
      </c>
      <c r="L298" s="52" t="str">
        <f>IF($A298="","",COUNTIFS($A$3:$A298,$A298))</f>
        <v/>
      </c>
    </row>
    <row r="299" ht="15" customHeight="1" s="41">
      <c r="A299" s="50" t="n"/>
      <c r="B299" s="52" t="str">
        <f>IF($A299="","",IFERROR(INDEX(회의록!$C$3:$C$302,MATCH($A299,회의록!$A$3:$A$302,0)),"회의번호없음"))</f>
        <v/>
      </c>
      <c r="C299" s="50" t="n"/>
      <c r="D299" s="49" t="n"/>
      <c r="E299" s="53" t="n"/>
      <c r="F299" s="49" t="n"/>
      <c r="G299" s="53" t="n"/>
      <c r="H299" s="56" t="str">
        <f>IF(OR($C299="",$E299="",$F299="완료",$F299="취소"),"",$E299-TODAY())</f>
        <v/>
      </c>
      <c r="I299" s="56" t="str">
        <f>IF(OR($C299="",$E299=""),"",IF($F299="완료",IF($G299="","",MAX(0,$G299-$E299)),IF($F299="취소","",MAX(0,TODAY()-$E299))))</f>
        <v/>
      </c>
      <c r="J299" s="50" t="n"/>
      <c r="K299" s="52" t="str">
        <f>IF($A299="","",$A299&amp;"|"&amp;$L299)</f>
        <v/>
      </c>
      <c r="L299" s="52" t="str">
        <f>IF($A299="","",COUNTIFS($A$3:$A299,$A299))</f>
        <v/>
      </c>
    </row>
    <row r="300" ht="15" customHeight="1" s="41">
      <c r="A300" s="50" t="n"/>
      <c r="B300" s="52" t="str">
        <f>IF($A300="","",IFERROR(INDEX(회의록!$C$3:$C$302,MATCH($A300,회의록!$A$3:$A$302,0)),"회의번호없음"))</f>
        <v/>
      </c>
      <c r="C300" s="50" t="n"/>
      <c r="D300" s="49" t="n"/>
      <c r="E300" s="53" t="n"/>
      <c r="F300" s="49" t="n"/>
      <c r="G300" s="53" t="n"/>
      <c r="H300" s="56" t="str">
        <f>IF(OR($C300="",$E300="",$F300="완료",$F300="취소"),"",$E300-TODAY())</f>
        <v/>
      </c>
      <c r="I300" s="56" t="str">
        <f>IF(OR($C300="",$E300=""),"",IF($F300="완료",IF($G300="","",MAX(0,$G300-$E300)),IF($F300="취소","",MAX(0,TODAY()-$E300))))</f>
        <v/>
      </c>
      <c r="J300" s="50" t="n"/>
      <c r="K300" s="52" t="str">
        <f>IF($A300="","",$A300&amp;"|"&amp;$L300)</f>
        <v/>
      </c>
      <c r="L300" s="52" t="str">
        <f>IF($A300="","",COUNTIFS($A$3:$A300,$A300))</f>
        <v/>
      </c>
    </row>
    <row r="301" ht="15" customHeight="1" s="41">
      <c r="A301" s="50" t="n"/>
      <c r="B301" s="52" t="str">
        <f>IF($A301="","",IFERROR(INDEX(회의록!$C$3:$C$302,MATCH($A301,회의록!$A$3:$A$302,0)),"회의번호없음"))</f>
        <v/>
      </c>
      <c r="C301" s="50" t="n"/>
      <c r="D301" s="49" t="n"/>
      <c r="E301" s="53" t="n"/>
      <c r="F301" s="49" t="n"/>
      <c r="G301" s="53" t="n"/>
      <c r="H301" s="56" t="str">
        <f>IF(OR($C301="",$E301="",$F301="완료",$F301="취소"),"",$E301-TODAY())</f>
        <v/>
      </c>
      <c r="I301" s="56" t="str">
        <f>IF(OR($C301="",$E301=""),"",IF($F301="완료",IF($G301="","",MAX(0,$G301-$E301)),IF($F301="취소","",MAX(0,TODAY()-$E301))))</f>
        <v/>
      </c>
      <c r="J301" s="50" t="n"/>
      <c r="K301" s="52" t="str">
        <f>IF($A301="","",$A301&amp;"|"&amp;$L301)</f>
        <v/>
      </c>
      <c r="L301" s="52" t="str">
        <f>IF($A301="","",COUNTIFS($A$3:$A301,$A301))</f>
        <v/>
      </c>
    </row>
    <row r="302" ht="15" customHeight="1" s="41">
      <c r="A302" s="50" t="n"/>
      <c r="B302" s="52" t="str">
        <f>IF($A302="","",IFERROR(INDEX(회의록!$C$3:$C$302,MATCH($A302,회의록!$A$3:$A$302,0)),"회의번호없음"))</f>
        <v/>
      </c>
      <c r="C302" s="50" t="n"/>
      <c r="D302" s="49" t="n"/>
      <c r="E302" s="53" t="n"/>
      <c r="F302" s="49" t="n"/>
      <c r="G302" s="53" t="n"/>
      <c r="H302" s="56" t="str">
        <f>IF(OR($C302="",$E302="",$F302="완료",$F302="취소"),"",$E302-TODAY())</f>
        <v/>
      </c>
      <c r="I302" s="56" t="str">
        <f>IF(OR($C302="",$E302=""),"",IF($F302="완료",IF($G302="","",MAX(0,$G302-$E302)),IF($F302="취소","",MAX(0,TODAY()-$E302))))</f>
        <v/>
      </c>
      <c r="J302" s="50" t="n"/>
      <c r="K302" s="52" t="str">
        <f>IF($A302="","",$A302&amp;"|"&amp;$L302)</f>
        <v/>
      </c>
      <c r="L302" s="52" t="str">
        <f>IF($A302="","",COUNTIFS($A$3:$A302,$A302))</f>
        <v/>
      </c>
    </row>
    <row r="303" ht="15" customHeight="1" s="41">
      <c r="A303" s="50" t="n"/>
      <c r="B303" s="52" t="str">
        <f>IF($A303="","",IFERROR(INDEX(회의록!$C$3:$C$302,MATCH($A303,회의록!$A$3:$A$302,0)),"회의번호없음"))</f>
        <v/>
      </c>
      <c r="C303" s="50" t="n"/>
      <c r="D303" s="49" t="n"/>
      <c r="E303" s="53" t="n"/>
      <c r="F303" s="49" t="n"/>
      <c r="G303" s="53" t="n"/>
      <c r="H303" s="56" t="str">
        <f>IF(OR($C303="",$E303="",$F303="완료",$F303="취소"),"",$E303-TODAY())</f>
        <v/>
      </c>
      <c r="I303" s="56" t="str">
        <f>IF(OR($C303="",$E303=""),"",IF($F303="완료",IF($G303="","",MAX(0,$G303-$E303)),IF($F303="취소","",MAX(0,TODAY()-$E303))))</f>
        <v/>
      </c>
      <c r="J303" s="50" t="n"/>
      <c r="K303" s="52" t="str">
        <f>IF($A303="","",$A303&amp;"|"&amp;$L303)</f>
        <v/>
      </c>
      <c r="L303" s="52" t="str">
        <f>IF($A303="","",COUNTIFS($A$3:$A303,$A303))</f>
        <v/>
      </c>
    </row>
    <row r="304" ht="15" customHeight="1" s="41">
      <c r="A304" s="50" t="n"/>
      <c r="B304" s="52" t="str">
        <f>IF($A304="","",IFERROR(INDEX(회의록!$C$3:$C$302,MATCH($A304,회의록!$A$3:$A$302,0)),"회의번호없음"))</f>
        <v/>
      </c>
      <c r="C304" s="50" t="n"/>
      <c r="D304" s="49" t="n"/>
      <c r="E304" s="53" t="n"/>
      <c r="F304" s="49" t="n"/>
      <c r="G304" s="53" t="n"/>
      <c r="H304" s="56" t="str">
        <f>IF(OR($C304="",$E304="",$F304="완료",$F304="취소"),"",$E304-TODAY())</f>
        <v/>
      </c>
      <c r="I304" s="56" t="str">
        <f>IF(OR($C304="",$E304=""),"",IF($F304="완료",IF($G304="","",MAX(0,$G304-$E304)),IF($F304="취소","",MAX(0,TODAY()-$E304))))</f>
        <v/>
      </c>
      <c r="J304" s="50" t="n"/>
      <c r="K304" s="52" t="str">
        <f>IF($A304="","",$A304&amp;"|"&amp;$L304)</f>
        <v/>
      </c>
      <c r="L304" s="52" t="str">
        <f>IF($A304="","",COUNTIFS($A$3:$A304,$A304))</f>
        <v/>
      </c>
    </row>
    <row r="305" ht="15" customHeight="1" s="41">
      <c r="A305" s="50" t="n"/>
      <c r="B305" s="52" t="str">
        <f>IF($A305="","",IFERROR(INDEX(회의록!$C$3:$C$302,MATCH($A305,회의록!$A$3:$A$302,0)),"회의번호없음"))</f>
        <v/>
      </c>
      <c r="C305" s="50" t="n"/>
      <c r="D305" s="49" t="n"/>
      <c r="E305" s="53" t="n"/>
      <c r="F305" s="49" t="n"/>
      <c r="G305" s="53" t="n"/>
      <c r="H305" s="56" t="str">
        <f>IF(OR($C305="",$E305="",$F305="완료",$F305="취소"),"",$E305-TODAY())</f>
        <v/>
      </c>
      <c r="I305" s="56" t="str">
        <f>IF(OR($C305="",$E305=""),"",IF($F305="완료",IF($G305="","",MAX(0,$G305-$E305)),IF($F305="취소","",MAX(0,TODAY()-$E305))))</f>
        <v/>
      </c>
      <c r="J305" s="50" t="n"/>
      <c r="K305" s="52" t="str">
        <f>IF($A305="","",$A305&amp;"|"&amp;$L305)</f>
        <v/>
      </c>
      <c r="L305" s="52" t="str">
        <f>IF($A305="","",COUNTIFS($A$3:$A305,$A305))</f>
        <v/>
      </c>
    </row>
    <row r="306" ht="15" customHeight="1" s="41">
      <c r="A306" s="50" t="n"/>
      <c r="B306" s="52" t="str">
        <f>IF($A306="","",IFERROR(INDEX(회의록!$C$3:$C$302,MATCH($A306,회의록!$A$3:$A$302,0)),"회의번호없음"))</f>
        <v/>
      </c>
      <c r="C306" s="50" t="n"/>
      <c r="D306" s="49" t="n"/>
      <c r="E306" s="53" t="n"/>
      <c r="F306" s="49" t="n"/>
      <c r="G306" s="53" t="n"/>
      <c r="H306" s="56" t="str">
        <f>IF(OR($C306="",$E306="",$F306="완료",$F306="취소"),"",$E306-TODAY())</f>
        <v/>
      </c>
      <c r="I306" s="56" t="str">
        <f>IF(OR($C306="",$E306=""),"",IF($F306="완료",IF($G306="","",MAX(0,$G306-$E306)),IF($F306="취소","",MAX(0,TODAY()-$E306))))</f>
        <v/>
      </c>
      <c r="J306" s="50" t="n"/>
      <c r="K306" s="52" t="str">
        <f>IF($A306="","",$A306&amp;"|"&amp;$L306)</f>
        <v/>
      </c>
      <c r="L306" s="52" t="str">
        <f>IF($A306="","",COUNTIFS($A$3:$A306,$A306))</f>
        <v/>
      </c>
    </row>
    <row r="307" ht="15" customHeight="1" s="41">
      <c r="A307" s="50" t="n"/>
      <c r="B307" s="52" t="str">
        <f>IF($A307="","",IFERROR(INDEX(회의록!$C$3:$C$302,MATCH($A307,회의록!$A$3:$A$302,0)),"회의번호없음"))</f>
        <v/>
      </c>
      <c r="C307" s="50" t="n"/>
      <c r="D307" s="49" t="n"/>
      <c r="E307" s="53" t="n"/>
      <c r="F307" s="49" t="n"/>
      <c r="G307" s="53" t="n"/>
      <c r="H307" s="56" t="str">
        <f>IF(OR($C307="",$E307="",$F307="완료",$F307="취소"),"",$E307-TODAY())</f>
        <v/>
      </c>
      <c r="I307" s="56" t="str">
        <f>IF(OR($C307="",$E307=""),"",IF($F307="완료",IF($G307="","",MAX(0,$G307-$E307)),IF($F307="취소","",MAX(0,TODAY()-$E307))))</f>
        <v/>
      </c>
      <c r="J307" s="50" t="n"/>
      <c r="K307" s="52" t="str">
        <f>IF($A307="","",$A307&amp;"|"&amp;$L307)</f>
        <v/>
      </c>
      <c r="L307" s="52" t="str">
        <f>IF($A307="","",COUNTIFS($A$3:$A307,$A307))</f>
        <v/>
      </c>
    </row>
    <row r="308" ht="15" customHeight="1" s="41">
      <c r="A308" s="50" t="n"/>
      <c r="B308" s="52" t="str">
        <f>IF($A308="","",IFERROR(INDEX(회의록!$C$3:$C$302,MATCH($A308,회의록!$A$3:$A$302,0)),"회의번호없음"))</f>
        <v/>
      </c>
      <c r="C308" s="50" t="n"/>
      <c r="D308" s="49" t="n"/>
      <c r="E308" s="53" t="n"/>
      <c r="F308" s="49" t="n"/>
      <c r="G308" s="53" t="n"/>
      <c r="H308" s="56" t="str">
        <f>IF(OR($C308="",$E308="",$F308="완료",$F308="취소"),"",$E308-TODAY())</f>
        <v/>
      </c>
      <c r="I308" s="56" t="str">
        <f>IF(OR($C308="",$E308=""),"",IF($F308="완료",IF($G308="","",MAX(0,$G308-$E308)),IF($F308="취소","",MAX(0,TODAY()-$E308))))</f>
        <v/>
      </c>
      <c r="J308" s="50" t="n"/>
      <c r="K308" s="52" t="str">
        <f>IF($A308="","",$A308&amp;"|"&amp;$L308)</f>
        <v/>
      </c>
      <c r="L308" s="52" t="str">
        <f>IF($A308="","",COUNTIFS($A$3:$A308,$A308))</f>
        <v/>
      </c>
    </row>
    <row r="309" ht="15" customHeight="1" s="41">
      <c r="A309" s="50" t="n"/>
      <c r="B309" s="52" t="str">
        <f>IF($A309="","",IFERROR(INDEX(회의록!$C$3:$C$302,MATCH($A309,회의록!$A$3:$A$302,0)),"회의번호없음"))</f>
        <v/>
      </c>
      <c r="C309" s="50" t="n"/>
      <c r="D309" s="49" t="n"/>
      <c r="E309" s="53" t="n"/>
      <c r="F309" s="49" t="n"/>
      <c r="G309" s="53" t="n"/>
      <c r="H309" s="56" t="str">
        <f>IF(OR($C309="",$E309="",$F309="완료",$F309="취소"),"",$E309-TODAY())</f>
        <v/>
      </c>
      <c r="I309" s="56" t="str">
        <f>IF(OR($C309="",$E309=""),"",IF($F309="완료",IF($G309="","",MAX(0,$G309-$E309)),IF($F309="취소","",MAX(0,TODAY()-$E309))))</f>
        <v/>
      </c>
      <c r="J309" s="50" t="n"/>
      <c r="K309" s="52" t="str">
        <f>IF($A309="","",$A309&amp;"|"&amp;$L309)</f>
        <v/>
      </c>
      <c r="L309" s="52" t="str">
        <f>IF($A309="","",COUNTIFS($A$3:$A309,$A309))</f>
        <v/>
      </c>
    </row>
    <row r="310" ht="15" customHeight="1" s="41">
      <c r="A310" s="50" t="n"/>
      <c r="B310" s="52" t="str">
        <f>IF($A310="","",IFERROR(INDEX(회의록!$C$3:$C$302,MATCH($A310,회의록!$A$3:$A$302,0)),"회의번호없음"))</f>
        <v/>
      </c>
      <c r="C310" s="50" t="n"/>
      <c r="D310" s="49" t="n"/>
      <c r="E310" s="53" t="n"/>
      <c r="F310" s="49" t="n"/>
      <c r="G310" s="53" t="n"/>
      <c r="H310" s="56" t="str">
        <f>IF(OR($C310="",$E310="",$F310="완료",$F310="취소"),"",$E310-TODAY())</f>
        <v/>
      </c>
      <c r="I310" s="56" t="str">
        <f>IF(OR($C310="",$E310=""),"",IF($F310="완료",IF($G310="","",MAX(0,$G310-$E310)),IF($F310="취소","",MAX(0,TODAY()-$E310))))</f>
        <v/>
      </c>
      <c r="J310" s="50" t="n"/>
      <c r="K310" s="52" t="str">
        <f>IF($A310="","",$A310&amp;"|"&amp;$L310)</f>
        <v/>
      </c>
      <c r="L310" s="52" t="str">
        <f>IF($A310="","",COUNTIFS($A$3:$A310,$A310))</f>
        <v/>
      </c>
    </row>
    <row r="311" ht="15" customHeight="1" s="41">
      <c r="A311" s="50" t="n"/>
      <c r="B311" s="52" t="str">
        <f>IF($A311="","",IFERROR(INDEX(회의록!$C$3:$C$302,MATCH($A311,회의록!$A$3:$A$302,0)),"회의번호없음"))</f>
        <v/>
      </c>
      <c r="C311" s="50" t="n"/>
      <c r="D311" s="49" t="n"/>
      <c r="E311" s="53" t="n"/>
      <c r="F311" s="49" t="n"/>
      <c r="G311" s="53" t="n"/>
      <c r="H311" s="56" t="str">
        <f>IF(OR($C311="",$E311="",$F311="완료",$F311="취소"),"",$E311-TODAY())</f>
        <v/>
      </c>
      <c r="I311" s="56" t="str">
        <f>IF(OR($C311="",$E311=""),"",IF($F311="완료",IF($G311="","",MAX(0,$G311-$E311)),IF($F311="취소","",MAX(0,TODAY()-$E311))))</f>
        <v/>
      </c>
      <c r="J311" s="50" t="n"/>
      <c r="K311" s="52" t="str">
        <f>IF($A311="","",$A311&amp;"|"&amp;$L311)</f>
        <v/>
      </c>
      <c r="L311" s="52" t="str">
        <f>IF($A311="","",COUNTIFS($A$3:$A311,$A311))</f>
        <v/>
      </c>
    </row>
    <row r="312" ht="15" customHeight="1" s="41">
      <c r="A312" s="50" t="n"/>
      <c r="B312" s="52" t="str">
        <f>IF($A312="","",IFERROR(INDEX(회의록!$C$3:$C$302,MATCH($A312,회의록!$A$3:$A$302,0)),"회의번호없음"))</f>
        <v/>
      </c>
      <c r="C312" s="50" t="n"/>
      <c r="D312" s="49" t="n"/>
      <c r="E312" s="53" t="n"/>
      <c r="F312" s="49" t="n"/>
      <c r="G312" s="53" t="n"/>
      <c r="H312" s="56" t="str">
        <f>IF(OR($C312="",$E312="",$F312="완료",$F312="취소"),"",$E312-TODAY())</f>
        <v/>
      </c>
      <c r="I312" s="56" t="str">
        <f>IF(OR($C312="",$E312=""),"",IF($F312="완료",IF($G312="","",MAX(0,$G312-$E312)),IF($F312="취소","",MAX(0,TODAY()-$E312))))</f>
        <v/>
      </c>
      <c r="J312" s="50" t="n"/>
      <c r="K312" s="52" t="str">
        <f>IF($A312="","",$A312&amp;"|"&amp;$L312)</f>
        <v/>
      </c>
      <c r="L312" s="52" t="str">
        <f>IF($A312="","",COUNTIFS($A$3:$A312,$A312))</f>
        <v/>
      </c>
    </row>
    <row r="313" ht="15" customHeight="1" s="41">
      <c r="A313" s="50" t="n"/>
      <c r="B313" s="52" t="str">
        <f>IF($A313="","",IFERROR(INDEX(회의록!$C$3:$C$302,MATCH($A313,회의록!$A$3:$A$302,0)),"회의번호없음"))</f>
        <v/>
      </c>
      <c r="C313" s="50" t="n"/>
      <c r="D313" s="49" t="n"/>
      <c r="E313" s="53" t="n"/>
      <c r="F313" s="49" t="n"/>
      <c r="G313" s="53" t="n"/>
      <c r="H313" s="56" t="str">
        <f>IF(OR($C313="",$E313="",$F313="완료",$F313="취소"),"",$E313-TODAY())</f>
        <v/>
      </c>
      <c r="I313" s="56" t="str">
        <f>IF(OR($C313="",$E313=""),"",IF($F313="완료",IF($G313="","",MAX(0,$G313-$E313)),IF($F313="취소","",MAX(0,TODAY()-$E313))))</f>
        <v/>
      </c>
      <c r="J313" s="50" t="n"/>
      <c r="K313" s="52" t="str">
        <f>IF($A313="","",$A313&amp;"|"&amp;$L313)</f>
        <v/>
      </c>
      <c r="L313" s="52" t="str">
        <f>IF($A313="","",COUNTIFS($A$3:$A313,$A313))</f>
        <v/>
      </c>
    </row>
    <row r="314" ht="15" customHeight="1" s="41">
      <c r="A314" s="50" t="n"/>
      <c r="B314" s="52" t="str">
        <f>IF($A314="","",IFERROR(INDEX(회의록!$C$3:$C$302,MATCH($A314,회의록!$A$3:$A$302,0)),"회의번호없음"))</f>
        <v/>
      </c>
      <c r="C314" s="50" t="n"/>
      <c r="D314" s="49" t="n"/>
      <c r="E314" s="53" t="n"/>
      <c r="F314" s="49" t="n"/>
      <c r="G314" s="53" t="n"/>
      <c r="H314" s="56" t="str">
        <f>IF(OR($C314="",$E314="",$F314="완료",$F314="취소"),"",$E314-TODAY())</f>
        <v/>
      </c>
      <c r="I314" s="56" t="str">
        <f>IF(OR($C314="",$E314=""),"",IF($F314="완료",IF($G314="","",MAX(0,$G314-$E314)),IF($F314="취소","",MAX(0,TODAY()-$E314))))</f>
        <v/>
      </c>
      <c r="J314" s="50" t="n"/>
      <c r="K314" s="52" t="str">
        <f>IF($A314="","",$A314&amp;"|"&amp;$L314)</f>
        <v/>
      </c>
      <c r="L314" s="52" t="str">
        <f>IF($A314="","",COUNTIFS($A$3:$A314,$A314))</f>
        <v/>
      </c>
    </row>
    <row r="315" ht="15" customHeight="1" s="41">
      <c r="A315" s="50" t="n"/>
      <c r="B315" s="52" t="str">
        <f>IF($A315="","",IFERROR(INDEX(회의록!$C$3:$C$302,MATCH($A315,회의록!$A$3:$A$302,0)),"회의번호없음"))</f>
        <v/>
      </c>
      <c r="C315" s="50" t="n"/>
      <c r="D315" s="49" t="n"/>
      <c r="E315" s="53" t="n"/>
      <c r="F315" s="49" t="n"/>
      <c r="G315" s="53" t="n"/>
      <c r="H315" s="56" t="str">
        <f>IF(OR($C315="",$E315="",$F315="완료",$F315="취소"),"",$E315-TODAY())</f>
        <v/>
      </c>
      <c r="I315" s="56" t="str">
        <f>IF(OR($C315="",$E315=""),"",IF($F315="완료",IF($G315="","",MAX(0,$G315-$E315)),IF($F315="취소","",MAX(0,TODAY()-$E315))))</f>
        <v/>
      </c>
      <c r="J315" s="50" t="n"/>
      <c r="K315" s="52" t="str">
        <f>IF($A315="","",$A315&amp;"|"&amp;$L315)</f>
        <v/>
      </c>
      <c r="L315" s="52" t="str">
        <f>IF($A315="","",COUNTIFS($A$3:$A315,$A315))</f>
        <v/>
      </c>
    </row>
    <row r="316" ht="15" customHeight="1" s="41">
      <c r="A316" s="50" t="n"/>
      <c r="B316" s="52" t="str">
        <f>IF($A316="","",IFERROR(INDEX(회의록!$C$3:$C$302,MATCH($A316,회의록!$A$3:$A$302,0)),"회의번호없음"))</f>
        <v/>
      </c>
      <c r="C316" s="50" t="n"/>
      <c r="D316" s="49" t="n"/>
      <c r="E316" s="53" t="n"/>
      <c r="F316" s="49" t="n"/>
      <c r="G316" s="53" t="n"/>
      <c r="H316" s="56" t="str">
        <f>IF(OR($C316="",$E316="",$F316="완료",$F316="취소"),"",$E316-TODAY())</f>
        <v/>
      </c>
      <c r="I316" s="56" t="str">
        <f>IF(OR($C316="",$E316=""),"",IF($F316="완료",IF($G316="","",MAX(0,$G316-$E316)),IF($F316="취소","",MAX(0,TODAY()-$E316))))</f>
        <v/>
      </c>
      <c r="J316" s="50" t="n"/>
      <c r="K316" s="52" t="str">
        <f>IF($A316="","",$A316&amp;"|"&amp;$L316)</f>
        <v/>
      </c>
      <c r="L316" s="52" t="str">
        <f>IF($A316="","",COUNTIFS($A$3:$A316,$A316))</f>
        <v/>
      </c>
    </row>
    <row r="317" ht="15" customHeight="1" s="41">
      <c r="A317" s="50" t="n"/>
      <c r="B317" s="52" t="str">
        <f>IF($A317="","",IFERROR(INDEX(회의록!$C$3:$C$302,MATCH($A317,회의록!$A$3:$A$302,0)),"회의번호없음"))</f>
        <v/>
      </c>
      <c r="C317" s="50" t="n"/>
      <c r="D317" s="49" t="n"/>
      <c r="E317" s="53" t="n"/>
      <c r="F317" s="49" t="n"/>
      <c r="G317" s="53" t="n"/>
      <c r="H317" s="56" t="str">
        <f>IF(OR($C317="",$E317="",$F317="완료",$F317="취소"),"",$E317-TODAY())</f>
        <v/>
      </c>
      <c r="I317" s="56" t="str">
        <f>IF(OR($C317="",$E317=""),"",IF($F317="완료",IF($G317="","",MAX(0,$G317-$E317)),IF($F317="취소","",MAX(0,TODAY()-$E317))))</f>
        <v/>
      </c>
      <c r="J317" s="50" t="n"/>
      <c r="K317" s="52" t="str">
        <f>IF($A317="","",$A317&amp;"|"&amp;$L317)</f>
        <v/>
      </c>
      <c r="L317" s="52" t="str">
        <f>IF($A317="","",COUNTIFS($A$3:$A317,$A317))</f>
        <v/>
      </c>
    </row>
    <row r="318" ht="15" customHeight="1" s="41">
      <c r="A318" s="50" t="n"/>
      <c r="B318" s="52" t="str">
        <f>IF($A318="","",IFERROR(INDEX(회의록!$C$3:$C$302,MATCH($A318,회의록!$A$3:$A$302,0)),"회의번호없음"))</f>
        <v/>
      </c>
      <c r="C318" s="50" t="n"/>
      <c r="D318" s="49" t="n"/>
      <c r="E318" s="53" t="n"/>
      <c r="F318" s="49" t="n"/>
      <c r="G318" s="53" t="n"/>
      <c r="H318" s="56" t="str">
        <f>IF(OR($C318="",$E318="",$F318="완료",$F318="취소"),"",$E318-TODAY())</f>
        <v/>
      </c>
      <c r="I318" s="56" t="str">
        <f>IF(OR($C318="",$E318=""),"",IF($F318="완료",IF($G318="","",MAX(0,$G318-$E318)),IF($F318="취소","",MAX(0,TODAY()-$E318))))</f>
        <v/>
      </c>
      <c r="J318" s="50" t="n"/>
      <c r="K318" s="52" t="str">
        <f>IF($A318="","",$A318&amp;"|"&amp;$L318)</f>
        <v/>
      </c>
      <c r="L318" s="52" t="str">
        <f>IF($A318="","",COUNTIFS($A$3:$A318,$A318))</f>
        <v/>
      </c>
    </row>
    <row r="319" ht="15" customHeight="1" s="41">
      <c r="A319" s="50" t="n"/>
      <c r="B319" s="52" t="str">
        <f>IF($A319="","",IFERROR(INDEX(회의록!$C$3:$C$302,MATCH($A319,회의록!$A$3:$A$302,0)),"회의번호없음"))</f>
        <v/>
      </c>
      <c r="C319" s="50" t="n"/>
      <c r="D319" s="49" t="n"/>
      <c r="E319" s="53" t="n"/>
      <c r="F319" s="49" t="n"/>
      <c r="G319" s="53" t="n"/>
      <c r="H319" s="56" t="str">
        <f>IF(OR($C319="",$E319="",$F319="완료",$F319="취소"),"",$E319-TODAY())</f>
        <v/>
      </c>
      <c r="I319" s="56" t="str">
        <f>IF(OR($C319="",$E319=""),"",IF($F319="완료",IF($G319="","",MAX(0,$G319-$E319)),IF($F319="취소","",MAX(0,TODAY()-$E319))))</f>
        <v/>
      </c>
      <c r="J319" s="50" t="n"/>
      <c r="K319" s="52" t="str">
        <f>IF($A319="","",$A319&amp;"|"&amp;$L319)</f>
        <v/>
      </c>
      <c r="L319" s="52" t="str">
        <f>IF($A319="","",COUNTIFS($A$3:$A319,$A319))</f>
        <v/>
      </c>
    </row>
    <row r="320" ht="15" customHeight="1" s="41">
      <c r="A320" s="50" t="n"/>
      <c r="B320" s="52" t="str">
        <f>IF($A320="","",IFERROR(INDEX(회의록!$C$3:$C$302,MATCH($A320,회의록!$A$3:$A$302,0)),"회의번호없음"))</f>
        <v/>
      </c>
      <c r="C320" s="50" t="n"/>
      <c r="D320" s="49" t="n"/>
      <c r="E320" s="53" t="n"/>
      <c r="F320" s="49" t="n"/>
      <c r="G320" s="53" t="n"/>
      <c r="H320" s="56" t="str">
        <f>IF(OR($C320="",$E320="",$F320="완료",$F320="취소"),"",$E320-TODAY())</f>
        <v/>
      </c>
      <c r="I320" s="56" t="str">
        <f>IF(OR($C320="",$E320=""),"",IF($F320="완료",IF($G320="","",MAX(0,$G320-$E320)),IF($F320="취소","",MAX(0,TODAY()-$E320))))</f>
        <v/>
      </c>
      <c r="J320" s="50" t="n"/>
      <c r="K320" s="52" t="str">
        <f>IF($A320="","",$A320&amp;"|"&amp;$L320)</f>
        <v/>
      </c>
      <c r="L320" s="52" t="str">
        <f>IF($A320="","",COUNTIFS($A$3:$A320,$A320))</f>
        <v/>
      </c>
    </row>
    <row r="321" ht="15" customHeight="1" s="41">
      <c r="A321" s="50" t="n"/>
      <c r="B321" s="52" t="str">
        <f>IF($A321="","",IFERROR(INDEX(회의록!$C$3:$C$302,MATCH($A321,회의록!$A$3:$A$302,0)),"회의번호없음"))</f>
        <v/>
      </c>
      <c r="C321" s="50" t="n"/>
      <c r="D321" s="49" t="n"/>
      <c r="E321" s="53" t="n"/>
      <c r="F321" s="49" t="n"/>
      <c r="G321" s="53" t="n"/>
      <c r="H321" s="56" t="str">
        <f>IF(OR($C321="",$E321="",$F321="완료",$F321="취소"),"",$E321-TODAY())</f>
        <v/>
      </c>
      <c r="I321" s="56" t="str">
        <f>IF(OR($C321="",$E321=""),"",IF($F321="완료",IF($G321="","",MAX(0,$G321-$E321)),IF($F321="취소","",MAX(0,TODAY()-$E321))))</f>
        <v/>
      </c>
      <c r="J321" s="50" t="n"/>
      <c r="K321" s="52" t="str">
        <f>IF($A321="","",$A321&amp;"|"&amp;$L321)</f>
        <v/>
      </c>
      <c r="L321" s="52" t="str">
        <f>IF($A321="","",COUNTIFS($A$3:$A321,$A321))</f>
        <v/>
      </c>
    </row>
    <row r="322" ht="15" customHeight="1" s="41">
      <c r="A322" s="50" t="n"/>
      <c r="B322" s="52" t="str">
        <f>IF($A322="","",IFERROR(INDEX(회의록!$C$3:$C$302,MATCH($A322,회의록!$A$3:$A$302,0)),"회의번호없음"))</f>
        <v/>
      </c>
      <c r="C322" s="50" t="n"/>
      <c r="D322" s="49" t="n"/>
      <c r="E322" s="53" t="n"/>
      <c r="F322" s="49" t="n"/>
      <c r="G322" s="53" t="n"/>
      <c r="H322" s="56" t="str">
        <f>IF(OR($C322="",$E322="",$F322="완료",$F322="취소"),"",$E322-TODAY())</f>
        <v/>
      </c>
      <c r="I322" s="56" t="str">
        <f>IF(OR($C322="",$E322=""),"",IF($F322="완료",IF($G322="","",MAX(0,$G322-$E322)),IF($F322="취소","",MAX(0,TODAY()-$E322))))</f>
        <v/>
      </c>
      <c r="J322" s="50" t="n"/>
      <c r="K322" s="52" t="str">
        <f>IF($A322="","",$A322&amp;"|"&amp;$L322)</f>
        <v/>
      </c>
      <c r="L322" s="52" t="str">
        <f>IF($A322="","",COUNTIFS($A$3:$A322,$A322))</f>
        <v/>
      </c>
    </row>
    <row r="323" ht="15" customHeight="1" s="41">
      <c r="A323" s="50" t="n"/>
      <c r="B323" s="52" t="str">
        <f>IF($A323="","",IFERROR(INDEX(회의록!$C$3:$C$302,MATCH($A323,회의록!$A$3:$A$302,0)),"회의번호없음"))</f>
        <v/>
      </c>
      <c r="C323" s="50" t="n"/>
      <c r="D323" s="49" t="n"/>
      <c r="E323" s="53" t="n"/>
      <c r="F323" s="49" t="n"/>
      <c r="G323" s="53" t="n"/>
      <c r="H323" s="56" t="str">
        <f>IF(OR($C323="",$E323="",$F323="완료",$F323="취소"),"",$E323-TODAY())</f>
        <v/>
      </c>
      <c r="I323" s="56" t="str">
        <f>IF(OR($C323="",$E323=""),"",IF($F323="완료",IF($G323="","",MAX(0,$G323-$E323)),IF($F323="취소","",MAX(0,TODAY()-$E323))))</f>
        <v/>
      </c>
      <c r="J323" s="50" t="n"/>
      <c r="K323" s="52" t="str">
        <f>IF($A323="","",$A323&amp;"|"&amp;$L323)</f>
        <v/>
      </c>
      <c r="L323" s="52" t="str">
        <f>IF($A323="","",COUNTIFS($A$3:$A323,$A323))</f>
        <v/>
      </c>
    </row>
    <row r="324" ht="15" customHeight="1" s="41">
      <c r="A324" s="50" t="n"/>
      <c r="B324" s="52" t="str">
        <f>IF($A324="","",IFERROR(INDEX(회의록!$C$3:$C$302,MATCH($A324,회의록!$A$3:$A$302,0)),"회의번호없음"))</f>
        <v/>
      </c>
      <c r="C324" s="50" t="n"/>
      <c r="D324" s="49" t="n"/>
      <c r="E324" s="53" t="n"/>
      <c r="F324" s="49" t="n"/>
      <c r="G324" s="53" t="n"/>
      <c r="H324" s="56" t="str">
        <f>IF(OR($C324="",$E324="",$F324="완료",$F324="취소"),"",$E324-TODAY())</f>
        <v/>
      </c>
      <c r="I324" s="56" t="str">
        <f>IF(OR($C324="",$E324=""),"",IF($F324="완료",IF($G324="","",MAX(0,$G324-$E324)),IF($F324="취소","",MAX(0,TODAY()-$E324))))</f>
        <v/>
      </c>
      <c r="J324" s="50" t="n"/>
      <c r="K324" s="52" t="str">
        <f>IF($A324="","",$A324&amp;"|"&amp;$L324)</f>
        <v/>
      </c>
      <c r="L324" s="52" t="str">
        <f>IF($A324="","",COUNTIFS($A$3:$A324,$A324))</f>
        <v/>
      </c>
    </row>
    <row r="325" ht="15" customHeight="1" s="41">
      <c r="A325" s="50" t="n"/>
      <c r="B325" s="52" t="str">
        <f>IF($A325="","",IFERROR(INDEX(회의록!$C$3:$C$302,MATCH($A325,회의록!$A$3:$A$302,0)),"회의번호없음"))</f>
        <v/>
      </c>
      <c r="C325" s="50" t="n"/>
      <c r="D325" s="49" t="n"/>
      <c r="E325" s="53" t="n"/>
      <c r="F325" s="49" t="n"/>
      <c r="G325" s="53" t="n"/>
      <c r="H325" s="56" t="str">
        <f>IF(OR($C325="",$E325="",$F325="완료",$F325="취소"),"",$E325-TODAY())</f>
        <v/>
      </c>
      <c r="I325" s="56" t="str">
        <f>IF(OR($C325="",$E325=""),"",IF($F325="완료",IF($G325="","",MAX(0,$G325-$E325)),IF($F325="취소","",MAX(0,TODAY()-$E325))))</f>
        <v/>
      </c>
      <c r="J325" s="50" t="n"/>
      <c r="K325" s="52" t="str">
        <f>IF($A325="","",$A325&amp;"|"&amp;$L325)</f>
        <v/>
      </c>
      <c r="L325" s="52" t="str">
        <f>IF($A325="","",COUNTIFS($A$3:$A325,$A325))</f>
        <v/>
      </c>
    </row>
    <row r="326" ht="15" customHeight="1" s="41">
      <c r="A326" s="50" t="n"/>
      <c r="B326" s="52" t="str">
        <f>IF($A326="","",IFERROR(INDEX(회의록!$C$3:$C$302,MATCH($A326,회의록!$A$3:$A$302,0)),"회의번호없음"))</f>
        <v/>
      </c>
      <c r="C326" s="50" t="n"/>
      <c r="D326" s="49" t="n"/>
      <c r="E326" s="53" t="n"/>
      <c r="F326" s="49" t="n"/>
      <c r="G326" s="53" t="n"/>
      <c r="H326" s="56" t="str">
        <f>IF(OR($C326="",$E326="",$F326="완료",$F326="취소"),"",$E326-TODAY())</f>
        <v/>
      </c>
      <c r="I326" s="56" t="str">
        <f>IF(OR($C326="",$E326=""),"",IF($F326="완료",IF($G326="","",MAX(0,$G326-$E326)),IF($F326="취소","",MAX(0,TODAY()-$E326))))</f>
        <v/>
      </c>
      <c r="J326" s="50" t="n"/>
      <c r="K326" s="52" t="str">
        <f>IF($A326="","",$A326&amp;"|"&amp;$L326)</f>
        <v/>
      </c>
      <c r="L326" s="52" t="str">
        <f>IF($A326="","",COUNTIFS($A$3:$A326,$A326))</f>
        <v/>
      </c>
    </row>
    <row r="327" ht="15" customHeight="1" s="41">
      <c r="A327" s="50" t="n"/>
      <c r="B327" s="52" t="str">
        <f>IF($A327="","",IFERROR(INDEX(회의록!$C$3:$C$302,MATCH($A327,회의록!$A$3:$A$302,0)),"회의번호없음"))</f>
        <v/>
      </c>
      <c r="C327" s="50" t="n"/>
      <c r="D327" s="49" t="n"/>
      <c r="E327" s="53" t="n"/>
      <c r="F327" s="49" t="n"/>
      <c r="G327" s="53" t="n"/>
      <c r="H327" s="56" t="str">
        <f>IF(OR($C327="",$E327="",$F327="완료",$F327="취소"),"",$E327-TODAY())</f>
        <v/>
      </c>
      <c r="I327" s="56" t="str">
        <f>IF(OR($C327="",$E327=""),"",IF($F327="완료",IF($G327="","",MAX(0,$G327-$E327)),IF($F327="취소","",MAX(0,TODAY()-$E327))))</f>
        <v/>
      </c>
      <c r="J327" s="50" t="n"/>
      <c r="K327" s="52" t="str">
        <f>IF($A327="","",$A327&amp;"|"&amp;$L327)</f>
        <v/>
      </c>
      <c r="L327" s="52" t="str">
        <f>IF($A327="","",COUNTIFS($A$3:$A327,$A327))</f>
        <v/>
      </c>
    </row>
    <row r="328" ht="15" customHeight="1" s="41">
      <c r="A328" s="50" t="n"/>
      <c r="B328" s="52" t="str">
        <f>IF($A328="","",IFERROR(INDEX(회의록!$C$3:$C$302,MATCH($A328,회의록!$A$3:$A$302,0)),"회의번호없음"))</f>
        <v/>
      </c>
      <c r="C328" s="50" t="n"/>
      <c r="D328" s="49" t="n"/>
      <c r="E328" s="53" t="n"/>
      <c r="F328" s="49" t="n"/>
      <c r="G328" s="53" t="n"/>
      <c r="H328" s="56" t="str">
        <f>IF(OR($C328="",$E328="",$F328="완료",$F328="취소"),"",$E328-TODAY())</f>
        <v/>
      </c>
      <c r="I328" s="56" t="str">
        <f>IF(OR($C328="",$E328=""),"",IF($F328="완료",IF($G328="","",MAX(0,$G328-$E328)),IF($F328="취소","",MAX(0,TODAY()-$E328))))</f>
        <v/>
      </c>
      <c r="J328" s="50" t="n"/>
      <c r="K328" s="52" t="str">
        <f>IF($A328="","",$A328&amp;"|"&amp;$L328)</f>
        <v/>
      </c>
      <c r="L328" s="52" t="str">
        <f>IF($A328="","",COUNTIFS($A$3:$A328,$A328))</f>
        <v/>
      </c>
    </row>
    <row r="329" ht="15" customHeight="1" s="41">
      <c r="A329" s="50" t="n"/>
      <c r="B329" s="52" t="str">
        <f>IF($A329="","",IFERROR(INDEX(회의록!$C$3:$C$302,MATCH($A329,회의록!$A$3:$A$302,0)),"회의번호없음"))</f>
        <v/>
      </c>
      <c r="C329" s="50" t="n"/>
      <c r="D329" s="49" t="n"/>
      <c r="E329" s="53" t="n"/>
      <c r="F329" s="49" t="n"/>
      <c r="G329" s="53" t="n"/>
      <c r="H329" s="56" t="str">
        <f>IF(OR($C329="",$E329="",$F329="완료",$F329="취소"),"",$E329-TODAY())</f>
        <v/>
      </c>
      <c r="I329" s="56" t="str">
        <f>IF(OR($C329="",$E329=""),"",IF($F329="완료",IF($G329="","",MAX(0,$G329-$E329)),IF($F329="취소","",MAX(0,TODAY()-$E329))))</f>
        <v/>
      </c>
      <c r="J329" s="50" t="n"/>
      <c r="K329" s="52" t="str">
        <f>IF($A329="","",$A329&amp;"|"&amp;$L329)</f>
        <v/>
      </c>
      <c r="L329" s="52" t="str">
        <f>IF($A329="","",COUNTIFS($A$3:$A329,$A329))</f>
        <v/>
      </c>
    </row>
    <row r="330" ht="15" customHeight="1" s="41">
      <c r="A330" s="50" t="n"/>
      <c r="B330" s="52" t="str">
        <f>IF($A330="","",IFERROR(INDEX(회의록!$C$3:$C$302,MATCH($A330,회의록!$A$3:$A$302,0)),"회의번호없음"))</f>
        <v/>
      </c>
      <c r="C330" s="50" t="n"/>
      <c r="D330" s="49" t="n"/>
      <c r="E330" s="53" t="n"/>
      <c r="F330" s="49" t="n"/>
      <c r="G330" s="53" t="n"/>
      <c r="H330" s="56" t="str">
        <f>IF(OR($C330="",$E330="",$F330="완료",$F330="취소"),"",$E330-TODAY())</f>
        <v/>
      </c>
      <c r="I330" s="56" t="str">
        <f>IF(OR($C330="",$E330=""),"",IF($F330="완료",IF($G330="","",MAX(0,$G330-$E330)),IF($F330="취소","",MAX(0,TODAY()-$E330))))</f>
        <v/>
      </c>
      <c r="J330" s="50" t="n"/>
      <c r="K330" s="52" t="str">
        <f>IF($A330="","",$A330&amp;"|"&amp;$L330)</f>
        <v/>
      </c>
      <c r="L330" s="52" t="str">
        <f>IF($A330="","",COUNTIFS($A$3:$A330,$A330))</f>
        <v/>
      </c>
    </row>
    <row r="331" ht="15" customHeight="1" s="41">
      <c r="A331" s="50" t="n"/>
      <c r="B331" s="52" t="str">
        <f>IF($A331="","",IFERROR(INDEX(회의록!$C$3:$C$302,MATCH($A331,회의록!$A$3:$A$302,0)),"회의번호없음"))</f>
        <v/>
      </c>
      <c r="C331" s="50" t="n"/>
      <c r="D331" s="49" t="n"/>
      <c r="E331" s="53" t="n"/>
      <c r="F331" s="49" t="n"/>
      <c r="G331" s="53" t="n"/>
      <c r="H331" s="56" t="str">
        <f>IF(OR($C331="",$E331="",$F331="완료",$F331="취소"),"",$E331-TODAY())</f>
        <v/>
      </c>
      <c r="I331" s="56" t="str">
        <f>IF(OR($C331="",$E331=""),"",IF($F331="완료",IF($G331="","",MAX(0,$G331-$E331)),IF($F331="취소","",MAX(0,TODAY()-$E331))))</f>
        <v/>
      </c>
      <c r="J331" s="50" t="n"/>
      <c r="K331" s="52" t="str">
        <f>IF($A331="","",$A331&amp;"|"&amp;$L331)</f>
        <v/>
      </c>
      <c r="L331" s="52" t="str">
        <f>IF($A331="","",COUNTIFS($A$3:$A331,$A331))</f>
        <v/>
      </c>
    </row>
    <row r="332" ht="15" customHeight="1" s="41">
      <c r="A332" s="50" t="n"/>
      <c r="B332" s="52" t="str">
        <f>IF($A332="","",IFERROR(INDEX(회의록!$C$3:$C$302,MATCH($A332,회의록!$A$3:$A$302,0)),"회의번호없음"))</f>
        <v/>
      </c>
      <c r="C332" s="50" t="n"/>
      <c r="D332" s="49" t="n"/>
      <c r="E332" s="53" t="n"/>
      <c r="F332" s="49" t="n"/>
      <c r="G332" s="53" t="n"/>
      <c r="H332" s="56" t="str">
        <f>IF(OR($C332="",$E332="",$F332="완료",$F332="취소"),"",$E332-TODAY())</f>
        <v/>
      </c>
      <c r="I332" s="56" t="str">
        <f>IF(OR($C332="",$E332=""),"",IF($F332="완료",IF($G332="","",MAX(0,$G332-$E332)),IF($F332="취소","",MAX(0,TODAY()-$E332))))</f>
        <v/>
      </c>
      <c r="J332" s="50" t="n"/>
      <c r="K332" s="52" t="str">
        <f>IF($A332="","",$A332&amp;"|"&amp;$L332)</f>
        <v/>
      </c>
      <c r="L332" s="52" t="str">
        <f>IF($A332="","",COUNTIFS($A$3:$A332,$A332))</f>
        <v/>
      </c>
    </row>
    <row r="333" ht="15" customHeight="1" s="41">
      <c r="A333" s="50" t="n"/>
      <c r="B333" s="52" t="str">
        <f>IF($A333="","",IFERROR(INDEX(회의록!$C$3:$C$302,MATCH($A333,회의록!$A$3:$A$302,0)),"회의번호없음"))</f>
        <v/>
      </c>
      <c r="C333" s="50" t="n"/>
      <c r="D333" s="49" t="n"/>
      <c r="E333" s="53" t="n"/>
      <c r="F333" s="49" t="n"/>
      <c r="G333" s="53" t="n"/>
      <c r="H333" s="56" t="str">
        <f>IF(OR($C333="",$E333="",$F333="완료",$F333="취소"),"",$E333-TODAY())</f>
        <v/>
      </c>
      <c r="I333" s="56" t="str">
        <f>IF(OR($C333="",$E333=""),"",IF($F333="완료",IF($G333="","",MAX(0,$G333-$E333)),IF($F333="취소","",MAX(0,TODAY()-$E333))))</f>
        <v/>
      </c>
      <c r="J333" s="50" t="n"/>
      <c r="K333" s="52" t="str">
        <f>IF($A333="","",$A333&amp;"|"&amp;$L333)</f>
        <v/>
      </c>
      <c r="L333" s="52" t="str">
        <f>IF($A333="","",COUNTIFS($A$3:$A333,$A333))</f>
        <v/>
      </c>
    </row>
    <row r="334" ht="15" customHeight="1" s="41">
      <c r="A334" s="50" t="n"/>
      <c r="B334" s="52" t="str">
        <f>IF($A334="","",IFERROR(INDEX(회의록!$C$3:$C$302,MATCH($A334,회의록!$A$3:$A$302,0)),"회의번호없음"))</f>
        <v/>
      </c>
      <c r="C334" s="50" t="n"/>
      <c r="D334" s="49" t="n"/>
      <c r="E334" s="53" t="n"/>
      <c r="F334" s="49" t="n"/>
      <c r="G334" s="53" t="n"/>
      <c r="H334" s="56" t="str">
        <f>IF(OR($C334="",$E334="",$F334="완료",$F334="취소"),"",$E334-TODAY())</f>
        <v/>
      </c>
      <c r="I334" s="56" t="str">
        <f>IF(OR($C334="",$E334=""),"",IF($F334="완료",IF($G334="","",MAX(0,$G334-$E334)),IF($F334="취소","",MAX(0,TODAY()-$E334))))</f>
        <v/>
      </c>
      <c r="J334" s="50" t="n"/>
      <c r="K334" s="52" t="str">
        <f>IF($A334="","",$A334&amp;"|"&amp;$L334)</f>
        <v/>
      </c>
      <c r="L334" s="52" t="str">
        <f>IF($A334="","",COUNTIFS($A$3:$A334,$A334))</f>
        <v/>
      </c>
    </row>
    <row r="335" ht="15" customHeight="1" s="41">
      <c r="A335" s="50" t="n"/>
      <c r="B335" s="52" t="str">
        <f>IF($A335="","",IFERROR(INDEX(회의록!$C$3:$C$302,MATCH($A335,회의록!$A$3:$A$302,0)),"회의번호없음"))</f>
        <v/>
      </c>
      <c r="C335" s="50" t="n"/>
      <c r="D335" s="49" t="n"/>
      <c r="E335" s="53" t="n"/>
      <c r="F335" s="49" t="n"/>
      <c r="G335" s="53" t="n"/>
      <c r="H335" s="56" t="str">
        <f>IF(OR($C335="",$E335="",$F335="완료",$F335="취소"),"",$E335-TODAY())</f>
        <v/>
      </c>
      <c r="I335" s="56" t="str">
        <f>IF(OR($C335="",$E335=""),"",IF($F335="완료",IF($G335="","",MAX(0,$G335-$E335)),IF($F335="취소","",MAX(0,TODAY()-$E335))))</f>
        <v/>
      </c>
      <c r="J335" s="50" t="n"/>
      <c r="K335" s="52" t="str">
        <f>IF($A335="","",$A335&amp;"|"&amp;$L335)</f>
        <v/>
      </c>
      <c r="L335" s="52" t="str">
        <f>IF($A335="","",COUNTIFS($A$3:$A335,$A335))</f>
        <v/>
      </c>
    </row>
    <row r="336" ht="15" customHeight="1" s="41">
      <c r="A336" s="50" t="n"/>
      <c r="B336" s="52" t="str">
        <f>IF($A336="","",IFERROR(INDEX(회의록!$C$3:$C$302,MATCH($A336,회의록!$A$3:$A$302,0)),"회의번호없음"))</f>
        <v/>
      </c>
      <c r="C336" s="50" t="n"/>
      <c r="D336" s="49" t="n"/>
      <c r="E336" s="53" t="n"/>
      <c r="F336" s="49" t="n"/>
      <c r="G336" s="53" t="n"/>
      <c r="H336" s="56" t="str">
        <f>IF(OR($C336="",$E336="",$F336="완료",$F336="취소"),"",$E336-TODAY())</f>
        <v/>
      </c>
      <c r="I336" s="56" t="str">
        <f>IF(OR($C336="",$E336=""),"",IF($F336="완료",IF($G336="","",MAX(0,$G336-$E336)),IF($F336="취소","",MAX(0,TODAY()-$E336))))</f>
        <v/>
      </c>
      <c r="J336" s="50" t="n"/>
      <c r="K336" s="52" t="str">
        <f>IF($A336="","",$A336&amp;"|"&amp;$L336)</f>
        <v/>
      </c>
      <c r="L336" s="52" t="str">
        <f>IF($A336="","",COUNTIFS($A$3:$A336,$A336))</f>
        <v/>
      </c>
    </row>
    <row r="337" ht="15" customHeight="1" s="41">
      <c r="A337" s="50" t="n"/>
      <c r="B337" s="52" t="str">
        <f>IF($A337="","",IFERROR(INDEX(회의록!$C$3:$C$302,MATCH($A337,회의록!$A$3:$A$302,0)),"회의번호없음"))</f>
        <v/>
      </c>
      <c r="C337" s="50" t="n"/>
      <c r="D337" s="49" t="n"/>
      <c r="E337" s="53" t="n"/>
      <c r="F337" s="49" t="n"/>
      <c r="G337" s="53" t="n"/>
      <c r="H337" s="56" t="str">
        <f>IF(OR($C337="",$E337="",$F337="완료",$F337="취소"),"",$E337-TODAY())</f>
        <v/>
      </c>
      <c r="I337" s="56" t="str">
        <f>IF(OR($C337="",$E337=""),"",IF($F337="완료",IF($G337="","",MAX(0,$G337-$E337)),IF($F337="취소","",MAX(0,TODAY()-$E337))))</f>
        <v/>
      </c>
      <c r="J337" s="50" t="n"/>
      <c r="K337" s="52" t="str">
        <f>IF($A337="","",$A337&amp;"|"&amp;$L337)</f>
        <v/>
      </c>
      <c r="L337" s="52" t="str">
        <f>IF($A337="","",COUNTIFS($A$3:$A337,$A337))</f>
        <v/>
      </c>
    </row>
    <row r="338" ht="15" customHeight="1" s="41">
      <c r="A338" s="50" t="n"/>
      <c r="B338" s="52" t="str">
        <f>IF($A338="","",IFERROR(INDEX(회의록!$C$3:$C$302,MATCH($A338,회의록!$A$3:$A$302,0)),"회의번호없음"))</f>
        <v/>
      </c>
      <c r="C338" s="50" t="n"/>
      <c r="D338" s="49" t="n"/>
      <c r="E338" s="53" t="n"/>
      <c r="F338" s="49" t="n"/>
      <c r="G338" s="53" t="n"/>
      <c r="H338" s="56" t="str">
        <f>IF(OR($C338="",$E338="",$F338="완료",$F338="취소"),"",$E338-TODAY())</f>
        <v/>
      </c>
      <c r="I338" s="56" t="str">
        <f>IF(OR($C338="",$E338=""),"",IF($F338="완료",IF($G338="","",MAX(0,$G338-$E338)),IF($F338="취소","",MAX(0,TODAY()-$E338))))</f>
        <v/>
      </c>
      <c r="J338" s="50" t="n"/>
      <c r="K338" s="52" t="str">
        <f>IF($A338="","",$A338&amp;"|"&amp;$L338)</f>
        <v/>
      </c>
      <c r="L338" s="52" t="str">
        <f>IF($A338="","",COUNTIFS($A$3:$A338,$A338))</f>
        <v/>
      </c>
    </row>
    <row r="339" ht="15" customHeight="1" s="41">
      <c r="A339" s="50" t="n"/>
      <c r="B339" s="52" t="str">
        <f>IF($A339="","",IFERROR(INDEX(회의록!$C$3:$C$302,MATCH($A339,회의록!$A$3:$A$302,0)),"회의번호없음"))</f>
        <v/>
      </c>
      <c r="C339" s="50" t="n"/>
      <c r="D339" s="49" t="n"/>
      <c r="E339" s="53" t="n"/>
      <c r="F339" s="49" t="n"/>
      <c r="G339" s="53" t="n"/>
      <c r="H339" s="56" t="str">
        <f>IF(OR($C339="",$E339="",$F339="완료",$F339="취소"),"",$E339-TODAY())</f>
        <v/>
      </c>
      <c r="I339" s="56" t="str">
        <f>IF(OR($C339="",$E339=""),"",IF($F339="완료",IF($G339="","",MAX(0,$G339-$E339)),IF($F339="취소","",MAX(0,TODAY()-$E339))))</f>
        <v/>
      </c>
      <c r="J339" s="50" t="n"/>
      <c r="K339" s="52" t="str">
        <f>IF($A339="","",$A339&amp;"|"&amp;$L339)</f>
        <v/>
      </c>
      <c r="L339" s="52" t="str">
        <f>IF($A339="","",COUNTIFS($A$3:$A339,$A339))</f>
        <v/>
      </c>
    </row>
    <row r="340" ht="15" customHeight="1" s="41">
      <c r="A340" s="50" t="n"/>
      <c r="B340" s="52" t="str">
        <f>IF($A340="","",IFERROR(INDEX(회의록!$C$3:$C$302,MATCH($A340,회의록!$A$3:$A$302,0)),"회의번호없음"))</f>
        <v/>
      </c>
      <c r="C340" s="50" t="n"/>
      <c r="D340" s="49" t="n"/>
      <c r="E340" s="53" t="n"/>
      <c r="F340" s="49" t="n"/>
      <c r="G340" s="53" t="n"/>
      <c r="H340" s="56" t="str">
        <f>IF(OR($C340="",$E340="",$F340="완료",$F340="취소"),"",$E340-TODAY())</f>
        <v/>
      </c>
      <c r="I340" s="56" t="str">
        <f>IF(OR($C340="",$E340=""),"",IF($F340="완료",IF($G340="","",MAX(0,$G340-$E340)),IF($F340="취소","",MAX(0,TODAY()-$E340))))</f>
        <v/>
      </c>
      <c r="J340" s="50" t="n"/>
      <c r="K340" s="52" t="str">
        <f>IF($A340="","",$A340&amp;"|"&amp;$L340)</f>
        <v/>
      </c>
      <c r="L340" s="52" t="str">
        <f>IF($A340="","",COUNTIFS($A$3:$A340,$A340))</f>
        <v/>
      </c>
    </row>
    <row r="341" ht="15" customHeight="1" s="41">
      <c r="A341" s="50" t="n"/>
      <c r="B341" s="52" t="str">
        <f>IF($A341="","",IFERROR(INDEX(회의록!$C$3:$C$302,MATCH($A341,회의록!$A$3:$A$302,0)),"회의번호없음"))</f>
        <v/>
      </c>
      <c r="C341" s="50" t="n"/>
      <c r="D341" s="49" t="n"/>
      <c r="E341" s="53" t="n"/>
      <c r="F341" s="49" t="n"/>
      <c r="G341" s="53" t="n"/>
      <c r="H341" s="56" t="str">
        <f>IF(OR($C341="",$E341="",$F341="완료",$F341="취소"),"",$E341-TODAY())</f>
        <v/>
      </c>
      <c r="I341" s="56" t="str">
        <f>IF(OR($C341="",$E341=""),"",IF($F341="완료",IF($G341="","",MAX(0,$G341-$E341)),IF($F341="취소","",MAX(0,TODAY()-$E341))))</f>
        <v/>
      </c>
      <c r="J341" s="50" t="n"/>
      <c r="K341" s="52" t="str">
        <f>IF($A341="","",$A341&amp;"|"&amp;$L341)</f>
        <v/>
      </c>
      <c r="L341" s="52" t="str">
        <f>IF($A341="","",COUNTIFS($A$3:$A341,$A341))</f>
        <v/>
      </c>
    </row>
    <row r="342" ht="15" customHeight="1" s="41">
      <c r="A342" s="50" t="n"/>
      <c r="B342" s="52" t="str">
        <f>IF($A342="","",IFERROR(INDEX(회의록!$C$3:$C$302,MATCH($A342,회의록!$A$3:$A$302,0)),"회의번호없음"))</f>
        <v/>
      </c>
      <c r="C342" s="50" t="n"/>
      <c r="D342" s="49" t="n"/>
      <c r="E342" s="53" t="n"/>
      <c r="F342" s="49" t="n"/>
      <c r="G342" s="53" t="n"/>
      <c r="H342" s="56" t="str">
        <f>IF(OR($C342="",$E342="",$F342="완료",$F342="취소"),"",$E342-TODAY())</f>
        <v/>
      </c>
      <c r="I342" s="56" t="str">
        <f>IF(OR($C342="",$E342=""),"",IF($F342="완료",IF($G342="","",MAX(0,$G342-$E342)),IF($F342="취소","",MAX(0,TODAY()-$E342))))</f>
        <v/>
      </c>
      <c r="J342" s="50" t="n"/>
      <c r="K342" s="52" t="str">
        <f>IF($A342="","",$A342&amp;"|"&amp;$L342)</f>
        <v/>
      </c>
      <c r="L342" s="52" t="str">
        <f>IF($A342="","",COUNTIFS($A$3:$A342,$A342))</f>
        <v/>
      </c>
    </row>
    <row r="343" ht="15" customHeight="1" s="41">
      <c r="A343" s="50" t="n"/>
      <c r="B343" s="52" t="str">
        <f>IF($A343="","",IFERROR(INDEX(회의록!$C$3:$C$302,MATCH($A343,회의록!$A$3:$A$302,0)),"회의번호없음"))</f>
        <v/>
      </c>
      <c r="C343" s="50" t="n"/>
      <c r="D343" s="49" t="n"/>
      <c r="E343" s="53" t="n"/>
      <c r="F343" s="49" t="n"/>
      <c r="G343" s="53" t="n"/>
      <c r="H343" s="56" t="str">
        <f>IF(OR($C343="",$E343="",$F343="완료",$F343="취소"),"",$E343-TODAY())</f>
        <v/>
      </c>
      <c r="I343" s="56" t="str">
        <f>IF(OR($C343="",$E343=""),"",IF($F343="완료",IF($G343="","",MAX(0,$G343-$E343)),IF($F343="취소","",MAX(0,TODAY()-$E343))))</f>
        <v/>
      </c>
      <c r="J343" s="50" t="n"/>
      <c r="K343" s="52" t="str">
        <f>IF($A343="","",$A343&amp;"|"&amp;$L343)</f>
        <v/>
      </c>
      <c r="L343" s="52" t="str">
        <f>IF($A343="","",COUNTIFS($A$3:$A343,$A343))</f>
        <v/>
      </c>
    </row>
    <row r="344" ht="15" customHeight="1" s="41">
      <c r="A344" s="50" t="n"/>
      <c r="B344" s="52" t="str">
        <f>IF($A344="","",IFERROR(INDEX(회의록!$C$3:$C$302,MATCH($A344,회의록!$A$3:$A$302,0)),"회의번호없음"))</f>
        <v/>
      </c>
      <c r="C344" s="50" t="n"/>
      <c r="D344" s="49" t="n"/>
      <c r="E344" s="53" t="n"/>
      <c r="F344" s="49" t="n"/>
      <c r="G344" s="53" t="n"/>
      <c r="H344" s="56" t="str">
        <f>IF(OR($C344="",$E344="",$F344="완료",$F344="취소"),"",$E344-TODAY())</f>
        <v/>
      </c>
      <c r="I344" s="56" t="str">
        <f>IF(OR($C344="",$E344=""),"",IF($F344="완료",IF($G344="","",MAX(0,$G344-$E344)),IF($F344="취소","",MAX(0,TODAY()-$E344))))</f>
        <v/>
      </c>
      <c r="J344" s="50" t="n"/>
      <c r="K344" s="52" t="str">
        <f>IF($A344="","",$A344&amp;"|"&amp;$L344)</f>
        <v/>
      </c>
      <c r="L344" s="52" t="str">
        <f>IF($A344="","",COUNTIFS($A$3:$A344,$A344))</f>
        <v/>
      </c>
    </row>
    <row r="345" ht="15" customHeight="1" s="41">
      <c r="A345" s="50" t="n"/>
      <c r="B345" s="52" t="str">
        <f>IF($A345="","",IFERROR(INDEX(회의록!$C$3:$C$302,MATCH($A345,회의록!$A$3:$A$302,0)),"회의번호없음"))</f>
        <v/>
      </c>
      <c r="C345" s="50" t="n"/>
      <c r="D345" s="49" t="n"/>
      <c r="E345" s="53" t="n"/>
      <c r="F345" s="49" t="n"/>
      <c r="G345" s="53" t="n"/>
      <c r="H345" s="56" t="str">
        <f>IF(OR($C345="",$E345="",$F345="완료",$F345="취소"),"",$E345-TODAY())</f>
        <v/>
      </c>
      <c r="I345" s="56" t="str">
        <f>IF(OR($C345="",$E345=""),"",IF($F345="완료",IF($G345="","",MAX(0,$G345-$E345)),IF($F345="취소","",MAX(0,TODAY()-$E345))))</f>
        <v/>
      </c>
      <c r="J345" s="50" t="n"/>
      <c r="K345" s="52" t="str">
        <f>IF($A345="","",$A345&amp;"|"&amp;$L345)</f>
        <v/>
      </c>
      <c r="L345" s="52" t="str">
        <f>IF($A345="","",COUNTIFS($A$3:$A345,$A345))</f>
        <v/>
      </c>
    </row>
    <row r="346" ht="15" customHeight="1" s="41">
      <c r="A346" s="50" t="n"/>
      <c r="B346" s="52" t="str">
        <f>IF($A346="","",IFERROR(INDEX(회의록!$C$3:$C$302,MATCH($A346,회의록!$A$3:$A$302,0)),"회의번호없음"))</f>
        <v/>
      </c>
      <c r="C346" s="50" t="n"/>
      <c r="D346" s="49" t="n"/>
      <c r="E346" s="53" t="n"/>
      <c r="F346" s="49" t="n"/>
      <c r="G346" s="53" t="n"/>
      <c r="H346" s="56" t="str">
        <f>IF(OR($C346="",$E346="",$F346="완료",$F346="취소"),"",$E346-TODAY())</f>
        <v/>
      </c>
      <c r="I346" s="56" t="str">
        <f>IF(OR($C346="",$E346=""),"",IF($F346="완료",IF($G346="","",MAX(0,$G346-$E346)),IF($F346="취소","",MAX(0,TODAY()-$E346))))</f>
        <v/>
      </c>
      <c r="J346" s="50" t="n"/>
      <c r="K346" s="52" t="str">
        <f>IF($A346="","",$A346&amp;"|"&amp;$L346)</f>
        <v/>
      </c>
      <c r="L346" s="52" t="str">
        <f>IF($A346="","",COUNTIFS($A$3:$A346,$A346))</f>
        <v/>
      </c>
    </row>
    <row r="347" ht="15" customHeight="1" s="41">
      <c r="A347" s="50" t="n"/>
      <c r="B347" s="52" t="str">
        <f>IF($A347="","",IFERROR(INDEX(회의록!$C$3:$C$302,MATCH($A347,회의록!$A$3:$A$302,0)),"회의번호없음"))</f>
        <v/>
      </c>
      <c r="C347" s="50" t="n"/>
      <c r="D347" s="49" t="n"/>
      <c r="E347" s="53" t="n"/>
      <c r="F347" s="49" t="n"/>
      <c r="G347" s="53" t="n"/>
      <c r="H347" s="56" t="str">
        <f>IF(OR($C347="",$E347="",$F347="완료",$F347="취소"),"",$E347-TODAY())</f>
        <v/>
      </c>
      <c r="I347" s="56" t="str">
        <f>IF(OR($C347="",$E347=""),"",IF($F347="완료",IF($G347="","",MAX(0,$G347-$E347)),IF($F347="취소","",MAX(0,TODAY()-$E347))))</f>
        <v/>
      </c>
      <c r="J347" s="50" t="n"/>
      <c r="K347" s="52" t="str">
        <f>IF($A347="","",$A347&amp;"|"&amp;$L347)</f>
        <v/>
      </c>
      <c r="L347" s="52" t="str">
        <f>IF($A347="","",COUNTIFS($A$3:$A347,$A347))</f>
        <v/>
      </c>
    </row>
    <row r="348" ht="15" customHeight="1" s="41">
      <c r="A348" s="50" t="n"/>
      <c r="B348" s="52" t="str">
        <f>IF($A348="","",IFERROR(INDEX(회의록!$C$3:$C$302,MATCH($A348,회의록!$A$3:$A$302,0)),"회의번호없음"))</f>
        <v/>
      </c>
      <c r="C348" s="50" t="n"/>
      <c r="D348" s="49" t="n"/>
      <c r="E348" s="53" t="n"/>
      <c r="F348" s="49" t="n"/>
      <c r="G348" s="53" t="n"/>
      <c r="H348" s="56" t="str">
        <f>IF(OR($C348="",$E348="",$F348="완료",$F348="취소"),"",$E348-TODAY())</f>
        <v/>
      </c>
      <c r="I348" s="56" t="str">
        <f>IF(OR($C348="",$E348=""),"",IF($F348="완료",IF($G348="","",MAX(0,$G348-$E348)),IF($F348="취소","",MAX(0,TODAY()-$E348))))</f>
        <v/>
      </c>
      <c r="J348" s="50" t="n"/>
      <c r="K348" s="52" t="str">
        <f>IF($A348="","",$A348&amp;"|"&amp;$L348)</f>
        <v/>
      </c>
      <c r="L348" s="52" t="str">
        <f>IF($A348="","",COUNTIFS($A$3:$A348,$A348))</f>
        <v/>
      </c>
    </row>
    <row r="349" ht="15" customHeight="1" s="41">
      <c r="A349" s="50" t="n"/>
      <c r="B349" s="52" t="str">
        <f>IF($A349="","",IFERROR(INDEX(회의록!$C$3:$C$302,MATCH($A349,회의록!$A$3:$A$302,0)),"회의번호없음"))</f>
        <v/>
      </c>
      <c r="C349" s="50" t="n"/>
      <c r="D349" s="49" t="n"/>
      <c r="E349" s="53" t="n"/>
      <c r="F349" s="49" t="n"/>
      <c r="G349" s="53" t="n"/>
      <c r="H349" s="56" t="str">
        <f>IF(OR($C349="",$E349="",$F349="완료",$F349="취소"),"",$E349-TODAY())</f>
        <v/>
      </c>
      <c r="I349" s="56" t="str">
        <f>IF(OR($C349="",$E349=""),"",IF($F349="완료",IF($G349="","",MAX(0,$G349-$E349)),IF($F349="취소","",MAX(0,TODAY()-$E349))))</f>
        <v/>
      </c>
      <c r="J349" s="50" t="n"/>
      <c r="K349" s="52" t="str">
        <f>IF($A349="","",$A349&amp;"|"&amp;$L349)</f>
        <v/>
      </c>
      <c r="L349" s="52" t="str">
        <f>IF($A349="","",COUNTIFS($A$3:$A349,$A349))</f>
        <v/>
      </c>
    </row>
    <row r="350" ht="15" customHeight="1" s="41">
      <c r="A350" s="50" t="n"/>
      <c r="B350" s="52" t="str">
        <f>IF($A350="","",IFERROR(INDEX(회의록!$C$3:$C$302,MATCH($A350,회의록!$A$3:$A$302,0)),"회의번호없음"))</f>
        <v/>
      </c>
      <c r="C350" s="50" t="n"/>
      <c r="D350" s="49" t="n"/>
      <c r="E350" s="53" t="n"/>
      <c r="F350" s="49" t="n"/>
      <c r="G350" s="53" t="n"/>
      <c r="H350" s="56" t="str">
        <f>IF(OR($C350="",$E350="",$F350="완료",$F350="취소"),"",$E350-TODAY())</f>
        <v/>
      </c>
      <c r="I350" s="56" t="str">
        <f>IF(OR($C350="",$E350=""),"",IF($F350="완료",IF($G350="","",MAX(0,$G350-$E350)),IF($F350="취소","",MAX(0,TODAY()-$E350))))</f>
        <v/>
      </c>
      <c r="J350" s="50" t="n"/>
      <c r="K350" s="52" t="str">
        <f>IF($A350="","",$A350&amp;"|"&amp;$L350)</f>
        <v/>
      </c>
      <c r="L350" s="52" t="str">
        <f>IF($A350="","",COUNTIFS($A$3:$A350,$A350))</f>
        <v/>
      </c>
    </row>
    <row r="351" ht="15" customHeight="1" s="41">
      <c r="A351" s="50" t="n"/>
      <c r="B351" s="52" t="str">
        <f>IF($A351="","",IFERROR(INDEX(회의록!$C$3:$C$302,MATCH($A351,회의록!$A$3:$A$302,0)),"회의번호없음"))</f>
        <v/>
      </c>
      <c r="C351" s="50" t="n"/>
      <c r="D351" s="49" t="n"/>
      <c r="E351" s="53" t="n"/>
      <c r="F351" s="49" t="n"/>
      <c r="G351" s="53" t="n"/>
      <c r="H351" s="56" t="str">
        <f>IF(OR($C351="",$E351="",$F351="완료",$F351="취소"),"",$E351-TODAY())</f>
        <v/>
      </c>
      <c r="I351" s="56" t="str">
        <f>IF(OR($C351="",$E351=""),"",IF($F351="완료",IF($G351="","",MAX(0,$G351-$E351)),IF($F351="취소","",MAX(0,TODAY()-$E351))))</f>
        <v/>
      </c>
      <c r="J351" s="50" t="n"/>
      <c r="K351" s="52" t="str">
        <f>IF($A351="","",$A351&amp;"|"&amp;$L351)</f>
        <v/>
      </c>
      <c r="L351" s="52" t="str">
        <f>IF($A351="","",COUNTIFS($A$3:$A351,$A351))</f>
        <v/>
      </c>
    </row>
    <row r="352" ht="15" customHeight="1" s="41">
      <c r="A352" s="50" t="n"/>
      <c r="B352" s="52" t="str">
        <f>IF($A352="","",IFERROR(INDEX(회의록!$C$3:$C$302,MATCH($A352,회의록!$A$3:$A$302,0)),"회의번호없음"))</f>
        <v/>
      </c>
      <c r="C352" s="50" t="n"/>
      <c r="D352" s="49" t="n"/>
      <c r="E352" s="53" t="n"/>
      <c r="F352" s="49" t="n"/>
      <c r="G352" s="53" t="n"/>
      <c r="H352" s="56" t="str">
        <f>IF(OR($C352="",$E352="",$F352="완료",$F352="취소"),"",$E352-TODAY())</f>
        <v/>
      </c>
      <c r="I352" s="56" t="str">
        <f>IF(OR($C352="",$E352=""),"",IF($F352="완료",IF($G352="","",MAX(0,$G352-$E352)),IF($F352="취소","",MAX(0,TODAY()-$E352))))</f>
        <v/>
      </c>
      <c r="J352" s="50" t="n"/>
      <c r="K352" s="52" t="str">
        <f>IF($A352="","",$A352&amp;"|"&amp;$L352)</f>
        <v/>
      </c>
      <c r="L352" s="52" t="str">
        <f>IF($A352="","",COUNTIFS($A$3:$A352,$A352))</f>
        <v/>
      </c>
    </row>
    <row r="353" ht="15" customHeight="1" s="41">
      <c r="A353" s="50" t="n"/>
      <c r="B353" s="52" t="str">
        <f>IF($A353="","",IFERROR(INDEX(회의록!$C$3:$C$302,MATCH($A353,회의록!$A$3:$A$302,0)),"회의번호없음"))</f>
        <v/>
      </c>
      <c r="C353" s="50" t="n"/>
      <c r="D353" s="49" t="n"/>
      <c r="E353" s="53" t="n"/>
      <c r="F353" s="49" t="n"/>
      <c r="G353" s="53" t="n"/>
      <c r="H353" s="56" t="str">
        <f>IF(OR($C353="",$E353="",$F353="완료",$F353="취소"),"",$E353-TODAY())</f>
        <v/>
      </c>
      <c r="I353" s="56" t="str">
        <f>IF(OR($C353="",$E353=""),"",IF($F353="완료",IF($G353="","",MAX(0,$G353-$E353)),IF($F353="취소","",MAX(0,TODAY()-$E353))))</f>
        <v/>
      </c>
      <c r="J353" s="50" t="n"/>
      <c r="K353" s="52" t="str">
        <f>IF($A353="","",$A353&amp;"|"&amp;$L353)</f>
        <v/>
      </c>
      <c r="L353" s="52" t="str">
        <f>IF($A353="","",COUNTIFS($A$3:$A353,$A353))</f>
        <v/>
      </c>
    </row>
    <row r="354" ht="15" customHeight="1" s="41">
      <c r="A354" s="50" t="n"/>
      <c r="B354" s="52" t="str">
        <f>IF($A354="","",IFERROR(INDEX(회의록!$C$3:$C$302,MATCH($A354,회의록!$A$3:$A$302,0)),"회의번호없음"))</f>
        <v/>
      </c>
      <c r="C354" s="50" t="n"/>
      <c r="D354" s="49" t="n"/>
      <c r="E354" s="53" t="n"/>
      <c r="F354" s="49" t="n"/>
      <c r="G354" s="53" t="n"/>
      <c r="H354" s="56" t="str">
        <f>IF(OR($C354="",$E354="",$F354="완료",$F354="취소"),"",$E354-TODAY())</f>
        <v/>
      </c>
      <c r="I354" s="56" t="str">
        <f>IF(OR($C354="",$E354=""),"",IF($F354="완료",IF($G354="","",MAX(0,$G354-$E354)),IF($F354="취소","",MAX(0,TODAY()-$E354))))</f>
        <v/>
      </c>
      <c r="J354" s="50" t="n"/>
      <c r="K354" s="52" t="str">
        <f>IF($A354="","",$A354&amp;"|"&amp;$L354)</f>
        <v/>
      </c>
      <c r="L354" s="52" t="str">
        <f>IF($A354="","",COUNTIFS($A$3:$A354,$A354))</f>
        <v/>
      </c>
    </row>
    <row r="355" ht="15" customHeight="1" s="41">
      <c r="A355" s="50" t="n"/>
      <c r="B355" s="52" t="str">
        <f>IF($A355="","",IFERROR(INDEX(회의록!$C$3:$C$302,MATCH($A355,회의록!$A$3:$A$302,0)),"회의번호없음"))</f>
        <v/>
      </c>
      <c r="C355" s="50" t="n"/>
      <c r="D355" s="49" t="n"/>
      <c r="E355" s="53" t="n"/>
      <c r="F355" s="49" t="n"/>
      <c r="G355" s="53" t="n"/>
      <c r="H355" s="56" t="str">
        <f>IF(OR($C355="",$E355="",$F355="완료",$F355="취소"),"",$E355-TODAY())</f>
        <v/>
      </c>
      <c r="I355" s="56" t="str">
        <f>IF(OR($C355="",$E355=""),"",IF($F355="완료",IF($G355="","",MAX(0,$G355-$E355)),IF($F355="취소","",MAX(0,TODAY()-$E355))))</f>
        <v/>
      </c>
      <c r="J355" s="50" t="n"/>
      <c r="K355" s="52" t="str">
        <f>IF($A355="","",$A355&amp;"|"&amp;$L355)</f>
        <v/>
      </c>
      <c r="L355" s="52" t="str">
        <f>IF($A355="","",COUNTIFS($A$3:$A355,$A355))</f>
        <v/>
      </c>
    </row>
    <row r="356" ht="15" customHeight="1" s="41">
      <c r="A356" s="50" t="n"/>
      <c r="B356" s="52" t="str">
        <f>IF($A356="","",IFERROR(INDEX(회의록!$C$3:$C$302,MATCH($A356,회의록!$A$3:$A$302,0)),"회의번호없음"))</f>
        <v/>
      </c>
      <c r="C356" s="50" t="n"/>
      <c r="D356" s="49" t="n"/>
      <c r="E356" s="53" t="n"/>
      <c r="F356" s="49" t="n"/>
      <c r="G356" s="53" t="n"/>
      <c r="H356" s="56" t="str">
        <f>IF(OR($C356="",$E356="",$F356="완료",$F356="취소"),"",$E356-TODAY())</f>
        <v/>
      </c>
      <c r="I356" s="56" t="str">
        <f>IF(OR($C356="",$E356=""),"",IF($F356="완료",IF($G356="","",MAX(0,$G356-$E356)),IF($F356="취소","",MAX(0,TODAY()-$E356))))</f>
        <v/>
      </c>
      <c r="J356" s="50" t="n"/>
      <c r="K356" s="52" t="str">
        <f>IF($A356="","",$A356&amp;"|"&amp;$L356)</f>
        <v/>
      </c>
      <c r="L356" s="52" t="str">
        <f>IF($A356="","",COUNTIFS($A$3:$A356,$A356))</f>
        <v/>
      </c>
    </row>
    <row r="357" ht="15" customHeight="1" s="41">
      <c r="A357" s="50" t="n"/>
      <c r="B357" s="52" t="str">
        <f>IF($A357="","",IFERROR(INDEX(회의록!$C$3:$C$302,MATCH($A357,회의록!$A$3:$A$302,0)),"회의번호없음"))</f>
        <v/>
      </c>
      <c r="C357" s="50" t="n"/>
      <c r="D357" s="49" t="n"/>
      <c r="E357" s="53" t="n"/>
      <c r="F357" s="49" t="n"/>
      <c r="G357" s="53" t="n"/>
      <c r="H357" s="56" t="str">
        <f>IF(OR($C357="",$E357="",$F357="완료",$F357="취소"),"",$E357-TODAY())</f>
        <v/>
      </c>
      <c r="I357" s="56" t="str">
        <f>IF(OR($C357="",$E357=""),"",IF($F357="완료",IF($G357="","",MAX(0,$G357-$E357)),IF($F357="취소","",MAX(0,TODAY()-$E357))))</f>
        <v/>
      </c>
      <c r="J357" s="50" t="n"/>
      <c r="K357" s="52" t="str">
        <f>IF($A357="","",$A357&amp;"|"&amp;$L357)</f>
        <v/>
      </c>
      <c r="L357" s="52" t="str">
        <f>IF($A357="","",COUNTIFS($A$3:$A357,$A357))</f>
        <v/>
      </c>
    </row>
    <row r="358" ht="15" customHeight="1" s="41">
      <c r="A358" s="50" t="n"/>
      <c r="B358" s="52" t="str">
        <f>IF($A358="","",IFERROR(INDEX(회의록!$C$3:$C$302,MATCH($A358,회의록!$A$3:$A$302,0)),"회의번호없음"))</f>
        <v/>
      </c>
      <c r="C358" s="50" t="n"/>
      <c r="D358" s="49" t="n"/>
      <c r="E358" s="53" t="n"/>
      <c r="F358" s="49" t="n"/>
      <c r="G358" s="53" t="n"/>
      <c r="H358" s="56" t="str">
        <f>IF(OR($C358="",$E358="",$F358="완료",$F358="취소"),"",$E358-TODAY())</f>
        <v/>
      </c>
      <c r="I358" s="56" t="str">
        <f>IF(OR($C358="",$E358=""),"",IF($F358="완료",IF($G358="","",MAX(0,$G358-$E358)),IF($F358="취소","",MAX(0,TODAY()-$E358))))</f>
        <v/>
      </c>
      <c r="J358" s="50" t="n"/>
      <c r="K358" s="52" t="str">
        <f>IF($A358="","",$A358&amp;"|"&amp;$L358)</f>
        <v/>
      </c>
      <c r="L358" s="52" t="str">
        <f>IF($A358="","",COUNTIFS($A$3:$A358,$A358))</f>
        <v/>
      </c>
    </row>
    <row r="359" ht="15" customHeight="1" s="41">
      <c r="A359" s="50" t="n"/>
      <c r="B359" s="52" t="str">
        <f>IF($A359="","",IFERROR(INDEX(회의록!$C$3:$C$302,MATCH($A359,회의록!$A$3:$A$302,0)),"회의번호없음"))</f>
        <v/>
      </c>
      <c r="C359" s="50" t="n"/>
      <c r="D359" s="49" t="n"/>
      <c r="E359" s="53" t="n"/>
      <c r="F359" s="49" t="n"/>
      <c r="G359" s="53" t="n"/>
      <c r="H359" s="56" t="str">
        <f>IF(OR($C359="",$E359="",$F359="완료",$F359="취소"),"",$E359-TODAY())</f>
        <v/>
      </c>
      <c r="I359" s="56" t="str">
        <f>IF(OR($C359="",$E359=""),"",IF($F359="완료",IF($G359="","",MAX(0,$G359-$E359)),IF($F359="취소","",MAX(0,TODAY()-$E359))))</f>
        <v/>
      </c>
      <c r="J359" s="50" t="n"/>
      <c r="K359" s="52" t="str">
        <f>IF($A359="","",$A359&amp;"|"&amp;$L359)</f>
        <v/>
      </c>
      <c r="L359" s="52" t="str">
        <f>IF($A359="","",COUNTIFS($A$3:$A359,$A359))</f>
        <v/>
      </c>
    </row>
    <row r="360" ht="15" customHeight="1" s="41">
      <c r="A360" s="50" t="n"/>
      <c r="B360" s="52" t="str">
        <f>IF($A360="","",IFERROR(INDEX(회의록!$C$3:$C$302,MATCH($A360,회의록!$A$3:$A$302,0)),"회의번호없음"))</f>
        <v/>
      </c>
      <c r="C360" s="50" t="n"/>
      <c r="D360" s="49" t="n"/>
      <c r="E360" s="53" t="n"/>
      <c r="F360" s="49" t="n"/>
      <c r="G360" s="53" t="n"/>
      <c r="H360" s="56" t="str">
        <f>IF(OR($C360="",$E360="",$F360="완료",$F360="취소"),"",$E360-TODAY())</f>
        <v/>
      </c>
      <c r="I360" s="56" t="str">
        <f>IF(OR($C360="",$E360=""),"",IF($F360="완료",IF($G360="","",MAX(0,$G360-$E360)),IF($F360="취소","",MAX(0,TODAY()-$E360))))</f>
        <v/>
      </c>
      <c r="J360" s="50" t="n"/>
      <c r="K360" s="52" t="str">
        <f>IF($A360="","",$A360&amp;"|"&amp;$L360)</f>
        <v/>
      </c>
      <c r="L360" s="52" t="str">
        <f>IF($A360="","",COUNTIFS($A$3:$A360,$A360))</f>
        <v/>
      </c>
    </row>
    <row r="361" ht="15" customHeight="1" s="41">
      <c r="A361" s="50" t="n"/>
      <c r="B361" s="52" t="str">
        <f>IF($A361="","",IFERROR(INDEX(회의록!$C$3:$C$302,MATCH($A361,회의록!$A$3:$A$302,0)),"회의번호없음"))</f>
        <v/>
      </c>
      <c r="C361" s="50" t="n"/>
      <c r="D361" s="49" t="n"/>
      <c r="E361" s="53" t="n"/>
      <c r="F361" s="49" t="n"/>
      <c r="G361" s="53" t="n"/>
      <c r="H361" s="56" t="str">
        <f>IF(OR($C361="",$E361="",$F361="완료",$F361="취소"),"",$E361-TODAY())</f>
        <v/>
      </c>
      <c r="I361" s="56" t="str">
        <f>IF(OR($C361="",$E361=""),"",IF($F361="완료",IF($G361="","",MAX(0,$G361-$E361)),IF($F361="취소","",MAX(0,TODAY()-$E361))))</f>
        <v/>
      </c>
      <c r="J361" s="50" t="n"/>
      <c r="K361" s="52" t="str">
        <f>IF($A361="","",$A361&amp;"|"&amp;$L361)</f>
        <v/>
      </c>
      <c r="L361" s="52" t="str">
        <f>IF($A361="","",COUNTIFS($A$3:$A361,$A361))</f>
        <v/>
      </c>
    </row>
    <row r="362" ht="15" customHeight="1" s="41">
      <c r="A362" s="50" t="n"/>
      <c r="B362" s="52" t="str">
        <f>IF($A362="","",IFERROR(INDEX(회의록!$C$3:$C$302,MATCH($A362,회의록!$A$3:$A$302,0)),"회의번호없음"))</f>
        <v/>
      </c>
      <c r="C362" s="50" t="n"/>
      <c r="D362" s="49" t="n"/>
      <c r="E362" s="53" t="n"/>
      <c r="F362" s="49" t="n"/>
      <c r="G362" s="53" t="n"/>
      <c r="H362" s="56" t="str">
        <f>IF(OR($C362="",$E362="",$F362="완료",$F362="취소"),"",$E362-TODAY())</f>
        <v/>
      </c>
      <c r="I362" s="56" t="str">
        <f>IF(OR($C362="",$E362=""),"",IF($F362="완료",IF($G362="","",MAX(0,$G362-$E362)),IF($F362="취소","",MAX(0,TODAY()-$E362))))</f>
        <v/>
      </c>
      <c r="J362" s="50" t="n"/>
      <c r="K362" s="52" t="str">
        <f>IF($A362="","",$A362&amp;"|"&amp;$L362)</f>
        <v/>
      </c>
      <c r="L362" s="52" t="str">
        <f>IF($A362="","",COUNTIFS($A$3:$A362,$A362))</f>
        <v/>
      </c>
    </row>
    <row r="363" ht="15" customHeight="1" s="41">
      <c r="A363" s="50" t="n"/>
      <c r="B363" s="52" t="str">
        <f>IF($A363="","",IFERROR(INDEX(회의록!$C$3:$C$302,MATCH($A363,회의록!$A$3:$A$302,0)),"회의번호없음"))</f>
        <v/>
      </c>
      <c r="C363" s="50" t="n"/>
      <c r="D363" s="49" t="n"/>
      <c r="E363" s="53" t="n"/>
      <c r="F363" s="49" t="n"/>
      <c r="G363" s="53" t="n"/>
      <c r="H363" s="56" t="str">
        <f>IF(OR($C363="",$E363="",$F363="완료",$F363="취소"),"",$E363-TODAY())</f>
        <v/>
      </c>
      <c r="I363" s="56" t="str">
        <f>IF(OR($C363="",$E363=""),"",IF($F363="완료",IF($G363="","",MAX(0,$G363-$E363)),IF($F363="취소","",MAX(0,TODAY()-$E363))))</f>
        <v/>
      </c>
      <c r="J363" s="50" t="n"/>
      <c r="K363" s="52" t="str">
        <f>IF($A363="","",$A363&amp;"|"&amp;$L363)</f>
        <v/>
      </c>
      <c r="L363" s="52" t="str">
        <f>IF($A363="","",COUNTIFS($A$3:$A363,$A363))</f>
        <v/>
      </c>
    </row>
    <row r="364" ht="15" customHeight="1" s="41">
      <c r="A364" s="50" t="n"/>
      <c r="B364" s="52" t="str">
        <f>IF($A364="","",IFERROR(INDEX(회의록!$C$3:$C$302,MATCH($A364,회의록!$A$3:$A$302,0)),"회의번호없음"))</f>
        <v/>
      </c>
      <c r="C364" s="50" t="n"/>
      <c r="D364" s="49" t="n"/>
      <c r="E364" s="53" t="n"/>
      <c r="F364" s="49" t="n"/>
      <c r="G364" s="53" t="n"/>
      <c r="H364" s="56" t="str">
        <f>IF(OR($C364="",$E364="",$F364="완료",$F364="취소"),"",$E364-TODAY())</f>
        <v/>
      </c>
      <c r="I364" s="56" t="str">
        <f>IF(OR($C364="",$E364=""),"",IF($F364="완료",IF($G364="","",MAX(0,$G364-$E364)),IF($F364="취소","",MAX(0,TODAY()-$E364))))</f>
        <v/>
      </c>
      <c r="J364" s="50" t="n"/>
      <c r="K364" s="52" t="str">
        <f>IF($A364="","",$A364&amp;"|"&amp;$L364)</f>
        <v/>
      </c>
      <c r="L364" s="52" t="str">
        <f>IF($A364="","",COUNTIFS($A$3:$A364,$A364))</f>
        <v/>
      </c>
    </row>
    <row r="365" ht="15" customHeight="1" s="41">
      <c r="A365" s="50" t="n"/>
      <c r="B365" s="52" t="str">
        <f>IF($A365="","",IFERROR(INDEX(회의록!$C$3:$C$302,MATCH($A365,회의록!$A$3:$A$302,0)),"회의번호없음"))</f>
        <v/>
      </c>
      <c r="C365" s="50" t="n"/>
      <c r="D365" s="49" t="n"/>
      <c r="E365" s="53" t="n"/>
      <c r="F365" s="49" t="n"/>
      <c r="G365" s="53" t="n"/>
      <c r="H365" s="56" t="str">
        <f>IF(OR($C365="",$E365="",$F365="완료",$F365="취소"),"",$E365-TODAY())</f>
        <v/>
      </c>
      <c r="I365" s="56" t="str">
        <f>IF(OR($C365="",$E365=""),"",IF($F365="완료",IF($G365="","",MAX(0,$G365-$E365)),IF($F365="취소","",MAX(0,TODAY()-$E365))))</f>
        <v/>
      </c>
      <c r="J365" s="50" t="n"/>
      <c r="K365" s="52" t="str">
        <f>IF($A365="","",$A365&amp;"|"&amp;$L365)</f>
        <v/>
      </c>
      <c r="L365" s="52" t="str">
        <f>IF($A365="","",COUNTIFS($A$3:$A365,$A365))</f>
        <v/>
      </c>
    </row>
    <row r="366" ht="15" customHeight="1" s="41">
      <c r="A366" s="50" t="n"/>
      <c r="B366" s="52" t="str">
        <f>IF($A366="","",IFERROR(INDEX(회의록!$C$3:$C$302,MATCH($A366,회의록!$A$3:$A$302,0)),"회의번호없음"))</f>
        <v/>
      </c>
      <c r="C366" s="50" t="n"/>
      <c r="D366" s="49" t="n"/>
      <c r="E366" s="53" t="n"/>
      <c r="F366" s="49" t="n"/>
      <c r="G366" s="53" t="n"/>
      <c r="H366" s="56" t="str">
        <f>IF(OR($C366="",$E366="",$F366="완료",$F366="취소"),"",$E366-TODAY())</f>
        <v/>
      </c>
      <c r="I366" s="56" t="str">
        <f>IF(OR($C366="",$E366=""),"",IF($F366="완료",IF($G366="","",MAX(0,$G366-$E366)),IF($F366="취소","",MAX(0,TODAY()-$E366))))</f>
        <v/>
      </c>
      <c r="J366" s="50" t="n"/>
      <c r="K366" s="52" t="str">
        <f>IF($A366="","",$A366&amp;"|"&amp;$L366)</f>
        <v/>
      </c>
      <c r="L366" s="52" t="str">
        <f>IF($A366="","",COUNTIFS($A$3:$A366,$A366))</f>
        <v/>
      </c>
    </row>
    <row r="367" ht="15" customHeight="1" s="41">
      <c r="A367" s="50" t="n"/>
      <c r="B367" s="52" t="str">
        <f>IF($A367="","",IFERROR(INDEX(회의록!$C$3:$C$302,MATCH($A367,회의록!$A$3:$A$302,0)),"회의번호없음"))</f>
        <v/>
      </c>
      <c r="C367" s="50" t="n"/>
      <c r="D367" s="49" t="n"/>
      <c r="E367" s="53" t="n"/>
      <c r="F367" s="49" t="n"/>
      <c r="G367" s="53" t="n"/>
      <c r="H367" s="56" t="str">
        <f>IF(OR($C367="",$E367="",$F367="완료",$F367="취소"),"",$E367-TODAY())</f>
        <v/>
      </c>
      <c r="I367" s="56" t="str">
        <f>IF(OR($C367="",$E367=""),"",IF($F367="완료",IF($G367="","",MAX(0,$G367-$E367)),IF($F367="취소","",MAX(0,TODAY()-$E367))))</f>
        <v/>
      </c>
      <c r="J367" s="50" t="n"/>
      <c r="K367" s="52" t="str">
        <f>IF($A367="","",$A367&amp;"|"&amp;$L367)</f>
        <v/>
      </c>
      <c r="L367" s="52" t="str">
        <f>IF($A367="","",COUNTIFS($A$3:$A367,$A367))</f>
        <v/>
      </c>
    </row>
    <row r="368" ht="15" customHeight="1" s="41">
      <c r="A368" s="50" t="n"/>
      <c r="B368" s="52" t="str">
        <f>IF($A368="","",IFERROR(INDEX(회의록!$C$3:$C$302,MATCH($A368,회의록!$A$3:$A$302,0)),"회의번호없음"))</f>
        <v/>
      </c>
      <c r="C368" s="50" t="n"/>
      <c r="D368" s="49" t="n"/>
      <c r="E368" s="53" t="n"/>
      <c r="F368" s="49" t="n"/>
      <c r="G368" s="53" t="n"/>
      <c r="H368" s="56" t="str">
        <f>IF(OR($C368="",$E368="",$F368="완료",$F368="취소"),"",$E368-TODAY())</f>
        <v/>
      </c>
      <c r="I368" s="56" t="str">
        <f>IF(OR($C368="",$E368=""),"",IF($F368="완료",IF($G368="","",MAX(0,$G368-$E368)),IF($F368="취소","",MAX(0,TODAY()-$E368))))</f>
        <v/>
      </c>
      <c r="J368" s="50" t="n"/>
      <c r="K368" s="52" t="str">
        <f>IF($A368="","",$A368&amp;"|"&amp;$L368)</f>
        <v/>
      </c>
      <c r="L368" s="52" t="str">
        <f>IF($A368="","",COUNTIFS($A$3:$A368,$A368))</f>
        <v/>
      </c>
    </row>
    <row r="369" ht="15" customHeight="1" s="41">
      <c r="A369" s="50" t="n"/>
      <c r="B369" s="52" t="str">
        <f>IF($A369="","",IFERROR(INDEX(회의록!$C$3:$C$302,MATCH($A369,회의록!$A$3:$A$302,0)),"회의번호없음"))</f>
        <v/>
      </c>
      <c r="C369" s="50" t="n"/>
      <c r="D369" s="49" t="n"/>
      <c r="E369" s="53" t="n"/>
      <c r="F369" s="49" t="n"/>
      <c r="G369" s="53" t="n"/>
      <c r="H369" s="56" t="str">
        <f>IF(OR($C369="",$E369="",$F369="완료",$F369="취소"),"",$E369-TODAY())</f>
        <v/>
      </c>
      <c r="I369" s="56" t="str">
        <f>IF(OR($C369="",$E369=""),"",IF($F369="완료",IF($G369="","",MAX(0,$G369-$E369)),IF($F369="취소","",MAX(0,TODAY()-$E369))))</f>
        <v/>
      </c>
      <c r="J369" s="50" t="n"/>
      <c r="K369" s="52" t="str">
        <f>IF($A369="","",$A369&amp;"|"&amp;$L369)</f>
        <v/>
      </c>
      <c r="L369" s="52" t="str">
        <f>IF($A369="","",COUNTIFS($A$3:$A369,$A369))</f>
        <v/>
      </c>
    </row>
    <row r="370" ht="15" customHeight="1" s="41">
      <c r="A370" s="50" t="n"/>
      <c r="B370" s="52" t="str">
        <f>IF($A370="","",IFERROR(INDEX(회의록!$C$3:$C$302,MATCH($A370,회의록!$A$3:$A$302,0)),"회의번호없음"))</f>
        <v/>
      </c>
      <c r="C370" s="50" t="n"/>
      <c r="D370" s="49" t="n"/>
      <c r="E370" s="53" t="n"/>
      <c r="F370" s="49" t="n"/>
      <c r="G370" s="53" t="n"/>
      <c r="H370" s="56" t="str">
        <f>IF(OR($C370="",$E370="",$F370="완료",$F370="취소"),"",$E370-TODAY())</f>
        <v/>
      </c>
      <c r="I370" s="56" t="str">
        <f>IF(OR($C370="",$E370=""),"",IF($F370="완료",IF($G370="","",MAX(0,$G370-$E370)),IF($F370="취소","",MAX(0,TODAY()-$E370))))</f>
        <v/>
      </c>
      <c r="J370" s="50" t="n"/>
      <c r="K370" s="52" t="str">
        <f>IF($A370="","",$A370&amp;"|"&amp;$L370)</f>
        <v/>
      </c>
      <c r="L370" s="52" t="str">
        <f>IF($A370="","",COUNTIFS($A$3:$A370,$A370))</f>
        <v/>
      </c>
    </row>
    <row r="371" ht="15" customHeight="1" s="41">
      <c r="A371" s="50" t="n"/>
      <c r="B371" s="52" t="str">
        <f>IF($A371="","",IFERROR(INDEX(회의록!$C$3:$C$302,MATCH($A371,회의록!$A$3:$A$302,0)),"회의번호없음"))</f>
        <v/>
      </c>
      <c r="C371" s="50" t="n"/>
      <c r="D371" s="49" t="n"/>
      <c r="E371" s="53" t="n"/>
      <c r="F371" s="49" t="n"/>
      <c r="G371" s="53" t="n"/>
      <c r="H371" s="56" t="str">
        <f>IF(OR($C371="",$E371="",$F371="완료",$F371="취소"),"",$E371-TODAY())</f>
        <v/>
      </c>
      <c r="I371" s="56" t="str">
        <f>IF(OR($C371="",$E371=""),"",IF($F371="완료",IF($G371="","",MAX(0,$G371-$E371)),IF($F371="취소","",MAX(0,TODAY()-$E371))))</f>
        <v/>
      </c>
      <c r="J371" s="50" t="n"/>
      <c r="K371" s="52" t="str">
        <f>IF($A371="","",$A371&amp;"|"&amp;$L371)</f>
        <v/>
      </c>
      <c r="L371" s="52" t="str">
        <f>IF($A371="","",COUNTIFS($A$3:$A371,$A371))</f>
        <v/>
      </c>
    </row>
    <row r="372" ht="15" customHeight="1" s="41">
      <c r="A372" s="50" t="n"/>
      <c r="B372" s="52" t="str">
        <f>IF($A372="","",IFERROR(INDEX(회의록!$C$3:$C$302,MATCH($A372,회의록!$A$3:$A$302,0)),"회의번호없음"))</f>
        <v/>
      </c>
      <c r="C372" s="50" t="n"/>
      <c r="D372" s="49" t="n"/>
      <c r="E372" s="53" t="n"/>
      <c r="F372" s="49" t="n"/>
      <c r="G372" s="53" t="n"/>
      <c r="H372" s="56" t="str">
        <f>IF(OR($C372="",$E372="",$F372="완료",$F372="취소"),"",$E372-TODAY())</f>
        <v/>
      </c>
      <c r="I372" s="56" t="str">
        <f>IF(OR($C372="",$E372=""),"",IF($F372="완료",IF($G372="","",MAX(0,$G372-$E372)),IF($F372="취소","",MAX(0,TODAY()-$E372))))</f>
        <v/>
      </c>
      <c r="J372" s="50" t="n"/>
      <c r="K372" s="52" t="str">
        <f>IF($A372="","",$A372&amp;"|"&amp;$L372)</f>
        <v/>
      </c>
      <c r="L372" s="52" t="str">
        <f>IF($A372="","",COUNTIFS($A$3:$A372,$A372))</f>
        <v/>
      </c>
    </row>
    <row r="373" ht="15" customHeight="1" s="41">
      <c r="A373" s="50" t="n"/>
      <c r="B373" s="52" t="str">
        <f>IF($A373="","",IFERROR(INDEX(회의록!$C$3:$C$302,MATCH($A373,회의록!$A$3:$A$302,0)),"회의번호없음"))</f>
        <v/>
      </c>
      <c r="C373" s="50" t="n"/>
      <c r="D373" s="49" t="n"/>
      <c r="E373" s="53" t="n"/>
      <c r="F373" s="49" t="n"/>
      <c r="G373" s="53" t="n"/>
      <c r="H373" s="56" t="str">
        <f>IF(OR($C373="",$E373="",$F373="완료",$F373="취소"),"",$E373-TODAY())</f>
        <v/>
      </c>
      <c r="I373" s="56" t="str">
        <f>IF(OR($C373="",$E373=""),"",IF($F373="완료",IF($G373="","",MAX(0,$G373-$E373)),IF($F373="취소","",MAX(0,TODAY()-$E373))))</f>
        <v/>
      </c>
      <c r="J373" s="50" t="n"/>
      <c r="K373" s="52" t="str">
        <f>IF($A373="","",$A373&amp;"|"&amp;$L373)</f>
        <v/>
      </c>
      <c r="L373" s="52" t="str">
        <f>IF($A373="","",COUNTIFS($A$3:$A373,$A373))</f>
        <v/>
      </c>
    </row>
    <row r="374" ht="15" customHeight="1" s="41">
      <c r="A374" s="50" t="n"/>
      <c r="B374" s="52" t="str">
        <f>IF($A374="","",IFERROR(INDEX(회의록!$C$3:$C$302,MATCH($A374,회의록!$A$3:$A$302,0)),"회의번호없음"))</f>
        <v/>
      </c>
      <c r="C374" s="50" t="n"/>
      <c r="D374" s="49" t="n"/>
      <c r="E374" s="53" t="n"/>
      <c r="F374" s="49" t="n"/>
      <c r="G374" s="53" t="n"/>
      <c r="H374" s="56" t="str">
        <f>IF(OR($C374="",$E374="",$F374="완료",$F374="취소"),"",$E374-TODAY())</f>
        <v/>
      </c>
      <c r="I374" s="56" t="str">
        <f>IF(OR($C374="",$E374=""),"",IF($F374="완료",IF($G374="","",MAX(0,$G374-$E374)),IF($F374="취소","",MAX(0,TODAY()-$E374))))</f>
        <v/>
      </c>
      <c r="J374" s="50" t="n"/>
      <c r="K374" s="52" t="str">
        <f>IF($A374="","",$A374&amp;"|"&amp;$L374)</f>
        <v/>
      </c>
      <c r="L374" s="52" t="str">
        <f>IF($A374="","",COUNTIFS($A$3:$A374,$A374))</f>
        <v/>
      </c>
    </row>
    <row r="375" ht="15" customHeight="1" s="41">
      <c r="A375" s="50" t="n"/>
      <c r="B375" s="52" t="str">
        <f>IF($A375="","",IFERROR(INDEX(회의록!$C$3:$C$302,MATCH($A375,회의록!$A$3:$A$302,0)),"회의번호없음"))</f>
        <v/>
      </c>
      <c r="C375" s="50" t="n"/>
      <c r="D375" s="49" t="n"/>
      <c r="E375" s="53" t="n"/>
      <c r="F375" s="49" t="n"/>
      <c r="G375" s="53" t="n"/>
      <c r="H375" s="56" t="str">
        <f>IF(OR($C375="",$E375="",$F375="완료",$F375="취소"),"",$E375-TODAY())</f>
        <v/>
      </c>
      <c r="I375" s="56" t="str">
        <f>IF(OR($C375="",$E375=""),"",IF($F375="완료",IF($G375="","",MAX(0,$G375-$E375)),IF($F375="취소","",MAX(0,TODAY()-$E375))))</f>
        <v/>
      </c>
      <c r="J375" s="50" t="n"/>
      <c r="K375" s="52" t="str">
        <f>IF($A375="","",$A375&amp;"|"&amp;$L375)</f>
        <v/>
      </c>
      <c r="L375" s="52" t="str">
        <f>IF($A375="","",COUNTIFS($A$3:$A375,$A375))</f>
        <v/>
      </c>
    </row>
    <row r="376" ht="15" customHeight="1" s="41">
      <c r="A376" s="50" t="n"/>
      <c r="B376" s="52" t="str">
        <f>IF($A376="","",IFERROR(INDEX(회의록!$C$3:$C$302,MATCH($A376,회의록!$A$3:$A$302,0)),"회의번호없음"))</f>
        <v/>
      </c>
      <c r="C376" s="50" t="n"/>
      <c r="D376" s="49" t="n"/>
      <c r="E376" s="53" t="n"/>
      <c r="F376" s="49" t="n"/>
      <c r="G376" s="53" t="n"/>
      <c r="H376" s="56" t="str">
        <f>IF(OR($C376="",$E376="",$F376="완료",$F376="취소"),"",$E376-TODAY())</f>
        <v/>
      </c>
      <c r="I376" s="56" t="str">
        <f>IF(OR($C376="",$E376=""),"",IF($F376="완료",IF($G376="","",MAX(0,$G376-$E376)),IF($F376="취소","",MAX(0,TODAY()-$E376))))</f>
        <v/>
      </c>
      <c r="J376" s="50" t="n"/>
      <c r="K376" s="52" t="str">
        <f>IF($A376="","",$A376&amp;"|"&amp;$L376)</f>
        <v/>
      </c>
      <c r="L376" s="52" t="str">
        <f>IF($A376="","",COUNTIFS($A$3:$A376,$A376))</f>
        <v/>
      </c>
    </row>
    <row r="377" ht="15" customHeight="1" s="41">
      <c r="A377" s="50" t="n"/>
      <c r="B377" s="52" t="str">
        <f>IF($A377="","",IFERROR(INDEX(회의록!$C$3:$C$302,MATCH($A377,회의록!$A$3:$A$302,0)),"회의번호없음"))</f>
        <v/>
      </c>
      <c r="C377" s="50" t="n"/>
      <c r="D377" s="49" t="n"/>
      <c r="E377" s="53" t="n"/>
      <c r="F377" s="49" t="n"/>
      <c r="G377" s="53" t="n"/>
      <c r="H377" s="56" t="str">
        <f>IF(OR($C377="",$E377="",$F377="완료",$F377="취소"),"",$E377-TODAY())</f>
        <v/>
      </c>
      <c r="I377" s="56" t="str">
        <f>IF(OR($C377="",$E377=""),"",IF($F377="완료",IF($G377="","",MAX(0,$G377-$E377)),IF($F377="취소","",MAX(0,TODAY()-$E377))))</f>
        <v/>
      </c>
      <c r="J377" s="50" t="n"/>
      <c r="K377" s="52" t="str">
        <f>IF($A377="","",$A377&amp;"|"&amp;$L377)</f>
        <v/>
      </c>
      <c r="L377" s="52" t="str">
        <f>IF($A377="","",COUNTIFS($A$3:$A377,$A377))</f>
        <v/>
      </c>
    </row>
    <row r="378" ht="15" customHeight="1" s="41">
      <c r="A378" s="50" t="n"/>
      <c r="B378" s="52" t="str">
        <f>IF($A378="","",IFERROR(INDEX(회의록!$C$3:$C$302,MATCH($A378,회의록!$A$3:$A$302,0)),"회의번호없음"))</f>
        <v/>
      </c>
      <c r="C378" s="50" t="n"/>
      <c r="D378" s="49" t="n"/>
      <c r="E378" s="53" t="n"/>
      <c r="F378" s="49" t="n"/>
      <c r="G378" s="53" t="n"/>
      <c r="H378" s="56" t="str">
        <f>IF(OR($C378="",$E378="",$F378="완료",$F378="취소"),"",$E378-TODAY())</f>
        <v/>
      </c>
      <c r="I378" s="56" t="str">
        <f>IF(OR($C378="",$E378=""),"",IF($F378="완료",IF($G378="","",MAX(0,$G378-$E378)),IF($F378="취소","",MAX(0,TODAY()-$E378))))</f>
        <v/>
      </c>
      <c r="J378" s="50" t="n"/>
      <c r="K378" s="52" t="str">
        <f>IF($A378="","",$A378&amp;"|"&amp;$L378)</f>
        <v/>
      </c>
      <c r="L378" s="52" t="str">
        <f>IF($A378="","",COUNTIFS($A$3:$A378,$A378))</f>
        <v/>
      </c>
    </row>
    <row r="379" ht="15" customHeight="1" s="41">
      <c r="A379" s="50" t="n"/>
      <c r="B379" s="52" t="str">
        <f>IF($A379="","",IFERROR(INDEX(회의록!$C$3:$C$302,MATCH($A379,회의록!$A$3:$A$302,0)),"회의번호없음"))</f>
        <v/>
      </c>
      <c r="C379" s="50" t="n"/>
      <c r="D379" s="49" t="n"/>
      <c r="E379" s="53" t="n"/>
      <c r="F379" s="49" t="n"/>
      <c r="G379" s="53" t="n"/>
      <c r="H379" s="56" t="str">
        <f>IF(OR($C379="",$E379="",$F379="완료",$F379="취소"),"",$E379-TODAY())</f>
        <v/>
      </c>
      <c r="I379" s="56" t="str">
        <f>IF(OR($C379="",$E379=""),"",IF($F379="완료",IF($G379="","",MAX(0,$G379-$E379)),IF($F379="취소","",MAX(0,TODAY()-$E379))))</f>
        <v/>
      </c>
      <c r="J379" s="50" t="n"/>
      <c r="K379" s="52" t="str">
        <f>IF($A379="","",$A379&amp;"|"&amp;$L379)</f>
        <v/>
      </c>
      <c r="L379" s="52" t="str">
        <f>IF($A379="","",COUNTIFS($A$3:$A379,$A379))</f>
        <v/>
      </c>
    </row>
    <row r="380" ht="15" customHeight="1" s="41">
      <c r="A380" s="50" t="n"/>
      <c r="B380" s="52" t="str">
        <f>IF($A380="","",IFERROR(INDEX(회의록!$C$3:$C$302,MATCH($A380,회의록!$A$3:$A$302,0)),"회의번호없음"))</f>
        <v/>
      </c>
      <c r="C380" s="50" t="n"/>
      <c r="D380" s="49" t="n"/>
      <c r="E380" s="53" t="n"/>
      <c r="F380" s="49" t="n"/>
      <c r="G380" s="53" t="n"/>
      <c r="H380" s="56" t="str">
        <f>IF(OR($C380="",$E380="",$F380="완료",$F380="취소"),"",$E380-TODAY())</f>
        <v/>
      </c>
      <c r="I380" s="56" t="str">
        <f>IF(OR($C380="",$E380=""),"",IF($F380="완료",IF($G380="","",MAX(0,$G380-$E380)),IF($F380="취소","",MAX(0,TODAY()-$E380))))</f>
        <v/>
      </c>
      <c r="J380" s="50" t="n"/>
      <c r="K380" s="52" t="str">
        <f>IF($A380="","",$A380&amp;"|"&amp;$L380)</f>
        <v/>
      </c>
      <c r="L380" s="52" t="str">
        <f>IF($A380="","",COUNTIFS($A$3:$A380,$A380))</f>
        <v/>
      </c>
    </row>
    <row r="381" ht="15" customHeight="1" s="41">
      <c r="A381" s="50" t="n"/>
      <c r="B381" s="52" t="str">
        <f>IF($A381="","",IFERROR(INDEX(회의록!$C$3:$C$302,MATCH($A381,회의록!$A$3:$A$302,0)),"회의번호없음"))</f>
        <v/>
      </c>
      <c r="C381" s="50" t="n"/>
      <c r="D381" s="49" t="n"/>
      <c r="E381" s="53" t="n"/>
      <c r="F381" s="49" t="n"/>
      <c r="G381" s="53" t="n"/>
      <c r="H381" s="56" t="str">
        <f>IF(OR($C381="",$E381="",$F381="완료",$F381="취소"),"",$E381-TODAY())</f>
        <v/>
      </c>
      <c r="I381" s="56" t="str">
        <f>IF(OR($C381="",$E381=""),"",IF($F381="완료",IF($G381="","",MAX(0,$G381-$E381)),IF($F381="취소","",MAX(0,TODAY()-$E381))))</f>
        <v/>
      </c>
      <c r="J381" s="50" t="n"/>
      <c r="K381" s="52" t="str">
        <f>IF($A381="","",$A381&amp;"|"&amp;$L381)</f>
        <v/>
      </c>
      <c r="L381" s="52" t="str">
        <f>IF($A381="","",COUNTIFS($A$3:$A381,$A381))</f>
        <v/>
      </c>
    </row>
    <row r="382" ht="15" customHeight="1" s="41">
      <c r="A382" s="50" t="n"/>
      <c r="B382" s="52" t="str">
        <f>IF($A382="","",IFERROR(INDEX(회의록!$C$3:$C$302,MATCH($A382,회의록!$A$3:$A$302,0)),"회의번호없음"))</f>
        <v/>
      </c>
      <c r="C382" s="50" t="n"/>
      <c r="D382" s="49" t="n"/>
      <c r="E382" s="53" t="n"/>
      <c r="F382" s="49" t="n"/>
      <c r="G382" s="53" t="n"/>
      <c r="H382" s="56" t="str">
        <f>IF(OR($C382="",$E382="",$F382="완료",$F382="취소"),"",$E382-TODAY())</f>
        <v/>
      </c>
      <c r="I382" s="56" t="str">
        <f>IF(OR($C382="",$E382=""),"",IF($F382="완료",IF($G382="","",MAX(0,$G382-$E382)),IF($F382="취소","",MAX(0,TODAY()-$E382))))</f>
        <v/>
      </c>
      <c r="J382" s="50" t="n"/>
      <c r="K382" s="52" t="str">
        <f>IF($A382="","",$A382&amp;"|"&amp;$L382)</f>
        <v/>
      </c>
      <c r="L382" s="52" t="str">
        <f>IF($A382="","",COUNTIFS($A$3:$A382,$A382))</f>
        <v/>
      </c>
    </row>
    <row r="383" ht="15" customHeight="1" s="41">
      <c r="A383" s="50" t="n"/>
      <c r="B383" s="52" t="str">
        <f>IF($A383="","",IFERROR(INDEX(회의록!$C$3:$C$302,MATCH($A383,회의록!$A$3:$A$302,0)),"회의번호없음"))</f>
        <v/>
      </c>
      <c r="C383" s="50" t="n"/>
      <c r="D383" s="49" t="n"/>
      <c r="E383" s="53" t="n"/>
      <c r="F383" s="49" t="n"/>
      <c r="G383" s="53" t="n"/>
      <c r="H383" s="56" t="str">
        <f>IF(OR($C383="",$E383="",$F383="완료",$F383="취소"),"",$E383-TODAY())</f>
        <v/>
      </c>
      <c r="I383" s="56" t="str">
        <f>IF(OR($C383="",$E383=""),"",IF($F383="완료",IF($G383="","",MAX(0,$G383-$E383)),IF($F383="취소","",MAX(0,TODAY()-$E383))))</f>
        <v/>
      </c>
      <c r="J383" s="50" t="n"/>
      <c r="K383" s="52" t="str">
        <f>IF($A383="","",$A383&amp;"|"&amp;$L383)</f>
        <v/>
      </c>
      <c r="L383" s="52" t="str">
        <f>IF($A383="","",COUNTIFS($A$3:$A383,$A383))</f>
        <v/>
      </c>
    </row>
    <row r="384" ht="15" customHeight="1" s="41">
      <c r="A384" s="50" t="n"/>
      <c r="B384" s="52" t="str">
        <f>IF($A384="","",IFERROR(INDEX(회의록!$C$3:$C$302,MATCH($A384,회의록!$A$3:$A$302,0)),"회의번호없음"))</f>
        <v/>
      </c>
      <c r="C384" s="50" t="n"/>
      <c r="D384" s="49" t="n"/>
      <c r="E384" s="53" t="n"/>
      <c r="F384" s="49" t="n"/>
      <c r="G384" s="53" t="n"/>
      <c r="H384" s="56" t="str">
        <f>IF(OR($C384="",$E384="",$F384="완료",$F384="취소"),"",$E384-TODAY())</f>
        <v/>
      </c>
      <c r="I384" s="56" t="str">
        <f>IF(OR($C384="",$E384=""),"",IF($F384="완료",IF($G384="","",MAX(0,$G384-$E384)),IF($F384="취소","",MAX(0,TODAY()-$E384))))</f>
        <v/>
      </c>
      <c r="J384" s="50" t="n"/>
      <c r="K384" s="52" t="str">
        <f>IF($A384="","",$A384&amp;"|"&amp;$L384)</f>
        <v/>
      </c>
      <c r="L384" s="52" t="str">
        <f>IF($A384="","",COUNTIFS($A$3:$A384,$A384))</f>
        <v/>
      </c>
    </row>
    <row r="385" ht="15" customHeight="1" s="41">
      <c r="A385" s="50" t="n"/>
      <c r="B385" s="52" t="str">
        <f>IF($A385="","",IFERROR(INDEX(회의록!$C$3:$C$302,MATCH($A385,회의록!$A$3:$A$302,0)),"회의번호없음"))</f>
        <v/>
      </c>
      <c r="C385" s="50" t="n"/>
      <c r="D385" s="49" t="n"/>
      <c r="E385" s="53" t="n"/>
      <c r="F385" s="49" t="n"/>
      <c r="G385" s="53" t="n"/>
      <c r="H385" s="56" t="str">
        <f>IF(OR($C385="",$E385="",$F385="완료",$F385="취소"),"",$E385-TODAY())</f>
        <v/>
      </c>
      <c r="I385" s="56" t="str">
        <f>IF(OR($C385="",$E385=""),"",IF($F385="완료",IF($G385="","",MAX(0,$G385-$E385)),IF($F385="취소","",MAX(0,TODAY()-$E385))))</f>
        <v/>
      </c>
      <c r="J385" s="50" t="n"/>
      <c r="K385" s="52" t="str">
        <f>IF($A385="","",$A385&amp;"|"&amp;$L385)</f>
        <v/>
      </c>
      <c r="L385" s="52" t="str">
        <f>IF($A385="","",COUNTIFS($A$3:$A385,$A385))</f>
        <v/>
      </c>
    </row>
    <row r="386" ht="15" customHeight="1" s="41">
      <c r="A386" s="50" t="n"/>
      <c r="B386" s="52" t="str">
        <f>IF($A386="","",IFERROR(INDEX(회의록!$C$3:$C$302,MATCH($A386,회의록!$A$3:$A$302,0)),"회의번호없음"))</f>
        <v/>
      </c>
      <c r="C386" s="50" t="n"/>
      <c r="D386" s="49" t="n"/>
      <c r="E386" s="53" t="n"/>
      <c r="F386" s="49" t="n"/>
      <c r="G386" s="53" t="n"/>
      <c r="H386" s="56" t="str">
        <f>IF(OR($C386="",$E386="",$F386="완료",$F386="취소"),"",$E386-TODAY())</f>
        <v/>
      </c>
      <c r="I386" s="56" t="str">
        <f>IF(OR($C386="",$E386=""),"",IF($F386="완료",IF($G386="","",MAX(0,$G386-$E386)),IF($F386="취소","",MAX(0,TODAY()-$E386))))</f>
        <v/>
      </c>
      <c r="J386" s="50" t="n"/>
      <c r="K386" s="52" t="str">
        <f>IF($A386="","",$A386&amp;"|"&amp;$L386)</f>
        <v/>
      </c>
      <c r="L386" s="52" t="str">
        <f>IF($A386="","",COUNTIFS($A$3:$A386,$A386))</f>
        <v/>
      </c>
    </row>
    <row r="387" ht="15" customHeight="1" s="41">
      <c r="A387" s="50" t="n"/>
      <c r="B387" s="52" t="str">
        <f>IF($A387="","",IFERROR(INDEX(회의록!$C$3:$C$302,MATCH($A387,회의록!$A$3:$A$302,0)),"회의번호없음"))</f>
        <v/>
      </c>
      <c r="C387" s="50" t="n"/>
      <c r="D387" s="49" t="n"/>
      <c r="E387" s="53" t="n"/>
      <c r="F387" s="49" t="n"/>
      <c r="G387" s="53" t="n"/>
      <c r="H387" s="56" t="str">
        <f>IF(OR($C387="",$E387="",$F387="완료",$F387="취소"),"",$E387-TODAY())</f>
        <v/>
      </c>
      <c r="I387" s="56" t="str">
        <f>IF(OR($C387="",$E387=""),"",IF($F387="완료",IF($G387="","",MAX(0,$G387-$E387)),IF($F387="취소","",MAX(0,TODAY()-$E387))))</f>
        <v/>
      </c>
      <c r="J387" s="50" t="n"/>
      <c r="K387" s="52" t="str">
        <f>IF($A387="","",$A387&amp;"|"&amp;$L387)</f>
        <v/>
      </c>
      <c r="L387" s="52" t="str">
        <f>IF($A387="","",COUNTIFS($A$3:$A387,$A387))</f>
        <v/>
      </c>
    </row>
    <row r="388" ht="15" customHeight="1" s="41">
      <c r="A388" s="50" t="n"/>
      <c r="B388" s="52" t="str">
        <f>IF($A388="","",IFERROR(INDEX(회의록!$C$3:$C$302,MATCH($A388,회의록!$A$3:$A$302,0)),"회의번호없음"))</f>
        <v/>
      </c>
      <c r="C388" s="50" t="n"/>
      <c r="D388" s="49" t="n"/>
      <c r="E388" s="53" t="n"/>
      <c r="F388" s="49" t="n"/>
      <c r="G388" s="53" t="n"/>
      <c r="H388" s="56" t="str">
        <f>IF(OR($C388="",$E388="",$F388="완료",$F388="취소"),"",$E388-TODAY())</f>
        <v/>
      </c>
      <c r="I388" s="56" t="str">
        <f>IF(OR($C388="",$E388=""),"",IF($F388="완료",IF($G388="","",MAX(0,$G388-$E388)),IF($F388="취소","",MAX(0,TODAY()-$E388))))</f>
        <v/>
      </c>
      <c r="J388" s="50" t="n"/>
      <c r="K388" s="52" t="str">
        <f>IF($A388="","",$A388&amp;"|"&amp;$L388)</f>
        <v/>
      </c>
      <c r="L388" s="52" t="str">
        <f>IF($A388="","",COUNTIFS($A$3:$A388,$A388))</f>
        <v/>
      </c>
    </row>
    <row r="389" ht="15" customHeight="1" s="41">
      <c r="A389" s="50" t="n"/>
      <c r="B389" s="52" t="str">
        <f>IF($A389="","",IFERROR(INDEX(회의록!$C$3:$C$302,MATCH($A389,회의록!$A$3:$A$302,0)),"회의번호없음"))</f>
        <v/>
      </c>
      <c r="C389" s="50" t="n"/>
      <c r="D389" s="49" t="n"/>
      <c r="E389" s="53" t="n"/>
      <c r="F389" s="49" t="n"/>
      <c r="G389" s="53" t="n"/>
      <c r="H389" s="56" t="str">
        <f>IF(OR($C389="",$E389="",$F389="완료",$F389="취소"),"",$E389-TODAY())</f>
        <v/>
      </c>
      <c r="I389" s="56" t="str">
        <f>IF(OR($C389="",$E389=""),"",IF($F389="완료",IF($G389="","",MAX(0,$G389-$E389)),IF($F389="취소","",MAX(0,TODAY()-$E389))))</f>
        <v/>
      </c>
      <c r="J389" s="50" t="n"/>
      <c r="K389" s="52" t="str">
        <f>IF($A389="","",$A389&amp;"|"&amp;$L389)</f>
        <v/>
      </c>
      <c r="L389" s="52" t="str">
        <f>IF($A389="","",COUNTIFS($A$3:$A389,$A389))</f>
        <v/>
      </c>
    </row>
    <row r="390" ht="15" customHeight="1" s="41">
      <c r="A390" s="50" t="n"/>
      <c r="B390" s="52" t="str">
        <f>IF($A390="","",IFERROR(INDEX(회의록!$C$3:$C$302,MATCH($A390,회의록!$A$3:$A$302,0)),"회의번호없음"))</f>
        <v/>
      </c>
      <c r="C390" s="50" t="n"/>
      <c r="D390" s="49" t="n"/>
      <c r="E390" s="53" t="n"/>
      <c r="F390" s="49" t="n"/>
      <c r="G390" s="53" t="n"/>
      <c r="H390" s="56" t="str">
        <f>IF(OR($C390="",$E390="",$F390="완료",$F390="취소"),"",$E390-TODAY())</f>
        <v/>
      </c>
      <c r="I390" s="56" t="str">
        <f>IF(OR($C390="",$E390=""),"",IF($F390="완료",IF($G390="","",MAX(0,$G390-$E390)),IF($F390="취소","",MAX(0,TODAY()-$E390))))</f>
        <v/>
      </c>
      <c r="J390" s="50" t="n"/>
      <c r="K390" s="52" t="str">
        <f>IF($A390="","",$A390&amp;"|"&amp;$L390)</f>
        <v/>
      </c>
      <c r="L390" s="52" t="str">
        <f>IF($A390="","",COUNTIFS($A$3:$A390,$A390))</f>
        <v/>
      </c>
    </row>
    <row r="391" ht="15" customHeight="1" s="41">
      <c r="A391" s="50" t="n"/>
      <c r="B391" s="52" t="str">
        <f>IF($A391="","",IFERROR(INDEX(회의록!$C$3:$C$302,MATCH($A391,회의록!$A$3:$A$302,0)),"회의번호없음"))</f>
        <v/>
      </c>
      <c r="C391" s="50" t="n"/>
      <c r="D391" s="49" t="n"/>
      <c r="E391" s="53" t="n"/>
      <c r="F391" s="49" t="n"/>
      <c r="G391" s="53" t="n"/>
      <c r="H391" s="56" t="str">
        <f>IF(OR($C391="",$E391="",$F391="완료",$F391="취소"),"",$E391-TODAY())</f>
        <v/>
      </c>
      <c r="I391" s="56" t="str">
        <f>IF(OR($C391="",$E391=""),"",IF($F391="완료",IF($G391="","",MAX(0,$G391-$E391)),IF($F391="취소","",MAX(0,TODAY()-$E391))))</f>
        <v/>
      </c>
      <c r="J391" s="50" t="n"/>
      <c r="K391" s="52" t="str">
        <f>IF($A391="","",$A391&amp;"|"&amp;$L391)</f>
        <v/>
      </c>
      <c r="L391" s="52" t="str">
        <f>IF($A391="","",COUNTIFS($A$3:$A391,$A391))</f>
        <v/>
      </c>
    </row>
    <row r="392" ht="15" customHeight="1" s="41">
      <c r="A392" s="50" t="n"/>
      <c r="B392" s="52" t="str">
        <f>IF($A392="","",IFERROR(INDEX(회의록!$C$3:$C$302,MATCH($A392,회의록!$A$3:$A$302,0)),"회의번호없음"))</f>
        <v/>
      </c>
      <c r="C392" s="50" t="n"/>
      <c r="D392" s="49" t="n"/>
      <c r="E392" s="53" t="n"/>
      <c r="F392" s="49" t="n"/>
      <c r="G392" s="53" t="n"/>
      <c r="H392" s="56" t="str">
        <f>IF(OR($C392="",$E392="",$F392="완료",$F392="취소"),"",$E392-TODAY())</f>
        <v/>
      </c>
      <c r="I392" s="56" t="str">
        <f>IF(OR($C392="",$E392=""),"",IF($F392="완료",IF($G392="","",MAX(0,$G392-$E392)),IF($F392="취소","",MAX(0,TODAY()-$E392))))</f>
        <v/>
      </c>
      <c r="J392" s="50" t="n"/>
      <c r="K392" s="52" t="str">
        <f>IF($A392="","",$A392&amp;"|"&amp;$L392)</f>
        <v/>
      </c>
      <c r="L392" s="52" t="str">
        <f>IF($A392="","",COUNTIFS($A$3:$A392,$A392))</f>
        <v/>
      </c>
    </row>
    <row r="393" ht="15" customHeight="1" s="41">
      <c r="A393" s="50" t="n"/>
      <c r="B393" s="52" t="str">
        <f>IF($A393="","",IFERROR(INDEX(회의록!$C$3:$C$302,MATCH($A393,회의록!$A$3:$A$302,0)),"회의번호없음"))</f>
        <v/>
      </c>
      <c r="C393" s="50" t="n"/>
      <c r="D393" s="49" t="n"/>
      <c r="E393" s="53" t="n"/>
      <c r="F393" s="49" t="n"/>
      <c r="G393" s="53" t="n"/>
      <c r="H393" s="56" t="str">
        <f>IF(OR($C393="",$E393="",$F393="완료",$F393="취소"),"",$E393-TODAY())</f>
        <v/>
      </c>
      <c r="I393" s="56" t="str">
        <f>IF(OR($C393="",$E393=""),"",IF($F393="완료",IF($G393="","",MAX(0,$G393-$E393)),IF($F393="취소","",MAX(0,TODAY()-$E393))))</f>
        <v/>
      </c>
      <c r="J393" s="50" t="n"/>
      <c r="K393" s="52" t="str">
        <f>IF($A393="","",$A393&amp;"|"&amp;$L393)</f>
        <v/>
      </c>
      <c r="L393" s="52" t="str">
        <f>IF($A393="","",COUNTIFS($A$3:$A393,$A393))</f>
        <v/>
      </c>
    </row>
    <row r="394" ht="15" customHeight="1" s="41">
      <c r="A394" s="50" t="n"/>
      <c r="B394" s="52" t="str">
        <f>IF($A394="","",IFERROR(INDEX(회의록!$C$3:$C$302,MATCH($A394,회의록!$A$3:$A$302,0)),"회의번호없음"))</f>
        <v/>
      </c>
      <c r="C394" s="50" t="n"/>
      <c r="D394" s="49" t="n"/>
      <c r="E394" s="53" t="n"/>
      <c r="F394" s="49" t="n"/>
      <c r="G394" s="53" t="n"/>
      <c r="H394" s="56" t="str">
        <f>IF(OR($C394="",$E394="",$F394="완료",$F394="취소"),"",$E394-TODAY())</f>
        <v/>
      </c>
      <c r="I394" s="56" t="str">
        <f>IF(OR($C394="",$E394=""),"",IF($F394="완료",IF($G394="","",MAX(0,$G394-$E394)),IF($F394="취소","",MAX(0,TODAY()-$E394))))</f>
        <v/>
      </c>
      <c r="J394" s="50" t="n"/>
      <c r="K394" s="52" t="str">
        <f>IF($A394="","",$A394&amp;"|"&amp;$L394)</f>
        <v/>
      </c>
      <c r="L394" s="52" t="str">
        <f>IF($A394="","",COUNTIFS($A$3:$A394,$A394))</f>
        <v/>
      </c>
    </row>
    <row r="395" ht="15" customHeight="1" s="41">
      <c r="A395" s="50" t="n"/>
      <c r="B395" s="52" t="str">
        <f>IF($A395="","",IFERROR(INDEX(회의록!$C$3:$C$302,MATCH($A395,회의록!$A$3:$A$302,0)),"회의번호없음"))</f>
        <v/>
      </c>
      <c r="C395" s="50" t="n"/>
      <c r="D395" s="49" t="n"/>
      <c r="E395" s="53" t="n"/>
      <c r="F395" s="49" t="n"/>
      <c r="G395" s="53" t="n"/>
      <c r="H395" s="56" t="str">
        <f>IF(OR($C395="",$E395="",$F395="완료",$F395="취소"),"",$E395-TODAY())</f>
        <v/>
      </c>
      <c r="I395" s="56" t="str">
        <f>IF(OR($C395="",$E395=""),"",IF($F395="완료",IF($G395="","",MAX(0,$G395-$E395)),IF($F395="취소","",MAX(0,TODAY()-$E395))))</f>
        <v/>
      </c>
      <c r="J395" s="50" t="n"/>
      <c r="K395" s="52" t="str">
        <f>IF($A395="","",$A395&amp;"|"&amp;$L395)</f>
        <v/>
      </c>
      <c r="L395" s="52" t="str">
        <f>IF($A395="","",COUNTIFS($A$3:$A395,$A395))</f>
        <v/>
      </c>
    </row>
    <row r="396" ht="15" customHeight="1" s="41">
      <c r="A396" s="50" t="n"/>
      <c r="B396" s="52" t="str">
        <f>IF($A396="","",IFERROR(INDEX(회의록!$C$3:$C$302,MATCH($A396,회의록!$A$3:$A$302,0)),"회의번호없음"))</f>
        <v/>
      </c>
      <c r="C396" s="50" t="n"/>
      <c r="D396" s="49" t="n"/>
      <c r="E396" s="53" t="n"/>
      <c r="F396" s="49" t="n"/>
      <c r="G396" s="53" t="n"/>
      <c r="H396" s="56" t="str">
        <f>IF(OR($C396="",$E396="",$F396="완료",$F396="취소"),"",$E396-TODAY())</f>
        <v/>
      </c>
      <c r="I396" s="56" t="str">
        <f>IF(OR($C396="",$E396=""),"",IF($F396="완료",IF($G396="","",MAX(0,$G396-$E396)),IF($F396="취소","",MAX(0,TODAY()-$E396))))</f>
        <v/>
      </c>
      <c r="J396" s="50" t="n"/>
      <c r="K396" s="52" t="str">
        <f>IF($A396="","",$A396&amp;"|"&amp;$L396)</f>
        <v/>
      </c>
      <c r="L396" s="52" t="str">
        <f>IF($A396="","",COUNTIFS($A$3:$A396,$A396))</f>
        <v/>
      </c>
    </row>
    <row r="397" ht="15" customHeight="1" s="41">
      <c r="A397" s="50" t="n"/>
      <c r="B397" s="52" t="str">
        <f>IF($A397="","",IFERROR(INDEX(회의록!$C$3:$C$302,MATCH($A397,회의록!$A$3:$A$302,0)),"회의번호없음"))</f>
        <v/>
      </c>
      <c r="C397" s="50" t="n"/>
      <c r="D397" s="49" t="n"/>
      <c r="E397" s="53" t="n"/>
      <c r="F397" s="49" t="n"/>
      <c r="G397" s="53" t="n"/>
      <c r="H397" s="56" t="str">
        <f>IF(OR($C397="",$E397="",$F397="완료",$F397="취소"),"",$E397-TODAY())</f>
        <v/>
      </c>
      <c r="I397" s="56" t="str">
        <f>IF(OR($C397="",$E397=""),"",IF($F397="완료",IF($G397="","",MAX(0,$G397-$E397)),IF($F397="취소","",MAX(0,TODAY()-$E397))))</f>
        <v/>
      </c>
      <c r="J397" s="50" t="n"/>
      <c r="K397" s="52" t="str">
        <f>IF($A397="","",$A397&amp;"|"&amp;$L397)</f>
        <v/>
      </c>
      <c r="L397" s="52" t="str">
        <f>IF($A397="","",COUNTIFS($A$3:$A397,$A397))</f>
        <v/>
      </c>
    </row>
    <row r="398" ht="15" customHeight="1" s="41">
      <c r="A398" s="50" t="n"/>
      <c r="B398" s="52" t="str">
        <f>IF($A398="","",IFERROR(INDEX(회의록!$C$3:$C$302,MATCH($A398,회의록!$A$3:$A$302,0)),"회의번호없음"))</f>
        <v/>
      </c>
      <c r="C398" s="50" t="n"/>
      <c r="D398" s="49" t="n"/>
      <c r="E398" s="53" t="n"/>
      <c r="F398" s="49" t="n"/>
      <c r="G398" s="53" t="n"/>
      <c r="H398" s="56" t="str">
        <f>IF(OR($C398="",$E398="",$F398="완료",$F398="취소"),"",$E398-TODAY())</f>
        <v/>
      </c>
      <c r="I398" s="56" t="str">
        <f>IF(OR($C398="",$E398=""),"",IF($F398="완료",IF($G398="","",MAX(0,$G398-$E398)),IF($F398="취소","",MAX(0,TODAY()-$E398))))</f>
        <v/>
      </c>
      <c r="J398" s="50" t="n"/>
      <c r="K398" s="52" t="str">
        <f>IF($A398="","",$A398&amp;"|"&amp;$L398)</f>
        <v/>
      </c>
      <c r="L398" s="52" t="str">
        <f>IF($A398="","",COUNTIFS($A$3:$A398,$A398))</f>
        <v/>
      </c>
    </row>
    <row r="399" ht="15" customHeight="1" s="41">
      <c r="A399" s="50" t="n"/>
      <c r="B399" s="52" t="str">
        <f>IF($A399="","",IFERROR(INDEX(회의록!$C$3:$C$302,MATCH($A399,회의록!$A$3:$A$302,0)),"회의번호없음"))</f>
        <v/>
      </c>
      <c r="C399" s="50" t="n"/>
      <c r="D399" s="49" t="n"/>
      <c r="E399" s="53" t="n"/>
      <c r="F399" s="49" t="n"/>
      <c r="G399" s="53" t="n"/>
      <c r="H399" s="56" t="str">
        <f>IF(OR($C399="",$E399="",$F399="완료",$F399="취소"),"",$E399-TODAY())</f>
        <v/>
      </c>
      <c r="I399" s="56" t="str">
        <f>IF(OR($C399="",$E399=""),"",IF($F399="완료",IF($G399="","",MAX(0,$G399-$E399)),IF($F399="취소","",MAX(0,TODAY()-$E399))))</f>
        <v/>
      </c>
      <c r="J399" s="50" t="n"/>
      <c r="K399" s="52" t="str">
        <f>IF($A399="","",$A399&amp;"|"&amp;$L399)</f>
        <v/>
      </c>
      <c r="L399" s="52" t="str">
        <f>IF($A399="","",COUNTIFS($A$3:$A399,$A399))</f>
        <v/>
      </c>
    </row>
    <row r="400" ht="15" customHeight="1" s="41">
      <c r="A400" s="50" t="n"/>
      <c r="B400" s="52" t="str">
        <f>IF($A400="","",IFERROR(INDEX(회의록!$C$3:$C$302,MATCH($A400,회의록!$A$3:$A$302,0)),"회의번호없음"))</f>
        <v/>
      </c>
      <c r="C400" s="50" t="n"/>
      <c r="D400" s="49" t="n"/>
      <c r="E400" s="53" t="n"/>
      <c r="F400" s="49" t="n"/>
      <c r="G400" s="53" t="n"/>
      <c r="H400" s="56" t="str">
        <f>IF(OR($C400="",$E400="",$F400="완료",$F400="취소"),"",$E400-TODAY())</f>
        <v/>
      </c>
      <c r="I400" s="56" t="str">
        <f>IF(OR($C400="",$E400=""),"",IF($F400="완료",IF($G400="","",MAX(0,$G400-$E400)),IF($F400="취소","",MAX(0,TODAY()-$E400))))</f>
        <v/>
      </c>
      <c r="J400" s="50" t="n"/>
      <c r="K400" s="52" t="str">
        <f>IF($A400="","",$A400&amp;"|"&amp;$L400)</f>
        <v/>
      </c>
      <c r="L400" s="52" t="str">
        <f>IF($A400="","",COUNTIFS($A$3:$A400,$A400))</f>
        <v/>
      </c>
    </row>
    <row r="401" ht="15" customHeight="1" s="41">
      <c r="A401" s="50" t="n"/>
      <c r="B401" s="52" t="str">
        <f>IF($A401="","",IFERROR(INDEX(회의록!$C$3:$C$302,MATCH($A401,회의록!$A$3:$A$302,0)),"회의번호없음"))</f>
        <v/>
      </c>
      <c r="C401" s="50" t="n"/>
      <c r="D401" s="49" t="n"/>
      <c r="E401" s="53" t="n"/>
      <c r="F401" s="49" t="n"/>
      <c r="G401" s="53" t="n"/>
      <c r="H401" s="56" t="str">
        <f>IF(OR($C401="",$E401="",$F401="완료",$F401="취소"),"",$E401-TODAY())</f>
        <v/>
      </c>
      <c r="I401" s="56" t="str">
        <f>IF(OR($C401="",$E401=""),"",IF($F401="완료",IF($G401="","",MAX(0,$G401-$E401)),IF($F401="취소","",MAX(0,TODAY()-$E401))))</f>
        <v/>
      </c>
      <c r="J401" s="50" t="n"/>
      <c r="K401" s="52" t="str">
        <f>IF($A401="","",$A401&amp;"|"&amp;$L401)</f>
        <v/>
      </c>
      <c r="L401" s="52" t="str">
        <f>IF($A401="","",COUNTIFS($A$3:$A401,$A401))</f>
        <v/>
      </c>
    </row>
    <row r="402" ht="15" customHeight="1" s="41">
      <c r="A402" s="50" t="n"/>
      <c r="B402" s="52" t="str">
        <f>IF($A402="","",IFERROR(INDEX(회의록!$C$3:$C$302,MATCH($A402,회의록!$A$3:$A$302,0)),"회의번호없음"))</f>
        <v/>
      </c>
      <c r="C402" s="50" t="n"/>
      <c r="D402" s="49" t="n"/>
      <c r="E402" s="53" t="n"/>
      <c r="F402" s="49" t="n"/>
      <c r="G402" s="53" t="n"/>
      <c r="H402" s="56" t="str">
        <f>IF(OR($C402="",$E402="",$F402="완료",$F402="취소"),"",$E402-TODAY())</f>
        <v/>
      </c>
      <c r="I402" s="56" t="str">
        <f>IF(OR($C402="",$E402=""),"",IF($F402="완료",IF($G402="","",MAX(0,$G402-$E402)),IF($F402="취소","",MAX(0,TODAY()-$E402))))</f>
        <v/>
      </c>
      <c r="J402" s="50" t="n"/>
      <c r="K402" s="52" t="str">
        <f>IF($A402="","",$A402&amp;"|"&amp;$L402)</f>
        <v/>
      </c>
      <c r="L402" s="52" t="str">
        <f>IF($A402="","",COUNTIFS($A$3:$A402,$A402))</f>
        <v/>
      </c>
    </row>
    <row r="403" ht="15" customHeight="1" s="41">
      <c r="A403" s="50" t="n"/>
      <c r="B403" s="52" t="str">
        <f>IF($A403="","",IFERROR(INDEX(회의록!$C$3:$C$302,MATCH($A403,회의록!$A$3:$A$302,0)),"회의번호없음"))</f>
        <v/>
      </c>
      <c r="C403" s="50" t="n"/>
      <c r="D403" s="49" t="n"/>
      <c r="E403" s="53" t="n"/>
      <c r="F403" s="49" t="n"/>
      <c r="G403" s="53" t="n"/>
      <c r="H403" s="56" t="str">
        <f>IF(OR($C403="",$E403="",$F403="완료",$F403="취소"),"",$E403-TODAY())</f>
        <v/>
      </c>
      <c r="I403" s="56" t="str">
        <f>IF(OR($C403="",$E403=""),"",IF($F403="완료",IF($G403="","",MAX(0,$G403-$E403)),IF($F403="취소","",MAX(0,TODAY()-$E403))))</f>
        <v/>
      </c>
      <c r="J403" s="50" t="n"/>
      <c r="K403" s="52" t="str">
        <f>IF($A403="","",$A403&amp;"|"&amp;$L403)</f>
        <v/>
      </c>
      <c r="L403" s="52" t="str">
        <f>IF($A403="","",COUNTIFS($A$3:$A403,$A403))</f>
        <v/>
      </c>
    </row>
    <row r="404" ht="15" customHeight="1" s="41">
      <c r="A404" s="50" t="n"/>
      <c r="B404" s="52" t="str">
        <f>IF($A404="","",IFERROR(INDEX(회의록!$C$3:$C$302,MATCH($A404,회의록!$A$3:$A$302,0)),"회의번호없음"))</f>
        <v/>
      </c>
      <c r="C404" s="50" t="n"/>
      <c r="D404" s="49" t="n"/>
      <c r="E404" s="53" t="n"/>
      <c r="F404" s="49" t="n"/>
      <c r="G404" s="53" t="n"/>
      <c r="H404" s="56" t="str">
        <f>IF(OR($C404="",$E404="",$F404="완료",$F404="취소"),"",$E404-TODAY())</f>
        <v/>
      </c>
      <c r="I404" s="56" t="str">
        <f>IF(OR($C404="",$E404=""),"",IF($F404="완료",IF($G404="","",MAX(0,$G404-$E404)),IF($F404="취소","",MAX(0,TODAY()-$E404))))</f>
        <v/>
      </c>
      <c r="J404" s="50" t="n"/>
      <c r="K404" s="52" t="str">
        <f>IF($A404="","",$A404&amp;"|"&amp;$L404)</f>
        <v/>
      </c>
      <c r="L404" s="52" t="str">
        <f>IF($A404="","",COUNTIFS($A$3:$A404,$A404))</f>
        <v/>
      </c>
    </row>
    <row r="405" ht="15" customHeight="1" s="41">
      <c r="A405" s="50" t="n"/>
      <c r="B405" s="52" t="str">
        <f>IF($A405="","",IFERROR(INDEX(회의록!$C$3:$C$302,MATCH($A405,회의록!$A$3:$A$302,0)),"회의번호없음"))</f>
        <v/>
      </c>
      <c r="C405" s="50" t="n"/>
      <c r="D405" s="49" t="n"/>
      <c r="E405" s="53" t="n"/>
      <c r="F405" s="49" t="n"/>
      <c r="G405" s="53" t="n"/>
      <c r="H405" s="56" t="str">
        <f>IF(OR($C405="",$E405="",$F405="완료",$F405="취소"),"",$E405-TODAY())</f>
        <v/>
      </c>
      <c r="I405" s="56" t="str">
        <f>IF(OR($C405="",$E405=""),"",IF($F405="완료",IF($G405="","",MAX(0,$G405-$E405)),IF($F405="취소","",MAX(0,TODAY()-$E405))))</f>
        <v/>
      </c>
      <c r="J405" s="50" t="n"/>
      <c r="K405" s="52" t="str">
        <f>IF($A405="","",$A405&amp;"|"&amp;$L405)</f>
        <v/>
      </c>
      <c r="L405" s="52" t="str">
        <f>IF($A405="","",COUNTIFS($A$3:$A405,$A405))</f>
        <v/>
      </c>
    </row>
    <row r="406" ht="15" customHeight="1" s="41">
      <c r="A406" s="50" t="n"/>
      <c r="B406" s="52" t="str">
        <f>IF($A406="","",IFERROR(INDEX(회의록!$C$3:$C$302,MATCH($A406,회의록!$A$3:$A$302,0)),"회의번호없음"))</f>
        <v/>
      </c>
      <c r="C406" s="50" t="n"/>
      <c r="D406" s="49" t="n"/>
      <c r="E406" s="53" t="n"/>
      <c r="F406" s="49" t="n"/>
      <c r="G406" s="53" t="n"/>
      <c r="H406" s="56" t="str">
        <f>IF(OR($C406="",$E406="",$F406="완료",$F406="취소"),"",$E406-TODAY())</f>
        <v/>
      </c>
      <c r="I406" s="56" t="str">
        <f>IF(OR($C406="",$E406=""),"",IF($F406="완료",IF($G406="","",MAX(0,$G406-$E406)),IF($F406="취소","",MAX(0,TODAY()-$E406))))</f>
        <v/>
      </c>
      <c r="J406" s="50" t="n"/>
      <c r="K406" s="52" t="str">
        <f>IF($A406="","",$A406&amp;"|"&amp;$L406)</f>
        <v/>
      </c>
      <c r="L406" s="52" t="str">
        <f>IF($A406="","",COUNTIFS($A$3:$A406,$A406))</f>
        <v/>
      </c>
    </row>
    <row r="407" ht="15" customHeight="1" s="41">
      <c r="A407" s="50" t="n"/>
      <c r="B407" s="52" t="str">
        <f>IF($A407="","",IFERROR(INDEX(회의록!$C$3:$C$302,MATCH($A407,회의록!$A$3:$A$302,0)),"회의번호없음"))</f>
        <v/>
      </c>
      <c r="C407" s="50" t="n"/>
      <c r="D407" s="49" t="n"/>
      <c r="E407" s="53" t="n"/>
      <c r="F407" s="49" t="n"/>
      <c r="G407" s="53" t="n"/>
      <c r="H407" s="56" t="str">
        <f>IF(OR($C407="",$E407="",$F407="완료",$F407="취소"),"",$E407-TODAY())</f>
        <v/>
      </c>
      <c r="I407" s="56" t="str">
        <f>IF(OR($C407="",$E407=""),"",IF($F407="완료",IF($G407="","",MAX(0,$G407-$E407)),IF($F407="취소","",MAX(0,TODAY()-$E407))))</f>
        <v/>
      </c>
      <c r="J407" s="50" t="n"/>
      <c r="K407" s="52" t="str">
        <f>IF($A407="","",$A407&amp;"|"&amp;$L407)</f>
        <v/>
      </c>
      <c r="L407" s="52" t="str">
        <f>IF($A407="","",COUNTIFS($A$3:$A407,$A407))</f>
        <v/>
      </c>
    </row>
    <row r="408" ht="15" customHeight="1" s="41">
      <c r="A408" s="50" t="n"/>
      <c r="B408" s="52" t="str">
        <f>IF($A408="","",IFERROR(INDEX(회의록!$C$3:$C$302,MATCH($A408,회의록!$A$3:$A$302,0)),"회의번호없음"))</f>
        <v/>
      </c>
      <c r="C408" s="50" t="n"/>
      <c r="D408" s="49" t="n"/>
      <c r="E408" s="53" t="n"/>
      <c r="F408" s="49" t="n"/>
      <c r="G408" s="53" t="n"/>
      <c r="H408" s="56" t="str">
        <f>IF(OR($C408="",$E408="",$F408="완료",$F408="취소"),"",$E408-TODAY())</f>
        <v/>
      </c>
      <c r="I408" s="56" t="str">
        <f>IF(OR($C408="",$E408=""),"",IF($F408="완료",IF($G408="","",MAX(0,$G408-$E408)),IF($F408="취소","",MAX(0,TODAY()-$E408))))</f>
        <v/>
      </c>
      <c r="J408" s="50" t="n"/>
      <c r="K408" s="52" t="str">
        <f>IF($A408="","",$A408&amp;"|"&amp;$L408)</f>
        <v/>
      </c>
      <c r="L408" s="52" t="str">
        <f>IF($A408="","",COUNTIFS($A$3:$A408,$A408))</f>
        <v/>
      </c>
    </row>
    <row r="409" ht="15" customHeight="1" s="41">
      <c r="A409" s="50" t="n"/>
      <c r="B409" s="52" t="str">
        <f>IF($A409="","",IFERROR(INDEX(회의록!$C$3:$C$302,MATCH($A409,회의록!$A$3:$A$302,0)),"회의번호없음"))</f>
        <v/>
      </c>
      <c r="C409" s="50" t="n"/>
      <c r="D409" s="49" t="n"/>
      <c r="E409" s="53" t="n"/>
      <c r="F409" s="49" t="n"/>
      <c r="G409" s="53" t="n"/>
      <c r="H409" s="56" t="str">
        <f>IF(OR($C409="",$E409="",$F409="완료",$F409="취소"),"",$E409-TODAY())</f>
        <v/>
      </c>
      <c r="I409" s="56" t="str">
        <f>IF(OR($C409="",$E409=""),"",IF($F409="완료",IF($G409="","",MAX(0,$G409-$E409)),IF($F409="취소","",MAX(0,TODAY()-$E409))))</f>
        <v/>
      </c>
      <c r="J409" s="50" t="n"/>
      <c r="K409" s="52" t="str">
        <f>IF($A409="","",$A409&amp;"|"&amp;$L409)</f>
        <v/>
      </c>
      <c r="L409" s="52" t="str">
        <f>IF($A409="","",COUNTIFS($A$3:$A409,$A409))</f>
        <v/>
      </c>
    </row>
    <row r="410" ht="15" customHeight="1" s="41">
      <c r="A410" s="50" t="n"/>
      <c r="B410" s="52" t="str">
        <f>IF($A410="","",IFERROR(INDEX(회의록!$C$3:$C$302,MATCH($A410,회의록!$A$3:$A$302,0)),"회의번호없음"))</f>
        <v/>
      </c>
      <c r="C410" s="50" t="n"/>
      <c r="D410" s="49" t="n"/>
      <c r="E410" s="53" t="n"/>
      <c r="F410" s="49" t="n"/>
      <c r="G410" s="53" t="n"/>
      <c r="H410" s="56" t="str">
        <f>IF(OR($C410="",$E410="",$F410="완료",$F410="취소"),"",$E410-TODAY())</f>
        <v/>
      </c>
      <c r="I410" s="56" t="str">
        <f>IF(OR($C410="",$E410=""),"",IF($F410="완료",IF($G410="","",MAX(0,$G410-$E410)),IF($F410="취소","",MAX(0,TODAY()-$E410))))</f>
        <v/>
      </c>
      <c r="J410" s="50" t="n"/>
      <c r="K410" s="52" t="str">
        <f>IF($A410="","",$A410&amp;"|"&amp;$L410)</f>
        <v/>
      </c>
      <c r="L410" s="52" t="str">
        <f>IF($A410="","",COUNTIFS($A$3:$A410,$A410))</f>
        <v/>
      </c>
    </row>
    <row r="411" ht="15" customHeight="1" s="41">
      <c r="A411" s="50" t="n"/>
      <c r="B411" s="52" t="str">
        <f>IF($A411="","",IFERROR(INDEX(회의록!$C$3:$C$302,MATCH($A411,회의록!$A$3:$A$302,0)),"회의번호없음"))</f>
        <v/>
      </c>
      <c r="C411" s="50" t="n"/>
      <c r="D411" s="49" t="n"/>
      <c r="E411" s="53" t="n"/>
      <c r="F411" s="49" t="n"/>
      <c r="G411" s="53" t="n"/>
      <c r="H411" s="56" t="str">
        <f>IF(OR($C411="",$E411="",$F411="완료",$F411="취소"),"",$E411-TODAY())</f>
        <v/>
      </c>
      <c r="I411" s="56" t="str">
        <f>IF(OR($C411="",$E411=""),"",IF($F411="완료",IF($G411="","",MAX(0,$G411-$E411)),IF($F411="취소","",MAX(0,TODAY()-$E411))))</f>
        <v/>
      </c>
      <c r="J411" s="50" t="n"/>
      <c r="K411" s="52" t="str">
        <f>IF($A411="","",$A411&amp;"|"&amp;$L411)</f>
        <v/>
      </c>
      <c r="L411" s="52" t="str">
        <f>IF($A411="","",COUNTIFS($A$3:$A411,$A411))</f>
        <v/>
      </c>
    </row>
    <row r="412" ht="15" customHeight="1" s="41">
      <c r="A412" s="50" t="n"/>
      <c r="B412" s="52" t="str">
        <f>IF($A412="","",IFERROR(INDEX(회의록!$C$3:$C$302,MATCH($A412,회의록!$A$3:$A$302,0)),"회의번호없음"))</f>
        <v/>
      </c>
      <c r="C412" s="50" t="n"/>
      <c r="D412" s="49" t="n"/>
      <c r="E412" s="53" t="n"/>
      <c r="F412" s="49" t="n"/>
      <c r="G412" s="53" t="n"/>
      <c r="H412" s="56" t="str">
        <f>IF(OR($C412="",$E412="",$F412="완료",$F412="취소"),"",$E412-TODAY())</f>
        <v/>
      </c>
      <c r="I412" s="56" t="str">
        <f>IF(OR($C412="",$E412=""),"",IF($F412="완료",IF($G412="","",MAX(0,$G412-$E412)),IF($F412="취소","",MAX(0,TODAY()-$E412))))</f>
        <v/>
      </c>
      <c r="J412" s="50" t="n"/>
      <c r="K412" s="52" t="str">
        <f>IF($A412="","",$A412&amp;"|"&amp;$L412)</f>
        <v/>
      </c>
      <c r="L412" s="52" t="str">
        <f>IF($A412="","",COUNTIFS($A$3:$A412,$A412))</f>
        <v/>
      </c>
    </row>
    <row r="413" ht="15" customHeight="1" s="41">
      <c r="A413" s="50" t="n"/>
      <c r="B413" s="52" t="str">
        <f>IF($A413="","",IFERROR(INDEX(회의록!$C$3:$C$302,MATCH($A413,회의록!$A$3:$A$302,0)),"회의번호없음"))</f>
        <v/>
      </c>
      <c r="C413" s="50" t="n"/>
      <c r="D413" s="49" t="n"/>
      <c r="E413" s="53" t="n"/>
      <c r="F413" s="49" t="n"/>
      <c r="G413" s="53" t="n"/>
      <c r="H413" s="56" t="str">
        <f>IF(OR($C413="",$E413="",$F413="완료",$F413="취소"),"",$E413-TODAY())</f>
        <v/>
      </c>
      <c r="I413" s="56" t="str">
        <f>IF(OR($C413="",$E413=""),"",IF($F413="완료",IF($G413="","",MAX(0,$G413-$E413)),IF($F413="취소","",MAX(0,TODAY()-$E413))))</f>
        <v/>
      </c>
      <c r="J413" s="50" t="n"/>
      <c r="K413" s="52" t="str">
        <f>IF($A413="","",$A413&amp;"|"&amp;$L413)</f>
        <v/>
      </c>
      <c r="L413" s="52" t="str">
        <f>IF($A413="","",COUNTIFS($A$3:$A413,$A413))</f>
        <v/>
      </c>
    </row>
    <row r="414" ht="15" customHeight="1" s="41">
      <c r="A414" s="50" t="n"/>
      <c r="B414" s="52" t="str">
        <f>IF($A414="","",IFERROR(INDEX(회의록!$C$3:$C$302,MATCH($A414,회의록!$A$3:$A$302,0)),"회의번호없음"))</f>
        <v/>
      </c>
      <c r="C414" s="50" t="n"/>
      <c r="D414" s="49" t="n"/>
      <c r="E414" s="53" t="n"/>
      <c r="F414" s="49" t="n"/>
      <c r="G414" s="53" t="n"/>
      <c r="H414" s="56" t="str">
        <f>IF(OR($C414="",$E414="",$F414="완료",$F414="취소"),"",$E414-TODAY())</f>
        <v/>
      </c>
      <c r="I414" s="56" t="str">
        <f>IF(OR($C414="",$E414=""),"",IF($F414="완료",IF($G414="","",MAX(0,$G414-$E414)),IF($F414="취소","",MAX(0,TODAY()-$E414))))</f>
        <v/>
      </c>
      <c r="J414" s="50" t="n"/>
      <c r="K414" s="52" t="str">
        <f>IF($A414="","",$A414&amp;"|"&amp;$L414)</f>
        <v/>
      </c>
      <c r="L414" s="52" t="str">
        <f>IF($A414="","",COUNTIFS($A$3:$A414,$A414))</f>
        <v/>
      </c>
    </row>
    <row r="415" ht="15" customHeight="1" s="41">
      <c r="A415" s="50" t="n"/>
      <c r="B415" s="52" t="str">
        <f>IF($A415="","",IFERROR(INDEX(회의록!$C$3:$C$302,MATCH($A415,회의록!$A$3:$A$302,0)),"회의번호없음"))</f>
        <v/>
      </c>
      <c r="C415" s="50" t="n"/>
      <c r="D415" s="49" t="n"/>
      <c r="E415" s="53" t="n"/>
      <c r="F415" s="49" t="n"/>
      <c r="G415" s="53" t="n"/>
      <c r="H415" s="56" t="str">
        <f>IF(OR($C415="",$E415="",$F415="완료",$F415="취소"),"",$E415-TODAY())</f>
        <v/>
      </c>
      <c r="I415" s="56" t="str">
        <f>IF(OR($C415="",$E415=""),"",IF($F415="완료",IF($G415="","",MAX(0,$G415-$E415)),IF($F415="취소","",MAX(0,TODAY()-$E415))))</f>
        <v/>
      </c>
      <c r="J415" s="50" t="n"/>
      <c r="K415" s="52" t="str">
        <f>IF($A415="","",$A415&amp;"|"&amp;$L415)</f>
        <v/>
      </c>
      <c r="L415" s="52" t="str">
        <f>IF($A415="","",COUNTIFS($A$3:$A415,$A415))</f>
        <v/>
      </c>
    </row>
    <row r="416" ht="15" customHeight="1" s="41">
      <c r="A416" s="50" t="n"/>
      <c r="B416" s="52" t="str">
        <f>IF($A416="","",IFERROR(INDEX(회의록!$C$3:$C$302,MATCH($A416,회의록!$A$3:$A$302,0)),"회의번호없음"))</f>
        <v/>
      </c>
      <c r="C416" s="50" t="n"/>
      <c r="D416" s="49" t="n"/>
      <c r="E416" s="53" t="n"/>
      <c r="F416" s="49" t="n"/>
      <c r="G416" s="53" t="n"/>
      <c r="H416" s="56" t="str">
        <f>IF(OR($C416="",$E416="",$F416="완료",$F416="취소"),"",$E416-TODAY())</f>
        <v/>
      </c>
      <c r="I416" s="56" t="str">
        <f>IF(OR($C416="",$E416=""),"",IF($F416="완료",IF($G416="","",MAX(0,$G416-$E416)),IF($F416="취소","",MAX(0,TODAY()-$E416))))</f>
        <v/>
      </c>
      <c r="J416" s="50" t="n"/>
      <c r="K416" s="52" t="str">
        <f>IF($A416="","",$A416&amp;"|"&amp;$L416)</f>
        <v/>
      </c>
      <c r="L416" s="52" t="str">
        <f>IF($A416="","",COUNTIFS($A$3:$A416,$A416))</f>
        <v/>
      </c>
    </row>
    <row r="417" ht="15" customHeight="1" s="41">
      <c r="A417" s="50" t="n"/>
      <c r="B417" s="52" t="str">
        <f>IF($A417="","",IFERROR(INDEX(회의록!$C$3:$C$302,MATCH($A417,회의록!$A$3:$A$302,0)),"회의번호없음"))</f>
        <v/>
      </c>
      <c r="C417" s="50" t="n"/>
      <c r="D417" s="49" t="n"/>
      <c r="E417" s="53" t="n"/>
      <c r="F417" s="49" t="n"/>
      <c r="G417" s="53" t="n"/>
      <c r="H417" s="56" t="str">
        <f>IF(OR($C417="",$E417="",$F417="완료",$F417="취소"),"",$E417-TODAY())</f>
        <v/>
      </c>
      <c r="I417" s="56" t="str">
        <f>IF(OR($C417="",$E417=""),"",IF($F417="완료",IF($G417="","",MAX(0,$G417-$E417)),IF($F417="취소","",MAX(0,TODAY()-$E417))))</f>
        <v/>
      </c>
      <c r="J417" s="50" t="n"/>
      <c r="K417" s="52" t="str">
        <f>IF($A417="","",$A417&amp;"|"&amp;$L417)</f>
        <v/>
      </c>
      <c r="L417" s="52" t="str">
        <f>IF($A417="","",COUNTIFS($A$3:$A417,$A417))</f>
        <v/>
      </c>
    </row>
    <row r="418" ht="15" customHeight="1" s="41">
      <c r="A418" s="50" t="n"/>
      <c r="B418" s="52" t="str">
        <f>IF($A418="","",IFERROR(INDEX(회의록!$C$3:$C$302,MATCH($A418,회의록!$A$3:$A$302,0)),"회의번호없음"))</f>
        <v/>
      </c>
      <c r="C418" s="50" t="n"/>
      <c r="D418" s="49" t="n"/>
      <c r="E418" s="53" t="n"/>
      <c r="F418" s="49" t="n"/>
      <c r="G418" s="53" t="n"/>
      <c r="H418" s="56" t="str">
        <f>IF(OR($C418="",$E418="",$F418="완료",$F418="취소"),"",$E418-TODAY())</f>
        <v/>
      </c>
      <c r="I418" s="56" t="str">
        <f>IF(OR($C418="",$E418=""),"",IF($F418="완료",IF($G418="","",MAX(0,$G418-$E418)),IF($F418="취소","",MAX(0,TODAY()-$E418))))</f>
        <v/>
      </c>
      <c r="J418" s="50" t="n"/>
      <c r="K418" s="52" t="str">
        <f>IF($A418="","",$A418&amp;"|"&amp;$L418)</f>
        <v/>
      </c>
      <c r="L418" s="52" t="str">
        <f>IF($A418="","",COUNTIFS($A$3:$A418,$A418))</f>
        <v/>
      </c>
    </row>
    <row r="419" ht="15" customHeight="1" s="41">
      <c r="A419" s="50" t="n"/>
      <c r="B419" s="52" t="str">
        <f>IF($A419="","",IFERROR(INDEX(회의록!$C$3:$C$302,MATCH($A419,회의록!$A$3:$A$302,0)),"회의번호없음"))</f>
        <v/>
      </c>
      <c r="C419" s="50" t="n"/>
      <c r="D419" s="49" t="n"/>
      <c r="E419" s="53" t="n"/>
      <c r="F419" s="49" t="n"/>
      <c r="G419" s="53" t="n"/>
      <c r="H419" s="56" t="str">
        <f>IF(OR($C419="",$E419="",$F419="완료",$F419="취소"),"",$E419-TODAY())</f>
        <v/>
      </c>
      <c r="I419" s="56" t="str">
        <f>IF(OR($C419="",$E419=""),"",IF($F419="완료",IF($G419="","",MAX(0,$G419-$E419)),IF($F419="취소","",MAX(0,TODAY()-$E419))))</f>
        <v/>
      </c>
      <c r="J419" s="50" t="n"/>
      <c r="K419" s="52" t="str">
        <f>IF($A419="","",$A419&amp;"|"&amp;$L419)</f>
        <v/>
      </c>
      <c r="L419" s="52" t="str">
        <f>IF($A419="","",COUNTIFS($A$3:$A419,$A419))</f>
        <v/>
      </c>
    </row>
    <row r="420" ht="15" customHeight="1" s="41">
      <c r="A420" s="50" t="n"/>
      <c r="B420" s="52" t="str">
        <f>IF($A420="","",IFERROR(INDEX(회의록!$C$3:$C$302,MATCH($A420,회의록!$A$3:$A$302,0)),"회의번호없음"))</f>
        <v/>
      </c>
      <c r="C420" s="50" t="n"/>
      <c r="D420" s="49" t="n"/>
      <c r="E420" s="53" t="n"/>
      <c r="F420" s="49" t="n"/>
      <c r="G420" s="53" t="n"/>
      <c r="H420" s="56" t="str">
        <f>IF(OR($C420="",$E420="",$F420="완료",$F420="취소"),"",$E420-TODAY())</f>
        <v/>
      </c>
      <c r="I420" s="56" t="str">
        <f>IF(OR($C420="",$E420=""),"",IF($F420="완료",IF($G420="","",MAX(0,$G420-$E420)),IF($F420="취소","",MAX(0,TODAY()-$E420))))</f>
        <v/>
      </c>
      <c r="J420" s="50" t="n"/>
      <c r="K420" s="52" t="str">
        <f>IF($A420="","",$A420&amp;"|"&amp;$L420)</f>
        <v/>
      </c>
      <c r="L420" s="52" t="str">
        <f>IF($A420="","",COUNTIFS($A$3:$A420,$A420))</f>
        <v/>
      </c>
    </row>
    <row r="421" ht="15" customHeight="1" s="41">
      <c r="A421" s="50" t="n"/>
      <c r="B421" s="52" t="str">
        <f>IF($A421="","",IFERROR(INDEX(회의록!$C$3:$C$302,MATCH($A421,회의록!$A$3:$A$302,0)),"회의번호없음"))</f>
        <v/>
      </c>
      <c r="C421" s="50" t="n"/>
      <c r="D421" s="49" t="n"/>
      <c r="E421" s="53" t="n"/>
      <c r="F421" s="49" t="n"/>
      <c r="G421" s="53" t="n"/>
      <c r="H421" s="56" t="str">
        <f>IF(OR($C421="",$E421="",$F421="완료",$F421="취소"),"",$E421-TODAY())</f>
        <v/>
      </c>
      <c r="I421" s="56" t="str">
        <f>IF(OR($C421="",$E421=""),"",IF($F421="완료",IF($G421="","",MAX(0,$G421-$E421)),IF($F421="취소","",MAX(0,TODAY()-$E421))))</f>
        <v/>
      </c>
      <c r="J421" s="50" t="n"/>
      <c r="K421" s="52" t="str">
        <f>IF($A421="","",$A421&amp;"|"&amp;$L421)</f>
        <v/>
      </c>
      <c r="L421" s="52" t="str">
        <f>IF($A421="","",COUNTIFS($A$3:$A421,$A421))</f>
        <v/>
      </c>
    </row>
    <row r="422" ht="15" customHeight="1" s="41">
      <c r="A422" s="50" t="n"/>
      <c r="B422" s="52" t="str">
        <f>IF($A422="","",IFERROR(INDEX(회의록!$C$3:$C$302,MATCH($A422,회의록!$A$3:$A$302,0)),"회의번호없음"))</f>
        <v/>
      </c>
      <c r="C422" s="50" t="n"/>
      <c r="D422" s="49" t="n"/>
      <c r="E422" s="53" t="n"/>
      <c r="F422" s="49" t="n"/>
      <c r="G422" s="53" t="n"/>
      <c r="H422" s="56" t="str">
        <f>IF(OR($C422="",$E422="",$F422="완료",$F422="취소"),"",$E422-TODAY())</f>
        <v/>
      </c>
      <c r="I422" s="56" t="str">
        <f>IF(OR($C422="",$E422=""),"",IF($F422="완료",IF($G422="","",MAX(0,$G422-$E422)),IF($F422="취소","",MAX(0,TODAY()-$E422))))</f>
        <v/>
      </c>
      <c r="J422" s="50" t="n"/>
      <c r="K422" s="52" t="str">
        <f>IF($A422="","",$A422&amp;"|"&amp;$L422)</f>
        <v/>
      </c>
      <c r="L422" s="52" t="str">
        <f>IF($A422="","",COUNTIFS($A$3:$A422,$A422))</f>
        <v/>
      </c>
    </row>
    <row r="423" ht="15" customHeight="1" s="41">
      <c r="A423" s="50" t="n"/>
      <c r="B423" s="52" t="str">
        <f>IF($A423="","",IFERROR(INDEX(회의록!$C$3:$C$302,MATCH($A423,회의록!$A$3:$A$302,0)),"회의번호없음"))</f>
        <v/>
      </c>
      <c r="C423" s="50" t="n"/>
      <c r="D423" s="49" t="n"/>
      <c r="E423" s="53" t="n"/>
      <c r="F423" s="49" t="n"/>
      <c r="G423" s="53" t="n"/>
      <c r="H423" s="56" t="str">
        <f>IF(OR($C423="",$E423="",$F423="완료",$F423="취소"),"",$E423-TODAY())</f>
        <v/>
      </c>
      <c r="I423" s="56" t="str">
        <f>IF(OR($C423="",$E423=""),"",IF($F423="완료",IF($G423="","",MAX(0,$G423-$E423)),IF($F423="취소","",MAX(0,TODAY()-$E423))))</f>
        <v/>
      </c>
      <c r="J423" s="50" t="n"/>
      <c r="K423" s="52" t="str">
        <f>IF($A423="","",$A423&amp;"|"&amp;$L423)</f>
        <v/>
      </c>
      <c r="L423" s="52" t="str">
        <f>IF($A423="","",COUNTIFS($A$3:$A423,$A423))</f>
        <v/>
      </c>
    </row>
    <row r="424" ht="15" customHeight="1" s="41">
      <c r="A424" s="50" t="n"/>
      <c r="B424" s="52" t="str">
        <f>IF($A424="","",IFERROR(INDEX(회의록!$C$3:$C$302,MATCH($A424,회의록!$A$3:$A$302,0)),"회의번호없음"))</f>
        <v/>
      </c>
      <c r="C424" s="50" t="n"/>
      <c r="D424" s="49" t="n"/>
      <c r="E424" s="53" t="n"/>
      <c r="F424" s="49" t="n"/>
      <c r="G424" s="53" t="n"/>
      <c r="H424" s="56" t="str">
        <f>IF(OR($C424="",$E424="",$F424="완료",$F424="취소"),"",$E424-TODAY())</f>
        <v/>
      </c>
      <c r="I424" s="56" t="str">
        <f>IF(OR($C424="",$E424=""),"",IF($F424="완료",IF($G424="","",MAX(0,$G424-$E424)),IF($F424="취소","",MAX(0,TODAY()-$E424))))</f>
        <v/>
      </c>
      <c r="J424" s="50" t="n"/>
      <c r="K424" s="52" t="str">
        <f>IF($A424="","",$A424&amp;"|"&amp;$L424)</f>
        <v/>
      </c>
      <c r="L424" s="52" t="str">
        <f>IF($A424="","",COUNTIFS($A$3:$A424,$A424))</f>
        <v/>
      </c>
    </row>
    <row r="425" ht="15" customHeight="1" s="41">
      <c r="A425" s="50" t="n"/>
      <c r="B425" s="52" t="str">
        <f>IF($A425="","",IFERROR(INDEX(회의록!$C$3:$C$302,MATCH($A425,회의록!$A$3:$A$302,0)),"회의번호없음"))</f>
        <v/>
      </c>
      <c r="C425" s="50" t="n"/>
      <c r="D425" s="49" t="n"/>
      <c r="E425" s="53" t="n"/>
      <c r="F425" s="49" t="n"/>
      <c r="G425" s="53" t="n"/>
      <c r="H425" s="56" t="str">
        <f>IF(OR($C425="",$E425="",$F425="완료",$F425="취소"),"",$E425-TODAY())</f>
        <v/>
      </c>
      <c r="I425" s="56" t="str">
        <f>IF(OR($C425="",$E425=""),"",IF($F425="완료",IF($G425="","",MAX(0,$G425-$E425)),IF($F425="취소","",MAX(0,TODAY()-$E425))))</f>
        <v/>
      </c>
      <c r="J425" s="50" t="n"/>
      <c r="K425" s="52" t="str">
        <f>IF($A425="","",$A425&amp;"|"&amp;$L425)</f>
        <v/>
      </c>
      <c r="L425" s="52" t="str">
        <f>IF($A425="","",COUNTIFS($A$3:$A425,$A425))</f>
        <v/>
      </c>
    </row>
    <row r="426" ht="15" customHeight="1" s="41">
      <c r="A426" s="50" t="n"/>
      <c r="B426" s="52" t="str">
        <f>IF($A426="","",IFERROR(INDEX(회의록!$C$3:$C$302,MATCH($A426,회의록!$A$3:$A$302,0)),"회의번호없음"))</f>
        <v/>
      </c>
      <c r="C426" s="50" t="n"/>
      <c r="D426" s="49" t="n"/>
      <c r="E426" s="53" t="n"/>
      <c r="F426" s="49" t="n"/>
      <c r="G426" s="53" t="n"/>
      <c r="H426" s="56" t="str">
        <f>IF(OR($C426="",$E426="",$F426="완료",$F426="취소"),"",$E426-TODAY())</f>
        <v/>
      </c>
      <c r="I426" s="56" t="str">
        <f>IF(OR($C426="",$E426=""),"",IF($F426="완료",IF($G426="","",MAX(0,$G426-$E426)),IF($F426="취소","",MAX(0,TODAY()-$E426))))</f>
        <v/>
      </c>
      <c r="J426" s="50" t="n"/>
      <c r="K426" s="52" t="str">
        <f>IF($A426="","",$A426&amp;"|"&amp;$L426)</f>
        <v/>
      </c>
      <c r="L426" s="52" t="str">
        <f>IF($A426="","",COUNTIFS($A$3:$A426,$A426))</f>
        <v/>
      </c>
    </row>
    <row r="427" ht="15" customHeight="1" s="41">
      <c r="A427" s="50" t="n"/>
      <c r="B427" s="52" t="str">
        <f>IF($A427="","",IFERROR(INDEX(회의록!$C$3:$C$302,MATCH($A427,회의록!$A$3:$A$302,0)),"회의번호없음"))</f>
        <v/>
      </c>
      <c r="C427" s="50" t="n"/>
      <c r="D427" s="49" t="n"/>
      <c r="E427" s="53" t="n"/>
      <c r="F427" s="49" t="n"/>
      <c r="G427" s="53" t="n"/>
      <c r="H427" s="56" t="str">
        <f>IF(OR($C427="",$E427="",$F427="완료",$F427="취소"),"",$E427-TODAY())</f>
        <v/>
      </c>
      <c r="I427" s="56" t="str">
        <f>IF(OR($C427="",$E427=""),"",IF($F427="완료",IF($G427="","",MAX(0,$G427-$E427)),IF($F427="취소","",MAX(0,TODAY()-$E427))))</f>
        <v/>
      </c>
      <c r="J427" s="50" t="n"/>
      <c r="K427" s="52" t="str">
        <f>IF($A427="","",$A427&amp;"|"&amp;$L427)</f>
        <v/>
      </c>
      <c r="L427" s="52" t="str">
        <f>IF($A427="","",COUNTIFS($A$3:$A427,$A427))</f>
        <v/>
      </c>
    </row>
    <row r="428" ht="15" customHeight="1" s="41">
      <c r="A428" s="50" t="n"/>
      <c r="B428" s="52" t="str">
        <f>IF($A428="","",IFERROR(INDEX(회의록!$C$3:$C$302,MATCH($A428,회의록!$A$3:$A$302,0)),"회의번호없음"))</f>
        <v/>
      </c>
      <c r="C428" s="50" t="n"/>
      <c r="D428" s="49" t="n"/>
      <c r="E428" s="53" t="n"/>
      <c r="F428" s="49" t="n"/>
      <c r="G428" s="53" t="n"/>
      <c r="H428" s="56" t="str">
        <f>IF(OR($C428="",$E428="",$F428="완료",$F428="취소"),"",$E428-TODAY())</f>
        <v/>
      </c>
      <c r="I428" s="56" t="str">
        <f>IF(OR($C428="",$E428=""),"",IF($F428="완료",IF($G428="","",MAX(0,$G428-$E428)),IF($F428="취소","",MAX(0,TODAY()-$E428))))</f>
        <v/>
      </c>
      <c r="J428" s="50" t="n"/>
      <c r="K428" s="52" t="str">
        <f>IF($A428="","",$A428&amp;"|"&amp;$L428)</f>
        <v/>
      </c>
      <c r="L428" s="52" t="str">
        <f>IF($A428="","",COUNTIFS($A$3:$A428,$A428))</f>
        <v/>
      </c>
    </row>
    <row r="429" ht="15" customHeight="1" s="41">
      <c r="A429" s="50" t="n"/>
      <c r="B429" s="52" t="str">
        <f>IF($A429="","",IFERROR(INDEX(회의록!$C$3:$C$302,MATCH($A429,회의록!$A$3:$A$302,0)),"회의번호없음"))</f>
        <v/>
      </c>
      <c r="C429" s="50" t="n"/>
      <c r="D429" s="49" t="n"/>
      <c r="E429" s="53" t="n"/>
      <c r="F429" s="49" t="n"/>
      <c r="G429" s="53" t="n"/>
      <c r="H429" s="56" t="str">
        <f>IF(OR($C429="",$E429="",$F429="완료",$F429="취소"),"",$E429-TODAY())</f>
        <v/>
      </c>
      <c r="I429" s="56" t="str">
        <f>IF(OR($C429="",$E429=""),"",IF($F429="완료",IF($G429="","",MAX(0,$G429-$E429)),IF($F429="취소","",MAX(0,TODAY()-$E429))))</f>
        <v/>
      </c>
      <c r="J429" s="50" t="n"/>
      <c r="K429" s="52" t="str">
        <f>IF($A429="","",$A429&amp;"|"&amp;$L429)</f>
        <v/>
      </c>
      <c r="L429" s="52" t="str">
        <f>IF($A429="","",COUNTIFS($A$3:$A429,$A429))</f>
        <v/>
      </c>
    </row>
    <row r="430" ht="15" customHeight="1" s="41">
      <c r="A430" s="50" t="n"/>
      <c r="B430" s="52" t="str">
        <f>IF($A430="","",IFERROR(INDEX(회의록!$C$3:$C$302,MATCH($A430,회의록!$A$3:$A$302,0)),"회의번호없음"))</f>
        <v/>
      </c>
      <c r="C430" s="50" t="n"/>
      <c r="D430" s="49" t="n"/>
      <c r="E430" s="53" t="n"/>
      <c r="F430" s="49" t="n"/>
      <c r="G430" s="53" t="n"/>
      <c r="H430" s="56" t="str">
        <f>IF(OR($C430="",$E430="",$F430="완료",$F430="취소"),"",$E430-TODAY())</f>
        <v/>
      </c>
      <c r="I430" s="56" t="str">
        <f>IF(OR($C430="",$E430=""),"",IF($F430="완료",IF($G430="","",MAX(0,$G430-$E430)),IF($F430="취소","",MAX(0,TODAY()-$E430))))</f>
        <v/>
      </c>
      <c r="J430" s="50" t="n"/>
      <c r="K430" s="52" t="str">
        <f>IF($A430="","",$A430&amp;"|"&amp;$L430)</f>
        <v/>
      </c>
      <c r="L430" s="52" t="str">
        <f>IF($A430="","",COUNTIFS($A$3:$A430,$A430))</f>
        <v/>
      </c>
    </row>
    <row r="431" ht="15" customHeight="1" s="41">
      <c r="A431" s="50" t="n"/>
      <c r="B431" s="52" t="str">
        <f>IF($A431="","",IFERROR(INDEX(회의록!$C$3:$C$302,MATCH($A431,회의록!$A$3:$A$302,0)),"회의번호없음"))</f>
        <v/>
      </c>
      <c r="C431" s="50" t="n"/>
      <c r="D431" s="49" t="n"/>
      <c r="E431" s="53" t="n"/>
      <c r="F431" s="49" t="n"/>
      <c r="G431" s="53" t="n"/>
      <c r="H431" s="56" t="str">
        <f>IF(OR($C431="",$E431="",$F431="완료",$F431="취소"),"",$E431-TODAY())</f>
        <v/>
      </c>
      <c r="I431" s="56" t="str">
        <f>IF(OR($C431="",$E431=""),"",IF($F431="완료",IF($G431="","",MAX(0,$G431-$E431)),IF($F431="취소","",MAX(0,TODAY()-$E431))))</f>
        <v/>
      </c>
      <c r="J431" s="50" t="n"/>
      <c r="K431" s="52" t="str">
        <f>IF($A431="","",$A431&amp;"|"&amp;$L431)</f>
        <v/>
      </c>
      <c r="L431" s="52" t="str">
        <f>IF($A431="","",COUNTIFS($A$3:$A431,$A431))</f>
        <v/>
      </c>
    </row>
    <row r="432" ht="15" customHeight="1" s="41">
      <c r="A432" s="50" t="n"/>
      <c r="B432" s="52" t="str">
        <f>IF($A432="","",IFERROR(INDEX(회의록!$C$3:$C$302,MATCH($A432,회의록!$A$3:$A$302,0)),"회의번호없음"))</f>
        <v/>
      </c>
      <c r="C432" s="50" t="n"/>
      <c r="D432" s="49" t="n"/>
      <c r="E432" s="53" t="n"/>
      <c r="F432" s="49" t="n"/>
      <c r="G432" s="53" t="n"/>
      <c r="H432" s="56" t="str">
        <f>IF(OR($C432="",$E432="",$F432="완료",$F432="취소"),"",$E432-TODAY())</f>
        <v/>
      </c>
      <c r="I432" s="56" t="str">
        <f>IF(OR($C432="",$E432=""),"",IF($F432="완료",IF($G432="","",MAX(0,$G432-$E432)),IF($F432="취소","",MAX(0,TODAY()-$E432))))</f>
        <v/>
      </c>
      <c r="J432" s="50" t="n"/>
      <c r="K432" s="52" t="str">
        <f>IF($A432="","",$A432&amp;"|"&amp;$L432)</f>
        <v/>
      </c>
      <c r="L432" s="52" t="str">
        <f>IF($A432="","",COUNTIFS($A$3:$A432,$A432))</f>
        <v/>
      </c>
    </row>
    <row r="433" ht="15" customHeight="1" s="41">
      <c r="A433" s="50" t="n"/>
      <c r="B433" s="52" t="str">
        <f>IF($A433="","",IFERROR(INDEX(회의록!$C$3:$C$302,MATCH($A433,회의록!$A$3:$A$302,0)),"회의번호없음"))</f>
        <v/>
      </c>
      <c r="C433" s="50" t="n"/>
      <c r="D433" s="49" t="n"/>
      <c r="E433" s="53" t="n"/>
      <c r="F433" s="49" t="n"/>
      <c r="G433" s="53" t="n"/>
      <c r="H433" s="56" t="str">
        <f>IF(OR($C433="",$E433="",$F433="완료",$F433="취소"),"",$E433-TODAY())</f>
        <v/>
      </c>
      <c r="I433" s="56" t="str">
        <f>IF(OR($C433="",$E433=""),"",IF($F433="완료",IF($G433="","",MAX(0,$G433-$E433)),IF($F433="취소","",MAX(0,TODAY()-$E433))))</f>
        <v/>
      </c>
      <c r="J433" s="50" t="n"/>
      <c r="K433" s="52" t="str">
        <f>IF($A433="","",$A433&amp;"|"&amp;$L433)</f>
        <v/>
      </c>
      <c r="L433" s="52" t="str">
        <f>IF($A433="","",COUNTIFS($A$3:$A433,$A433))</f>
        <v/>
      </c>
    </row>
    <row r="434" ht="15" customHeight="1" s="41">
      <c r="A434" s="50" t="n"/>
      <c r="B434" s="52" t="str">
        <f>IF($A434="","",IFERROR(INDEX(회의록!$C$3:$C$302,MATCH($A434,회의록!$A$3:$A$302,0)),"회의번호없음"))</f>
        <v/>
      </c>
      <c r="C434" s="50" t="n"/>
      <c r="D434" s="49" t="n"/>
      <c r="E434" s="53" t="n"/>
      <c r="F434" s="49" t="n"/>
      <c r="G434" s="53" t="n"/>
      <c r="H434" s="56" t="str">
        <f>IF(OR($C434="",$E434="",$F434="완료",$F434="취소"),"",$E434-TODAY())</f>
        <v/>
      </c>
      <c r="I434" s="56" t="str">
        <f>IF(OR($C434="",$E434=""),"",IF($F434="완료",IF($G434="","",MAX(0,$G434-$E434)),IF($F434="취소","",MAX(0,TODAY()-$E434))))</f>
        <v/>
      </c>
      <c r="J434" s="50" t="n"/>
      <c r="K434" s="52" t="str">
        <f>IF($A434="","",$A434&amp;"|"&amp;$L434)</f>
        <v/>
      </c>
      <c r="L434" s="52" t="str">
        <f>IF($A434="","",COUNTIFS($A$3:$A434,$A434))</f>
        <v/>
      </c>
    </row>
    <row r="435" ht="15" customHeight="1" s="41">
      <c r="A435" s="50" t="n"/>
      <c r="B435" s="52" t="str">
        <f>IF($A435="","",IFERROR(INDEX(회의록!$C$3:$C$302,MATCH($A435,회의록!$A$3:$A$302,0)),"회의번호없음"))</f>
        <v/>
      </c>
      <c r="C435" s="50" t="n"/>
      <c r="D435" s="49" t="n"/>
      <c r="E435" s="53" t="n"/>
      <c r="F435" s="49" t="n"/>
      <c r="G435" s="53" t="n"/>
      <c r="H435" s="56" t="str">
        <f>IF(OR($C435="",$E435="",$F435="완료",$F435="취소"),"",$E435-TODAY())</f>
        <v/>
      </c>
      <c r="I435" s="56" t="str">
        <f>IF(OR($C435="",$E435=""),"",IF($F435="완료",IF($G435="","",MAX(0,$G435-$E435)),IF($F435="취소","",MAX(0,TODAY()-$E435))))</f>
        <v/>
      </c>
      <c r="J435" s="50" t="n"/>
      <c r="K435" s="52" t="str">
        <f>IF($A435="","",$A435&amp;"|"&amp;$L435)</f>
        <v/>
      </c>
      <c r="L435" s="52" t="str">
        <f>IF($A435="","",COUNTIFS($A$3:$A435,$A435))</f>
        <v/>
      </c>
    </row>
    <row r="436" ht="15" customHeight="1" s="41">
      <c r="A436" s="50" t="n"/>
      <c r="B436" s="52" t="str">
        <f>IF($A436="","",IFERROR(INDEX(회의록!$C$3:$C$302,MATCH($A436,회의록!$A$3:$A$302,0)),"회의번호없음"))</f>
        <v/>
      </c>
      <c r="C436" s="50" t="n"/>
      <c r="D436" s="49" t="n"/>
      <c r="E436" s="53" t="n"/>
      <c r="F436" s="49" t="n"/>
      <c r="G436" s="53" t="n"/>
      <c r="H436" s="56" t="str">
        <f>IF(OR($C436="",$E436="",$F436="완료",$F436="취소"),"",$E436-TODAY())</f>
        <v/>
      </c>
      <c r="I436" s="56" t="str">
        <f>IF(OR($C436="",$E436=""),"",IF($F436="완료",IF($G436="","",MAX(0,$G436-$E436)),IF($F436="취소","",MAX(0,TODAY()-$E436))))</f>
        <v/>
      </c>
      <c r="J436" s="50" t="n"/>
      <c r="K436" s="52" t="str">
        <f>IF($A436="","",$A436&amp;"|"&amp;$L436)</f>
        <v/>
      </c>
      <c r="L436" s="52" t="str">
        <f>IF($A436="","",COUNTIFS($A$3:$A436,$A436))</f>
        <v/>
      </c>
    </row>
    <row r="437" ht="15" customHeight="1" s="41">
      <c r="A437" s="50" t="n"/>
      <c r="B437" s="52" t="str">
        <f>IF($A437="","",IFERROR(INDEX(회의록!$C$3:$C$302,MATCH($A437,회의록!$A$3:$A$302,0)),"회의번호없음"))</f>
        <v/>
      </c>
      <c r="C437" s="50" t="n"/>
      <c r="D437" s="49" t="n"/>
      <c r="E437" s="53" t="n"/>
      <c r="F437" s="49" t="n"/>
      <c r="G437" s="53" t="n"/>
      <c r="H437" s="56" t="str">
        <f>IF(OR($C437="",$E437="",$F437="완료",$F437="취소"),"",$E437-TODAY())</f>
        <v/>
      </c>
      <c r="I437" s="56" t="str">
        <f>IF(OR($C437="",$E437=""),"",IF($F437="완료",IF($G437="","",MAX(0,$G437-$E437)),IF($F437="취소","",MAX(0,TODAY()-$E437))))</f>
        <v/>
      </c>
      <c r="J437" s="50" t="n"/>
      <c r="K437" s="52" t="str">
        <f>IF($A437="","",$A437&amp;"|"&amp;$L437)</f>
        <v/>
      </c>
      <c r="L437" s="52" t="str">
        <f>IF($A437="","",COUNTIFS($A$3:$A437,$A437))</f>
        <v/>
      </c>
    </row>
    <row r="438" ht="15" customHeight="1" s="41">
      <c r="A438" s="50" t="n"/>
      <c r="B438" s="52" t="str">
        <f>IF($A438="","",IFERROR(INDEX(회의록!$C$3:$C$302,MATCH($A438,회의록!$A$3:$A$302,0)),"회의번호없음"))</f>
        <v/>
      </c>
      <c r="C438" s="50" t="n"/>
      <c r="D438" s="49" t="n"/>
      <c r="E438" s="53" t="n"/>
      <c r="F438" s="49" t="n"/>
      <c r="G438" s="53" t="n"/>
      <c r="H438" s="56" t="str">
        <f>IF(OR($C438="",$E438="",$F438="완료",$F438="취소"),"",$E438-TODAY())</f>
        <v/>
      </c>
      <c r="I438" s="56" t="str">
        <f>IF(OR($C438="",$E438=""),"",IF($F438="완료",IF($G438="","",MAX(0,$G438-$E438)),IF($F438="취소","",MAX(0,TODAY()-$E438))))</f>
        <v/>
      </c>
      <c r="J438" s="50" t="n"/>
      <c r="K438" s="52" t="str">
        <f>IF($A438="","",$A438&amp;"|"&amp;$L438)</f>
        <v/>
      </c>
      <c r="L438" s="52" t="str">
        <f>IF($A438="","",COUNTIFS($A$3:$A438,$A438))</f>
        <v/>
      </c>
    </row>
    <row r="439" ht="15" customHeight="1" s="41">
      <c r="A439" s="50" t="n"/>
      <c r="B439" s="52" t="str">
        <f>IF($A439="","",IFERROR(INDEX(회의록!$C$3:$C$302,MATCH($A439,회의록!$A$3:$A$302,0)),"회의번호없음"))</f>
        <v/>
      </c>
      <c r="C439" s="50" t="n"/>
      <c r="D439" s="49" t="n"/>
      <c r="E439" s="53" t="n"/>
      <c r="F439" s="49" t="n"/>
      <c r="G439" s="53" t="n"/>
      <c r="H439" s="56" t="str">
        <f>IF(OR($C439="",$E439="",$F439="완료",$F439="취소"),"",$E439-TODAY())</f>
        <v/>
      </c>
      <c r="I439" s="56" t="str">
        <f>IF(OR($C439="",$E439=""),"",IF($F439="완료",IF($G439="","",MAX(0,$G439-$E439)),IF($F439="취소","",MAX(0,TODAY()-$E439))))</f>
        <v/>
      </c>
      <c r="J439" s="50" t="n"/>
      <c r="K439" s="52" t="str">
        <f>IF($A439="","",$A439&amp;"|"&amp;$L439)</f>
        <v/>
      </c>
      <c r="L439" s="52" t="str">
        <f>IF($A439="","",COUNTIFS($A$3:$A439,$A439))</f>
        <v/>
      </c>
    </row>
    <row r="440" ht="15" customHeight="1" s="41">
      <c r="A440" s="50" t="n"/>
      <c r="B440" s="52" t="str">
        <f>IF($A440="","",IFERROR(INDEX(회의록!$C$3:$C$302,MATCH($A440,회의록!$A$3:$A$302,0)),"회의번호없음"))</f>
        <v/>
      </c>
      <c r="C440" s="50" t="n"/>
      <c r="D440" s="49" t="n"/>
      <c r="E440" s="53" t="n"/>
      <c r="F440" s="49" t="n"/>
      <c r="G440" s="53" t="n"/>
      <c r="H440" s="56" t="str">
        <f>IF(OR($C440="",$E440="",$F440="완료",$F440="취소"),"",$E440-TODAY())</f>
        <v/>
      </c>
      <c r="I440" s="56" t="str">
        <f>IF(OR($C440="",$E440=""),"",IF($F440="완료",IF($G440="","",MAX(0,$G440-$E440)),IF($F440="취소","",MAX(0,TODAY()-$E440))))</f>
        <v/>
      </c>
      <c r="J440" s="50" t="n"/>
      <c r="K440" s="52" t="str">
        <f>IF($A440="","",$A440&amp;"|"&amp;$L440)</f>
        <v/>
      </c>
      <c r="L440" s="52" t="str">
        <f>IF($A440="","",COUNTIFS($A$3:$A440,$A440))</f>
        <v/>
      </c>
    </row>
    <row r="441" ht="15" customHeight="1" s="41">
      <c r="A441" s="50" t="n"/>
      <c r="B441" s="52" t="str">
        <f>IF($A441="","",IFERROR(INDEX(회의록!$C$3:$C$302,MATCH($A441,회의록!$A$3:$A$302,0)),"회의번호없음"))</f>
        <v/>
      </c>
      <c r="C441" s="50" t="n"/>
      <c r="D441" s="49" t="n"/>
      <c r="E441" s="53" t="n"/>
      <c r="F441" s="49" t="n"/>
      <c r="G441" s="53" t="n"/>
      <c r="H441" s="56" t="str">
        <f>IF(OR($C441="",$E441="",$F441="완료",$F441="취소"),"",$E441-TODAY())</f>
        <v/>
      </c>
      <c r="I441" s="56" t="str">
        <f>IF(OR($C441="",$E441=""),"",IF($F441="완료",IF($G441="","",MAX(0,$G441-$E441)),IF($F441="취소","",MAX(0,TODAY()-$E441))))</f>
        <v/>
      </c>
      <c r="J441" s="50" t="n"/>
      <c r="K441" s="52" t="str">
        <f>IF($A441="","",$A441&amp;"|"&amp;$L441)</f>
        <v/>
      </c>
      <c r="L441" s="52" t="str">
        <f>IF($A441="","",COUNTIFS($A$3:$A441,$A441))</f>
        <v/>
      </c>
    </row>
    <row r="442" ht="15" customHeight="1" s="41">
      <c r="A442" s="50" t="n"/>
      <c r="B442" s="52" t="str">
        <f>IF($A442="","",IFERROR(INDEX(회의록!$C$3:$C$302,MATCH($A442,회의록!$A$3:$A$302,0)),"회의번호없음"))</f>
        <v/>
      </c>
      <c r="C442" s="50" t="n"/>
      <c r="D442" s="49" t="n"/>
      <c r="E442" s="53" t="n"/>
      <c r="F442" s="49" t="n"/>
      <c r="G442" s="53" t="n"/>
      <c r="H442" s="56" t="str">
        <f>IF(OR($C442="",$E442="",$F442="완료",$F442="취소"),"",$E442-TODAY())</f>
        <v/>
      </c>
      <c r="I442" s="56" t="str">
        <f>IF(OR($C442="",$E442=""),"",IF($F442="완료",IF($G442="","",MAX(0,$G442-$E442)),IF($F442="취소","",MAX(0,TODAY()-$E442))))</f>
        <v/>
      </c>
      <c r="J442" s="50" t="n"/>
      <c r="K442" s="52" t="str">
        <f>IF($A442="","",$A442&amp;"|"&amp;$L442)</f>
        <v/>
      </c>
      <c r="L442" s="52" t="str">
        <f>IF($A442="","",COUNTIFS($A$3:$A442,$A442))</f>
        <v/>
      </c>
    </row>
    <row r="443" ht="15" customHeight="1" s="41">
      <c r="A443" s="50" t="n"/>
      <c r="B443" s="52" t="str">
        <f>IF($A443="","",IFERROR(INDEX(회의록!$C$3:$C$302,MATCH($A443,회의록!$A$3:$A$302,0)),"회의번호없음"))</f>
        <v/>
      </c>
      <c r="C443" s="50" t="n"/>
      <c r="D443" s="49" t="n"/>
      <c r="E443" s="53" t="n"/>
      <c r="F443" s="49" t="n"/>
      <c r="G443" s="53" t="n"/>
      <c r="H443" s="56" t="str">
        <f>IF(OR($C443="",$E443="",$F443="완료",$F443="취소"),"",$E443-TODAY())</f>
        <v/>
      </c>
      <c r="I443" s="56" t="str">
        <f>IF(OR($C443="",$E443=""),"",IF($F443="완료",IF($G443="","",MAX(0,$G443-$E443)),IF($F443="취소","",MAX(0,TODAY()-$E443))))</f>
        <v/>
      </c>
      <c r="J443" s="50" t="n"/>
      <c r="K443" s="52" t="str">
        <f>IF($A443="","",$A443&amp;"|"&amp;$L443)</f>
        <v/>
      </c>
      <c r="L443" s="52" t="str">
        <f>IF($A443="","",COUNTIFS($A$3:$A443,$A443))</f>
        <v/>
      </c>
    </row>
    <row r="444" ht="15" customHeight="1" s="41">
      <c r="A444" s="50" t="n"/>
      <c r="B444" s="52" t="str">
        <f>IF($A444="","",IFERROR(INDEX(회의록!$C$3:$C$302,MATCH($A444,회의록!$A$3:$A$302,0)),"회의번호없음"))</f>
        <v/>
      </c>
      <c r="C444" s="50" t="n"/>
      <c r="D444" s="49" t="n"/>
      <c r="E444" s="53" t="n"/>
      <c r="F444" s="49" t="n"/>
      <c r="G444" s="53" t="n"/>
      <c r="H444" s="56" t="str">
        <f>IF(OR($C444="",$E444="",$F444="완료",$F444="취소"),"",$E444-TODAY())</f>
        <v/>
      </c>
      <c r="I444" s="56" t="str">
        <f>IF(OR($C444="",$E444=""),"",IF($F444="완료",IF($G444="","",MAX(0,$G444-$E444)),IF($F444="취소","",MAX(0,TODAY()-$E444))))</f>
        <v/>
      </c>
      <c r="J444" s="50" t="n"/>
      <c r="K444" s="52" t="str">
        <f>IF($A444="","",$A444&amp;"|"&amp;$L444)</f>
        <v/>
      </c>
      <c r="L444" s="52" t="str">
        <f>IF($A444="","",COUNTIFS($A$3:$A444,$A444))</f>
        <v/>
      </c>
    </row>
    <row r="445" ht="15" customHeight="1" s="41">
      <c r="A445" s="50" t="n"/>
      <c r="B445" s="52" t="str">
        <f>IF($A445="","",IFERROR(INDEX(회의록!$C$3:$C$302,MATCH($A445,회의록!$A$3:$A$302,0)),"회의번호없음"))</f>
        <v/>
      </c>
      <c r="C445" s="50" t="n"/>
      <c r="D445" s="49" t="n"/>
      <c r="E445" s="53" t="n"/>
      <c r="F445" s="49" t="n"/>
      <c r="G445" s="53" t="n"/>
      <c r="H445" s="56" t="str">
        <f>IF(OR($C445="",$E445="",$F445="완료",$F445="취소"),"",$E445-TODAY())</f>
        <v/>
      </c>
      <c r="I445" s="56" t="str">
        <f>IF(OR($C445="",$E445=""),"",IF($F445="완료",IF($G445="","",MAX(0,$G445-$E445)),IF($F445="취소","",MAX(0,TODAY()-$E445))))</f>
        <v/>
      </c>
      <c r="J445" s="50" t="n"/>
      <c r="K445" s="52" t="str">
        <f>IF($A445="","",$A445&amp;"|"&amp;$L445)</f>
        <v/>
      </c>
      <c r="L445" s="52" t="str">
        <f>IF($A445="","",COUNTIFS($A$3:$A445,$A445))</f>
        <v/>
      </c>
    </row>
    <row r="446" ht="15" customHeight="1" s="41">
      <c r="A446" s="50" t="n"/>
      <c r="B446" s="52" t="str">
        <f>IF($A446="","",IFERROR(INDEX(회의록!$C$3:$C$302,MATCH($A446,회의록!$A$3:$A$302,0)),"회의번호없음"))</f>
        <v/>
      </c>
      <c r="C446" s="50" t="n"/>
      <c r="D446" s="49" t="n"/>
      <c r="E446" s="53" t="n"/>
      <c r="F446" s="49" t="n"/>
      <c r="G446" s="53" t="n"/>
      <c r="H446" s="56" t="str">
        <f>IF(OR($C446="",$E446="",$F446="완료",$F446="취소"),"",$E446-TODAY())</f>
        <v/>
      </c>
      <c r="I446" s="56" t="str">
        <f>IF(OR($C446="",$E446=""),"",IF($F446="완료",IF($G446="","",MAX(0,$G446-$E446)),IF($F446="취소","",MAX(0,TODAY()-$E446))))</f>
        <v/>
      </c>
      <c r="J446" s="50" t="n"/>
      <c r="K446" s="52" t="str">
        <f>IF($A446="","",$A446&amp;"|"&amp;$L446)</f>
        <v/>
      </c>
      <c r="L446" s="52" t="str">
        <f>IF($A446="","",COUNTIFS($A$3:$A446,$A446))</f>
        <v/>
      </c>
    </row>
    <row r="447" ht="15" customHeight="1" s="41">
      <c r="A447" s="50" t="n"/>
      <c r="B447" s="52" t="str">
        <f>IF($A447="","",IFERROR(INDEX(회의록!$C$3:$C$302,MATCH($A447,회의록!$A$3:$A$302,0)),"회의번호없음"))</f>
        <v/>
      </c>
      <c r="C447" s="50" t="n"/>
      <c r="D447" s="49" t="n"/>
      <c r="E447" s="53" t="n"/>
      <c r="F447" s="49" t="n"/>
      <c r="G447" s="53" t="n"/>
      <c r="H447" s="56" t="str">
        <f>IF(OR($C447="",$E447="",$F447="완료",$F447="취소"),"",$E447-TODAY())</f>
        <v/>
      </c>
      <c r="I447" s="56" t="str">
        <f>IF(OR($C447="",$E447=""),"",IF($F447="완료",IF($G447="","",MAX(0,$G447-$E447)),IF($F447="취소","",MAX(0,TODAY()-$E447))))</f>
        <v/>
      </c>
      <c r="J447" s="50" t="n"/>
      <c r="K447" s="52" t="str">
        <f>IF($A447="","",$A447&amp;"|"&amp;$L447)</f>
        <v/>
      </c>
      <c r="L447" s="52" t="str">
        <f>IF($A447="","",COUNTIFS($A$3:$A447,$A447))</f>
        <v/>
      </c>
    </row>
    <row r="448" ht="15" customHeight="1" s="41">
      <c r="A448" s="50" t="n"/>
      <c r="B448" s="52" t="str">
        <f>IF($A448="","",IFERROR(INDEX(회의록!$C$3:$C$302,MATCH($A448,회의록!$A$3:$A$302,0)),"회의번호없음"))</f>
        <v/>
      </c>
      <c r="C448" s="50" t="n"/>
      <c r="D448" s="49" t="n"/>
      <c r="E448" s="53" t="n"/>
      <c r="F448" s="49" t="n"/>
      <c r="G448" s="53" t="n"/>
      <c r="H448" s="56" t="str">
        <f>IF(OR($C448="",$E448="",$F448="완료",$F448="취소"),"",$E448-TODAY())</f>
        <v/>
      </c>
      <c r="I448" s="56" t="str">
        <f>IF(OR($C448="",$E448=""),"",IF($F448="완료",IF($G448="","",MAX(0,$G448-$E448)),IF($F448="취소","",MAX(0,TODAY()-$E448))))</f>
        <v/>
      </c>
      <c r="J448" s="50" t="n"/>
      <c r="K448" s="52" t="str">
        <f>IF($A448="","",$A448&amp;"|"&amp;$L448)</f>
        <v/>
      </c>
      <c r="L448" s="52" t="str">
        <f>IF($A448="","",COUNTIFS($A$3:$A448,$A448))</f>
        <v/>
      </c>
    </row>
    <row r="449" ht="15" customHeight="1" s="41">
      <c r="A449" s="50" t="n"/>
      <c r="B449" s="52" t="str">
        <f>IF($A449="","",IFERROR(INDEX(회의록!$C$3:$C$302,MATCH($A449,회의록!$A$3:$A$302,0)),"회의번호없음"))</f>
        <v/>
      </c>
      <c r="C449" s="50" t="n"/>
      <c r="D449" s="49" t="n"/>
      <c r="E449" s="53" t="n"/>
      <c r="F449" s="49" t="n"/>
      <c r="G449" s="53" t="n"/>
      <c r="H449" s="56" t="str">
        <f>IF(OR($C449="",$E449="",$F449="완료",$F449="취소"),"",$E449-TODAY())</f>
        <v/>
      </c>
      <c r="I449" s="56" t="str">
        <f>IF(OR($C449="",$E449=""),"",IF($F449="완료",IF($G449="","",MAX(0,$G449-$E449)),IF($F449="취소","",MAX(0,TODAY()-$E449))))</f>
        <v/>
      </c>
      <c r="J449" s="50" t="n"/>
      <c r="K449" s="52" t="str">
        <f>IF($A449="","",$A449&amp;"|"&amp;$L449)</f>
        <v/>
      </c>
      <c r="L449" s="52" t="str">
        <f>IF($A449="","",COUNTIFS($A$3:$A449,$A449))</f>
        <v/>
      </c>
    </row>
    <row r="450" ht="15" customHeight="1" s="41">
      <c r="A450" s="50" t="n"/>
      <c r="B450" s="52" t="str">
        <f>IF($A450="","",IFERROR(INDEX(회의록!$C$3:$C$302,MATCH($A450,회의록!$A$3:$A$302,0)),"회의번호없음"))</f>
        <v/>
      </c>
      <c r="C450" s="50" t="n"/>
      <c r="D450" s="49" t="n"/>
      <c r="E450" s="53" t="n"/>
      <c r="F450" s="49" t="n"/>
      <c r="G450" s="53" t="n"/>
      <c r="H450" s="56" t="str">
        <f>IF(OR($C450="",$E450="",$F450="완료",$F450="취소"),"",$E450-TODAY())</f>
        <v/>
      </c>
      <c r="I450" s="56" t="str">
        <f>IF(OR($C450="",$E450=""),"",IF($F450="완료",IF($G450="","",MAX(0,$G450-$E450)),IF($F450="취소","",MAX(0,TODAY()-$E450))))</f>
        <v/>
      </c>
      <c r="J450" s="50" t="n"/>
      <c r="K450" s="52" t="str">
        <f>IF($A450="","",$A450&amp;"|"&amp;$L450)</f>
        <v/>
      </c>
      <c r="L450" s="52" t="str">
        <f>IF($A450="","",COUNTIFS($A$3:$A450,$A450))</f>
        <v/>
      </c>
    </row>
    <row r="451" ht="15" customHeight="1" s="41">
      <c r="A451" s="50" t="n"/>
      <c r="B451" s="52" t="str">
        <f>IF($A451="","",IFERROR(INDEX(회의록!$C$3:$C$302,MATCH($A451,회의록!$A$3:$A$302,0)),"회의번호없음"))</f>
        <v/>
      </c>
      <c r="C451" s="50" t="n"/>
      <c r="D451" s="49" t="n"/>
      <c r="E451" s="53" t="n"/>
      <c r="F451" s="49" t="n"/>
      <c r="G451" s="53" t="n"/>
      <c r="H451" s="56" t="str">
        <f>IF(OR($C451="",$E451="",$F451="완료",$F451="취소"),"",$E451-TODAY())</f>
        <v/>
      </c>
      <c r="I451" s="56" t="str">
        <f>IF(OR($C451="",$E451=""),"",IF($F451="완료",IF($G451="","",MAX(0,$G451-$E451)),IF($F451="취소","",MAX(0,TODAY()-$E451))))</f>
        <v/>
      </c>
      <c r="J451" s="50" t="n"/>
      <c r="K451" s="52" t="str">
        <f>IF($A451="","",$A451&amp;"|"&amp;$L451)</f>
        <v/>
      </c>
      <c r="L451" s="52" t="str">
        <f>IF($A451="","",COUNTIFS($A$3:$A451,$A451))</f>
        <v/>
      </c>
    </row>
    <row r="452" ht="15" customHeight="1" s="41">
      <c r="A452" s="50" t="n"/>
      <c r="B452" s="52" t="str">
        <f>IF($A452="","",IFERROR(INDEX(회의록!$C$3:$C$302,MATCH($A452,회의록!$A$3:$A$302,0)),"회의번호없음"))</f>
        <v/>
      </c>
      <c r="C452" s="50" t="n"/>
      <c r="D452" s="49" t="n"/>
      <c r="E452" s="53" t="n"/>
      <c r="F452" s="49" t="n"/>
      <c r="G452" s="53" t="n"/>
      <c r="H452" s="56" t="str">
        <f>IF(OR($C452="",$E452="",$F452="완료",$F452="취소"),"",$E452-TODAY())</f>
        <v/>
      </c>
      <c r="I452" s="56" t="str">
        <f>IF(OR($C452="",$E452=""),"",IF($F452="완료",IF($G452="","",MAX(0,$G452-$E452)),IF($F452="취소","",MAX(0,TODAY()-$E452))))</f>
        <v/>
      </c>
      <c r="J452" s="50" t="n"/>
      <c r="K452" s="52" t="str">
        <f>IF($A452="","",$A452&amp;"|"&amp;$L452)</f>
        <v/>
      </c>
      <c r="L452" s="52" t="str">
        <f>IF($A452="","",COUNTIFS($A$3:$A452,$A452))</f>
        <v/>
      </c>
    </row>
    <row r="453" ht="15" customHeight="1" s="41">
      <c r="A453" s="50" t="n"/>
      <c r="B453" s="52" t="str">
        <f>IF($A453="","",IFERROR(INDEX(회의록!$C$3:$C$302,MATCH($A453,회의록!$A$3:$A$302,0)),"회의번호없음"))</f>
        <v/>
      </c>
      <c r="C453" s="50" t="n"/>
      <c r="D453" s="49" t="n"/>
      <c r="E453" s="53" t="n"/>
      <c r="F453" s="49" t="n"/>
      <c r="G453" s="53" t="n"/>
      <c r="H453" s="56" t="str">
        <f>IF(OR($C453="",$E453="",$F453="완료",$F453="취소"),"",$E453-TODAY())</f>
        <v/>
      </c>
      <c r="I453" s="56" t="str">
        <f>IF(OR($C453="",$E453=""),"",IF($F453="완료",IF($G453="","",MAX(0,$G453-$E453)),IF($F453="취소","",MAX(0,TODAY()-$E453))))</f>
        <v/>
      </c>
      <c r="J453" s="50" t="n"/>
      <c r="K453" s="52" t="str">
        <f>IF($A453="","",$A453&amp;"|"&amp;$L453)</f>
        <v/>
      </c>
      <c r="L453" s="52" t="str">
        <f>IF($A453="","",COUNTIFS($A$3:$A453,$A453))</f>
        <v/>
      </c>
    </row>
    <row r="454" ht="15" customHeight="1" s="41">
      <c r="A454" s="50" t="n"/>
      <c r="B454" s="52" t="str">
        <f>IF($A454="","",IFERROR(INDEX(회의록!$C$3:$C$302,MATCH($A454,회의록!$A$3:$A$302,0)),"회의번호없음"))</f>
        <v/>
      </c>
      <c r="C454" s="50" t="n"/>
      <c r="D454" s="49" t="n"/>
      <c r="E454" s="53" t="n"/>
      <c r="F454" s="49" t="n"/>
      <c r="G454" s="53" t="n"/>
      <c r="H454" s="56" t="str">
        <f>IF(OR($C454="",$E454="",$F454="완료",$F454="취소"),"",$E454-TODAY())</f>
        <v/>
      </c>
      <c r="I454" s="56" t="str">
        <f>IF(OR($C454="",$E454=""),"",IF($F454="완료",IF($G454="","",MAX(0,$G454-$E454)),IF($F454="취소","",MAX(0,TODAY()-$E454))))</f>
        <v/>
      </c>
      <c r="J454" s="50" t="n"/>
      <c r="K454" s="52" t="str">
        <f>IF($A454="","",$A454&amp;"|"&amp;$L454)</f>
        <v/>
      </c>
      <c r="L454" s="52" t="str">
        <f>IF($A454="","",COUNTIFS($A$3:$A454,$A454))</f>
        <v/>
      </c>
    </row>
    <row r="455" ht="15" customHeight="1" s="41">
      <c r="A455" s="50" t="n"/>
      <c r="B455" s="52" t="str">
        <f>IF($A455="","",IFERROR(INDEX(회의록!$C$3:$C$302,MATCH($A455,회의록!$A$3:$A$302,0)),"회의번호없음"))</f>
        <v/>
      </c>
      <c r="C455" s="50" t="n"/>
      <c r="D455" s="49" t="n"/>
      <c r="E455" s="53" t="n"/>
      <c r="F455" s="49" t="n"/>
      <c r="G455" s="53" t="n"/>
      <c r="H455" s="56" t="str">
        <f>IF(OR($C455="",$E455="",$F455="완료",$F455="취소"),"",$E455-TODAY())</f>
        <v/>
      </c>
      <c r="I455" s="56" t="str">
        <f>IF(OR($C455="",$E455=""),"",IF($F455="완료",IF($G455="","",MAX(0,$G455-$E455)),IF($F455="취소","",MAX(0,TODAY()-$E455))))</f>
        <v/>
      </c>
      <c r="J455" s="50" t="n"/>
      <c r="K455" s="52" t="str">
        <f>IF($A455="","",$A455&amp;"|"&amp;$L455)</f>
        <v/>
      </c>
      <c r="L455" s="52" t="str">
        <f>IF($A455="","",COUNTIFS($A$3:$A455,$A455))</f>
        <v/>
      </c>
    </row>
    <row r="456" ht="15" customHeight="1" s="41">
      <c r="A456" s="50" t="n"/>
      <c r="B456" s="52" t="str">
        <f>IF($A456="","",IFERROR(INDEX(회의록!$C$3:$C$302,MATCH($A456,회의록!$A$3:$A$302,0)),"회의번호없음"))</f>
        <v/>
      </c>
      <c r="C456" s="50" t="n"/>
      <c r="D456" s="49" t="n"/>
      <c r="E456" s="53" t="n"/>
      <c r="F456" s="49" t="n"/>
      <c r="G456" s="53" t="n"/>
      <c r="H456" s="56" t="str">
        <f>IF(OR($C456="",$E456="",$F456="완료",$F456="취소"),"",$E456-TODAY())</f>
        <v/>
      </c>
      <c r="I456" s="56" t="str">
        <f>IF(OR($C456="",$E456=""),"",IF($F456="완료",IF($G456="","",MAX(0,$G456-$E456)),IF($F456="취소","",MAX(0,TODAY()-$E456))))</f>
        <v/>
      </c>
      <c r="J456" s="50" t="n"/>
      <c r="K456" s="52" t="str">
        <f>IF($A456="","",$A456&amp;"|"&amp;$L456)</f>
        <v/>
      </c>
      <c r="L456" s="52" t="str">
        <f>IF($A456="","",COUNTIFS($A$3:$A456,$A456))</f>
        <v/>
      </c>
    </row>
    <row r="457" ht="15" customHeight="1" s="41">
      <c r="A457" s="50" t="n"/>
      <c r="B457" s="52" t="str">
        <f>IF($A457="","",IFERROR(INDEX(회의록!$C$3:$C$302,MATCH($A457,회의록!$A$3:$A$302,0)),"회의번호없음"))</f>
        <v/>
      </c>
      <c r="C457" s="50" t="n"/>
      <c r="D457" s="49" t="n"/>
      <c r="E457" s="53" t="n"/>
      <c r="F457" s="49" t="n"/>
      <c r="G457" s="53" t="n"/>
      <c r="H457" s="56" t="str">
        <f>IF(OR($C457="",$E457="",$F457="완료",$F457="취소"),"",$E457-TODAY())</f>
        <v/>
      </c>
      <c r="I457" s="56" t="str">
        <f>IF(OR($C457="",$E457=""),"",IF($F457="완료",IF($G457="","",MAX(0,$G457-$E457)),IF($F457="취소","",MAX(0,TODAY()-$E457))))</f>
        <v/>
      </c>
      <c r="J457" s="50" t="n"/>
      <c r="K457" s="52" t="str">
        <f>IF($A457="","",$A457&amp;"|"&amp;$L457)</f>
        <v/>
      </c>
      <c r="L457" s="52" t="str">
        <f>IF($A457="","",COUNTIFS($A$3:$A457,$A457))</f>
        <v/>
      </c>
    </row>
    <row r="458" ht="15" customHeight="1" s="41">
      <c r="A458" s="50" t="n"/>
      <c r="B458" s="52" t="str">
        <f>IF($A458="","",IFERROR(INDEX(회의록!$C$3:$C$302,MATCH($A458,회의록!$A$3:$A$302,0)),"회의번호없음"))</f>
        <v/>
      </c>
      <c r="C458" s="50" t="n"/>
      <c r="D458" s="49" t="n"/>
      <c r="E458" s="53" t="n"/>
      <c r="F458" s="49" t="n"/>
      <c r="G458" s="53" t="n"/>
      <c r="H458" s="56" t="str">
        <f>IF(OR($C458="",$E458="",$F458="완료",$F458="취소"),"",$E458-TODAY())</f>
        <v/>
      </c>
      <c r="I458" s="56" t="str">
        <f>IF(OR($C458="",$E458=""),"",IF($F458="완료",IF($G458="","",MAX(0,$G458-$E458)),IF($F458="취소","",MAX(0,TODAY()-$E458))))</f>
        <v/>
      </c>
      <c r="J458" s="50" t="n"/>
      <c r="K458" s="52" t="str">
        <f>IF($A458="","",$A458&amp;"|"&amp;$L458)</f>
        <v/>
      </c>
      <c r="L458" s="52" t="str">
        <f>IF($A458="","",COUNTIFS($A$3:$A458,$A458))</f>
        <v/>
      </c>
    </row>
    <row r="459" ht="15" customHeight="1" s="41">
      <c r="A459" s="50" t="n"/>
      <c r="B459" s="52" t="str">
        <f>IF($A459="","",IFERROR(INDEX(회의록!$C$3:$C$302,MATCH($A459,회의록!$A$3:$A$302,0)),"회의번호없음"))</f>
        <v/>
      </c>
      <c r="C459" s="50" t="n"/>
      <c r="D459" s="49" t="n"/>
      <c r="E459" s="53" t="n"/>
      <c r="F459" s="49" t="n"/>
      <c r="G459" s="53" t="n"/>
      <c r="H459" s="56" t="str">
        <f>IF(OR($C459="",$E459="",$F459="완료",$F459="취소"),"",$E459-TODAY())</f>
        <v/>
      </c>
      <c r="I459" s="56" t="str">
        <f>IF(OR($C459="",$E459=""),"",IF($F459="완료",IF($G459="","",MAX(0,$G459-$E459)),IF($F459="취소","",MAX(0,TODAY()-$E459))))</f>
        <v/>
      </c>
      <c r="J459" s="50" t="n"/>
      <c r="K459" s="52" t="str">
        <f>IF($A459="","",$A459&amp;"|"&amp;$L459)</f>
        <v/>
      </c>
      <c r="L459" s="52" t="str">
        <f>IF($A459="","",COUNTIFS($A$3:$A459,$A459))</f>
        <v/>
      </c>
    </row>
    <row r="460" ht="15" customHeight="1" s="41">
      <c r="A460" s="50" t="n"/>
      <c r="B460" s="52" t="str">
        <f>IF($A460="","",IFERROR(INDEX(회의록!$C$3:$C$302,MATCH($A460,회의록!$A$3:$A$302,0)),"회의번호없음"))</f>
        <v/>
      </c>
      <c r="C460" s="50" t="n"/>
      <c r="D460" s="49" t="n"/>
      <c r="E460" s="53" t="n"/>
      <c r="F460" s="49" t="n"/>
      <c r="G460" s="53" t="n"/>
      <c r="H460" s="56" t="str">
        <f>IF(OR($C460="",$E460="",$F460="완료",$F460="취소"),"",$E460-TODAY())</f>
        <v/>
      </c>
      <c r="I460" s="56" t="str">
        <f>IF(OR($C460="",$E460=""),"",IF($F460="완료",IF($G460="","",MAX(0,$G460-$E460)),IF($F460="취소","",MAX(0,TODAY()-$E460))))</f>
        <v/>
      </c>
      <c r="J460" s="50" t="n"/>
      <c r="K460" s="52" t="str">
        <f>IF($A460="","",$A460&amp;"|"&amp;$L460)</f>
        <v/>
      </c>
      <c r="L460" s="52" t="str">
        <f>IF($A460="","",COUNTIFS($A$3:$A460,$A460))</f>
        <v/>
      </c>
    </row>
    <row r="461" ht="15" customHeight="1" s="41">
      <c r="A461" s="50" t="n"/>
      <c r="B461" s="52" t="str">
        <f>IF($A461="","",IFERROR(INDEX(회의록!$C$3:$C$302,MATCH($A461,회의록!$A$3:$A$302,0)),"회의번호없음"))</f>
        <v/>
      </c>
      <c r="C461" s="50" t="n"/>
      <c r="D461" s="49" t="n"/>
      <c r="E461" s="53" t="n"/>
      <c r="F461" s="49" t="n"/>
      <c r="G461" s="53" t="n"/>
      <c r="H461" s="56" t="str">
        <f>IF(OR($C461="",$E461="",$F461="완료",$F461="취소"),"",$E461-TODAY())</f>
        <v/>
      </c>
      <c r="I461" s="56" t="str">
        <f>IF(OR($C461="",$E461=""),"",IF($F461="완료",IF($G461="","",MAX(0,$G461-$E461)),IF($F461="취소","",MAX(0,TODAY()-$E461))))</f>
        <v/>
      </c>
      <c r="J461" s="50" t="n"/>
      <c r="K461" s="52" t="str">
        <f>IF($A461="","",$A461&amp;"|"&amp;$L461)</f>
        <v/>
      </c>
      <c r="L461" s="52" t="str">
        <f>IF($A461="","",COUNTIFS($A$3:$A461,$A461))</f>
        <v/>
      </c>
    </row>
    <row r="462" ht="15" customHeight="1" s="41">
      <c r="A462" s="50" t="n"/>
      <c r="B462" s="52" t="str">
        <f>IF($A462="","",IFERROR(INDEX(회의록!$C$3:$C$302,MATCH($A462,회의록!$A$3:$A$302,0)),"회의번호없음"))</f>
        <v/>
      </c>
      <c r="C462" s="50" t="n"/>
      <c r="D462" s="49" t="n"/>
      <c r="E462" s="53" t="n"/>
      <c r="F462" s="49" t="n"/>
      <c r="G462" s="53" t="n"/>
      <c r="H462" s="56" t="str">
        <f>IF(OR($C462="",$E462="",$F462="완료",$F462="취소"),"",$E462-TODAY())</f>
        <v/>
      </c>
      <c r="I462" s="56" t="str">
        <f>IF(OR($C462="",$E462=""),"",IF($F462="완료",IF($G462="","",MAX(0,$G462-$E462)),IF($F462="취소","",MAX(0,TODAY()-$E462))))</f>
        <v/>
      </c>
      <c r="J462" s="50" t="n"/>
      <c r="K462" s="52" t="str">
        <f>IF($A462="","",$A462&amp;"|"&amp;$L462)</f>
        <v/>
      </c>
      <c r="L462" s="52" t="str">
        <f>IF($A462="","",COUNTIFS($A$3:$A462,$A462))</f>
        <v/>
      </c>
    </row>
    <row r="463" ht="15" customHeight="1" s="41">
      <c r="A463" s="50" t="n"/>
      <c r="B463" s="52" t="str">
        <f>IF($A463="","",IFERROR(INDEX(회의록!$C$3:$C$302,MATCH($A463,회의록!$A$3:$A$302,0)),"회의번호없음"))</f>
        <v/>
      </c>
      <c r="C463" s="50" t="n"/>
      <c r="D463" s="49" t="n"/>
      <c r="E463" s="53" t="n"/>
      <c r="F463" s="49" t="n"/>
      <c r="G463" s="53" t="n"/>
      <c r="H463" s="56" t="str">
        <f>IF(OR($C463="",$E463="",$F463="완료",$F463="취소"),"",$E463-TODAY())</f>
        <v/>
      </c>
      <c r="I463" s="56" t="str">
        <f>IF(OR($C463="",$E463=""),"",IF($F463="완료",IF($G463="","",MAX(0,$G463-$E463)),IF($F463="취소","",MAX(0,TODAY()-$E463))))</f>
        <v/>
      </c>
      <c r="J463" s="50" t="n"/>
      <c r="K463" s="52" t="str">
        <f>IF($A463="","",$A463&amp;"|"&amp;$L463)</f>
        <v/>
      </c>
      <c r="L463" s="52" t="str">
        <f>IF($A463="","",COUNTIFS($A$3:$A463,$A463))</f>
        <v/>
      </c>
    </row>
    <row r="464" ht="15" customHeight="1" s="41">
      <c r="A464" s="50" t="n"/>
      <c r="B464" s="52" t="str">
        <f>IF($A464="","",IFERROR(INDEX(회의록!$C$3:$C$302,MATCH($A464,회의록!$A$3:$A$302,0)),"회의번호없음"))</f>
        <v/>
      </c>
      <c r="C464" s="50" t="n"/>
      <c r="D464" s="49" t="n"/>
      <c r="E464" s="53" t="n"/>
      <c r="F464" s="49" t="n"/>
      <c r="G464" s="53" t="n"/>
      <c r="H464" s="56" t="str">
        <f>IF(OR($C464="",$E464="",$F464="완료",$F464="취소"),"",$E464-TODAY())</f>
        <v/>
      </c>
      <c r="I464" s="56" t="str">
        <f>IF(OR($C464="",$E464=""),"",IF($F464="완료",IF($G464="","",MAX(0,$G464-$E464)),IF($F464="취소","",MAX(0,TODAY()-$E464))))</f>
        <v/>
      </c>
      <c r="J464" s="50" t="n"/>
      <c r="K464" s="52" t="str">
        <f>IF($A464="","",$A464&amp;"|"&amp;$L464)</f>
        <v/>
      </c>
      <c r="L464" s="52" t="str">
        <f>IF($A464="","",COUNTIFS($A$3:$A464,$A464))</f>
        <v/>
      </c>
    </row>
    <row r="465" ht="15" customHeight="1" s="41">
      <c r="A465" s="50" t="n"/>
      <c r="B465" s="52" t="str">
        <f>IF($A465="","",IFERROR(INDEX(회의록!$C$3:$C$302,MATCH($A465,회의록!$A$3:$A$302,0)),"회의번호없음"))</f>
        <v/>
      </c>
      <c r="C465" s="50" t="n"/>
      <c r="D465" s="49" t="n"/>
      <c r="E465" s="53" t="n"/>
      <c r="F465" s="49" t="n"/>
      <c r="G465" s="53" t="n"/>
      <c r="H465" s="56" t="str">
        <f>IF(OR($C465="",$E465="",$F465="완료",$F465="취소"),"",$E465-TODAY())</f>
        <v/>
      </c>
      <c r="I465" s="56" t="str">
        <f>IF(OR($C465="",$E465=""),"",IF($F465="완료",IF($G465="","",MAX(0,$G465-$E465)),IF($F465="취소","",MAX(0,TODAY()-$E465))))</f>
        <v/>
      </c>
      <c r="J465" s="50" t="n"/>
      <c r="K465" s="52" t="str">
        <f>IF($A465="","",$A465&amp;"|"&amp;$L465)</f>
        <v/>
      </c>
      <c r="L465" s="52" t="str">
        <f>IF($A465="","",COUNTIFS($A$3:$A465,$A465))</f>
        <v/>
      </c>
    </row>
    <row r="466" ht="15" customHeight="1" s="41">
      <c r="A466" s="50" t="n"/>
      <c r="B466" s="52" t="str">
        <f>IF($A466="","",IFERROR(INDEX(회의록!$C$3:$C$302,MATCH($A466,회의록!$A$3:$A$302,0)),"회의번호없음"))</f>
        <v/>
      </c>
      <c r="C466" s="50" t="n"/>
      <c r="D466" s="49" t="n"/>
      <c r="E466" s="53" t="n"/>
      <c r="F466" s="49" t="n"/>
      <c r="G466" s="53" t="n"/>
      <c r="H466" s="56" t="str">
        <f>IF(OR($C466="",$E466="",$F466="완료",$F466="취소"),"",$E466-TODAY())</f>
        <v/>
      </c>
      <c r="I466" s="56" t="str">
        <f>IF(OR($C466="",$E466=""),"",IF($F466="완료",IF($G466="","",MAX(0,$G466-$E466)),IF($F466="취소","",MAX(0,TODAY()-$E466))))</f>
        <v/>
      </c>
      <c r="J466" s="50" t="n"/>
      <c r="K466" s="52" t="str">
        <f>IF($A466="","",$A466&amp;"|"&amp;$L466)</f>
        <v/>
      </c>
      <c r="L466" s="52" t="str">
        <f>IF($A466="","",COUNTIFS($A$3:$A466,$A466))</f>
        <v/>
      </c>
    </row>
    <row r="467" ht="15" customHeight="1" s="41">
      <c r="A467" s="50" t="n"/>
      <c r="B467" s="52" t="str">
        <f>IF($A467="","",IFERROR(INDEX(회의록!$C$3:$C$302,MATCH($A467,회의록!$A$3:$A$302,0)),"회의번호없음"))</f>
        <v/>
      </c>
      <c r="C467" s="50" t="n"/>
      <c r="D467" s="49" t="n"/>
      <c r="E467" s="53" t="n"/>
      <c r="F467" s="49" t="n"/>
      <c r="G467" s="53" t="n"/>
      <c r="H467" s="56" t="str">
        <f>IF(OR($C467="",$E467="",$F467="완료",$F467="취소"),"",$E467-TODAY())</f>
        <v/>
      </c>
      <c r="I467" s="56" t="str">
        <f>IF(OR($C467="",$E467=""),"",IF($F467="완료",IF($G467="","",MAX(0,$G467-$E467)),IF($F467="취소","",MAX(0,TODAY()-$E467))))</f>
        <v/>
      </c>
      <c r="J467" s="50" t="n"/>
      <c r="K467" s="52" t="str">
        <f>IF($A467="","",$A467&amp;"|"&amp;$L467)</f>
        <v/>
      </c>
      <c r="L467" s="52" t="str">
        <f>IF($A467="","",COUNTIFS($A$3:$A467,$A467))</f>
        <v/>
      </c>
    </row>
    <row r="468" ht="15" customHeight="1" s="41">
      <c r="A468" s="50" t="n"/>
      <c r="B468" s="52" t="str">
        <f>IF($A468="","",IFERROR(INDEX(회의록!$C$3:$C$302,MATCH($A468,회의록!$A$3:$A$302,0)),"회의번호없음"))</f>
        <v/>
      </c>
      <c r="C468" s="50" t="n"/>
      <c r="D468" s="49" t="n"/>
      <c r="E468" s="53" t="n"/>
      <c r="F468" s="49" t="n"/>
      <c r="G468" s="53" t="n"/>
      <c r="H468" s="56" t="str">
        <f>IF(OR($C468="",$E468="",$F468="완료",$F468="취소"),"",$E468-TODAY())</f>
        <v/>
      </c>
      <c r="I468" s="56" t="str">
        <f>IF(OR($C468="",$E468=""),"",IF($F468="완료",IF($G468="","",MAX(0,$G468-$E468)),IF($F468="취소","",MAX(0,TODAY()-$E468))))</f>
        <v/>
      </c>
      <c r="J468" s="50" t="n"/>
      <c r="K468" s="52" t="str">
        <f>IF($A468="","",$A468&amp;"|"&amp;$L468)</f>
        <v/>
      </c>
      <c r="L468" s="52" t="str">
        <f>IF($A468="","",COUNTIFS($A$3:$A468,$A468))</f>
        <v/>
      </c>
    </row>
    <row r="469" ht="15" customHeight="1" s="41">
      <c r="A469" s="50" t="n"/>
      <c r="B469" s="52" t="str">
        <f>IF($A469="","",IFERROR(INDEX(회의록!$C$3:$C$302,MATCH($A469,회의록!$A$3:$A$302,0)),"회의번호없음"))</f>
        <v/>
      </c>
      <c r="C469" s="50" t="n"/>
      <c r="D469" s="49" t="n"/>
      <c r="E469" s="53" t="n"/>
      <c r="F469" s="49" t="n"/>
      <c r="G469" s="53" t="n"/>
      <c r="H469" s="56" t="str">
        <f>IF(OR($C469="",$E469="",$F469="완료",$F469="취소"),"",$E469-TODAY())</f>
        <v/>
      </c>
      <c r="I469" s="56" t="str">
        <f>IF(OR($C469="",$E469=""),"",IF($F469="완료",IF($G469="","",MAX(0,$G469-$E469)),IF($F469="취소","",MAX(0,TODAY()-$E469))))</f>
        <v/>
      </c>
      <c r="J469" s="50" t="n"/>
      <c r="K469" s="52" t="str">
        <f>IF($A469="","",$A469&amp;"|"&amp;$L469)</f>
        <v/>
      </c>
      <c r="L469" s="52" t="str">
        <f>IF($A469="","",COUNTIFS($A$3:$A469,$A469))</f>
        <v/>
      </c>
    </row>
    <row r="470" ht="15" customHeight="1" s="41">
      <c r="A470" s="50" t="n"/>
      <c r="B470" s="52" t="str">
        <f>IF($A470="","",IFERROR(INDEX(회의록!$C$3:$C$302,MATCH($A470,회의록!$A$3:$A$302,0)),"회의번호없음"))</f>
        <v/>
      </c>
      <c r="C470" s="50" t="n"/>
      <c r="D470" s="49" t="n"/>
      <c r="E470" s="53" t="n"/>
      <c r="F470" s="49" t="n"/>
      <c r="G470" s="53" t="n"/>
      <c r="H470" s="56" t="str">
        <f>IF(OR($C470="",$E470="",$F470="완료",$F470="취소"),"",$E470-TODAY())</f>
        <v/>
      </c>
      <c r="I470" s="56" t="str">
        <f>IF(OR($C470="",$E470=""),"",IF($F470="완료",IF($G470="","",MAX(0,$G470-$E470)),IF($F470="취소","",MAX(0,TODAY()-$E470))))</f>
        <v/>
      </c>
      <c r="J470" s="50" t="n"/>
      <c r="K470" s="52" t="str">
        <f>IF($A470="","",$A470&amp;"|"&amp;$L470)</f>
        <v/>
      </c>
      <c r="L470" s="52" t="str">
        <f>IF($A470="","",COUNTIFS($A$3:$A470,$A470))</f>
        <v/>
      </c>
    </row>
    <row r="471" ht="15" customHeight="1" s="41">
      <c r="A471" s="50" t="n"/>
      <c r="B471" s="52" t="str">
        <f>IF($A471="","",IFERROR(INDEX(회의록!$C$3:$C$302,MATCH($A471,회의록!$A$3:$A$302,0)),"회의번호없음"))</f>
        <v/>
      </c>
      <c r="C471" s="50" t="n"/>
      <c r="D471" s="49" t="n"/>
      <c r="E471" s="53" t="n"/>
      <c r="F471" s="49" t="n"/>
      <c r="G471" s="53" t="n"/>
      <c r="H471" s="56" t="str">
        <f>IF(OR($C471="",$E471="",$F471="완료",$F471="취소"),"",$E471-TODAY())</f>
        <v/>
      </c>
      <c r="I471" s="56" t="str">
        <f>IF(OR($C471="",$E471=""),"",IF($F471="완료",IF($G471="","",MAX(0,$G471-$E471)),IF($F471="취소","",MAX(0,TODAY()-$E471))))</f>
        <v/>
      </c>
      <c r="J471" s="50" t="n"/>
      <c r="K471" s="52" t="str">
        <f>IF($A471="","",$A471&amp;"|"&amp;$L471)</f>
        <v/>
      </c>
      <c r="L471" s="52" t="str">
        <f>IF($A471="","",COUNTIFS($A$3:$A471,$A471))</f>
        <v/>
      </c>
    </row>
    <row r="472" ht="15" customHeight="1" s="41">
      <c r="A472" s="50" t="n"/>
      <c r="B472" s="52" t="str">
        <f>IF($A472="","",IFERROR(INDEX(회의록!$C$3:$C$302,MATCH($A472,회의록!$A$3:$A$302,0)),"회의번호없음"))</f>
        <v/>
      </c>
      <c r="C472" s="50" t="n"/>
      <c r="D472" s="49" t="n"/>
      <c r="E472" s="53" t="n"/>
      <c r="F472" s="49" t="n"/>
      <c r="G472" s="53" t="n"/>
      <c r="H472" s="56" t="str">
        <f>IF(OR($C472="",$E472="",$F472="완료",$F472="취소"),"",$E472-TODAY())</f>
        <v/>
      </c>
      <c r="I472" s="56" t="str">
        <f>IF(OR($C472="",$E472=""),"",IF($F472="완료",IF($G472="","",MAX(0,$G472-$E472)),IF($F472="취소","",MAX(0,TODAY()-$E472))))</f>
        <v/>
      </c>
      <c r="J472" s="50" t="n"/>
      <c r="K472" s="52" t="str">
        <f>IF($A472="","",$A472&amp;"|"&amp;$L472)</f>
        <v/>
      </c>
      <c r="L472" s="52" t="str">
        <f>IF($A472="","",COUNTIFS($A$3:$A472,$A472))</f>
        <v/>
      </c>
    </row>
    <row r="473" ht="15" customHeight="1" s="41">
      <c r="A473" s="50" t="n"/>
      <c r="B473" s="52" t="str">
        <f>IF($A473="","",IFERROR(INDEX(회의록!$C$3:$C$302,MATCH($A473,회의록!$A$3:$A$302,0)),"회의번호없음"))</f>
        <v/>
      </c>
      <c r="C473" s="50" t="n"/>
      <c r="D473" s="49" t="n"/>
      <c r="E473" s="53" t="n"/>
      <c r="F473" s="49" t="n"/>
      <c r="G473" s="53" t="n"/>
      <c r="H473" s="56" t="str">
        <f>IF(OR($C473="",$E473="",$F473="완료",$F473="취소"),"",$E473-TODAY())</f>
        <v/>
      </c>
      <c r="I473" s="56" t="str">
        <f>IF(OR($C473="",$E473=""),"",IF($F473="완료",IF($G473="","",MAX(0,$G473-$E473)),IF($F473="취소","",MAX(0,TODAY()-$E473))))</f>
        <v/>
      </c>
      <c r="J473" s="50" t="n"/>
      <c r="K473" s="52" t="str">
        <f>IF($A473="","",$A473&amp;"|"&amp;$L473)</f>
        <v/>
      </c>
      <c r="L473" s="52" t="str">
        <f>IF($A473="","",COUNTIFS($A$3:$A473,$A473))</f>
        <v/>
      </c>
    </row>
    <row r="474" ht="15" customHeight="1" s="41">
      <c r="A474" s="50" t="n"/>
      <c r="B474" s="52" t="str">
        <f>IF($A474="","",IFERROR(INDEX(회의록!$C$3:$C$302,MATCH($A474,회의록!$A$3:$A$302,0)),"회의번호없음"))</f>
        <v/>
      </c>
      <c r="C474" s="50" t="n"/>
      <c r="D474" s="49" t="n"/>
      <c r="E474" s="53" t="n"/>
      <c r="F474" s="49" t="n"/>
      <c r="G474" s="53" t="n"/>
      <c r="H474" s="56" t="str">
        <f>IF(OR($C474="",$E474="",$F474="완료",$F474="취소"),"",$E474-TODAY())</f>
        <v/>
      </c>
      <c r="I474" s="56" t="str">
        <f>IF(OR($C474="",$E474=""),"",IF($F474="완료",IF($G474="","",MAX(0,$G474-$E474)),IF($F474="취소","",MAX(0,TODAY()-$E474))))</f>
        <v/>
      </c>
      <c r="J474" s="50" t="n"/>
      <c r="K474" s="52" t="str">
        <f>IF($A474="","",$A474&amp;"|"&amp;$L474)</f>
        <v/>
      </c>
      <c r="L474" s="52" t="str">
        <f>IF($A474="","",COUNTIFS($A$3:$A474,$A474))</f>
        <v/>
      </c>
    </row>
    <row r="475" ht="15" customHeight="1" s="41">
      <c r="A475" s="50" t="n"/>
      <c r="B475" s="52" t="str">
        <f>IF($A475="","",IFERROR(INDEX(회의록!$C$3:$C$302,MATCH($A475,회의록!$A$3:$A$302,0)),"회의번호없음"))</f>
        <v/>
      </c>
      <c r="C475" s="50" t="n"/>
      <c r="D475" s="49" t="n"/>
      <c r="E475" s="53" t="n"/>
      <c r="F475" s="49" t="n"/>
      <c r="G475" s="53" t="n"/>
      <c r="H475" s="56" t="str">
        <f>IF(OR($C475="",$E475="",$F475="완료",$F475="취소"),"",$E475-TODAY())</f>
        <v/>
      </c>
      <c r="I475" s="56" t="str">
        <f>IF(OR($C475="",$E475=""),"",IF($F475="완료",IF($G475="","",MAX(0,$G475-$E475)),IF($F475="취소","",MAX(0,TODAY()-$E475))))</f>
        <v/>
      </c>
      <c r="J475" s="50" t="n"/>
      <c r="K475" s="52" t="str">
        <f>IF($A475="","",$A475&amp;"|"&amp;$L475)</f>
        <v/>
      </c>
      <c r="L475" s="52" t="str">
        <f>IF($A475="","",COUNTIFS($A$3:$A475,$A475))</f>
        <v/>
      </c>
    </row>
    <row r="476" ht="15" customHeight="1" s="41">
      <c r="A476" s="50" t="n"/>
      <c r="B476" s="52" t="str">
        <f>IF($A476="","",IFERROR(INDEX(회의록!$C$3:$C$302,MATCH($A476,회의록!$A$3:$A$302,0)),"회의번호없음"))</f>
        <v/>
      </c>
      <c r="C476" s="50" t="n"/>
      <c r="D476" s="49" t="n"/>
      <c r="E476" s="53" t="n"/>
      <c r="F476" s="49" t="n"/>
      <c r="G476" s="53" t="n"/>
      <c r="H476" s="56" t="str">
        <f>IF(OR($C476="",$E476="",$F476="완료",$F476="취소"),"",$E476-TODAY())</f>
        <v/>
      </c>
      <c r="I476" s="56" t="str">
        <f>IF(OR($C476="",$E476=""),"",IF($F476="완료",IF($G476="","",MAX(0,$G476-$E476)),IF($F476="취소","",MAX(0,TODAY()-$E476))))</f>
        <v/>
      </c>
      <c r="J476" s="50" t="n"/>
      <c r="K476" s="52" t="str">
        <f>IF($A476="","",$A476&amp;"|"&amp;$L476)</f>
        <v/>
      </c>
      <c r="L476" s="52" t="str">
        <f>IF($A476="","",COUNTIFS($A$3:$A476,$A476))</f>
        <v/>
      </c>
    </row>
    <row r="477" ht="15" customHeight="1" s="41">
      <c r="A477" s="50" t="n"/>
      <c r="B477" s="52" t="str">
        <f>IF($A477="","",IFERROR(INDEX(회의록!$C$3:$C$302,MATCH($A477,회의록!$A$3:$A$302,0)),"회의번호없음"))</f>
        <v/>
      </c>
      <c r="C477" s="50" t="n"/>
      <c r="D477" s="49" t="n"/>
      <c r="E477" s="53" t="n"/>
      <c r="F477" s="49" t="n"/>
      <c r="G477" s="53" t="n"/>
      <c r="H477" s="56" t="str">
        <f>IF(OR($C477="",$E477="",$F477="완료",$F477="취소"),"",$E477-TODAY())</f>
        <v/>
      </c>
      <c r="I477" s="56" t="str">
        <f>IF(OR($C477="",$E477=""),"",IF($F477="완료",IF($G477="","",MAX(0,$G477-$E477)),IF($F477="취소","",MAX(0,TODAY()-$E477))))</f>
        <v/>
      </c>
      <c r="J477" s="50" t="n"/>
      <c r="K477" s="52" t="str">
        <f>IF($A477="","",$A477&amp;"|"&amp;$L477)</f>
        <v/>
      </c>
      <c r="L477" s="52" t="str">
        <f>IF($A477="","",COUNTIFS($A$3:$A477,$A477))</f>
        <v/>
      </c>
    </row>
    <row r="478" ht="15" customHeight="1" s="41">
      <c r="A478" s="50" t="n"/>
      <c r="B478" s="52" t="str">
        <f>IF($A478="","",IFERROR(INDEX(회의록!$C$3:$C$302,MATCH($A478,회의록!$A$3:$A$302,0)),"회의번호없음"))</f>
        <v/>
      </c>
      <c r="C478" s="50" t="n"/>
      <c r="D478" s="49" t="n"/>
      <c r="E478" s="53" t="n"/>
      <c r="F478" s="49" t="n"/>
      <c r="G478" s="53" t="n"/>
      <c r="H478" s="56" t="str">
        <f>IF(OR($C478="",$E478="",$F478="완료",$F478="취소"),"",$E478-TODAY())</f>
        <v/>
      </c>
      <c r="I478" s="56" t="str">
        <f>IF(OR($C478="",$E478=""),"",IF($F478="완료",IF($G478="","",MAX(0,$G478-$E478)),IF($F478="취소","",MAX(0,TODAY()-$E478))))</f>
        <v/>
      </c>
      <c r="J478" s="50" t="n"/>
      <c r="K478" s="52" t="str">
        <f>IF($A478="","",$A478&amp;"|"&amp;$L478)</f>
        <v/>
      </c>
      <c r="L478" s="52" t="str">
        <f>IF($A478="","",COUNTIFS($A$3:$A478,$A478))</f>
        <v/>
      </c>
    </row>
    <row r="479" ht="15" customHeight="1" s="41">
      <c r="A479" s="50" t="n"/>
      <c r="B479" s="52" t="str">
        <f>IF($A479="","",IFERROR(INDEX(회의록!$C$3:$C$302,MATCH($A479,회의록!$A$3:$A$302,0)),"회의번호없음"))</f>
        <v/>
      </c>
      <c r="C479" s="50" t="n"/>
      <c r="D479" s="49" t="n"/>
      <c r="E479" s="53" t="n"/>
      <c r="F479" s="49" t="n"/>
      <c r="G479" s="53" t="n"/>
      <c r="H479" s="56" t="str">
        <f>IF(OR($C479="",$E479="",$F479="완료",$F479="취소"),"",$E479-TODAY())</f>
        <v/>
      </c>
      <c r="I479" s="56" t="str">
        <f>IF(OR($C479="",$E479=""),"",IF($F479="완료",IF($G479="","",MAX(0,$G479-$E479)),IF($F479="취소","",MAX(0,TODAY()-$E479))))</f>
        <v/>
      </c>
      <c r="J479" s="50" t="n"/>
      <c r="K479" s="52" t="str">
        <f>IF($A479="","",$A479&amp;"|"&amp;$L479)</f>
        <v/>
      </c>
      <c r="L479" s="52" t="str">
        <f>IF($A479="","",COUNTIFS($A$3:$A479,$A479))</f>
        <v/>
      </c>
    </row>
    <row r="480" ht="15" customHeight="1" s="41">
      <c r="A480" s="50" t="n"/>
      <c r="B480" s="52" t="str">
        <f>IF($A480="","",IFERROR(INDEX(회의록!$C$3:$C$302,MATCH($A480,회의록!$A$3:$A$302,0)),"회의번호없음"))</f>
        <v/>
      </c>
      <c r="C480" s="50" t="n"/>
      <c r="D480" s="49" t="n"/>
      <c r="E480" s="53" t="n"/>
      <c r="F480" s="49" t="n"/>
      <c r="G480" s="53" t="n"/>
      <c r="H480" s="56" t="str">
        <f>IF(OR($C480="",$E480="",$F480="완료",$F480="취소"),"",$E480-TODAY())</f>
        <v/>
      </c>
      <c r="I480" s="56" t="str">
        <f>IF(OR($C480="",$E480=""),"",IF($F480="완료",IF($G480="","",MAX(0,$G480-$E480)),IF($F480="취소","",MAX(0,TODAY()-$E480))))</f>
        <v/>
      </c>
      <c r="J480" s="50" t="n"/>
      <c r="K480" s="52" t="str">
        <f>IF($A480="","",$A480&amp;"|"&amp;$L480)</f>
        <v/>
      </c>
      <c r="L480" s="52" t="str">
        <f>IF($A480="","",COUNTIFS($A$3:$A480,$A480))</f>
        <v/>
      </c>
    </row>
    <row r="481" ht="15" customHeight="1" s="41">
      <c r="A481" s="50" t="n"/>
      <c r="B481" s="52" t="str">
        <f>IF($A481="","",IFERROR(INDEX(회의록!$C$3:$C$302,MATCH($A481,회의록!$A$3:$A$302,0)),"회의번호없음"))</f>
        <v/>
      </c>
      <c r="C481" s="50" t="n"/>
      <c r="D481" s="49" t="n"/>
      <c r="E481" s="53" t="n"/>
      <c r="F481" s="49" t="n"/>
      <c r="G481" s="53" t="n"/>
      <c r="H481" s="56" t="str">
        <f>IF(OR($C481="",$E481="",$F481="완료",$F481="취소"),"",$E481-TODAY())</f>
        <v/>
      </c>
      <c r="I481" s="56" t="str">
        <f>IF(OR($C481="",$E481=""),"",IF($F481="완료",IF($G481="","",MAX(0,$G481-$E481)),IF($F481="취소","",MAX(0,TODAY()-$E481))))</f>
        <v/>
      </c>
      <c r="J481" s="50" t="n"/>
      <c r="K481" s="52" t="str">
        <f>IF($A481="","",$A481&amp;"|"&amp;$L481)</f>
        <v/>
      </c>
      <c r="L481" s="52" t="str">
        <f>IF($A481="","",COUNTIFS($A$3:$A481,$A481))</f>
        <v/>
      </c>
    </row>
    <row r="482" ht="15" customHeight="1" s="41">
      <c r="A482" s="50" t="n"/>
      <c r="B482" s="52" t="str">
        <f>IF($A482="","",IFERROR(INDEX(회의록!$C$3:$C$302,MATCH($A482,회의록!$A$3:$A$302,0)),"회의번호없음"))</f>
        <v/>
      </c>
      <c r="C482" s="50" t="n"/>
      <c r="D482" s="49" t="n"/>
      <c r="E482" s="53" t="n"/>
      <c r="F482" s="49" t="n"/>
      <c r="G482" s="53" t="n"/>
      <c r="H482" s="56" t="str">
        <f>IF(OR($C482="",$E482="",$F482="완료",$F482="취소"),"",$E482-TODAY())</f>
        <v/>
      </c>
      <c r="I482" s="56" t="str">
        <f>IF(OR($C482="",$E482=""),"",IF($F482="완료",IF($G482="","",MAX(0,$G482-$E482)),IF($F482="취소","",MAX(0,TODAY()-$E482))))</f>
        <v/>
      </c>
      <c r="J482" s="50" t="n"/>
      <c r="K482" s="52" t="str">
        <f>IF($A482="","",$A482&amp;"|"&amp;$L482)</f>
        <v/>
      </c>
      <c r="L482" s="52" t="str">
        <f>IF($A482="","",COUNTIFS($A$3:$A482,$A482))</f>
        <v/>
      </c>
    </row>
    <row r="483" ht="15" customHeight="1" s="41">
      <c r="A483" s="50" t="n"/>
      <c r="B483" s="52" t="str">
        <f>IF($A483="","",IFERROR(INDEX(회의록!$C$3:$C$302,MATCH($A483,회의록!$A$3:$A$302,0)),"회의번호없음"))</f>
        <v/>
      </c>
      <c r="C483" s="50" t="n"/>
      <c r="D483" s="49" t="n"/>
      <c r="E483" s="53" t="n"/>
      <c r="F483" s="49" t="n"/>
      <c r="G483" s="53" t="n"/>
      <c r="H483" s="56" t="str">
        <f>IF(OR($C483="",$E483="",$F483="완료",$F483="취소"),"",$E483-TODAY())</f>
        <v/>
      </c>
      <c r="I483" s="56" t="str">
        <f>IF(OR($C483="",$E483=""),"",IF($F483="완료",IF($G483="","",MAX(0,$G483-$E483)),IF($F483="취소","",MAX(0,TODAY()-$E483))))</f>
        <v/>
      </c>
      <c r="J483" s="50" t="n"/>
      <c r="K483" s="52" t="str">
        <f>IF($A483="","",$A483&amp;"|"&amp;$L483)</f>
        <v/>
      </c>
      <c r="L483" s="52" t="str">
        <f>IF($A483="","",COUNTIFS($A$3:$A483,$A483))</f>
        <v/>
      </c>
    </row>
    <row r="484" ht="15" customHeight="1" s="41">
      <c r="A484" s="50" t="n"/>
      <c r="B484" s="52" t="str">
        <f>IF($A484="","",IFERROR(INDEX(회의록!$C$3:$C$302,MATCH($A484,회의록!$A$3:$A$302,0)),"회의번호없음"))</f>
        <v/>
      </c>
      <c r="C484" s="50" t="n"/>
      <c r="D484" s="49" t="n"/>
      <c r="E484" s="53" t="n"/>
      <c r="F484" s="49" t="n"/>
      <c r="G484" s="53" t="n"/>
      <c r="H484" s="56" t="str">
        <f>IF(OR($C484="",$E484="",$F484="완료",$F484="취소"),"",$E484-TODAY())</f>
        <v/>
      </c>
      <c r="I484" s="56" t="str">
        <f>IF(OR($C484="",$E484=""),"",IF($F484="완료",IF($G484="","",MAX(0,$G484-$E484)),IF($F484="취소","",MAX(0,TODAY()-$E484))))</f>
        <v/>
      </c>
      <c r="J484" s="50" t="n"/>
      <c r="K484" s="52" t="str">
        <f>IF($A484="","",$A484&amp;"|"&amp;$L484)</f>
        <v/>
      </c>
      <c r="L484" s="52" t="str">
        <f>IF($A484="","",COUNTIFS($A$3:$A484,$A484))</f>
        <v/>
      </c>
    </row>
    <row r="485" ht="15" customHeight="1" s="41">
      <c r="A485" s="50" t="n"/>
      <c r="B485" s="52" t="str">
        <f>IF($A485="","",IFERROR(INDEX(회의록!$C$3:$C$302,MATCH($A485,회의록!$A$3:$A$302,0)),"회의번호없음"))</f>
        <v/>
      </c>
      <c r="C485" s="50" t="n"/>
      <c r="D485" s="49" t="n"/>
      <c r="E485" s="53" t="n"/>
      <c r="F485" s="49" t="n"/>
      <c r="G485" s="53" t="n"/>
      <c r="H485" s="56" t="str">
        <f>IF(OR($C485="",$E485="",$F485="완료",$F485="취소"),"",$E485-TODAY())</f>
        <v/>
      </c>
      <c r="I485" s="56" t="str">
        <f>IF(OR($C485="",$E485=""),"",IF($F485="완료",IF($G485="","",MAX(0,$G485-$E485)),IF($F485="취소","",MAX(0,TODAY()-$E485))))</f>
        <v/>
      </c>
      <c r="J485" s="50" t="n"/>
      <c r="K485" s="52" t="str">
        <f>IF($A485="","",$A485&amp;"|"&amp;$L485)</f>
        <v/>
      </c>
      <c r="L485" s="52" t="str">
        <f>IF($A485="","",COUNTIFS($A$3:$A485,$A485))</f>
        <v/>
      </c>
    </row>
    <row r="486" ht="15" customHeight="1" s="41">
      <c r="A486" s="50" t="n"/>
      <c r="B486" s="52" t="str">
        <f>IF($A486="","",IFERROR(INDEX(회의록!$C$3:$C$302,MATCH($A486,회의록!$A$3:$A$302,0)),"회의번호없음"))</f>
        <v/>
      </c>
      <c r="C486" s="50" t="n"/>
      <c r="D486" s="49" t="n"/>
      <c r="E486" s="53" t="n"/>
      <c r="F486" s="49" t="n"/>
      <c r="G486" s="53" t="n"/>
      <c r="H486" s="56" t="str">
        <f>IF(OR($C486="",$E486="",$F486="완료",$F486="취소"),"",$E486-TODAY())</f>
        <v/>
      </c>
      <c r="I486" s="56" t="str">
        <f>IF(OR($C486="",$E486=""),"",IF($F486="완료",IF($G486="","",MAX(0,$G486-$E486)),IF($F486="취소","",MAX(0,TODAY()-$E486))))</f>
        <v/>
      </c>
      <c r="J486" s="50" t="n"/>
      <c r="K486" s="52" t="str">
        <f>IF($A486="","",$A486&amp;"|"&amp;$L486)</f>
        <v/>
      </c>
      <c r="L486" s="52" t="str">
        <f>IF($A486="","",COUNTIFS($A$3:$A486,$A486))</f>
        <v/>
      </c>
    </row>
    <row r="487" ht="15" customHeight="1" s="41">
      <c r="A487" s="50" t="n"/>
      <c r="B487" s="52" t="str">
        <f>IF($A487="","",IFERROR(INDEX(회의록!$C$3:$C$302,MATCH($A487,회의록!$A$3:$A$302,0)),"회의번호없음"))</f>
        <v/>
      </c>
      <c r="C487" s="50" t="n"/>
      <c r="D487" s="49" t="n"/>
      <c r="E487" s="53" t="n"/>
      <c r="F487" s="49" t="n"/>
      <c r="G487" s="53" t="n"/>
      <c r="H487" s="56" t="str">
        <f>IF(OR($C487="",$E487="",$F487="완료",$F487="취소"),"",$E487-TODAY())</f>
        <v/>
      </c>
      <c r="I487" s="56" t="str">
        <f>IF(OR($C487="",$E487=""),"",IF($F487="완료",IF($G487="","",MAX(0,$G487-$E487)),IF($F487="취소","",MAX(0,TODAY()-$E487))))</f>
        <v/>
      </c>
      <c r="J487" s="50" t="n"/>
      <c r="K487" s="52" t="str">
        <f>IF($A487="","",$A487&amp;"|"&amp;$L487)</f>
        <v/>
      </c>
      <c r="L487" s="52" t="str">
        <f>IF($A487="","",COUNTIFS($A$3:$A487,$A487))</f>
        <v/>
      </c>
    </row>
    <row r="488" ht="15" customHeight="1" s="41">
      <c r="A488" s="50" t="n"/>
      <c r="B488" s="52" t="str">
        <f>IF($A488="","",IFERROR(INDEX(회의록!$C$3:$C$302,MATCH($A488,회의록!$A$3:$A$302,0)),"회의번호없음"))</f>
        <v/>
      </c>
      <c r="C488" s="50" t="n"/>
      <c r="D488" s="49" t="n"/>
      <c r="E488" s="53" t="n"/>
      <c r="F488" s="49" t="n"/>
      <c r="G488" s="53" t="n"/>
      <c r="H488" s="56" t="str">
        <f>IF(OR($C488="",$E488="",$F488="완료",$F488="취소"),"",$E488-TODAY())</f>
        <v/>
      </c>
      <c r="I488" s="56" t="str">
        <f>IF(OR($C488="",$E488=""),"",IF($F488="완료",IF($G488="","",MAX(0,$G488-$E488)),IF($F488="취소","",MAX(0,TODAY()-$E488))))</f>
        <v/>
      </c>
      <c r="J488" s="50" t="n"/>
      <c r="K488" s="52" t="str">
        <f>IF($A488="","",$A488&amp;"|"&amp;$L488)</f>
        <v/>
      </c>
      <c r="L488" s="52" t="str">
        <f>IF($A488="","",COUNTIFS($A$3:$A488,$A488))</f>
        <v/>
      </c>
    </row>
    <row r="489" ht="15" customHeight="1" s="41">
      <c r="A489" s="50" t="n"/>
      <c r="B489" s="52" t="str">
        <f>IF($A489="","",IFERROR(INDEX(회의록!$C$3:$C$302,MATCH($A489,회의록!$A$3:$A$302,0)),"회의번호없음"))</f>
        <v/>
      </c>
      <c r="C489" s="50" t="n"/>
      <c r="D489" s="49" t="n"/>
      <c r="E489" s="53" t="n"/>
      <c r="F489" s="49" t="n"/>
      <c r="G489" s="53" t="n"/>
      <c r="H489" s="56" t="str">
        <f>IF(OR($C489="",$E489="",$F489="완료",$F489="취소"),"",$E489-TODAY())</f>
        <v/>
      </c>
      <c r="I489" s="56" t="str">
        <f>IF(OR($C489="",$E489=""),"",IF($F489="완료",IF($G489="","",MAX(0,$G489-$E489)),IF($F489="취소","",MAX(0,TODAY()-$E489))))</f>
        <v/>
      </c>
      <c r="J489" s="50" t="n"/>
      <c r="K489" s="52" t="str">
        <f>IF($A489="","",$A489&amp;"|"&amp;$L489)</f>
        <v/>
      </c>
      <c r="L489" s="52" t="str">
        <f>IF($A489="","",COUNTIFS($A$3:$A489,$A489))</f>
        <v/>
      </c>
    </row>
    <row r="490" ht="15" customHeight="1" s="41">
      <c r="A490" s="50" t="n"/>
      <c r="B490" s="52" t="str">
        <f>IF($A490="","",IFERROR(INDEX(회의록!$C$3:$C$302,MATCH($A490,회의록!$A$3:$A$302,0)),"회의번호없음"))</f>
        <v/>
      </c>
      <c r="C490" s="50" t="n"/>
      <c r="D490" s="49" t="n"/>
      <c r="E490" s="53" t="n"/>
      <c r="F490" s="49" t="n"/>
      <c r="G490" s="53" t="n"/>
      <c r="H490" s="56" t="str">
        <f>IF(OR($C490="",$E490="",$F490="완료",$F490="취소"),"",$E490-TODAY())</f>
        <v/>
      </c>
      <c r="I490" s="56" t="str">
        <f>IF(OR($C490="",$E490=""),"",IF($F490="완료",IF($G490="","",MAX(0,$G490-$E490)),IF($F490="취소","",MAX(0,TODAY()-$E490))))</f>
        <v/>
      </c>
      <c r="J490" s="50" t="n"/>
      <c r="K490" s="52" t="str">
        <f>IF($A490="","",$A490&amp;"|"&amp;$L490)</f>
        <v/>
      </c>
      <c r="L490" s="52" t="str">
        <f>IF($A490="","",COUNTIFS($A$3:$A490,$A490))</f>
        <v/>
      </c>
    </row>
    <row r="491" ht="15" customHeight="1" s="41">
      <c r="A491" s="50" t="n"/>
      <c r="B491" s="52" t="str">
        <f>IF($A491="","",IFERROR(INDEX(회의록!$C$3:$C$302,MATCH($A491,회의록!$A$3:$A$302,0)),"회의번호없음"))</f>
        <v/>
      </c>
      <c r="C491" s="50" t="n"/>
      <c r="D491" s="49" t="n"/>
      <c r="E491" s="53" t="n"/>
      <c r="F491" s="49" t="n"/>
      <c r="G491" s="53" t="n"/>
      <c r="H491" s="56" t="str">
        <f>IF(OR($C491="",$E491="",$F491="완료",$F491="취소"),"",$E491-TODAY())</f>
        <v/>
      </c>
      <c r="I491" s="56" t="str">
        <f>IF(OR($C491="",$E491=""),"",IF($F491="완료",IF($G491="","",MAX(0,$G491-$E491)),IF($F491="취소","",MAX(0,TODAY()-$E491))))</f>
        <v/>
      </c>
      <c r="J491" s="50" t="n"/>
      <c r="K491" s="52" t="str">
        <f>IF($A491="","",$A491&amp;"|"&amp;$L491)</f>
        <v/>
      </c>
      <c r="L491" s="52" t="str">
        <f>IF($A491="","",COUNTIFS($A$3:$A491,$A491))</f>
        <v/>
      </c>
    </row>
    <row r="492" ht="15" customHeight="1" s="41">
      <c r="A492" s="50" t="n"/>
      <c r="B492" s="52" t="str">
        <f>IF($A492="","",IFERROR(INDEX(회의록!$C$3:$C$302,MATCH($A492,회의록!$A$3:$A$302,0)),"회의번호없음"))</f>
        <v/>
      </c>
      <c r="C492" s="50" t="n"/>
      <c r="D492" s="49" t="n"/>
      <c r="E492" s="53" t="n"/>
      <c r="F492" s="49" t="n"/>
      <c r="G492" s="53" t="n"/>
      <c r="H492" s="56" t="str">
        <f>IF(OR($C492="",$E492="",$F492="완료",$F492="취소"),"",$E492-TODAY())</f>
        <v/>
      </c>
      <c r="I492" s="56" t="str">
        <f>IF(OR($C492="",$E492=""),"",IF($F492="완료",IF($G492="","",MAX(0,$G492-$E492)),IF($F492="취소","",MAX(0,TODAY()-$E492))))</f>
        <v/>
      </c>
      <c r="J492" s="50" t="n"/>
      <c r="K492" s="52" t="str">
        <f>IF($A492="","",$A492&amp;"|"&amp;$L492)</f>
        <v/>
      </c>
      <c r="L492" s="52" t="str">
        <f>IF($A492="","",COUNTIFS($A$3:$A492,$A492))</f>
        <v/>
      </c>
    </row>
    <row r="493" ht="15" customHeight="1" s="41">
      <c r="A493" s="50" t="n"/>
      <c r="B493" s="52" t="str">
        <f>IF($A493="","",IFERROR(INDEX(회의록!$C$3:$C$302,MATCH($A493,회의록!$A$3:$A$302,0)),"회의번호없음"))</f>
        <v/>
      </c>
      <c r="C493" s="50" t="n"/>
      <c r="D493" s="49" t="n"/>
      <c r="E493" s="53" t="n"/>
      <c r="F493" s="49" t="n"/>
      <c r="G493" s="53" t="n"/>
      <c r="H493" s="56" t="str">
        <f>IF(OR($C493="",$E493="",$F493="완료",$F493="취소"),"",$E493-TODAY())</f>
        <v/>
      </c>
      <c r="I493" s="56" t="str">
        <f>IF(OR($C493="",$E493=""),"",IF($F493="완료",IF($G493="","",MAX(0,$G493-$E493)),IF($F493="취소","",MAX(0,TODAY()-$E493))))</f>
        <v/>
      </c>
      <c r="J493" s="50" t="n"/>
      <c r="K493" s="52" t="str">
        <f>IF($A493="","",$A493&amp;"|"&amp;$L493)</f>
        <v/>
      </c>
      <c r="L493" s="52" t="str">
        <f>IF($A493="","",COUNTIFS($A$3:$A493,$A493))</f>
        <v/>
      </c>
    </row>
    <row r="494" ht="15" customHeight="1" s="41">
      <c r="A494" s="50" t="n"/>
      <c r="B494" s="52" t="str">
        <f>IF($A494="","",IFERROR(INDEX(회의록!$C$3:$C$302,MATCH($A494,회의록!$A$3:$A$302,0)),"회의번호없음"))</f>
        <v/>
      </c>
      <c r="C494" s="50" t="n"/>
      <c r="D494" s="49" t="n"/>
      <c r="E494" s="53" t="n"/>
      <c r="F494" s="49" t="n"/>
      <c r="G494" s="53" t="n"/>
      <c r="H494" s="56" t="str">
        <f>IF(OR($C494="",$E494="",$F494="완료",$F494="취소"),"",$E494-TODAY())</f>
        <v/>
      </c>
      <c r="I494" s="56" t="str">
        <f>IF(OR($C494="",$E494=""),"",IF($F494="완료",IF($G494="","",MAX(0,$G494-$E494)),IF($F494="취소","",MAX(0,TODAY()-$E494))))</f>
        <v/>
      </c>
      <c r="J494" s="50" t="n"/>
      <c r="K494" s="52" t="str">
        <f>IF($A494="","",$A494&amp;"|"&amp;$L494)</f>
        <v/>
      </c>
      <c r="L494" s="52" t="str">
        <f>IF($A494="","",COUNTIFS($A$3:$A494,$A494))</f>
        <v/>
      </c>
    </row>
    <row r="495" ht="15" customHeight="1" s="41">
      <c r="A495" s="50" t="n"/>
      <c r="B495" s="52" t="str">
        <f>IF($A495="","",IFERROR(INDEX(회의록!$C$3:$C$302,MATCH($A495,회의록!$A$3:$A$302,0)),"회의번호없음"))</f>
        <v/>
      </c>
      <c r="C495" s="50" t="n"/>
      <c r="D495" s="49" t="n"/>
      <c r="E495" s="53" t="n"/>
      <c r="F495" s="49" t="n"/>
      <c r="G495" s="53" t="n"/>
      <c r="H495" s="56" t="str">
        <f>IF(OR($C495="",$E495="",$F495="완료",$F495="취소"),"",$E495-TODAY())</f>
        <v/>
      </c>
      <c r="I495" s="56" t="str">
        <f>IF(OR($C495="",$E495=""),"",IF($F495="완료",IF($G495="","",MAX(0,$G495-$E495)),IF($F495="취소","",MAX(0,TODAY()-$E495))))</f>
        <v/>
      </c>
      <c r="J495" s="50" t="n"/>
      <c r="K495" s="52" t="str">
        <f>IF($A495="","",$A495&amp;"|"&amp;$L495)</f>
        <v/>
      </c>
      <c r="L495" s="52" t="str">
        <f>IF($A495="","",COUNTIFS($A$3:$A495,$A495))</f>
        <v/>
      </c>
    </row>
    <row r="496" ht="15" customHeight="1" s="41">
      <c r="A496" s="50" t="n"/>
      <c r="B496" s="52" t="str">
        <f>IF($A496="","",IFERROR(INDEX(회의록!$C$3:$C$302,MATCH($A496,회의록!$A$3:$A$302,0)),"회의번호없음"))</f>
        <v/>
      </c>
      <c r="C496" s="50" t="n"/>
      <c r="D496" s="49" t="n"/>
      <c r="E496" s="53" t="n"/>
      <c r="F496" s="49" t="n"/>
      <c r="G496" s="53" t="n"/>
      <c r="H496" s="56" t="str">
        <f>IF(OR($C496="",$E496="",$F496="완료",$F496="취소"),"",$E496-TODAY())</f>
        <v/>
      </c>
      <c r="I496" s="56" t="str">
        <f>IF(OR($C496="",$E496=""),"",IF($F496="완료",IF($G496="","",MAX(0,$G496-$E496)),IF($F496="취소","",MAX(0,TODAY()-$E496))))</f>
        <v/>
      </c>
      <c r="J496" s="50" t="n"/>
      <c r="K496" s="52" t="str">
        <f>IF($A496="","",$A496&amp;"|"&amp;$L496)</f>
        <v/>
      </c>
      <c r="L496" s="52" t="str">
        <f>IF($A496="","",COUNTIFS($A$3:$A496,$A496))</f>
        <v/>
      </c>
    </row>
    <row r="497" ht="15" customHeight="1" s="41">
      <c r="A497" s="50" t="n"/>
      <c r="B497" s="52" t="str">
        <f>IF($A497="","",IFERROR(INDEX(회의록!$C$3:$C$302,MATCH($A497,회의록!$A$3:$A$302,0)),"회의번호없음"))</f>
        <v/>
      </c>
      <c r="C497" s="50" t="n"/>
      <c r="D497" s="49" t="n"/>
      <c r="E497" s="53" t="n"/>
      <c r="F497" s="49" t="n"/>
      <c r="G497" s="53" t="n"/>
      <c r="H497" s="56" t="str">
        <f>IF(OR($C497="",$E497="",$F497="완료",$F497="취소"),"",$E497-TODAY())</f>
        <v/>
      </c>
      <c r="I497" s="56" t="str">
        <f>IF(OR($C497="",$E497=""),"",IF($F497="완료",IF($G497="","",MAX(0,$G497-$E497)),IF($F497="취소","",MAX(0,TODAY()-$E497))))</f>
        <v/>
      </c>
      <c r="J497" s="50" t="n"/>
      <c r="K497" s="52" t="str">
        <f>IF($A497="","",$A497&amp;"|"&amp;$L497)</f>
        <v/>
      </c>
      <c r="L497" s="52" t="str">
        <f>IF($A497="","",COUNTIFS($A$3:$A497,$A497))</f>
        <v/>
      </c>
    </row>
    <row r="498" ht="15" customHeight="1" s="41">
      <c r="A498" s="50" t="n"/>
      <c r="B498" s="52" t="str">
        <f>IF($A498="","",IFERROR(INDEX(회의록!$C$3:$C$302,MATCH($A498,회의록!$A$3:$A$302,0)),"회의번호없음"))</f>
        <v/>
      </c>
      <c r="C498" s="50" t="n"/>
      <c r="D498" s="49" t="n"/>
      <c r="E498" s="53" t="n"/>
      <c r="F498" s="49" t="n"/>
      <c r="G498" s="53" t="n"/>
      <c r="H498" s="56" t="str">
        <f>IF(OR($C498="",$E498="",$F498="완료",$F498="취소"),"",$E498-TODAY())</f>
        <v/>
      </c>
      <c r="I498" s="56" t="str">
        <f>IF(OR($C498="",$E498=""),"",IF($F498="완료",IF($G498="","",MAX(0,$G498-$E498)),IF($F498="취소","",MAX(0,TODAY()-$E498))))</f>
        <v/>
      </c>
      <c r="J498" s="50" t="n"/>
      <c r="K498" s="52" t="str">
        <f>IF($A498="","",$A498&amp;"|"&amp;$L498)</f>
        <v/>
      </c>
      <c r="L498" s="52" t="str">
        <f>IF($A498="","",COUNTIFS($A$3:$A498,$A498))</f>
        <v/>
      </c>
    </row>
    <row r="499" ht="15" customHeight="1" s="41">
      <c r="A499" s="50" t="n"/>
      <c r="B499" s="52" t="str">
        <f>IF($A499="","",IFERROR(INDEX(회의록!$C$3:$C$302,MATCH($A499,회의록!$A$3:$A$302,0)),"회의번호없음"))</f>
        <v/>
      </c>
      <c r="C499" s="50" t="n"/>
      <c r="D499" s="49" t="n"/>
      <c r="E499" s="53" t="n"/>
      <c r="F499" s="49" t="n"/>
      <c r="G499" s="53" t="n"/>
      <c r="H499" s="56" t="str">
        <f>IF(OR($C499="",$E499="",$F499="완료",$F499="취소"),"",$E499-TODAY())</f>
        <v/>
      </c>
      <c r="I499" s="56" t="str">
        <f>IF(OR($C499="",$E499=""),"",IF($F499="완료",IF($G499="","",MAX(0,$G499-$E499)),IF($F499="취소","",MAX(0,TODAY()-$E499))))</f>
        <v/>
      </c>
      <c r="J499" s="50" t="n"/>
      <c r="K499" s="52" t="str">
        <f>IF($A499="","",$A499&amp;"|"&amp;$L499)</f>
        <v/>
      </c>
      <c r="L499" s="52" t="str">
        <f>IF($A499="","",COUNTIFS($A$3:$A499,$A499))</f>
        <v/>
      </c>
    </row>
    <row r="500" ht="15" customHeight="1" s="41">
      <c r="A500" s="50" t="n"/>
      <c r="B500" s="52" t="str">
        <f>IF($A500="","",IFERROR(INDEX(회의록!$C$3:$C$302,MATCH($A500,회의록!$A$3:$A$302,0)),"회의번호없음"))</f>
        <v/>
      </c>
      <c r="C500" s="50" t="n"/>
      <c r="D500" s="49" t="n"/>
      <c r="E500" s="53" t="n"/>
      <c r="F500" s="49" t="n"/>
      <c r="G500" s="53" t="n"/>
      <c r="H500" s="56" t="str">
        <f>IF(OR($C500="",$E500="",$F500="완료",$F500="취소"),"",$E500-TODAY())</f>
        <v/>
      </c>
      <c r="I500" s="56" t="str">
        <f>IF(OR($C500="",$E500=""),"",IF($F500="완료",IF($G500="","",MAX(0,$G500-$E500)),IF($F500="취소","",MAX(0,TODAY()-$E500))))</f>
        <v/>
      </c>
      <c r="J500" s="50" t="n"/>
      <c r="K500" s="52" t="str">
        <f>IF($A500="","",$A500&amp;"|"&amp;$L500)</f>
        <v/>
      </c>
      <c r="L500" s="52" t="str">
        <f>IF($A500="","",COUNTIFS($A$3:$A500,$A500))</f>
        <v/>
      </c>
    </row>
    <row r="501" ht="15" customHeight="1" s="41">
      <c r="A501" s="50" t="n"/>
      <c r="B501" s="52" t="str">
        <f>IF($A501="","",IFERROR(INDEX(회의록!$C$3:$C$302,MATCH($A501,회의록!$A$3:$A$302,0)),"회의번호없음"))</f>
        <v/>
      </c>
      <c r="C501" s="50" t="n"/>
      <c r="D501" s="49" t="n"/>
      <c r="E501" s="53" t="n"/>
      <c r="F501" s="49" t="n"/>
      <c r="G501" s="53" t="n"/>
      <c r="H501" s="56" t="str">
        <f>IF(OR($C501="",$E501="",$F501="완료",$F501="취소"),"",$E501-TODAY())</f>
        <v/>
      </c>
      <c r="I501" s="56" t="str">
        <f>IF(OR($C501="",$E501=""),"",IF($F501="완료",IF($G501="","",MAX(0,$G501-$E501)),IF($F501="취소","",MAX(0,TODAY()-$E501))))</f>
        <v/>
      </c>
      <c r="J501" s="50" t="n"/>
      <c r="K501" s="52" t="str">
        <f>IF($A501="","",$A501&amp;"|"&amp;$L501)</f>
        <v/>
      </c>
      <c r="L501" s="52" t="str">
        <f>IF($A501="","",COUNTIFS($A$3:$A501,$A501))</f>
        <v/>
      </c>
    </row>
    <row r="502" ht="15" customHeight="1" s="41">
      <c r="A502" s="50" t="n"/>
      <c r="B502" s="52" t="str">
        <f>IF($A502="","",IFERROR(INDEX(회의록!$C$3:$C$302,MATCH($A502,회의록!$A$3:$A$302,0)),"회의번호없음"))</f>
        <v/>
      </c>
      <c r="C502" s="50" t="n"/>
      <c r="D502" s="49" t="n"/>
      <c r="E502" s="53" t="n"/>
      <c r="F502" s="49" t="n"/>
      <c r="G502" s="53" t="n"/>
      <c r="H502" s="56" t="str">
        <f>IF(OR($C502="",$E502="",$F502="완료",$F502="취소"),"",$E502-TODAY())</f>
        <v/>
      </c>
      <c r="I502" s="56" t="str">
        <f>IF(OR($C502="",$E502=""),"",IF($F502="완료",IF($G502="","",MAX(0,$G502-$E502)),IF($F502="취소","",MAX(0,TODAY()-$E502))))</f>
        <v/>
      </c>
      <c r="J502" s="50" t="n"/>
      <c r="K502" s="52" t="str">
        <f>IF($A502="","",$A502&amp;"|"&amp;$L502)</f>
        <v/>
      </c>
      <c r="L502" s="52" t="str">
        <f>IF($A502="","",COUNTIFS($A$3:$A502,$A502))</f>
        <v/>
      </c>
    </row>
    <row r="503" ht="15" customHeight="1" s="41">
      <c r="A503" s="50" t="n"/>
      <c r="B503" s="52" t="str">
        <f>IF($A503="","",IFERROR(INDEX(회의록!$C$3:$C$302,MATCH($A503,회의록!$A$3:$A$302,0)),"회의번호없음"))</f>
        <v/>
      </c>
      <c r="C503" s="50" t="n"/>
      <c r="D503" s="49" t="n"/>
      <c r="E503" s="53" t="n"/>
      <c r="F503" s="49" t="n"/>
      <c r="G503" s="53" t="n"/>
      <c r="H503" s="56" t="str">
        <f>IF(OR($C503="",$E503="",$F503="완료",$F503="취소"),"",$E503-TODAY())</f>
        <v/>
      </c>
      <c r="I503" s="56" t="str">
        <f>IF(OR($C503="",$E503=""),"",IF($F503="완료",IF($G503="","",MAX(0,$G503-$E503)),IF($F503="취소","",MAX(0,TODAY()-$E503))))</f>
        <v/>
      </c>
      <c r="J503" s="50" t="n"/>
      <c r="K503" s="52" t="str">
        <f>IF($A503="","",$A503&amp;"|"&amp;$L503)</f>
        <v/>
      </c>
      <c r="L503" s="52" t="str">
        <f>IF($A503="","",COUNTIFS($A$3:$A503,$A503))</f>
        <v/>
      </c>
    </row>
    <row r="504" ht="15" customHeight="1" s="41">
      <c r="A504" s="50" t="n"/>
      <c r="B504" s="52" t="str">
        <f>IF($A504="","",IFERROR(INDEX(회의록!$C$3:$C$302,MATCH($A504,회의록!$A$3:$A$302,0)),"회의번호없음"))</f>
        <v/>
      </c>
      <c r="C504" s="50" t="n"/>
      <c r="D504" s="49" t="n"/>
      <c r="E504" s="53" t="n"/>
      <c r="F504" s="49" t="n"/>
      <c r="G504" s="53" t="n"/>
      <c r="H504" s="56" t="str">
        <f>IF(OR($C504="",$E504="",$F504="완료",$F504="취소"),"",$E504-TODAY())</f>
        <v/>
      </c>
      <c r="I504" s="56" t="str">
        <f>IF(OR($C504="",$E504=""),"",IF($F504="완료",IF($G504="","",MAX(0,$G504-$E504)),IF($F504="취소","",MAX(0,TODAY()-$E504))))</f>
        <v/>
      </c>
      <c r="J504" s="50" t="n"/>
      <c r="K504" s="52" t="str">
        <f>IF($A504="","",$A504&amp;"|"&amp;$L504)</f>
        <v/>
      </c>
      <c r="L504" s="52" t="str">
        <f>IF($A504="","",COUNTIFS($A$3:$A504,$A504))</f>
        <v/>
      </c>
    </row>
    <row r="505" ht="15" customHeight="1" s="41">
      <c r="A505" s="50" t="n"/>
      <c r="B505" s="52" t="str">
        <f>IF($A505="","",IFERROR(INDEX(회의록!$C$3:$C$302,MATCH($A505,회의록!$A$3:$A$302,0)),"회의번호없음"))</f>
        <v/>
      </c>
      <c r="C505" s="50" t="n"/>
      <c r="D505" s="49" t="n"/>
      <c r="E505" s="53" t="n"/>
      <c r="F505" s="49" t="n"/>
      <c r="G505" s="53" t="n"/>
      <c r="H505" s="56" t="str">
        <f>IF(OR($C505="",$E505="",$F505="완료",$F505="취소"),"",$E505-TODAY())</f>
        <v/>
      </c>
      <c r="I505" s="56" t="str">
        <f>IF(OR($C505="",$E505=""),"",IF($F505="완료",IF($G505="","",MAX(0,$G505-$E505)),IF($F505="취소","",MAX(0,TODAY()-$E505))))</f>
        <v/>
      </c>
      <c r="J505" s="50" t="n"/>
      <c r="K505" s="52" t="str">
        <f>IF($A505="","",$A505&amp;"|"&amp;$L505)</f>
        <v/>
      </c>
      <c r="L505" s="52" t="str">
        <f>IF($A505="","",COUNTIFS($A$3:$A505,$A505))</f>
        <v/>
      </c>
    </row>
    <row r="506" ht="15" customHeight="1" s="41">
      <c r="A506" s="50" t="n"/>
      <c r="B506" s="52" t="str">
        <f>IF($A506="","",IFERROR(INDEX(회의록!$C$3:$C$302,MATCH($A506,회의록!$A$3:$A$302,0)),"회의번호없음"))</f>
        <v/>
      </c>
      <c r="C506" s="50" t="n"/>
      <c r="D506" s="49" t="n"/>
      <c r="E506" s="53" t="n"/>
      <c r="F506" s="49" t="n"/>
      <c r="G506" s="53" t="n"/>
      <c r="H506" s="56" t="str">
        <f>IF(OR($C506="",$E506="",$F506="완료",$F506="취소"),"",$E506-TODAY())</f>
        <v/>
      </c>
      <c r="I506" s="56" t="str">
        <f>IF(OR($C506="",$E506=""),"",IF($F506="완료",IF($G506="","",MAX(0,$G506-$E506)),IF($F506="취소","",MAX(0,TODAY()-$E506))))</f>
        <v/>
      </c>
      <c r="J506" s="50" t="n"/>
      <c r="K506" s="52" t="str">
        <f>IF($A506="","",$A506&amp;"|"&amp;$L506)</f>
        <v/>
      </c>
      <c r="L506" s="52" t="str">
        <f>IF($A506="","",COUNTIFS($A$3:$A506,$A506))</f>
        <v/>
      </c>
    </row>
    <row r="507" ht="15" customHeight="1" s="41">
      <c r="A507" s="50" t="n"/>
      <c r="B507" s="52" t="str">
        <f>IF($A507="","",IFERROR(INDEX(회의록!$C$3:$C$302,MATCH($A507,회의록!$A$3:$A$302,0)),"회의번호없음"))</f>
        <v/>
      </c>
      <c r="C507" s="50" t="n"/>
      <c r="D507" s="49" t="n"/>
      <c r="E507" s="53" t="n"/>
      <c r="F507" s="49" t="n"/>
      <c r="G507" s="53" t="n"/>
      <c r="H507" s="56" t="str">
        <f>IF(OR($C507="",$E507="",$F507="완료",$F507="취소"),"",$E507-TODAY())</f>
        <v/>
      </c>
      <c r="I507" s="56" t="str">
        <f>IF(OR($C507="",$E507=""),"",IF($F507="완료",IF($G507="","",MAX(0,$G507-$E507)),IF($F507="취소","",MAX(0,TODAY()-$E507))))</f>
        <v/>
      </c>
      <c r="J507" s="50" t="n"/>
      <c r="K507" s="52" t="str">
        <f>IF($A507="","",$A507&amp;"|"&amp;$L507)</f>
        <v/>
      </c>
      <c r="L507" s="52" t="str">
        <f>IF($A507="","",COUNTIFS($A$3:$A507,$A507))</f>
        <v/>
      </c>
    </row>
    <row r="508" ht="15" customHeight="1" s="41">
      <c r="A508" s="50" t="n"/>
      <c r="B508" s="52" t="str">
        <f>IF($A508="","",IFERROR(INDEX(회의록!$C$3:$C$302,MATCH($A508,회의록!$A$3:$A$302,0)),"회의번호없음"))</f>
        <v/>
      </c>
      <c r="C508" s="50" t="n"/>
      <c r="D508" s="49" t="n"/>
      <c r="E508" s="53" t="n"/>
      <c r="F508" s="49" t="n"/>
      <c r="G508" s="53" t="n"/>
      <c r="H508" s="56" t="str">
        <f>IF(OR($C508="",$E508="",$F508="완료",$F508="취소"),"",$E508-TODAY())</f>
        <v/>
      </c>
      <c r="I508" s="56" t="str">
        <f>IF(OR($C508="",$E508=""),"",IF($F508="완료",IF($G508="","",MAX(0,$G508-$E508)),IF($F508="취소","",MAX(0,TODAY()-$E508))))</f>
        <v/>
      </c>
      <c r="J508" s="50" t="n"/>
      <c r="K508" s="52" t="str">
        <f>IF($A508="","",$A508&amp;"|"&amp;$L508)</f>
        <v/>
      </c>
      <c r="L508" s="52" t="str">
        <f>IF($A508="","",COUNTIFS($A$3:$A508,$A508))</f>
        <v/>
      </c>
    </row>
    <row r="509" ht="15" customHeight="1" s="41">
      <c r="A509" s="50" t="n"/>
      <c r="B509" s="52" t="str">
        <f>IF($A509="","",IFERROR(INDEX(회의록!$C$3:$C$302,MATCH($A509,회의록!$A$3:$A$302,0)),"회의번호없음"))</f>
        <v/>
      </c>
      <c r="C509" s="50" t="n"/>
      <c r="D509" s="49" t="n"/>
      <c r="E509" s="53" t="n"/>
      <c r="F509" s="49" t="n"/>
      <c r="G509" s="53" t="n"/>
      <c r="H509" s="56" t="str">
        <f>IF(OR($C509="",$E509="",$F509="완료",$F509="취소"),"",$E509-TODAY())</f>
        <v/>
      </c>
      <c r="I509" s="56" t="str">
        <f>IF(OR($C509="",$E509=""),"",IF($F509="완료",IF($G509="","",MAX(0,$G509-$E509)),IF($F509="취소","",MAX(0,TODAY()-$E509))))</f>
        <v/>
      </c>
      <c r="J509" s="50" t="n"/>
      <c r="K509" s="52" t="str">
        <f>IF($A509="","",$A509&amp;"|"&amp;$L509)</f>
        <v/>
      </c>
      <c r="L509" s="52" t="str">
        <f>IF($A509="","",COUNTIFS($A$3:$A509,$A509))</f>
        <v/>
      </c>
    </row>
    <row r="510" ht="15" customHeight="1" s="41">
      <c r="A510" s="50" t="n"/>
      <c r="B510" s="52" t="str">
        <f>IF($A510="","",IFERROR(INDEX(회의록!$C$3:$C$302,MATCH($A510,회의록!$A$3:$A$302,0)),"회의번호없음"))</f>
        <v/>
      </c>
      <c r="C510" s="50" t="n"/>
      <c r="D510" s="49" t="n"/>
      <c r="E510" s="53" t="n"/>
      <c r="F510" s="49" t="n"/>
      <c r="G510" s="53" t="n"/>
      <c r="H510" s="56" t="str">
        <f>IF(OR($C510="",$E510="",$F510="완료",$F510="취소"),"",$E510-TODAY())</f>
        <v/>
      </c>
      <c r="I510" s="56" t="str">
        <f>IF(OR($C510="",$E510=""),"",IF($F510="완료",IF($G510="","",MAX(0,$G510-$E510)),IF($F510="취소","",MAX(0,TODAY()-$E510))))</f>
        <v/>
      </c>
      <c r="J510" s="50" t="n"/>
      <c r="K510" s="52" t="str">
        <f>IF($A510="","",$A510&amp;"|"&amp;$L510)</f>
        <v/>
      </c>
      <c r="L510" s="52" t="str">
        <f>IF($A510="","",COUNTIFS($A$3:$A510,$A510))</f>
        <v/>
      </c>
    </row>
    <row r="511" ht="15" customHeight="1" s="41">
      <c r="A511" s="50" t="n"/>
      <c r="B511" s="52" t="str">
        <f>IF($A511="","",IFERROR(INDEX(회의록!$C$3:$C$302,MATCH($A511,회의록!$A$3:$A$302,0)),"회의번호없음"))</f>
        <v/>
      </c>
      <c r="C511" s="50" t="n"/>
      <c r="D511" s="49" t="n"/>
      <c r="E511" s="53" t="n"/>
      <c r="F511" s="49" t="n"/>
      <c r="G511" s="53" t="n"/>
      <c r="H511" s="56" t="str">
        <f>IF(OR($C511="",$E511="",$F511="완료",$F511="취소"),"",$E511-TODAY())</f>
        <v/>
      </c>
      <c r="I511" s="56" t="str">
        <f>IF(OR($C511="",$E511=""),"",IF($F511="완료",IF($G511="","",MAX(0,$G511-$E511)),IF($F511="취소","",MAX(0,TODAY()-$E511))))</f>
        <v/>
      </c>
      <c r="J511" s="50" t="n"/>
      <c r="K511" s="52" t="str">
        <f>IF($A511="","",$A511&amp;"|"&amp;$L511)</f>
        <v/>
      </c>
      <c r="L511" s="52" t="str">
        <f>IF($A511="","",COUNTIFS($A$3:$A511,$A511))</f>
        <v/>
      </c>
    </row>
    <row r="512" ht="15" customHeight="1" s="41">
      <c r="A512" s="50" t="n"/>
      <c r="B512" s="52" t="str">
        <f>IF($A512="","",IFERROR(INDEX(회의록!$C$3:$C$302,MATCH($A512,회의록!$A$3:$A$302,0)),"회의번호없음"))</f>
        <v/>
      </c>
      <c r="C512" s="50" t="n"/>
      <c r="D512" s="49" t="n"/>
      <c r="E512" s="53" t="n"/>
      <c r="F512" s="49" t="n"/>
      <c r="G512" s="53" t="n"/>
      <c r="H512" s="56" t="str">
        <f>IF(OR($C512="",$E512="",$F512="완료",$F512="취소"),"",$E512-TODAY())</f>
        <v/>
      </c>
      <c r="I512" s="56" t="str">
        <f>IF(OR($C512="",$E512=""),"",IF($F512="완료",IF($G512="","",MAX(0,$G512-$E512)),IF($F512="취소","",MAX(0,TODAY()-$E512))))</f>
        <v/>
      </c>
      <c r="J512" s="50" t="n"/>
      <c r="K512" s="52" t="str">
        <f>IF($A512="","",$A512&amp;"|"&amp;$L512)</f>
        <v/>
      </c>
      <c r="L512" s="52" t="str">
        <f>IF($A512="","",COUNTIFS($A$3:$A512,$A512))</f>
        <v/>
      </c>
    </row>
    <row r="513" ht="15" customHeight="1" s="41">
      <c r="A513" s="50" t="n"/>
      <c r="B513" s="52" t="str">
        <f>IF($A513="","",IFERROR(INDEX(회의록!$C$3:$C$302,MATCH($A513,회의록!$A$3:$A$302,0)),"회의번호없음"))</f>
        <v/>
      </c>
      <c r="C513" s="50" t="n"/>
      <c r="D513" s="49" t="n"/>
      <c r="E513" s="53" t="n"/>
      <c r="F513" s="49" t="n"/>
      <c r="G513" s="53" t="n"/>
      <c r="H513" s="56" t="str">
        <f>IF(OR($C513="",$E513="",$F513="완료",$F513="취소"),"",$E513-TODAY())</f>
        <v/>
      </c>
      <c r="I513" s="56" t="str">
        <f>IF(OR($C513="",$E513=""),"",IF($F513="완료",IF($G513="","",MAX(0,$G513-$E513)),IF($F513="취소","",MAX(0,TODAY()-$E513))))</f>
        <v/>
      </c>
      <c r="J513" s="50" t="n"/>
      <c r="K513" s="52" t="str">
        <f>IF($A513="","",$A513&amp;"|"&amp;$L513)</f>
        <v/>
      </c>
      <c r="L513" s="52" t="str">
        <f>IF($A513="","",COUNTIFS($A$3:$A513,$A513))</f>
        <v/>
      </c>
    </row>
    <row r="514" ht="15" customHeight="1" s="41">
      <c r="A514" s="50" t="n"/>
      <c r="B514" s="52" t="str">
        <f>IF($A514="","",IFERROR(INDEX(회의록!$C$3:$C$302,MATCH($A514,회의록!$A$3:$A$302,0)),"회의번호없음"))</f>
        <v/>
      </c>
      <c r="C514" s="50" t="n"/>
      <c r="D514" s="49" t="n"/>
      <c r="E514" s="53" t="n"/>
      <c r="F514" s="49" t="n"/>
      <c r="G514" s="53" t="n"/>
      <c r="H514" s="56" t="str">
        <f>IF(OR($C514="",$E514="",$F514="완료",$F514="취소"),"",$E514-TODAY())</f>
        <v/>
      </c>
      <c r="I514" s="56" t="str">
        <f>IF(OR($C514="",$E514=""),"",IF($F514="완료",IF($G514="","",MAX(0,$G514-$E514)),IF($F514="취소","",MAX(0,TODAY()-$E514))))</f>
        <v/>
      </c>
      <c r="J514" s="50" t="n"/>
      <c r="K514" s="52" t="str">
        <f>IF($A514="","",$A514&amp;"|"&amp;$L514)</f>
        <v/>
      </c>
      <c r="L514" s="52" t="str">
        <f>IF($A514="","",COUNTIFS($A$3:$A514,$A514))</f>
        <v/>
      </c>
    </row>
    <row r="515" ht="15" customHeight="1" s="41">
      <c r="A515" s="50" t="n"/>
      <c r="B515" s="52" t="str">
        <f>IF($A515="","",IFERROR(INDEX(회의록!$C$3:$C$302,MATCH($A515,회의록!$A$3:$A$302,0)),"회의번호없음"))</f>
        <v/>
      </c>
      <c r="C515" s="50" t="n"/>
      <c r="D515" s="49" t="n"/>
      <c r="E515" s="53" t="n"/>
      <c r="F515" s="49" t="n"/>
      <c r="G515" s="53" t="n"/>
      <c r="H515" s="56" t="str">
        <f>IF(OR($C515="",$E515="",$F515="완료",$F515="취소"),"",$E515-TODAY())</f>
        <v/>
      </c>
      <c r="I515" s="56" t="str">
        <f>IF(OR($C515="",$E515=""),"",IF($F515="완료",IF($G515="","",MAX(0,$G515-$E515)),IF($F515="취소","",MAX(0,TODAY()-$E515))))</f>
        <v/>
      </c>
      <c r="J515" s="50" t="n"/>
      <c r="K515" s="52" t="str">
        <f>IF($A515="","",$A515&amp;"|"&amp;$L515)</f>
        <v/>
      </c>
      <c r="L515" s="52" t="str">
        <f>IF($A515="","",COUNTIFS($A$3:$A515,$A515))</f>
        <v/>
      </c>
    </row>
    <row r="516" ht="15" customHeight="1" s="41">
      <c r="A516" s="50" t="n"/>
      <c r="B516" s="52" t="str">
        <f>IF($A516="","",IFERROR(INDEX(회의록!$C$3:$C$302,MATCH($A516,회의록!$A$3:$A$302,0)),"회의번호없음"))</f>
        <v/>
      </c>
      <c r="C516" s="50" t="n"/>
      <c r="D516" s="49" t="n"/>
      <c r="E516" s="53" t="n"/>
      <c r="F516" s="49" t="n"/>
      <c r="G516" s="53" t="n"/>
      <c r="H516" s="56" t="str">
        <f>IF(OR($C516="",$E516="",$F516="완료",$F516="취소"),"",$E516-TODAY())</f>
        <v/>
      </c>
      <c r="I516" s="56" t="str">
        <f>IF(OR($C516="",$E516=""),"",IF($F516="완료",IF($G516="","",MAX(0,$G516-$E516)),IF($F516="취소","",MAX(0,TODAY()-$E516))))</f>
        <v/>
      </c>
      <c r="J516" s="50" t="n"/>
      <c r="K516" s="52" t="str">
        <f>IF($A516="","",$A516&amp;"|"&amp;$L516)</f>
        <v/>
      </c>
      <c r="L516" s="52" t="str">
        <f>IF($A516="","",COUNTIFS($A$3:$A516,$A516))</f>
        <v/>
      </c>
    </row>
    <row r="517" ht="15" customHeight="1" s="41">
      <c r="A517" s="50" t="n"/>
      <c r="B517" s="52" t="str">
        <f>IF($A517="","",IFERROR(INDEX(회의록!$C$3:$C$302,MATCH($A517,회의록!$A$3:$A$302,0)),"회의번호없음"))</f>
        <v/>
      </c>
      <c r="C517" s="50" t="n"/>
      <c r="D517" s="49" t="n"/>
      <c r="E517" s="53" t="n"/>
      <c r="F517" s="49" t="n"/>
      <c r="G517" s="53" t="n"/>
      <c r="H517" s="56" t="str">
        <f>IF(OR($C517="",$E517="",$F517="완료",$F517="취소"),"",$E517-TODAY())</f>
        <v/>
      </c>
      <c r="I517" s="56" t="str">
        <f>IF(OR($C517="",$E517=""),"",IF($F517="완료",IF($G517="","",MAX(0,$G517-$E517)),IF($F517="취소","",MAX(0,TODAY()-$E517))))</f>
        <v/>
      </c>
      <c r="J517" s="50" t="n"/>
      <c r="K517" s="52" t="str">
        <f>IF($A517="","",$A517&amp;"|"&amp;$L517)</f>
        <v/>
      </c>
      <c r="L517" s="52" t="str">
        <f>IF($A517="","",COUNTIFS($A$3:$A517,$A517))</f>
        <v/>
      </c>
    </row>
    <row r="518" ht="15" customHeight="1" s="41">
      <c r="A518" s="50" t="n"/>
      <c r="B518" s="52" t="str">
        <f>IF($A518="","",IFERROR(INDEX(회의록!$C$3:$C$302,MATCH($A518,회의록!$A$3:$A$302,0)),"회의번호없음"))</f>
        <v/>
      </c>
      <c r="C518" s="50" t="n"/>
      <c r="D518" s="49" t="n"/>
      <c r="E518" s="53" t="n"/>
      <c r="F518" s="49" t="n"/>
      <c r="G518" s="53" t="n"/>
      <c r="H518" s="56" t="str">
        <f>IF(OR($C518="",$E518="",$F518="완료",$F518="취소"),"",$E518-TODAY())</f>
        <v/>
      </c>
      <c r="I518" s="56" t="str">
        <f>IF(OR($C518="",$E518=""),"",IF($F518="완료",IF($G518="","",MAX(0,$G518-$E518)),IF($F518="취소","",MAX(0,TODAY()-$E518))))</f>
        <v/>
      </c>
      <c r="J518" s="50" t="n"/>
      <c r="K518" s="52" t="str">
        <f>IF($A518="","",$A518&amp;"|"&amp;$L518)</f>
        <v/>
      </c>
      <c r="L518" s="52" t="str">
        <f>IF($A518="","",COUNTIFS($A$3:$A518,$A518))</f>
        <v/>
      </c>
    </row>
    <row r="519" ht="15" customHeight="1" s="41">
      <c r="A519" s="50" t="n"/>
      <c r="B519" s="52" t="str">
        <f>IF($A519="","",IFERROR(INDEX(회의록!$C$3:$C$302,MATCH($A519,회의록!$A$3:$A$302,0)),"회의번호없음"))</f>
        <v/>
      </c>
      <c r="C519" s="50" t="n"/>
      <c r="D519" s="49" t="n"/>
      <c r="E519" s="53" t="n"/>
      <c r="F519" s="49" t="n"/>
      <c r="G519" s="53" t="n"/>
      <c r="H519" s="56" t="str">
        <f>IF(OR($C519="",$E519="",$F519="완료",$F519="취소"),"",$E519-TODAY())</f>
        <v/>
      </c>
      <c r="I519" s="56" t="str">
        <f>IF(OR($C519="",$E519=""),"",IF($F519="완료",IF($G519="","",MAX(0,$G519-$E519)),IF($F519="취소","",MAX(0,TODAY()-$E519))))</f>
        <v/>
      </c>
      <c r="J519" s="50" t="n"/>
      <c r="K519" s="52" t="str">
        <f>IF($A519="","",$A519&amp;"|"&amp;$L519)</f>
        <v/>
      </c>
      <c r="L519" s="52" t="str">
        <f>IF($A519="","",COUNTIFS($A$3:$A519,$A519))</f>
        <v/>
      </c>
    </row>
    <row r="520" ht="15" customHeight="1" s="41">
      <c r="A520" s="50" t="n"/>
      <c r="B520" s="52" t="str">
        <f>IF($A520="","",IFERROR(INDEX(회의록!$C$3:$C$302,MATCH($A520,회의록!$A$3:$A$302,0)),"회의번호없음"))</f>
        <v/>
      </c>
      <c r="C520" s="50" t="n"/>
      <c r="D520" s="49" t="n"/>
      <c r="E520" s="53" t="n"/>
      <c r="F520" s="49" t="n"/>
      <c r="G520" s="53" t="n"/>
      <c r="H520" s="56" t="str">
        <f>IF(OR($C520="",$E520="",$F520="완료",$F520="취소"),"",$E520-TODAY())</f>
        <v/>
      </c>
      <c r="I520" s="56" t="str">
        <f>IF(OR($C520="",$E520=""),"",IF($F520="완료",IF($G520="","",MAX(0,$G520-$E520)),IF($F520="취소","",MAX(0,TODAY()-$E520))))</f>
        <v/>
      </c>
      <c r="J520" s="50" t="n"/>
      <c r="K520" s="52" t="str">
        <f>IF($A520="","",$A520&amp;"|"&amp;$L520)</f>
        <v/>
      </c>
      <c r="L520" s="52" t="str">
        <f>IF($A520="","",COUNTIFS($A$3:$A520,$A520))</f>
        <v/>
      </c>
    </row>
    <row r="521" ht="15" customHeight="1" s="41">
      <c r="A521" s="50" t="n"/>
      <c r="B521" s="52" t="str">
        <f>IF($A521="","",IFERROR(INDEX(회의록!$C$3:$C$302,MATCH($A521,회의록!$A$3:$A$302,0)),"회의번호없음"))</f>
        <v/>
      </c>
      <c r="C521" s="50" t="n"/>
      <c r="D521" s="49" t="n"/>
      <c r="E521" s="53" t="n"/>
      <c r="F521" s="49" t="n"/>
      <c r="G521" s="53" t="n"/>
      <c r="H521" s="56" t="str">
        <f>IF(OR($C521="",$E521="",$F521="완료",$F521="취소"),"",$E521-TODAY())</f>
        <v/>
      </c>
      <c r="I521" s="56" t="str">
        <f>IF(OR($C521="",$E521=""),"",IF($F521="완료",IF($G521="","",MAX(0,$G521-$E521)),IF($F521="취소","",MAX(0,TODAY()-$E521))))</f>
        <v/>
      </c>
      <c r="J521" s="50" t="n"/>
      <c r="K521" s="52" t="str">
        <f>IF($A521="","",$A521&amp;"|"&amp;$L521)</f>
        <v/>
      </c>
      <c r="L521" s="52" t="str">
        <f>IF($A521="","",COUNTIFS($A$3:$A521,$A521))</f>
        <v/>
      </c>
    </row>
    <row r="522" ht="15" customHeight="1" s="41">
      <c r="A522" s="50" t="n"/>
      <c r="B522" s="52" t="str">
        <f>IF($A522="","",IFERROR(INDEX(회의록!$C$3:$C$302,MATCH($A522,회의록!$A$3:$A$302,0)),"회의번호없음"))</f>
        <v/>
      </c>
      <c r="C522" s="50" t="n"/>
      <c r="D522" s="49" t="n"/>
      <c r="E522" s="53" t="n"/>
      <c r="F522" s="49" t="n"/>
      <c r="G522" s="53" t="n"/>
      <c r="H522" s="56" t="str">
        <f>IF(OR($C522="",$E522="",$F522="완료",$F522="취소"),"",$E522-TODAY())</f>
        <v/>
      </c>
      <c r="I522" s="56" t="str">
        <f>IF(OR($C522="",$E522=""),"",IF($F522="완료",IF($G522="","",MAX(0,$G522-$E522)),IF($F522="취소","",MAX(0,TODAY()-$E522))))</f>
        <v/>
      </c>
      <c r="J522" s="50" t="n"/>
      <c r="K522" s="52" t="str">
        <f>IF($A522="","",$A522&amp;"|"&amp;$L522)</f>
        <v/>
      </c>
      <c r="L522" s="52" t="str">
        <f>IF($A522="","",COUNTIFS($A$3:$A522,$A522))</f>
        <v/>
      </c>
    </row>
    <row r="523" ht="15" customHeight="1" s="41">
      <c r="A523" s="50" t="n"/>
      <c r="B523" s="52" t="str">
        <f>IF($A523="","",IFERROR(INDEX(회의록!$C$3:$C$302,MATCH($A523,회의록!$A$3:$A$302,0)),"회의번호없음"))</f>
        <v/>
      </c>
      <c r="C523" s="50" t="n"/>
      <c r="D523" s="49" t="n"/>
      <c r="E523" s="53" t="n"/>
      <c r="F523" s="49" t="n"/>
      <c r="G523" s="53" t="n"/>
      <c r="H523" s="56" t="str">
        <f>IF(OR($C523="",$E523="",$F523="완료",$F523="취소"),"",$E523-TODAY())</f>
        <v/>
      </c>
      <c r="I523" s="56" t="str">
        <f>IF(OR($C523="",$E523=""),"",IF($F523="완료",IF($G523="","",MAX(0,$G523-$E523)),IF($F523="취소","",MAX(0,TODAY()-$E523))))</f>
        <v/>
      </c>
      <c r="J523" s="50" t="n"/>
      <c r="K523" s="52" t="str">
        <f>IF($A523="","",$A523&amp;"|"&amp;$L523)</f>
        <v/>
      </c>
      <c r="L523" s="52" t="str">
        <f>IF($A523="","",COUNTIFS($A$3:$A523,$A523))</f>
        <v/>
      </c>
    </row>
    <row r="524" ht="15" customHeight="1" s="41">
      <c r="A524" s="50" t="n"/>
      <c r="B524" s="52" t="str">
        <f>IF($A524="","",IFERROR(INDEX(회의록!$C$3:$C$302,MATCH($A524,회의록!$A$3:$A$302,0)),"회의번호없음"))</f>
        <v/>
      </c>
      <c r="C524" s="50" t="n"/>
      <c r="D524" s="49" t="n"/>
      <c r="E524" s="53" t="n"/>
      <c r="F524" s="49" t="n"/>
      <c r="G524" s="53" t="n"/>
      <c r="H524" s="56" t="str">
        <f>IF(OR($C524="",$E524="",$F524="완료",$F524="취소"),"",$E524-TODAY())</f>
        <v/>
      </c>
      <c r="I524" s="56" t="str">
        <f>IF(OR($C524="",$E524=""),"",IF($F524="완료",IF($G524="","",MAX(0,$G524-$E524)),IF($F524="취소","",MAX(0,TODAY()-$E524))))</f>
        <v/>
      </c>
      <c r="J524" s="50" t="n"/>
      <c r="K524" s="52" t="str">
        <f>IF($A524="","",$A524&amp;"|"&amp;$L524)</f>
        <v/>
      </c>
      <c r="L524" s="52" t="str">
        <f>IF($A524="","",COUNTIFS($A$3:$A524,$A524))</f>
        <v/>
      </c>
    </row>
    <row r="525" ht="15" customHeight="1" s="41">
      <c r="A525" s="50" t="n"/>
      <c r="B525" s="52" t="str">
        <f>IF($A525="","",IFERROR(INDEX(회의록!$C$3:$C$302,MATCH($A525,회의록!$A$3:$A$302,0)),"회의번호없음"))</f>
        <v/>
      </c>
      <c r="C525" s="50" t="n"/>
      <c r="D525" s="49" t="n"/>
      <c r="E525" s="53" t="n"/>
      <c r="F525" s="49" t="n"/>
      <c r="G525" s="53" t="n"/>
      <c r="H525" s="56" t="str">
        <f>IF(OR($C525="",$E525="",$F525="완료",$F525="취소"),"",$E525-TODAY())</f>
        <v/>
      </c>
      <c r="I525" s="56" t="str">
        <f>IF(OR($C525="",$E525=""),"",IF($F525="완료",IF($G525="","",MAX(0,$G525-$E525)),IF($F525="취소","",MAX(0,TODAY()-$E525))))</f>
        <v/>
      </c>
      <c r="J525" s="50" t="n"/>
      <c r="K525" s="52" t="str">
        <f>IF($A525="","",$A525&amp;"|"&amp;$L525)</f>
        <v/>
      </c>
      <c r="L525" s="52" t="str">
        <f>IF($A525="","",COUNTIFS($A$3:$A525,$A525))</f>
        <v/>
      </c>
    </row>
    <row r="526" ht="15" customHeight="1" s="41">
      <c r="A526" s="50" t="n"/>
      <c r="B526" s="52" t="str">
        <f>IF($A526="","",IFERROR(INDEX(회의록!$C$3:$C$302,MATCH($A526,회의록!$A$3:$A$302,0)),"회의번호없음"))</f>
        <v/>
      </c>
      <c r="C526" s="50" t="n"/>
      <c r="D526" s="49" t="n"/>
      <c r="E526" s="53" t="n"/>
      <c r="F526" s="49" t="n"/>
      <c r="G526" s="53" t="n"/>
      <c r="H526" s="56" t="str">
        <f>IF(OR($C526="",$E526="",$F526="완료",$F526="취소"),"",$E526-TODAY())</f>
        <v/>
      </c>
      <c r="I526" s="56" t="str">
        <f>IF(OR($C526="",$E526=""),"",IF($F526="완료",IF($G526="","",MAX(0,$G526-$E526)),IF($F526="취소","",MAX(0,TODAY()-$E526))))</f>
        <v/>
      </c>
      <c r="J526" s="50" t="n"/>
      <c r="K526" s="52" t="str">
        <f>IF($A526="","",$A526&amp;"|"&amp;$L526)</f>
        <v/>
      </c>
      <c r="L526" s="52" t="str">
        <f>IF($A526="","",COUNTIFS($A$3:$A526,$A526))</f>
        <v/>
      </c>
    </row>
    <row r="527" ht="15" customHeight="1" s="41">
      <c r="A527" s="50" t="n"/>
      <c r="B527" s="52" t="str">
        <f>IF($A527="","",IFERROR(INDEX(회의록!$C$3:$C$302,MATCH($A527,회의록!$A$3:$A$302,0)),"회의번호없음"))</f>
        <v/>
      </c>
      <c r="C527" s="50" t="n"/>
      <c r="D527" s="49" t="n"/>
      <c r="E527" s="53" t="n"/>
      <c r="F527" s="49" t="n"/>
      <c r="G527" s="53" t="n"/>
      <c r="H527" s="56" t="str">
        <f>IF(OR($C527="",$E527="",$F527="완료",$F527="취소"),"",$E527-TODAY())</f>
        <v/>
      </c>
      <c r="I527" s="56" t="str">
        <f>IF(OR($C527="",$E527=""),"",IF($F527="완료",IF($G527="","",MAX(0,$G527-$E527)),IF($F527="취소","",MAX(0,TODAY()-$E527))))</f>
        <v/>
      </c>
      <c r="J527" s="50" t="n"/>
      <c r="K527" s="52" t="str">
        <f>IF($A527="","",$A527&amp;"|"&amp;$L527)</f>
        <v/>
      </c>
      <c r="L527" s="52" t="str">
        <f>IF($A527="","",COUNTIFS($A$3:$A527,$A527))</f>
        <v/>
      </c>
    </row>
    <row r="528" ht="15" customHeight="1" s="41">
      <c r="A528" s="50" t="n"/>
      <c r="B528" s="52" t="str">
        <f>IF($A528="","",IFERROR(INDEX(회의록!$C$3:$C$302,MATCH($A528,회의록!$A$3:$A$302,0)),"회의번호없음"))</f>
        <v/>
      </c>
      <c r="C528" s="50" t="n"/>
      <c r="D528" s="49" t="n"/>
      <c r="E528" s="53" t="n"/>
      <c r="F528" s="49" t="n"/>
      <c r="G528" s="53" t="n"/>
      <c r="H528" s="56" t="str">
        <f>IF(OR($C528="",$E528="",$F528="완료",$F528="취소"),"",$E528-TODAY())</f>
        <v/>
      </c>
      <c r="I528" s="56" t="str">
        <f>IF(OR($C528="",$E528=""),"",IF($F528="완료",IF($G528="","",MAX(0,$G528-$E528)),IF($F528="취소","",MAX(0,TODAY()-$E528))))</f>
        <v/>
      </c>
      <c r="J528" s="50" t="n"/>
      <c r="K528" s="52" t="str">
        <f>IF($A528="","",$A528&amp;"|"&amp;$L528)</f>
        <v/>
      </c>
      <c r="L528" s="52" t="str">
        <f>IF($A528="","",COUNTIFS($A$3:$A528,$A528))</f>
        <v/>
      </c>
    </row>
    <row r="529" ht="15" customHeight="1" s="41">
      <c r="A529" s="50" t="n"/>
      <c r="B529" s="52" t="str">
        <f>IF($A529="","",IFERROR(INDEX(회의록!$C$3:$C$302,MATCH($A529,회의록!$A$3:$A$302,0)),"회의번호없음"))</f>
        <v/>
      </c>
      <c r="C529" s="50" t="n"/>
      <c r="D529" s="49" t="n"/>
      <c r="E529" s="53" t="n"/>
      <c r="F529" s="49" t="n"/>
      <c r="G529" s="53" t="n"/>
      <c r="H529" s="56" t="str">
        <f>IF(OR($C529="",$E529="",$F529="완료",$F529="취소"),"",$E529-TODAY())</f>
        <v/>
      </c>
      <c r="I529" s="56" t="str">
        <f>IF(OR($C529="",$E529=""),"",IF($F529="완료",IF($G529="","",MAX(0,$G529-$E529)),IF($F529="취소","",MAX(0,TODAY()-$E529))))</f>
        <v/>
      </c>
      <c r="J529" s="50" t="n"/>
      <c r="K529" s="52" t="str">
        <f>IF($A529="","",$A529&amp;"|"&amp;$L529)</f>
        <v/>
      </c>
      <c r="L529" s="52" t="str">
        <f>IF($A529="","",COUNTIFS($A$3:$A529,$A529))</f>
        <v/>
      </c>
    </row>
    <row r="530" ht="15" customHeight="1" s="41">
      <c r="A530" s="50" t="n"/>
      <c r="B530" s="52" t="str">
        <f>IF($A530="","",IFERROR(INDEX(회의록!$C$3:$C$302,MATCH($A530,회의록!$A$3:$A$302,0)),"회의번호없음"))</f>
        <v/>
      </c>
      <c r="C530" s="50" t="n"/>
      <c r="D530" s="49" t="n"/>
      <c r="E530" s="53" t="n"/>
      <c r="F530" s="49" t="n"/>
      <c r="G530" s="53" t="n"/>
      <c r="H530" s="56" t="str">
        <f>IF(OR($C530="",$E530="",$F530="완료",$F530="취소"),"",$E530-TODAY())</f>
        <v/>
      </c>
      <c r="I530" s="56" t="str">
        <f>IF(OR($C530="",$E530=""),"",IF($F530="완료",IF($G530="","",MAX(0,$G530-$E530)),IF($F530="취소","",MAX(0,TODAY()-$E530))))</f>
        <v/>
      </c>
      <c r="J530" s="50" t="n"/>
      <c r="K530" s="52" t="str">
        <f>IF($A530="","",$A530&amp;"|"&amp;$L530)</f>
        <v/>
      </c>
      <c r="L530" s="52" t="str">
        <f>IF($A530="","",COUNTIFS($A$3:$A530,$A530))</f>
        <v/>
      </c>
    </row>
    <row r="531" ht="15" customHeight="1" s="41">
      <c r="A531" s="50" t="n"/>
      <c r="B531" s="52" t="str">
        <f>IF($A531="","",IFERROR(INDEX(회의록!$C$3:$C$302,MATCH($A531,회의록!$A$3:$A$302,0)),"회의번호없음"))</f>
        <v/>
      </c>
      <c r="C531" s="50" t="n"/>
      <c r="D531" s="49" t="n"/>
      <c r="E531" s="53" t="n"/>
      <c r="F531" s="49" t="n"/>
      <c r="G531" s="53" t="n"/>
      <c r="H531" s="56" t="str">
        <f>IF(OR($C531="",$E531="",$F531="완료",$F531="취소"),"",$E531-TODAY())</f>
        <v/>
      </c>
      <c r="I531" s="56" t="str">
        <f>IF(OR($C531="",$E531=""),"",IF($F531="완료",IF($G531="","",MAX(0,$G531-$E531)),IF($F531="취소","",MAX(0,TODAY()-$E531))))</f>
        <v/>
      </c>
      <c r="J531" s="50" t="n"/>
      <c r="K531" s="52" t="str">
        <f>IF($A531="","",$A531&amp;"|"&amp;$L531)</f>
        <v/>
      </c>
      <c r="L531" s="52" t="str">
        <f>IF($A531="","",COUNTIFS($A$3:$A531,$A531))</f>
        <v/>
      </c>
    </row>
    <row r="532" ht="15" customHeight="1" s="41">
      <c r="A532" s="50" t="n"/>
      <c r="B532" s="52" t="str">
        <f>IF($A532="","",IFERROR(INDEX(회의록!$C$3:$C$302,MATCH($A532,회의록!$A$3:$A$302,0)),"회의번호없음"))</f>
        <v/>
      </c>
      <c r="C532" s="50" t="n"/>
      <c r="D532" s="49" t="n"/>
      <c r="E532" s="53" t="n"/>
      <c r="F532" s="49" t="n"/>
      <c r="G532" s="53" t="n"/>
      <c r="H532" s="56" t="str">
        <f>IF(OR($C532="",$E532="",$F532="완료",$F532="취소"),"",$E532-TODAY())</f>
        <v/>
      </c>
      <c r="I532" s="56" t="str">
        <f>IF(OR($C532="",$E532=""),"",IF($F532="완료",IF($G532="","",MAX(0,$G532-$E532)),IF($F532="취소","",MAX(0,TODAY()-$E532))))</f>
        <v/>
      </c>
      <c r="J532" s="50" t="n"/>
      <c r="K532" s="52" t="str">
        <f>IF($A532="","",$A532&amp;"|"&amp;$L532)</f>
        <v/>
      </c>
      <c r="L532" s="52" t="str">
        <f>IF($A532="","",COUNTIFS($A$3:$A532,$A532))</f>
        <v/>
      </c>
    </row>
    <row r="533" ht="15" customHeight="1" s="41">
      <c r="A533" s="50" t="n"/>
      <c r="B533" s="52" t="str">
        <f>IF($A533="","",IFERROR(INDEX(회의록!$C$3:$C$302,MATCH($A533,회의록!$A$3:$A$302,0)),"회의번호없음"))</f>
        <v/>
      </c>
      <c r="C533" s="50" t="n"/>
      <c r="D533" s="49" t="n"/>
      <c r="E533" s="53" t="n"/>
      <c r="F533" s="49" t="n"/>
      <c r="G533" s="53" t="n"/>
      <c r="H533" s="56" t="str">
        <f>IF(OR($C533="",$E533="",$F533="완료",$F533="취소"),"",$E533-TODAY())</f>
        <v/>
      </c>
      <c r="I533" s="56" t="str">
        <f>IF(OR($C533="",$E533=""),"",IF($F533="완료",IF($G533="","",MAX(0,$G533-$E533)),IF($F533="취소","",MAX(0,TODAY()-$E533))))</f>
        <v/>
      </c>
      <c r="J533" s="50" t="n"/>
      <c r="K533" s="52" t="str">
        <f>IF($A533="","",$A533&amp;"|"&amp;$L533)</f>
        <v/>
      </c>
      <c r="L533" s="52" t="str">
        <f>IF($A533="","",COUNTIFS($A$3:$A533,$A533))</f>
        <v/>
      </c>
    </row>
    <row r="534" ht="15" customHeight="1" s="41">
      <c r="A534" s="50" t="n"/>
      <c r="B534" s="52" t="str">
        <f>IF($A534="","",IFERROR(INDEX(회의록!$C$3:$C$302,MATCH($A534,회의록!$A$3:$A$302,0)),"회의번호없음"))</f>
        <v/>
      </c>
      <c r="C534" s="50" t="n"/>
      <c r="D534" s="49" t="n"/>
      <c r="E534" s="53" t="n"/>
      <c r="F534" s="49" t="n"/>
      <c r="G534" s="53" t="n"/>
      <c r="H534" s="56" t="str">
        <f>IF(OR($C534="",$E534="",$F534="완료",$F534="취소"),"",$E534-TODAY())</f>
        <v/>
      </c>
      <c r="I534" s="56" t="str">
        <f>IF(OR($C534="",$E534=""),"",IF($F534="완료",IF($G534="","",MAX(0,$G534-$E534)),IF($F534="취소","",MAX(0,TODAY()-$E534))))</f>
        <v/>
      </c>
      <c r="J534" s="50" t="n"/>
      <c r="K534" s="52" t="str">
        <f>IF($A534="","",$A534&amp;"|"&amp;$L534)</f>
        <v/>
      </c>
      <c r="L534" s="52" t="str">
        <f>IF($A534="","",COUNTIFS($A$3:$A534,$A534))</f>
        <v/>
      </c>
    </row>
    <row r="535" ht="15" customHeight="1" s="41">
      <c r="A535" s="50" t="n"/>
      <c r="B535" s="52" t="str">
        <f>IF($A535="","",IFERROR(INDEX(회의록!$C$3:$C$302,MATCH($A535,회의록!$A$3:$A$302,0)),"회의번호없음"))</f>
        <v/>
      </c>
      <c r="C535" s="50" t="n"/>
      <c r="D535" s="49" t="n"/>
      <c r="E535" s="53" t="n"/>
      <c r="F535" s="49" t="n"/>
      <c r="G535" s="53" t="n"/>
      <c r="H535" s="56" t="str">
        <f>IF(OR($C535="",$E535="",$F535="완료",$F535="취소"),"",$E535-TODAY())</f>
        <v/>
      </c>
      <c r="I535" s="56" t="str">
        <f>IF(OR($C535="",$E535=""),"",IF($F535="완료",IF($G535="","",MAX(0,$G535-$E535)),IF($F535="취소","",MAX(0,TODAY()-$E535))))</f>
        <v/>
      </c>
      <c r="J535" s="50" t="n"/>
      <c r="K535" s="52" t="str">
        <f>IF($A535="","",$A535&amp;"|"&amp;$L535)</f>
        <v/>
      </c>
      <c r="L535" s="52" t="str">
        <f>IF($A535="","",COUNTIFS($A$3:$A535,$A535))</f>
        <v/>
      </c>
    </row>
    <row r="536" ht="15" customHeight="1" s="41">
      <c r="A536" s="50" t="n"/>
      <c r="B536" s="52" t="str">
        <f>IF($A536="","",IFERROR(INDEX(회의록!$C$3:$C$302,MATCH($A536,회의록!$A$3:$A$302,0)),"회의번호없음"))</f>
        <v/>
      </c>
      <c r="C536" s="50" t="n"/>
      <c r="D536" s="49" t="n"/>
      <c r="E536" s="53" t="n"/>
      <c r="F536" s="49" t="n"/>
      <c r="G536" s="53" t="n"/>
      <c r="H536" s="56" t="str">
        <f>IF(OR($C536="",$E536="",$F536="완료",$F536="취소"),"",$E536-TODAY())</f>
        <v/>
      </c>
      <c r="I536" s="56" t="str">
        <f>IF(OR($C536="",$E536=""),"",IF($F536="완료",IF($G536="","",MAX(0,$G536-$E536)),IF($F536="취소","",MAX(0,TODAY()-$E536))))</f>
        <v/>
      </c>
      <c r="J536" s="50" t="n"/>
      <c r="K536" s="52" t="str">
        <f>IF($A536="","",$A536&amp;"|"&amp;$L536)</f>
        <v/>
      </c>
      <c r="L536" s="52" t="str">
        <f>IF($A536="","",COUNTIFS($A$3:$A536,$A536))</f>
        <v/>
      </c>
    </row>
    <row r="537" ht="15" customHeight="1" s="41">
      <c r="A537" s="50" t="n"/>
      <c r="B537" s="52" t="str">
        <f>IF($A537="","",IFERROR(INDEX(회의록!$C$3:$C$302,MATCH($A537,회의록!$A$3:$A$302,0)),"회의번호없음"))</f>
        <v/>
      </c>
      <c r="C537" s="50" t="n"/>
      <c r="D537" s="49" t="n"/>
      <c r="E537" s="53" t="n"/>
      <c r="F537" s="49" t="n"/>
      <c r="G537" s="53" t="n"/>
      <c r="H537" s="56" t="str">
        <f>IF(OR($C537="",$E537="",$F537="완료",$F537="취소"),"",$E537-TODAY())</f>
        <v/>
      </c>
      <c r="I537" s="56" t="str">
        <f>IF(OR($C537="",$E537=""),"",IF($F537="완료",IF($G537="","",MAX(0,$G537-$E537)),IF($F537="취소","",MAX(0,TODAY()-$E537))))</f>
        <v/>
      </c>
      <c r="J537" s="50" t="n"/>
      <c r="K537" s="52" t="str">
        <f>IF($A537="","",$A537&amp;"|"&amp;$L537)</f>
        <v/>
      </c>
      <c r="L537" s="52" t="str">
        <f>IF($A537="","",COUNTIFS($A$3:$A537,$A537))</f>
        <v/>
      </c>
    </row>
    <row r="538" ht="15" customHeight="1" s="41">
      <c r="A538" s="50" t="n"/>
      <c r="B538" s="52" t="str">
        <f>IF($A538="","",IFERROR(INDEX(회의록!$C$3:$C$302,MATCH($A538,회의록!$A$3:$A$302,0)),"회의번호없음"))</f>
        <v/>
      </c>
      <c r="C538" s="50" t="n"/>
      <c r="D538" s="49" t="n"/>
      <c r="E538" s="53" t="n"/>
      <c r="F538" s="49" t="n"/>
      <c r="G538" s="53" t="n"/>
      <c r="H538" s="56" t="str">
        <f>IF(OR($C538="",$E538="",$F538="완료",$F538="취소"),"",$E538-TODAY())</f>
        <v/>
      </c>
      <c r="I538" s="56" t="str">
        <f>IF(OR($C538="",$E538=""),"",IF($F538="완료",IF($G538="","",MAX(0,$G538-$E538)),IF($F538="취소","",MAX(0,TODAY()-$E538))))</f>
        <v/>
      </c>
      <c r="J538" s="50" t="n"/>
      <c r="K538" s="52" t="str">
        <f>IF($A538="","",$A538&amp;"|"&amp;$L538)</f>
        <v/>
      </c>
      <c r="L538" s="52" t="str">
        <f>IF($A538="","",COUNTIFS($A$3:$A538,$A538))</f>
        <v/>
      </c>
    </row>
    <row r="539" ht="15" customHeight="1" s="41">
      <c r="A539" s="50" t="n"/>
      <c r="B539" s="52" t="str">
        <f>IF($A539="","",IFERROR(INDEX(회의록!$C$3:$C$302,MATCH($A539,회의록!$A$3:$A$302,0)),"회의번호없음"))</f>
        <v/>
      </c>
      <c r="C539" s="50" t="n"/>
      <c r="D539" s="49" t="n"/>
      <c r="E539" s="53" t="n"/>
      <c r="F539" s="49" t="n"/>
      <c r="G539" s="53" t="n"/>
      <c r="H539" s="56" t="str">
        <f>IF(OR($C539="",$E539="",$F539="완료",$F539="취소"),"",$E539-TODAY())</f>
        <v/>
      </c>
      <c r="I539" s="56" t="str">
        <f>IF(OR($C539="",$E539=""),"",IF($F539="완료",IF($G539="","",MAX(0,$G539-$E539)),IF($F539="취소","",MAX(0,TODAY()-$E539))))</f>
        <v/>
      </c>
      <c r="J539" s="50" t="n"/>
      <c r="K539" s="52" t="str">
        <f>IF($A539="","",$A539&amp;"|"&amp;$L539)</f>
        <v/>
      </c>
      <c r="L539" s="52" t="str">
        <f>IF($A539="","",COUNTIFS($A$3:$A539,$A539))</f>
        <v/>
      </c>
    </row>
    <row r="540" ht="15" customHeight="1" s="41">
      <c r="A540" s="50" t="n"/>
      <c r="B540" s="52" t="str">
        <f>IF($A540="","",IFERROR(INDEX(회의록!$C$3:$C$302,MATCH($A540,회의록!$A$3:$A$302,0)),"회의번호없음"))</f>
        <v/>
      </c>
      <c r="C540" s="50" t="n"/>
      <c r="D540" s="49" t="n"/>
      <c r="E540" s="53" t="n"/>
      <c r="F540" s="49" t="n"/>
      <c r="G540" s="53" t="n"/>
      <c r="H540" s="56" t="str">
        <f>IF(OR($C540="",$E540="",$F540="완료",$F540="취소"),"",$E540-TODAY())</f>
        <v/>
      </c>
      <c r="I540" s="56" t="str">
        <f>IF(OR($C540="",$E540=""),"",IF($F540="완료",IF($G540="","",MAX(0,$G540-$E540)),IF($F540="취소","",MAX(0,TODAY()-$E540))))</f>
        <v/>
      </c>
      <c r="J540" s="50" t="n"/>
      <c r="K540" s="52" t="str">
        <f>IF($A540="","",$A540&amp;"|"&amp;$L540)</f>
        <v/>
      </c>
      <c r="L540" s="52" t="str">
        <f>IF($A540="","",COUNTIFS($A$3:$A540,$A540))</f>
        <v/>
      </c>
    </row>
    <row r="541" ht="15" customHeight="1" s="41">
      <c r="A541" s="50" t="n"/>
      <c r="B541" s="52" t="str">
        <f>IF($A541="","",IFERROR(INDEX(회의록!$C$3:$C$302,MATCH($A541,회의록!$A$3:$A$302,0)),"회의번호없음"))</f>
        <v/>
      </c>
      <c r="C541" s="50" t="n"/>
      <c r="D541" s="49" t="n"/>
      <c r="E541" s="53" t="n"/>
      <c r="F541" s="49" t="n"/>
      <c r="G541" s="53" t="n"/>
      <c r="H541" s="56" t="str">
        <f>IF(OR($C541="",$E541="",$F541="완료",$F541="취소"),"",$E541-TODAY())</f>
        <v/>
      </c>
      <c r="I541" s="56" t="str">
        <f>IF(OR($C541="",$E541=""),"",IF($F541="완료",IF($G541="","",MAX(0,$G541-$E541)),IF($F541="취소","",MAX(0,TODAY()-$E541))))</f>
        <v/>
      </c>
      <c r="J541" s="50" t="n"/>
      <c r="K541" s="52" t="str">
        <f>IF($A541="","",$A541&amp;"|"&amp;$L541)</f>
        <v/>
      </c>
      <c r="L541" s="52" t="str">
        <f>IF($A541="","",COUNTIFS($A$3:$A541,$A541))</f>
        <v/>
      </c>
    </row>
    <row r="542" ht="15" customHeight="1" s="41">
      <c r="A542" s="50" t="n"/>
      <c r="B542" s="52" t="str">
        <f>IF($A542="","",IFERROR(INDEX(회의록!$C$3:$C$302,MATCH($A542,회의록!$A$3:$A$302,0)),"회의번호없음"))</f>
        <v/>
      </c>
      <c r="C542" s="50" t="n"/>
      <c r="D542" s="49" t="n"/>
      <c r="E542" s="53" t="n"/>
      <c r="F542" s="49" t="n"/>
      <c r="G542" s="53" t="n"/>
      <c r="H542" s="56" t="str">
        <f>IF(OR($C542="",$E542="",$F542="완료",$F542="취소"),"",$E542-TODAY())</f>
        <v/>
      </c>
      <c r="I542" s="56" t="str">
        <f>IF(OR($C542="",$E542=""),"",IF($F542="완료",IF($G542="","",MAX(0,$G542-$E542)),IF($F542="취소","",MAX(0,TODAY()-$E542))))</f>
        <v/>
      </c>
      <c r="J542" s="50" t="n"/>
      <c r="K542" s="52" t="str">
        <f>IF($A542="","",$A542&amp;"|"&amp;$L542)</f>
        <v/>
      </c>
      <c r="L542" s="52" t="str">
        <f>IF($A542="","",COUNTIFS($A$3:$A542,$A542))</f>
        <v/>
      </c>
    </row>
    <row r="543" ht="15" customHeight="1" s="41">
      <c r="A543" s="50" t="n"/>
      <c r="B543" s="52" t="str">
        <f>IF($A543="","",IFERROR(INDEX(회의록!$C$3:$C$302,MATCH($A543,회의록!$A$3:$A$302,0)),"회의번호없음"))</f>
        <v/>
      </c>
      <c r="C543" s="50" t="n"/>
      <c r="D543" s="49" t="n"/>
      <c r="E543" s="53" t="n"/>
      <c r="F543" s="49" t="n"/>
      <c r="G543" s="53" t="n"/>
      <c r="H543" s="56" t="str">
        <f>IF(OR($C543="",$E543="",$F543="완료",$F543="취소"),"",$E543-TODAY())</f>
        <v/>
      </c>
      <c r="I543" s="56" t="str">
        <f>IF(OR($C543="",$E543=""),"",IF($F543="완료",IF($G543="","",MAX(0,$G543-$E543)),IF($F543="취소","",MAX(0,TODAY()-$E543))))</f>
        <v/>
      </c>
      <c r="J543" s="50" t="n"/>
      <c r="K543" s="52" t="str">
        <f>IF($A543="","",$A543&amp;"|"&amp;$L543)</f>
        <v/>
      </c>
      <c r="L543" s="52" t="str">
        <f>IF($A543="","",COUNTIFS($A$3:$A543,$A543))</f>
        <v/>
      </c>
    </row>
    <row r="544" ht="15" customHeight="1" s="41">
      <c r="A544" s="50" t="n"/>
      <c r="B544" s="52" t="str">
        <f>IF($A544="","",IFERROR(INDEX(회의록!$C$3:$C$302,MATCH($A544,회의록!$A$3:$A$302,0)),"회의번호없음"))</f>
        <v/>
      </c>
      <c r="C544" s="50" t="n"/>
      <c r="D544" s="49" t="n"/>
      <c r="E544" s="53" t="n"/>
      <c r="F544" s="49" t="n"/>
      <c r="G544" s="53" t="n"/>
      <c r="H544" s="56" t="str">
        <f>IF(OR($C544="",$E544="",$F544="완료",$F544="취소"),"",$E544-TODAY())</f>
        <v/>
      </c>
      <c r="I544" s="56" t="str">
        <f>IF(OR($C544="",$E544=""),"",IF($F544="완료",IF($G544="","",MAX(0,$G544-$E544)),IF($F544="취소","",MAX(0,TODAY()-$E544))))</f>
        <v/>
      </c>
      <c r="J544" s="50" t="n"/>
      <c r="K544" s="52" t="str">
        <f>IF($A544="","",$A544&amp;"|"&amp;$L544)</f>
        <v/>
      </c>
      <c r="L544" s="52" t="str">
        <f>IF($A544="","",COUNTIFS($A$3:$A544,$A544))</f>
        <v/>
      </c>
    </row>
    <row r="545" ht="15" customHeight="1" s="41">
      <c r="A545" s="50" t="n"/>
      <c r="B545" s="52" t="str">
        <f>IF($A545="","",IFERROR(INDEX(회의록!$C$3:$C$302,MATCH($A545,회의록!$A$3:$A$302,0)),"회의번호없음"))</f>
        <v/>
      </c>
      <c r="C545" s="50" t="n"/>
      <c r="D545" s="49" t="n"/>
      <c r="E545" s="53" t="n"/>
      <c r="F545" s="49" t="n"/>
      <c r="G545" s="53" t="n"/>
      <c r="H545" s="56" t="str">
        <f>IF(OR($C545="",$E545="",$F545="완료",$F545="취소"),"",$E545-TODAY())</f>
        <v/>
      </c>
      <c r="I545" s="56" t="str">
        <f>IF(OR($C545="",$E545=""),"",IF($F545="완료",IF($G545="","",MAX(0,$G545-$E545)),IF($F545="취소","",MAX(0,TODAY()-$E545))))</f>
        <v/>
      </c>
      <c r="J545" s="50" t="n"/>
      <c r="K545" s="52" t="str">
        <f>IF($A545="","",$A545&amp;"|"&amp;$L545)</f>
        <v/>
      </c>
      <c r="L545" s="52" t="str">
        <f>IF($A545="","",COUNTIFS($A$3:$A545,$A545))</f>
        <v/>
      </c>
    </row>
    <row r="546" ht="15" customHeight="1" s="41">
      <c r="A546" s="50" t="n"/>
      <c r="B546" s="52" t="str">
        <f>IF($A546="","",IFERROR(INDEX(회의록!$C$3:$C$302,MATCH($A546,회의록!$A$3:$A$302,0)),"회의번호없음"))</f>
        <v/>
      </c>
      <c r="C546" s="50" t="n"/>
      <c r="D546" s="49" t="n"/>
      <c r="E546" s="53" t="n"/>
      <c r="F546" s="49" t="n"/>
      <c r="G546" s="53" t="n"/>
      <c r="H546" s="56" t="str">
        <f>IF(OR($C546="",$E546="",$F546="완료",$F546="취소"),"",$E546-TODAY())</f>
        <v/>
      </c>
      <c r="I546" s="56" t="str">
        <f>IF(OR($C546="",$E546=""),"",IF($F546="완료",IF($G546="","",MAX(0,$G546-$E546)),IF($F546="취소","",MAX(0,TODAY()-$E546))))</f>
        <v/>
      </c>
      <c r="J546" s="50" t="n"/>
      <c r="K546" s="52" t="str">
        <f>IF($A546="","",$A546&amp;"|"&amp;$L546)</f>
        <v/>
      </c>
      <c r="L546" s="52" t="str">
        <f>IF($A546="","",COUNTIFS($A$3:$A546,$A546))</f>
        <v/>
      </c>
    </row>
    <row r="547" ht="15" customHeight="1" s="41">
      <c r="A547" s="50" t="n"/>
      <c r="B547" s="52" t="str">
        <f>IF($A547="","",IFERROR(INDEX(회의록!$C$3:$C$302,MATCH($A547,회의록!$A$3:$A$302,0)),"회의번호없음"))</f>
        <v/>
      </c>
      <c r="C547" s="50" t="n"/>
      <c r="D547" s="49" t="n"/>
      <c r="E547" s="53" t="n"/>
      <c r="F547" s="49" t="n"/>
      <c r="G547" s="53" t="n"/>
      <c r="H547" s="56" t="str">
        <f>IF(OR($C547="",$E547="",$F547="완료",$F547="취소"),"",$E547-TODAY())</f>
        <v/>
      </c>
      <c r="I547" s="56" t="str">
        <f>IF(OR($C547="",$E547=""),"",IF($F547="완료",IF($G547="","",MAX(0,$G547-$E547)),IF($F547="취소","",MAX(0,TODAY()-$E547))))</f>
        <v/>
      </c>
      <c r="J547" s="50" t="n"/>
      <c r="K547" s="52" t="str">
        <f>IF($A547="","",$A547&amp;"|"&amp;$L547)</f>
        <v/>
      </c>
      <c r="L547" s="52" t="str">
        <f>IF($A547="","",COUNTIFS($A$3:$A547,$A547))</f>
        <v/>
      </c>
    </row>
    <row r="548" ht="15" customHeight="1" s="41">
      <c r="A548" s="50" t="n"/>
      <c r="B548" s="52" t="str">
        <f>IF($A548="","",IFERROR(INDEX(회의록!$C$3:$C$302,MATCH($A548,회의록!$A$3:$A$302,0)),"회의번호없음"))</f>
        <v/>
      </c>
      <c r="C548" s="50" t="n"/>
      <c r="D548" s="49" t="n"/>
      <c r="E548" s="53" t="n"/>
      <c r="F548" s="49" t="n"/>
      <c r="G548" s="53" t="n"/>
      <c r="H548" s="56" t="str">
        <f>IF(OR($C548="",$E548="",$F548="완료",$F548="취소"),"",$E548-TODAY())</f>
        <v/>
      </c>
      <c r="I548" s="56" t="str">
        <f>IF(OR($C548="",$E548=""),"",IF($F548="완료",IF($G548="","",MAX(0,$G548-$E548)),IF($F548="취소","",MAX(0,TODAY()-$E548))))</f>
        <v/>
      </c>
      <c r="J548" s="50" t="n"/>
      <c r="K548" s="52" t="str">
        <f>IF($A548="","",$A548&amp;"|"&amp;$L548)</f>
        <v/>
      </c>
      <c r="L548" s="52" t="str">
        <f>IF($A548="","",COUNTIFS($A$3:$A548,$A548))</f>
        <v/>
      </c>
    </row>
    <row r="549" ht="15" customHeight="1" s="41">
      <c r="A549" s="50" t="n"/>
      <c r="B549" s="52" t="str">
        <f>IF($A549="","",IFERROR(INDEX(회의록!$C$3:$C$302,MATCH($A549,회의록!$A$3:$A$302,0)),"회의번호없음"))</f>
        <v/>
      </c>
      <c r="C549" s="50" t="n"/>
      <c r="D549" s="49" t="n"/>
      <c r="E549" s="53" t="n"/>
      <c r="F549" s="49" t="n"/>
      <c r="G549" s="53" t="n"/>
      <c r="H549" s="56" t="str">
        <f>IF(OR($C549="",$E549="",$F549="완료",$F549="취소"),"",$E549-TODAY())</f>
        <v/>
      </c>
      <c r="I549" s="56" t="str">
        <f>IF(OR($C549="",$E549=""),"",IF($F549="완료",IF($G549="","",MAX(0,$G549-$E549)),IF($F549="취소","",MAX(0,TODAY()-$E549))))</f>
        <v/>
      </c>
      <c r="J549" s="50" t="n"/>
      <c r="K549" s="52" t="str">
        <f>IF($A549="","",$A549&amp;"|"&amp;$L549)</f>
        <v/>
      </c>
      <c r="L549" s="52" t="str">
        <f>IF($A549="","",COUNTIFS($A$3:$A549,$A549))</f>
        <v/>
      </c>
    </row>
    <row r="550" ht="15" customHeight="1" s="41">
      <c r="A550" s="50" t="n"/>
      <c r="B550" s="52" t="str">
        <f>IF($A550="","",IFERROR(INDEX(회의록!$C$3:$C$302,MATCH($A550,회의록!$A$3:$A$302,0)),"회의번호없음"))</f>
        <v/>
      </c>
      <c r="C550" s="50" t="n"/>
      <c r="D550" s="49" t="n"/>
      <c r="E550" s="53" t="n"/>
      <c r="F550" s="49" t="n"/>
      <c r="G550" s="53" t="n"/>
      <c r="H550" s="56" t="str">
        <f>IF(OR($C550="",$E550="",$F550="완료",$F550="취소"),"",$E550-TODAY())</f>
        <v/>
      </c>
      <c r="I550" s="56" t="str">
        <f>IF(OR($C550="",$E550=""),"",IF($F550="완료",IF($G550="","",MAX(0,$G550-$E550)),IF($F550="취소","",MAX(0,TODAY()-$E550))))</f>
        <v/>
      </c>
      <c r="J550" s="50" t="n"/>
      <c r="K550" s="52" t="str">
        <f>IF($A550="","",$A550&amp;"|"&amp;$L550)</f>
        <v/>
      </c>
      <c r="L550" s="52" t="str">
        <f>IF($A550="","",COUNTIFS($A$3:$A550,$A550))</f>
        <v/>
      </c>
    </row>
    <row r="551" ht="15" customHeight="1" s="41">
      <c r="A551" s="50" t="n"/>
      <c r="B551" s="52" t="str">
        <f>IF($A551="","",IFERROR(INDEX(회의록!$C$3:$C$302,MATCH($A551,회의록!$A$3:$A$302,0)),"회의번호없음"))</f>
        <v/>
      </c>
      <c r="C551" s="50" t="n"/>
      <c r="D551" s="49" t="n"/>
      <c r="E551" s="53" t="n"/>
      <c r="F551" s="49" t="n"/>
      <c r="G551" s="53" t="n"/>
      <c r="H551" s="56" t="str">
        <f>IF(OR($C551="",$E551="",$F551="완료",$F551="취소"),"",$E551-TODAY())</f>
        <v/>
      </c>
      <c r="I551" s="56" t="str">
        <f>IF(OR($C551="",$E551=""),"",IF($F551="완료",IF($G551="","",MAX(0,$G551-$E551)),IF($F551="취소","",MAX(0,TODAY()-$E551))))</f>
        <v/>
      </c>
      <c r="J551" s="50" t="n"/>
      <c r="K551" s="52" t="str">
        <f>IF($A551="","",$A551&amp;"|"&amp;$L551)</f>
        <v/>
      </c>
      <c r="L551" s="52" t="str">
        <f>IF($A551="","",COUNTIFS($A$3:$A551,$A551))</f>
        <v/>
      </c>
    </row>
    <row r="552" ht="15" customHeight="1" s="41">
      <c r="A552" s="50" t="n"/>
      <c r="B552" s="52" t="str">
        <f>IF($A552="","",IFERROR(INDEX(회의록!$C$3:$C$302,MATCH($A552,회의록!$A$3:$A$302,0)),"회의번호없음"))</f>
        <v/>
      </c>
      <c r="C552" s="50" t="n"/>
      <c r="D552" s="49" t="n"/>
      <c r="E552" s="53" t="n"/>
      <c r="F552" s="49" t="n"/>
      <c r="G552" s="53" t="n"/>
      <c r="H552" s="56" t="str">
        <f>IF(OR($C552="",$E552="",$F552="완료",$F552="취소"),"",$E552-TODAY())</f>
        <v/>
      </c>
      <c r="I552" s="56" t="str">
        <f>IF(OR($C552="",$E552=""),"",IF($F552="완료",IF($G552="","",MAX(0,$G552-$E552)),IF($F552="취소","",MAX(0,TODAY()-$E552))))</f>
        <v/>
      </c>
      <c r="J552" s="50" t="n"/>
      <c r="K552" s="52" t="str">
        <f>IF($A552="","",$A552&amp;"|"&amp;$L552)</f>
        <v/>
      </c>
      <c r="L552" s="52" t="str">
        <f>IF($A552="","",COUNTIFS($A$3:$A552,$A552))</f>
        <v/>
      </c>
    </row>
    <row r="553" ht="15" customHeight="1" s="41">
      <c r="A553" s="50" t="n"/>
      <c r="B553" s="52" t="str">
        <f>IF($A553="","",IFERROR(INDEX(회의록!$C$3:$C$302,MATCH($A553,회의록!$A$3:$A$302,0)),"회의번호없음"))</f>
        <v/>
      </c>
      <c r="C553" s="50" t="n"/>
      <c r="D553" s="49" t="n"/>
      <c r="E553" s="53" t="n"/>
      <c r="F553" s="49" t="n"/>
      <c r="G553" s="53" t="n"/>
      <c r="H553" s="56" t="str">
        <f>IF(OR($C553="",$E553="",$F553="완료",$F553="취소"),"",$E553-TODAY())</f>
        <v/>
      </c>
      <c r="I553" s="56" t="str">
        <f>IF(OR($C553="",$E553=""),"",IF($F553="완료",IF($G553="","",MAX(0,$G553-$E553)),IF($F553="취소","",MAX(0,TODAY()-$E553))))</f>
        <v/>
      </c>
      <c r="J553" s="50" t="n"/>
      <c r="K553" s="52" t="str">
        <f>IF($A553="","",$A553&amp;"|"&amp;$L553)</f>
        <v/>
      </c>
      <c r="L553" s="52" t="str">
        <f>IF($A553="","",COUNTIFS($A$3:$A553,$A553))</f>
        <v/>
      </c>
    </row>
    <row r="554" ht="15" customHeight="1" s="41">
      <c r="A554" s="50" t="n"/>
      <c r="B554" s="52" t="str">
        <f>IF($A554="","",IFERROR(INDEX(회의록!$C$3:$C$302,MATCH($A554,회의록!$A$3:$A$302,0)),"회의번호없음"))</f>
        <v/>
      </c>
      <c r="C554" s="50" t="n"/>
      <c r="D554" s="49" t="n"/>
      <c r="E554" s="53" t="n"/>
      <c r="F554" s="49" t="n"/>
      <c r="G554" s="53" t="n"/>
      <c r="H554" s="56" t="str">
        <f>IF(OR($C554="",$E554="",$F554="완료",$F554="취소"),"",$E554-TODAY())</f>
        <v/>
      </c>
      <c r="I554" s="56" t="str">
        <f>IF(OR($C554="",$E554=""),"",IF($F554="완료",IF($G554="","",MAX(0,$G554-$E554)),IF($F554="취소","",MAX(0,TODAY()-$E554))))</f>
        <v/>
      </c>
      <c r="J554" s="50" t="n"/>
      <c r="K554" s="52" t="str">
        <f>IF($A554="","",$A554&amp;"|"&amp;$L554)</f>
        <v/>
      </c>
      <c r="L554" s="52" t="str">
        <f>IF($A554="","",COUNTIFS($A$3:$A554,$A554))</f>
        <v/>
      </c>
    </row>
    <row r="555" ht="15" customHeight="1" s="41">
      <c r="A555" s="50" t="n"/>
      <c r="B555" s="52" t="str">
        <f>IF($A555="","",IFERROR(INDEX(회의록!$C$3:$C$302,MATCH($A555,회의록!$A$3:$A$302,0)),"회의번호없음"))</f>
        <v/>
      </c>
      <c r="C555" s="50" t="n"/>
      <c r="D555" s="49" t="n"/>
      <c r="E555" s="53" t="n"/>
      <c r="F555" s="49" t="n"/>
      <c r="G555" s="53" t="n"/>
      <c r="H555" s="56" t="str">
        <f>IF(OR($C555="",$E555="",$F555="완료",$F555="취소"),"",$E555-TODAY())</f>
        <v/>
      </c>
      <c r="I555" s="56" t="str">
        <f>IF(OR($C555="",$E555=""),"",IF($F555="완료",IF($G555="","",MAX(0,$G555-$E555)),IF($F555="취소","",MAX(0,TODAY()-$E555))))</f>
        <v/>
      </c>
      <c r="J555" s="50" t="n"/>
      <c r="K555" s="52" t="str">
        <f>IF($A555="","",$A555&amp;"|"&amp;$L555)</f>
        <v/>
      </c>
      <c r="L555" s="52" t="str">
        <f>IF($A555="","",COUNTIFS($A$3:$A555,$A555))</f>
        <v/>
      </c>
    </row>
    <row r="556" ht="15" customHeight="1" s="41">
      <c r="A556" s="50" t="n"/>
      <c r="B556" s="52" t="str">
        <f>IF($A556="","",IFERROR(INDEX(회의록!$C$3:$C$302,MATCH($A556,회의록!$A$3:$A$302,0)),"회의번호없음"))</f>
        <v/>
      </c>
      <c r="C556" s="50" t="n"/>
      <c r="D556" s="49" t="n"/>
      <c r="E556" s="53" t="n"/>
      <c r="F556" s="49" t="n"/>
      <c r="G556" s="53" t="n"/>
      <c r="H556" s="56" t="str">
        <f>IF(OR($C556="",$E556="",$F556="완료",$F556="취소"),"",$E556-TODAY())</f>
        <v/>
      </c>
      <c r="I556" s="56" t="str">
        <f>IF(OR($C556="",$E556=""),"",IF($F556="완료",IF($G556="","",MAX(0,$G556-$E556)),IF($F556="취소","",MAX(0,TODAY()-$E556))))</f>
        <v/>
      </c>
      <c r="J556" s="50" t="n"/>
      <c r="K556" s="52" t="str">
        <f>IF($A556="","",$A556&amp;"|"&amp;$L556)</f>
        <v/>
      </c>
      <c r="L556" s="52" t="str">
        <f>IF($A556="","",COUNTIFS($A$3:$A556,$A556))</f>
        <v/>
      </c>
    </row>
    <row r="557" ht="15" customHeight="1" s="41">
      <c r="A557" s="50" t="n"/>
      <c r="B557" s="52" t="str">
        <f>IF($A557="","",IFERROR(INDEX(회의록!$C$3:$C$302,MATCH($A557,회의록!$A$3:$A$302,0)),"회의번호없음"))</f>
        <v/>
      </c>
      <c r="C557" s="50" t="n"/>
      <c r="D557" s="49" t="n"/>
      <c r="E557" s="53" t="n"/>
      <c r="F557" s="49" t="n"/>
      <c r="G557" s="53" t="n"/>
      <c r="H557" s="56" t="str">
        <f>IF(OR($C557="",$E557="",$F557="완료",$F557="취소"),"",$E557-TODAY())</f>
        <v/>
      </c>
      <c r="I557" s="56" t="str">
        <f>IF(OR($C557="",$E557=""),"",IF($F557="완료",IF($G557="","",MAX(0,$G557-$E557)),IF($F557="취소","",MAX(0,TODAY()-$E557))))</f>
        <v/>
      </c>
      <c r="J557" s="50" t="n"/>
      <c r="K557" s="52" t="str">
        <f>IF($A557="","",$A557&amp;"|"&amp;$L557)</f>
        <v/>
      </c>
      <c r="L557" s="52" t="str">
        <f>IF($A557="","",COUNTIFS($A$3:$A557,$A557))</f>
        <v/>
      </c>
    </row>
    <row r="558" ht="15" customHeight="1" s="41">
      <c r="A558" s="50" t="n"/>
      <c r="B558" s="52" t="str">
        <f>IF($A558="","",IFERROR(INDEX(회의록!$C$3:$C$302,MATCH($A558,회의록!$A$3:$A$302,0)),"회의번호없음"))</f>
        <v/>
      </c>
      <c r="C558" s="50" t="n"/>
      <c r="D558" s="49" t="n"/>
      <c r="E558" s="53" t="n"/>
      <c r="F558" s="49" t="n"/>
      <c r="G558" s="53" t="n"/>
      <c r="H558" s="56" t="str">
        <f>IF(OR($C558="",$E558="",$F558="완료",$F558="취소"),"",$E558-TODAY())</f>
        <v/>
      </c>
      <c r="I558" s="56" t="str">
        <f>IF(OR($C558="",$E558=""),"",IF($F558="완료",IF($G558="","",MAX(0,$G558-$E558)),IF($F558="취소","",MAX(0,TODAY()-$E558))))</f>
        <v/>
      </c>
      <c r="J558" s="50" t="n"/>
      <c r="K558" s="52" t="str">
        <f>IF($A558="","",$A558&amp;"|"&amp;$L558)</f>
        <v/>
      </c>
      <c r="L558" s="52" t="str">
        <f>IF($A558="","",COUNTIFS($A$3:$A558,$A558))</f>
        <v/>
      </c>
    </row>
    <row r="559" ht="15" customHeight="1" s="41">
      <c r="A559" s="50" t="n"/>
      <c r="B559" s="52" t="str">
        <f>IF($A559="","",IFERROR(INDEX(회의록!$C$3:$C$302,MATCH($A559,회의록!$A$3:$A$302,0)),"회의번호없음"))</f>
        <v/>
      </c>
      <c r="C559" s="50" t="n"/>
      <c r="D559" s="49" t="n"/>
      <c r="E559" s="53" t="n"/>
      <c r="F559" s="49" t="n"/>
      <c r="G559" s="53" t="n"/>
      <c r="H559" s="56" t="str">
        <f>IF(OR($C559="",$E559="",$F559="완료",$F559="취소"),"",$E559-TODAY())</f>
        <v/>
      </c>
      <c r="I559" s="56" t="str">
        <f>IF(OR($C559="",$E559=""),"",IF($F559="완료",IF($G559="","",MAX(0,$G559-$E559)),IF($F559="취소","",MAX(0,TODAY()-$E559))))</f>
        <v/>
      </c>
      <c r="J559" s="50" t="n"/>
      <c r="K559" s="52" t="str">
        <f>IF($A559="","",$A559&amp;"|"&amp;$L559)</f>
        <v/>
      </c>
      <c r="L559" s="52" t="str">
        <f>IF($A559="","",COUNTIFS($A$3:$A559,$A559))</f>
        <v/>
      </c>
    </row>
    <row r="560" ht="15" customHeight="1" s="41">
      <c r="A560" s="50" t="n"/>
      <c r="B560" s="52" t="str">
        <f>IF($A560="","",IFERROR(INDEX(회의록!$C$3:$C$302,MATCH($A560,회의록!$A$3:$A$302,0)),"회의번호없음"))</f>
        <v/>
      </c>
      <c r="C560" s="50" t="n"/>
      <c r="D560" s="49" t="n"/>
      <c r="E560" s="53" t="n"/>
      <c r="F560" s="49" t="n"/>
      <c r="G560" s="53" t="n"/>
      <c r="H560" s="56" t="str">
        <f>IF(OR($C560="",$E560="",$F560="완료",$F560="취소"),"",$E560-TODAY())</f>
        <v/>
      </c>
      <c r="I560" s="56" t="str">
        <f>IF(OR($C560="",$E560=""),"",IF($F560="완료",IF($G560="","",MAX(0,$G560-$E560)),IF($F560="취소","",MAX(0,TODAY()-$E560))))</f>
        <v/>
      </c>
      <c r="J560" s="50" t="n"/>
      <c r="K560" s="52" t="str">
        <f>IF($A560="","",$A560&amp;"|"&amp;$L560)</f>
        <v/>
      </c>
      <c r="L560" s="52" t="str">
        <f>IF($A560="","",COUNTIFS($A$3:$A560,$A560))</f>
        <v/>
      </c>
    </row>
    <row r="561" ht="15" customHeight="1" s="41">
      <c r="A561" s="50" t="n"/>
      <c r="B561" s="52" t="str">
        <f>IF($A561="","",IFERROR(INDEX(회의록!$C$3:$C$302,MATCH($A561,회의록!$A$3:$A$302,0)),"회의번호없음"))</f>
        <v/>
      </c>
      <c r="C561" s="50" t="n"/>
      <c r="D561" s="49" t="n"/>
      <c r="E561" s="53" t="n"/>
      <c r="F561" s="49" t="n"/>
      <c r="G561" s="53" t="n"/>
      <c r="H561" s="56" t="str">
        <f>IF(OR($C561="",$E561="",$F561="완료",$F561="취소"),"",$E561-TODAY())</f>
        <v/>
      </c>
      <c r="I561" s="56" t="str">
        <f>IF(OR($C561="",$E561=""),"",IF($F561="완료",IF($G561="","",MAX(0,$G561-$E561)),IF($F561="취소","",MAX(0,TODAY()-$E561))))</f>
        <v/>
      </c>
      <c r="J561" s="50" t="n"/>
      <c r="K561" s="52" t="str">
        <f>IF($A561="","",$A561&amp;"|"&amp;$L561)</f>
        <v/>
      </c>
      <c r="L561" s="52" t="str">
        <f>IF($A561="","",COUNTIFS($A$3:$A561,$A561))</f>
        <v/>
      </c>
    </row>
    <row r="562" ht="15" customHeight="1" s="41">
      <c r="A562" s="50" t="n"/>
      <c r="B562" s="52" t="str">
        <f>IF($A562="","",IFERROR(INDEX(회의록!$C$3:$C$302,MATCH($A562,회의록!$A$3:$A$302,0)),"회의번호없음"))</f>
        <v/>
      </c>
      <c r="C562" s="50" t="n"/>
      <c r="D562" s="49" t="n"/>
      <c r="E562" s="53" t="n"/>
      <c r="F562" s="49" t="n"/>
      <c r="G562" s="53" t="n"/>
      <c r="H562" s="56" t="str">
        <f>IF(OR($C562="",$E562="",$F562="완료",$F562="취소"),"",$E562-TODAY())</f>
        <v/>
      </c>
      <c r="I562" s="56" t="str">
        <f>IF(OR($C562="",$E562=""),"",IF($F562="완료",IF($G562="","",MAX(0,$G562-$E562)),IF($F562="취소","",MAX(0,TODAY()-$E562))))</f>
        <v/>
      </c>
      <c r="J562" s="50" t="n"/>
      <c r="K562" s="52" t="str">
        <f>IF($A562="","",$A562&amp;"|"&amp;$L562)</f>
        <v/>
      </c>
      <c r="L562" s="52" t="str">
        <f>IF($A562="","",COUNTIFS($A$3:$A562,$A562))</f>
        <v/>
      </c>
    </row>
    <row r="563" ht="15" customHeight="1" s="41">
      <c r="A563" s="50" t="n"/>
      <c r="B563" s="52" t="str">
        <f>IF($A563="","",IFERROR(INDEX(회의록!$C$3:$C$302,MATCH($A563,회의록!$A$3:$A$302,0)),"회의번호없음"))</f>
        <v/>
      </c>
      <c r="C563" s="50" t="n"/>
      <c r="D563" s="49" t="n"/>
      <c r="E563" s="53" t="n"/>
      <c r="F563" s="49" t="n"/>
      <c r="G563" s="53" t="n"/>
      <c r="H563" s="56" t="str">
        <f>IF(OR($C563="",$E563="",$F563="완료",$F563="취소"),"",$E563-TODAY())</f>
        <v/>
      </c>
      <c r="I563" s="56" t="str">
        <f>IF(OR($C563="",$E563=""),"",IF($F563="완료",IF($G563="","",MAX(0,$G563-$E563)),IF($F563="취소","",MAX(0,TODAY()-$E563))))</f>
        <v/>
      </c>
      <c r="J563" s="50" t="n"/>
      <c r="K563" s="52" t="str">
        <f>IF($A563="","",$A563&amp;"|"&amp;$L563)</f>
        <v/>
      </c>
      <c r="L563" s="52" t="str">
        <f>IF($A563="","",COUNTIFS($A$3:$A563,$A563))</f>
        <v/>
      </c>
    </row>
    <row r="564" ht="15" customHeight="1" s="41">
      <c r="A564" s="50" t="n"/>
      <c r="B564" s="52" t="str">
        <f>IF($A564="","",IFERROR(INDEX(회의록!$C$3:$C$302,MATCH($A564,회의록!$A$3:$A$302,0)),"회의번호없음"))</f>
        <v/>
      </c>
      <c r="C564" s="50" t="n"/>
      <c r="D564" s="49" t="n"/>
      <c r="E564" s="53" t="n"/>
      <c r="F564" s="49" t="n"/>
      <c r="G564" s="53" t="n"/>
      <c r="H564" s="56" t="str">
        <f>IF(OR($C564="",$E564="",$F564="완료",$F564="취소"),"",$E564-TODAY())</f>
        <v/>
      </c>
      <c r="I564" s="56" t="str">
        <f>IF(OR($C564="",$E564=""),"",IF($F564="완료",IF($G564="","",MAX(0,$G564-$E564)),IF($F564="취소","",MAX(0,TODAY()-$E564))))</f>
        <v/>
      </c>
      <c r="J564" s="50" t="n"/>
      <c r="K564" s="52" t="str">
        <f>IF($A564="","",$A564&amp;"|"&amp;$L564)</f>
        <v/>
      </c>
      <c r="L564" s="52" t="str">
        <f>IF($A564="","",COUNTIFS($A$3:$A564,$A564))</f>
        <v/>
      </c>
    </row>
    <row r="565" ht="15" customHeight="1" s="41">
      <c r="A565" s="50" t="n"/>
      <c r="B565" s="52" t="str">
        <f>IF($A565="","",IFERROR(INDEX(회의록!$C$3:$C$302,MATCH($A565,회의록!$A$3:$A$302,0)),"회의번호없음"))</f>
        <v/>
      </c>
      <c r="C565" s="50" t="n"/>
      <c r="D565" s="49" t="n"/>
      <c r="E565" s="53" t="n"/>
      <c r="F565" s="49" t="n"/>
      <c r="G565" s="53" t="n"/>
      <c r="H565" s="56" t="str">
        <f>IF(OR($C565="",$E565="",$F565="완료",$F565="취소"),"",$E565-TODAY())</f>
        <v/>
      </c>
      <c r="I565" s="56" t="str">
        <f>IF(OR($C565="",$E565=""),"",IF($F565="완료",IF($G565="","",MAX(0,$G565-$E565)),IF($F565="취소","",MAX(0,TODAY()-$E565))))</f>
        <v/>
      </c>
      <c r="J565" s="50" t="n"/>
      <c r="K565" s="52" t="str">
        <f>IF($A565="","",$A565&amp;"|"&amp;$L565)</f>
        <v/>
      </c>
      <c r="L565" s="52" t="str">
        <f>IF($A565="","",COUNTIFS($A$3:$A565,$A565))</f>
        <v/>
      </c>
    </row>
    <row r="566" ht="15" customHeight="1" s="41">
      <c r="A566" s="50" t="n"/>
      <c r="B566" s="52" t="str">
        <f>IF($A566="","",IFERROR(INDEX(회의록!$C$3:$C$302,MATCH($A566,회의록!$A$3:$A$302,0)),"회의번호없음"))</f>
        <v/>
      </c>
      <c r="C566" s="50" t="n"/>
      <c r="D566" s="49" t="n"/>
      <c r="E566" s="53" t="n"/>
      <c r="F566" s="49" t="n"/>
      <c r="G566" s="53" t="n"/>
      <c r="H566" s="56" t="str">
        <f>IF(OR($C566="",$E566="",$F566="완료",$F566="취소"),"",$E566-TODAY())</f>
        <v/>
      </c>
      <c r="I566" s="56" t="str">
        <f>IF(OR($C566="",$E566=""),"",IF($F566="완료",IF($G566="","",MAX(0,$G566-$E566)),IF($F566="취소","",MAX(0,TODAY()-$E566))))</f>
        <v/>
      </c>
      <c r="J566" s="50" t="n"/>
      <c r="K566" s="52" t="str">
        <f>IF($A566="","",$A566&amp;"|"&amp;$L566)</f>
        <v/>
      </c>
      <c r="L566" s="52" t="str">
        <f>IF($A566="","",COUNTIFS($A$3:$A566,$A566))</f>
        <v/>
      </c>
    </row>
    <row r="567" ht="15" customHeight="1" s="41">
      <c r="A567" s="50" t="n"/>
      <c r="B567" s="52" t="str">
        <f>IF($A567="","",IFERROR(INDEX(회의록!$C$3:$C$302,MATCH($A567,회의록!$A$3:$A$302,0)),"회의번호없음"))</f>
        <v/>
      </c>
      <c r="C567" s="50" t="n"/>
      <c r="D567" s="49" t="n"/>
      <c r="E567" s="53" t="n"/>
      <c r="F567" s="49" t="n"/>
      <c r="G567" s="53" t="n"/>
      <c r="H567" s="56" t="str">
        <f>IF(OR($C567="",$E567="",$F567="완료",$F567="취소"),"",$E567-TODAY())</f>
        <v/>
      </c>
      <c r="I567" s="56" t="str">
        <f>IF(OR($C567="",$E567=""),"",IF($F567="완료",IF($G567="","",MAX(0,$G567-$E567)),IF($F567="취소","",MAX(0,TODAY()-$E567))))</f>
        <v/>
      </c>
      <c r="J567" s="50" t="n"/>
      <c r="K567" s="52" t="str">
        <f>IF($A567="","",$A567&amp;"|"&amp;$L567)</f>
        <v/>
      </c>
      <c r="L567" s="52" t="str">
        <f>IF($A567="","",COUNTIFS($A$3:$A567,$A567))</f>
        <v/>
      </c>
    </row>
    <row r="568" ht="15" customHeight="1" s="41">
      <c r="A568" s="50" t="n"/>
      <c r="B568" s="52" t="str">
        <f>IF($A568="","",IFERROR(INDEX(회의록!$C$3:$C$302,MATCH($A568,회의록!$A$3:$A$302,0)),"회의번호없음"))</f>
        <v/>
      </c>
      <c r="C568" s="50" t="n"/>
      <c r="D568" s="49" t="n"/>
      <c r="E568" s="53" t="n"/>
      <c r="F568" s="49" t="n"/>
      <c r="G568" s="53" t="n"/>
      <c r="H568" s="56" t="str">
        <f>IF(OR($C568="",$E568="",$F568="완료",$F568="취소"),"",$E568-TODAY())</f>
        <v/>
      </c>
      <c r="I568" s="56" t="str">
        <f>IF(OR($C568="",$E568=""),"",IF($F568="완료",IF($G568="","",MAX(0,$G568-$E568)),IF($F568="취소","",MAX(0,TODAY()-$E568))))</f>
        <v/>
      </c>
      <c r="J568" s="50" t="n"/>
      <c r="K568" s="52" t="str">
        <f>IF($A568="","",$A568&amp;"|"&amp;$L568)</f>
        <v/>
      </c>
      <c r="L568" s="52" t="str">
        <f>IF($A568="","",COUNTIFS($A$3:$A568,$A568))</f>
        <v/>
      </c>
    </row>
    <row r="569" ht="15" customHeight="1" s="41">
      <c r="A569" s="50" t="n"/>
      <c r="B569" s="52" t="str">
        <f>IF($A569="","",IFERROR(INDEX(회의록!$C$3:$C$302,MATCH($A569,회의록!$A$3:$A$302,0)),"회의번호없음"))</f>
        <v/>
      </c>
      <c r="C569" s="50" t="n"/>
      <c r="D569" s="49" t="n"/>
      <c r="E569" s="53" t="n"/>
      <c r="F569" s="49" t="n"/>
      <c r="G569" s="53" t="n"/>
      <c r="H569" s="56" t="str">
        <f>IF(OR($C569="",$E569="",$F569="완료",$F569="취소"),"",$E569-TODAY())</f>
        <v/>
      </c>
      <c r="I569" s="56" t="str">
        <f>IF(OR($C569="",$E569=""),"",IF($F569="완료",IF($G569="","",MAX(0,$G569-$E569)),IF($F569="취소","",MAX(0,TODAY()-$E569))))</f>
        <v/>
      </c>
      <c r="J569" s="50" t="n"/>
      <c r="K569" s="52" t="str">
        <f>IF($A569="","",$A569&amp;"|"&amp;$L569)</f>
        <v/>
      </c>
      <c r="L569" s="52" t="str">
        <f>IF($A569="","",COUNTIFS($A$3:$A569,$A569))</f>
        <v/>
      </c>
    </row>
    <row r="570" ht="15" customHeight="1" s="41">
      <c r="A570" s="50" t="n"/>
      <c r="B570" s="52" t="str">
        <f>IF($A570="","",IFERROR(INDEX(회의록!$C$3:$C$302,MATCH($A570,회의록!$A$3:$A$302,0)),"회의번호없음"))</f>
        <v/>
      </c>
      <c r="C570" s="50" t="n"/>
      <c r="D570" s="49" t="n"/>
      <c r="E570" s="53" t="n"/>
      <c r="F570" s="49" t="n"/>
      <c r="G570" s="53" t="n"/>
      <c r="H570" s="56" t="str">
        <f>IF(OR($C570="",$E570="",$F570="완료",$F570="취소"),"",$E570-TODAY())</f>
        <v/>
      </c>
      <c r="I570" s="56" t="str">
        <f>IF(OR($C570="",$E570=""),"",IF($F570="완료",IF($G570="","",MAX(0,$G570-$E570)),IF($F570="취소","",MAX(0,TODAY()-$E570))))</f>
        <v/>
      </c>
      <c r="J570" s="50" t="n"/>
      <c r="K570" s="52" t="str">
        <f>IF($A570="","",$A570&amp;"|"&amp;$L570)</f>
        <v/>
      </c>
      <c r="L570" s="52" t="str">
        <f>IF($A570="","",COUNTIFS($A$3:$A570,$A570))</f>
        <v/>
      </c>
    </row>
    <row r="571" ht="15" customHeight="1" s="41">
      <c r="A571" s="50" t="n"/>
      <c r="B571" s="52" t="str">
        <f>IF($A571="","",IFERROR(INDEX(회의록!$C$3:$C$302,MATCH($A571,회의록!$A$3:$A$302,0)),"회의번호없음"))</f>
        <v/>
      </c>
      <c r="C571" s="50" t="n"/>
      <c r="D571" s="49" t="n"/>
      <c r="E571" s="53" t="n"/>
      <c r="F571" s="49" t="n"/>
      <c r="G571" s="53" t="n"/>
      <c r="H571" s="56" t="str">
        <f>IF(OR($C571="",$E571="",$F571="완료",$F571="취소"),"",$E571-TODAY())</f>
        <v/>
      </c>
      <c r="I571" s="56" t="str">
        <f>IF(OR($C571="",$E571=""),"",IF($F571="완료",IF($G571="","",MAX(0,$G571-$E571)),IF($F571="취소","",MAX(0,TODAY()-$E571))))</f>
        <v/>
      </c>
      <c r="J571" s="50" t="n"/>
      <c r="K571" s="52" t="str">
        <f>IF($A571="","",$A571&amp;"|"&amp;$L571)</f>
        <v/>
      </c>
      <c r="L571" s="52" t="str">
        <f>IF($A571="","",COUNTIFS($A$3:$A571,$A571))</f>
        <v/>
      </c>
    </row>
    <row r="572" ht="15" customHeight="1" s="41">
      <c r="A572" s="50" t="n"/>
      <c r="B572" s="52" t="str">
        <f>IF($A572="","",IFERROR(INDEX(회의록!$C$3:$C$302,MATCH($A572,회의록!$A$3:$A$302,0)),"회의번호없음"))</f>
        <v/>
      </c>
      <c r="C572" s="50" t="n"/>
      <c r="D572" s="49" t="n"/>
      <c r="E572" s="53" t="n"/>
      <c r="F572" s="49" t="n"/>
      <c r="G572" s="53" t="n"/>
      <c r="H572" s="56" t="str">
        <f>IF(OR($C572="",$E572="",$F572="완료",$F572="취소"),"",$E572-TODAY())</f>
        <v/>
      </c>
      <c r="I572" s="56" t="str">
        <f>IF(OR($C572="",$E572=""),"",IF($F572="완료",IF($G572="","",MAX(0,$G572-$E572)),IF($F572="취소","",MAX(0,TODAY()-$E572))))</f>
        <v/>
      </c>
      <c r="J572" s="50" t="n"/>
      <c r="K572" s="52" t="str">
        <f>IF($A572="","",$A572&amp;"|"&amp;$L572)</f>
        <v/>
      </c>
      <c r="L572" s="52" t="str">
        <f>IF($A572="","",COUNTIFS($A$3:$A572,$A572))</f>
        <v/>
      </c>
    </row>
    <row r="573" ht="15" customHeight="1" s="41">
      <c r="A573" s="50" t="n"/>
      <c r="B573" s="52" t="str">
        <f>IF($A573="","",IFERROR(INDEX(회의록!$C$3:$C$302,MATCH($A573,회의록!$A$3:$A$302,0)),"회의번호없음"))</f>
        <v/>
      </c>
      <c r="C573" s="50" t="n"/>
      <c r="D573" s="49" t="n"/>
      <c r="E573" s="53" t="n"/>
      <c r="F573" s="49" t="n"/>
      <c r="G573" s="53" t="n"/>
      <c r="H573" s="56" t="str">
        <f>IF(OR($C573="",$E573="",$F573="완료",$F573="취소"),"",$E573-TODAY())</f>
        <v/>
      </c>
      <c r="I573" s="56" t="str">
        <f>IF(OR($C573="",$E573=""),"",IF($F573="완료",IF($G573="","",MAX(0,$G573-$E573)),IF($F573="취소","",MAX(0,TODAY()-$E573))))</f>
        <v/>
      </c>
      <c r="J573" s="50" t="n"/>
      <c r="K573" s="52" t="str">
        <f>IF($A573="","",$A573&amp;"|"&amp;$L573)</f>
        <v/>
      </c>
      <c r="L573" s="52" t="str">
        <f>IF($A573="","",COUNTIFS($A$3:$A573,$A573))</f>
        <v/>
      </c>
    </row>
    <row r="574" ht="15" customHeight="1" s="41">
      <c r="A574" s="50" t="n"/>
      <c r="B574" s="52" t="str">
        <f>IF($A574="","",IFERROR(INDEX(회의록!$C$3:$C$302,MATCH($A574,회의록!$A$3:$A$302,0)),"회의번호없음"))</f>
        <v/>
      </c>
      <c r="C574" s="50" t="n"/>
      <c r="D574" s="49" t="n"/>
      <c r="E574" s="53" t="n"/>
      <c r="F574" s="49" t="n"/>
      <c r="G574" s="53" t="n"/>
      <c r="H574" s="56" t="str">
        <f>IF(OR($C574="",$E574="",$F574="완료",$F574="취소"),"",$E574-TODAY())</f>
        <v/>
      </c>
      <c r="I574" s="56" t="str">
        <f>IF(OR($C574="",$E574=""),"",IF($F574="완료",IF($G574="","",MAX(0,$G574-$E574)),IF($F574="취소","",MAX(0,TODAY()-$E574))))</f>
        <v/>
      </c>
      <c r="J574" s="50" t="n"/>
      <c r="K574" s="52" t="str">
        <f>IF($A574="","",$A574&amp;"|"&amp;$L574)</f>
        <v/>
      </c>
      <c r="L574" s="52" t="str">
        <f>IF($A574="","",COUNTIFS($A$3:$A574,$A574))</f>
        <v/>
      </c>
    </row>
    <row r="575" ht="15" customHeight="1" s="41">
      <c r="A575" s="50" t="n"/>
      <c r="B575" s="52" t="str">
        <f>IF($A575="","",IFERROR(INDEX(회의록!$C$3:$C$302,MATCH($A575,회의록!$A$3:$A$302,0)),"회의번호없음"))</f>
        <v/>
      </c>
      <c r="C575" s="50" t="n"/>
      <c r="D575" s="49" t="n"/>
      <c r="E575" s="53" t="n"/>
      <c r="F575" s="49" t="n"/>
      <c r="G575" s="53" t="n"/>
      <c r="H575" s="56" t="str">
        <f>IF(OR($C575="",$E575="",$F575="완료",$F575="취소"),"",$E575-TODAY())</f>
        <v/>
      </c>
      <c r="I575" s="56" t="str">
        <f>IF(OR($C575="",$E575=""),"",IF($F575="완료",IF($G575="","",MAX(0,$G575-$E575)),IF($F575="취소","",MAX(0,TODAY()-$E575))))</f>
        <v/>
      </c>
      <c r="J575" s="50" t="n"/>
      <c r="K575" s="52" t="str">
        <f>IF($A575="","",$A575&amp;"|"&amp;$L575)</f>
        <v/>
      </c>
      <c r="L575" s="52" t="str">
        <f>IF($A575="","",COUNTIFS($A$3:$A575,$A575))</f>
        <v/>
      </c>
    </row>
    <row r="576" ht="15" customHeight="1" s="41">
      <c r="A576" s="50" t="n"/>
      <c r="B576" s="52" t="str">
        <f>IF($A576="","",IFERROR(INDEX(회의록!$C$3:$C$302,MATCH($A576,회의록!$A$3:$A$302,0)),"회의번호없음"))</f>
        <v/>
      </c>
      <c r="C576" s="50" t="n"/>
      <c r="D576" s="49" t="n"/>
      <c r="E576" s="53" t="n"/>
      <c r="F576" s="49" t="n"/>
      <c r="G576" s="53" t="n"/>
      <c r="H576" s="56" t="str">
        <f>IF(OR($C576="",$E576="",$F576="완료",$F576="취소"),"",$E576-TODAY())</f>
        <v/>
      </c>
      <c r="I576" s="56" t="str">
        <f>IF(OR($C576="",$E576=""),"",IF($F576="완료",IF($G576="","",MAX(0,$G576-$E576)),IF($F576="취소","",MAX(0,TODAY()-$E576))))</f>
        <v/>
      </c>
      <c r="J576" s="50" t="n"/>
      <c r="K576" s="52" t="str">
        <f>IF($A576="","",$A576&amp;"|"&amp;$L576)</f>
        <v/>
      </c>
      <c r="L576" s="52" t="str">
        <f>IF($A576="","",COUNTIFS($A$3:$A576,$A576))</f>
        <v/>
      </c>
    </row>
    <row r="577" ht="15" customHeight="1" s="41">
      <c r="A577" s="50" t="n"/>
      <c r="B577" s="52" t="str">
        <f>IF($A577="","",IFERROR(INDEX(회의록!$C$3:$C$302,MATCH($A577,회의록!$A$3:$A$302,0)),"회의번호없음"))</f>
        <v/>
      </c>
      <c r="C577" s="50" t="n"/>
      <c r="D577" s="49" t="n"/>
      <c r="E577" s="53" t="n"/>
      <c r="F577" s="49" t="n"/>
      <c r="G577" s="53" t="n"/>
      <c r="H577" s="56" t="str">
        <f>IF(OR($C577="",$E577="",$F577="완료",$F577="취소"),"",$E577-TODAY())</f>
        <v/>
      </c>
      <c r="I577" s="56" t="str">
        <f>IF(OR($C577="",$E577=""),"",IF($F577="완료",IF($G577="","",MAX(0,$G577-$E577)),IF($F577="취소","",MAX(0,TODAY()-$E577))))</f>
        <v/>
      </c>
      <c r="J577" s="50" t="n"/>
      <c r="K577" s="52" t="str">
        <f>IF($A577="","",$A577&amp;"|"&amp;$L577)</f>
        <v/>
      </c>
      <c r="L577" s="52" t="str">
        <f>IF($A577="","",COUNTIFS($A$3:$A577,$A577))</f>
        <v/>
      </c>
    </row>
    <row r="578" ht="15" customHeight="1" s="41">
      <c r="A578" s="50" t="n"/>
      <c r="B578" s="52" t="str">
        <f>IF($A578="","",IFERROR(INDEX(회의록!$C$3:$C$302,MATCH($A578,회의록!$A$3:$A$302,0)),"회의번호없음"))</f>
        <v/>
      </c>
      <c r="C578" s="50" t="n"/>
      <c r="D578" s="49" t="n"/>
      <c r="E578" s="53" t="n"/>
      <c r="F578" s="49" t="n"/>
      <c r="G578" s="53" t="n"/>
      <c r="H578" s="56" t="str">
        <f>IF(OR($C578="",$E578="",$F578="완료",$F578="취소"),"",$E578-TODAY())</f>
        <v/>
      </c>
      <c r="I578" s="56" t="str">
        <f>IF(OR($C578="",$E578=""),"",IF($F578="완료",IF($G578="","",MAX(0,$G578-$E578)),IF($F578="취소","",MAX(0,TODAY()-$E578))))</f>
        <v/>
      </c>
      <c r="J578" s="50" t="n"/>
      <c r="K578" s="52" t="str">
        <f>IF($A578="","",$A578&amp;"|"&amp;$L578)</f>
        <v/>
      </c>
      <c r="L578" s="52" t="str">
        <f>IF($A578="","",COUNTIFS($A$3:$A578,$A578))</f>
        <v/>
      </c>
    </row>
    <row r="579" ht="15" customHeight="1" s="41">
      <c r="A579" s="50" t="n"/>
      <c r="B579" s="52" t="str">
        <f>IF($A579="","",IFERROR(INDEX(회의록!$C$3:$C$302,MATCH($A579,회의록!$A$3:$A$302,0)),"회의번호없음"))</f>
        <v/>
      </c>
      <c r="C579" s="50" t="n"/>
      <c r="D579" s="49" t="n"/>
      <c r="E579" s="53" t="n"/>
      <c r="F579" s="49" t="n"/>
      <c r="G579" s="53" t="n"/>
      <c r="H579" s="56" t="str">
        <f>IF(OR($C579="",$E579="",$F579="완료",$F579="취소"),"",$E579-TODAY())</f>
        <v/>
      </c>
      <c r="I579" s="56" t="str">
        <f>IF(OR($C579="",$E579=""),"",IF($F579="완료",IF($G579="","",MAX(0,$G579-$E579)),IF($F579="취소","",MAX(0,TODAY()-$E579))))</f>
        <v/>
      </c>
      <c r="J579" s="50" t="n"/>
      <c r="K579" s="52" t="str">
        <f>IF($A579="","",$A579&amp;"|"&amp;$L579)</f>
        <v/>
      </c>
      <c r="L579" s="52" t="str">
        <f>IF($A579="","",COUNTIFS($A$3:$A579,$A579))</f>
        <v/>
      </c>
    </row>
    <row r="580" ht="15" customHeight="1" s="41">
      <c r="A580" s="50" t="n"/>
      <c r="B580" s="52" t="str">
        <f>IF($A580="","",IFERROR(INDEX(회의록!$C$3:$C$302,MATCH($A580,회의록!$A$3:$A$302,0)),"회의번호없음"))</f>
        <v/>
      </c>
      <c r="C580" s="50" t="n"/>
      <c r="D580" s="49" t="n"/>
      <c r="E580" s="53" t="n"/>
      <c r="F580" s="49" t="n"/>
      <c r="G580" s="53" t="n"/>
      <c r="H580" s="56" t="str">
        <f>IF(OR($C580="",$E580="",$F580="완료",$F580="취소"),"",$E580-TODAY())</f>
        <v/>
      </c>
      <c r="I580" s="56" t="str">
        <f>IF(OR($C580="",$E580=""),"",IF($F580="완료",IF($G580="","",MAX(0,$G580-$E580)),IF($F580="취소","",MAX(0,TODAY()-$E580))))</f>
        <v/>
      </c>
      <c r="J580" s="50" t="n"/>
      <c r="K580" s="52" t="str">
        <f>IF($A580="","",$A580&amp;"|"&amp;$L580)</f>
        <v/>
      </c>
      <c r="L580" s="52" t="str">
        <f>IF($A580="","",COUNTIFS($A$3:$A580,$A580))</f>
        <v/>
      </c>
    </row>
    <row r="581" ht="15" customHeight="1" s="41">
      <c r="A581" s="50" t="n"/>
      <c r="B581" s="52" t="str">
        <f>IF($A581="","",IFERROR(INDEX(회의록!$C$3:$C$302,MATCH($A581,회의록!$A$3:$A$302,0)),"회의번호없음"))</f>
        <v/>
      </c>
      <c r="C581" s="50" t="n"/>
      <c r="D581" s="49" t="n"/>
      <c r="E581" s="53" t="n"/>
      <c r="F581" s="49" t="n"/>
      <c r="G581" s="53" t="n"/>
      <c r="H581" s="56" t="str">
        <f>IF(OR($C581="",$E581="",$F581="완료",$F581="취소"),"",$E581-TODAY())</f>
        <v/>
      </c>
      <c r="I581" s="56" t="str">
        <f>IF(OR($C581="",$E581=""),"",IF($F581="완료",IF($G581="","",MAX(0,$G581-$E581)),IF($F581="취소","",MAX(0,TODAY()-$E581))))</f>
        <v/>
      </c>
      <c r="J581" s="50" t="n"/>
      <c r="K581" s="52" t="str">
        <f>IF($A581="","",$A581&amp;"|"&amp;$L581)</f>
        <v/>
      </c>
      <c r="L581" s="52" t="str">
        <f>IF($A581="","",COUNTIFS($A$3:$A581,$A581))</f>
        <v/>
      </c>
    </row>
    <row r="582" ht="15" customHeight="1" s="41">
      <c r="A582" s="50" t="n"/>
      <c r="B582" s="52" t="str">
        <f>IF($A582="","",IFERROR(INDEX(회의록!$C$3:$C$302,MATCH($A582,회의록!$A$3:$A$302,0)),"회의번호없음"))</f>
        <v/>
      </c>
      <c r="C582" s="50" t="n"/>
      <c r="D582" s="49" t="n"/>
      <c r="E582" s="53" t="n"/>
      <c r="F582" s="49" t="n"/>
      <c r="G582" s="53" t="n"/>
      <c r="H582" s="56" t="str">
        <f>IF(OR($C582="",$E582="",$F582="완료",$F582="취소"),"",$E582-TODAY())</f>
        <v/>
      </c>
      <c r="I582" s="56" t="str">
        <f>IF(OR($C582="",$E582=""),"",IF($F582="완료",IF($G582="","",MAX(0,$G582-$E582)),IF($F582="취소","",MAX(0,TODAY()-$E582))))</f>
        <v/>
      </c>
      <c r="J582" s="50" t="n"/>
      <c r="K582" s="52" t="str">
        <f>IF($A582="","",$A582&amp;"|"&amp;$L582)</f>
        <v/>
      </c>
      <c r="L582" s="52" t="str">
        <f>IF($A582="","",COUNTIFS($A$3:$A582,$A582))</f>
        <v/>
      </c>
    </row>
    <row r="583" ht="15" customHeight="1" s="41">
      <c r="A583" s="50" t="n"/>
      <c r="B583" s="52" t="str">
        <f>IF($A583="","",IFERROR(INDEX(회의록!$C$3:$C$302,MATCH($A583,회의록!$A$3:$A$302,0)),"회의번호없음"))</f>
        <v/>
      </c>
      <c r="C583" s="50" t="n"/>
      <c r="D583" s="49" t="n"/>
      <c r="E583" s="53" t="n"/>
      <c r="F583" s="49" t="n"/>
      <c r="G583" s="53" t="n"/>
      <c r="H583" s="56" t="str">
        <f>IF(OR($C583="",$E583="",$F583="완료",$F583="취소"),"",$E583-TODAY())</f>
        <v/>
      </c>
      <c r="I583" s="56" t="str">
        <f>IF(OR($C583="",$E583=""),"",IF($F583="완료",IF($G583="","",MAX(0,$G583-$E583)),IF($F583="취소","",MAX(0,TODAY()-$E583))))</f>
        <v/>
      </c>
      <c r="J583" s="50" t="n"/>
      <c r="K583" s="52" t="str">
        <f>IF($A583="","",$A583&amp;"|"&amp;$L583)</f>
        <v/>
      </c>
      <c r="L583" s="52" t="str">
        <f>IF($A583="","",COUNTIFS($A$3:$A583,$A583))</f>
        <v/>
      </c>
    </row>
    <row r="584" ht="15" customHeight="1" s="41">
      <c r="A584" s="50" t="n"/>
      <c r="B584" s="52" t="str">
        <f>IF($A584="","",IFERROR(INDEX(회의록!$C$3:$C$302,MATCH($A584,회의록!$A$3:$A$302,0)),"회의번호없음"))</f>
        <v/>
      </c>
      <c r="C584" s="50" t="n"/>
      <c r="D584" s="49" t="n"/>
      <c r="E584" s="53" t="n"/>
      <c r="F584" s="49" t="n"/>
      <c r="G584" s="53" t="n"/>
      <c r="H584" s="56" t="str">
        <f>IF(OR($C584="",$E584="",$F584="완료",$F584="취소"),"",$E584-TODAY())</f>
        <v/>
      </c>
      <c r="I584" s="56" t="str">
        <f>IF(OR($C584="",$E584=""),"",IF($F584="완료",IF($G584="","",MAX(0,$G584-$E584)),IF($F584="취소","",MAX(0,TODAY()-$E584))))</f>
        <v/>
      </c>
      <c r="J584" s="50" t="n"/>
      <c r="K584" s="52" t="str">
        <f>IF($A584="","",$A584&amp;"|"&amp;$L584)</f>
        <v/>
      </c>
      <c r="L584" s="52" t="str">
        <f>IF($A584="","",COUNTIFS($A$3:$A584,$A584))</f>
        <v/>
      </c>
    </row>
    <row r="585" ht="15" customHeight="1" s="41">
      <c r="A585" s="50" t="n"/>
      <c r="B585" s="52" t="str">
        <f>IF($A585="","",IFERROR(INDEX(회의록!$C$3:$C$302,MATCH($A585,회의록!$A$3:$A$302,0)),"회의번호없음"))</f>
        <v/>
      </c>
      <c r="C585" s="50" t="n"/>
      <c r="D585" s="49" t="n"/>
      <c r="E585" s="53" t="n"/>
      <c r="F585" s="49" t="n"/>
      <c r="G585" s="53" t="n"/>
      <c r="H585" s="56" t="str">
        <f>IF(OR($C585="",$E585="",$F585="완료",$F585="취소"),"",$E585-TODAY())</f>
        <v/>
      </c>
      <c r="I585" s="56" t="str">
        <f>IF(OR($C585="",$E585=""),"",IF($F585="완료",IF($G585="","",MAX(0,$G585-$E585)),IF($F585="취소","",MAX(0,TODAY()-$E585))))</f>
        <v/>
      </c>
      <c r="J585" s="50" t="n"/>
      <c r="K585" s="52" t="str">
        <f>IF($A585="","",$A585&amp;"|"&amp;$L585)</f>
        <v/>
      </c>
      <c r="L585" s="52" t="str">
        <f>IF($A585="","",COUNTIFS($A$3:$A585,$A585))</f>
        <v/>
      </c>
    </row>
    <row r="586" ht="15" customHeight="1" s="41">
      <c r="A586" s="50" t="n"/>
      <c r="B586" s="52" t="str">
        <f>IF($A586="","",IFERROR(INDEX(회의록!$C$3:$C$302,MATCH($A586,회의록!$A$3:$A$302,0)),"회의번호없음"))</f>
        <v/>
      </c>
      <c r="C586" s="50" t="n"/>
      <c r="D586" s="49" t="n"/>
      <c r="E586" s="53" t="n"/>
      <c r="F586" s="49" t="n"/>
      <c r="G586" s="53" t="n"/>
      <c r="H586" s="56" t="str">
        <f>IF(OR($C586="",$E586="",$F586="완료",$F586="취소"),"",$E586-TODAY())</f>
        <v/>
      </c>
      <c r="I586" s="56" t="str">
        <f>IF(OR($C586="",$E586=""),"",IF($F586="완료",IF($G586="","",MAX(0,$G586-$E586)),IF($F586="취소","",MAX(0,TODAY()-$E586))))</f>
        <v/>
      </c>
      <c r="J586" s="50" t="n"/>
      <c r="K586" s="52" t="str">
        <f>IF($A586="","",$A586&amp;"|"&amp;$L586)</f>
        <v/>
      </c>
      <c r="L586" s="52" t="str">
        <f>IF($A586="","",COUNTIFS($A$3:$A586,$A586))</f>
        <v/>
      </c>
    </row>
    <row r="587" ht="15" customHeight="1" s="41">
      <c r="A587" s="50" t="n"/>
      <c r="B587" s="52" t="str">
        <f>IF($A587="","",IFERROR(INDEX(회의록!$C$3:$C$302,MATCH($A587,회의록!$A$3:$A$302,0)),"회의번호없음"))</f>
        <v/>
      </c>
      <c r="C587" s="50" t="n"/>
      <c r="D587" s="49" t="n"/>
      <c r="E587" s="53" t="n"/>
      <c r="F587" s="49" t="n"/>
      <c r="G587" s="53" t="n"/>
      <c r="H587" s="56" t="str">
        <f>IF(OR($C587="",$E587="",$F587="완료",$F587="취소"),"",$E587-TODAY())</f>
        <v/>
      </c>
      <c r="I587" s="56" t="str">
        <f>IF(OR($C587="",$E587=""),"",IF($F587="완료",IF($G587="","",MAX(0,$G587-$E587)),IF($F587="취소","",MAX(0,TODAY()-$E587))))</f>
        <v/>
      </c>
      <c r="J587" s="50" t="n"/>
      <c r="K587" s="52" t="str">
        <f>IF($A587="","",$A587&amp;"|"&amp;$L587)</f>
        <v/>
      </c>
      <c r="L587" s="52" t="str">
        <f>IF($A587="","",COUNTIFS($A$3:$A587,$A587))</f>
        <v/>
      </c>
    </row>
    <row r="588" ht="15" customHeight="1" s="41">
      <c r="A588" s="50" t="n"/>
      <c r="B588" s="52" t="str">
        <f>IF($A588="","",IFERROR(INDEX(회의록!$C$3:$C$302,MATCH($A588,회의록!$A$3:$A$302,0)),"회의번호없음"))</f>
        <v/>
      </c>
      <c r="C588" s="50" t="n"/>
      <c r="D588" s="49" t="n"/>
      <c r="E588" s="53" t="n"/>
      <c r="F588" s="49" t="n"/>
      <c r="G588" s="53" t="n"/>
      <c r="H588" s="56" t="str">
        <f>IF(OR($C588="",$E588="",$F588="완료",$F588="취소"),"",$E588-TODAY())</f>
        <v/>
      </c>
      <c r="I588" s="56" t="str">
        <f>IF(OR($C588="",$E588=""),"",IF($F588="완료",IF($G588="","",MAX(0,$G588-$E588)),IF($F588="취소","",MAX(0,TODAY()-$E588))))</f>
        <v/>
      </c>
      <c r="J588" s="50" t="n"/>
      <c r="K588" s="52" t="str">
        <f>IF($A588="","",$A588&amp;"|"&amp;$L588)</f>
        <v/>
      </c>
      <c r="L588" s="52" t="str">
        <f>IF($A588="","",COUNTIFS($A$3:$A588,$A588))</f>
        <v/>
      </c>
    </row>
    <row r="589" ht="15" customHeight="1" s="41">
      <c r="A589" s="50" t="n"/>
      <c r="B589" s="52" t="str">
        <f>IF($A589="","",IFERROR(INDEX(회의록!$C$3:$C$302,MATCH($A589,회의록!$A$3:$A$302,0)),"회의번호없음"))</f>
        <v/>
      </c>
      <c r="C589" s="50" t="n"/>
      <c r="D589" s="49" t="n"/>
      <c r="E589" s="53" t="n"/>
      <c r="F589" s="49" t="n"/>
      <c r="G589" s="53" t="n"/>
      <c r="H589" s="56" t="str">
        <f>IF(OR($C589="",$E589="",$F589="완료",$F589="취소"),"",$E589-TODAY())</f>
        <v/>
      </c>
      <c r="I589" s="56" t="str">
        <f>IF(OR($C589="",$E589=""),"",IF($F589="완료",IF($G589="","",MAX(0,$G589-$E589)),IF($F589="취소","",MAX(0,TODAY()-$E589))))</f>
        <v/>
      </c>
      <c r="J589" s="50" t="n"/>
      <c r="K589" s="52" t="str">
        <f>IF($A589="","",$A589&amp;"|"&amp;$L589)</f>
        <v/>
      </c>
      <c r="L589" s="52" t="str">
        <f>IF($A589="","",COUNTIFS($A$3:$A589,$A589))</f>
        <v/>
      </c>
    </row>
    <row r="590" ht="15" customHeight="1" s="41">
      <c r="A590" s="50" t="n"/>
      <c r="B590" s="52" t="str">
        <f>IF($A590="","",IFERROR(INDEX(회의록!$C$3:$C$302,MATCH($A590,회의록!$A$3:$A$302,0)),"회의번호없음"))</f>
        <v/>
      </c>
      <c r="C590" s="50" t="n"/>
      <c r="D590" s="49" t="n"/>
      <c r="E590" s="53" t="n"/>
      <c r="F590" s="49" t="n"/>
      <c r="G590" s="53" t="n"/>
      <c r="H590" s="56" t="str">
        <f>IF(OR($C590="",$E590="",$F590="완료",$F590="취소"),"",$E590-TODAY())</f>
        <v/>
      </c>
      <c r="I590" s="56" t="str">
        <f>IF(OR($C590="",$E590=""),"",IF($F590="완료",IF($G590="","",MAX(0,$G590-$E590)),IF($F590="취소","",MAX(0,TODAY()-$E590))))</f>
        <v/>
      </c>
      <c r="J590" s="50" t="n"/>
      <c r="K590" s="52" t="str">
        <f>IF($A590="","",$A590&amp;"|"&amp;$L590)</f>
        <v/>
      </c>
      <c r="L590" s="52" t="str">
        <f>IF($A590="","",COUNTIFS($A$3:$A590,$A590))</f>
        <v/>
      </c>
    </row>
    <row r="591" ht="15" customHeight="1" s="41">
      <c r="A591" s="50" t="n"/>
      <c r="B591" s="52" t="str">
        <f>IF($A591="","",IFERROR(INDEX(회의록!$C$3:$C$302,MATCH($A591,회의록!$A$3:$A$302,0)),"회의번호없음"))</f>
        <v/>
      </c>
      <c r="C591" s="50" t="n"/>
      <c r="D591" s="49" t="n"/>
      <c r="E591" s="53" t="n"/>
      <c r="F591" s="49" t="n"/>
      <c r="G591" s="53" t="n"/>
      <c r="H591" s="56" t="str">
        <f>IF(OR($C591="",$E591="",$F591="완료",$F591="취소"),"",$E591-TODAY())</f>
        <v/>
      </c>
      <c r="I591" s="56" t="str">
        <f>IF(OR($C591="",$E591=""),"",IF($F591="완료",IF($G591="","",MAX(0,$G591-$E591)),IF($F591="취소","",MAX(0,TODAY()-$E591))))</f>
        <v/>
      </c>
      <c r="J591" s="50" t="n"/>
      <c r="K591" s="52" t="str">
        <f>IF($A591="","",$A591&amp;"|"&amp;$L591)</f>
        <v/>
      </c>
      <c r="L591" s="52" t="str">
        <f>IF($A591="","",COUNTIFS($A$3:$A591,$A591))</f>
        <v/>
      </c>
    </row>
    <row r="592" ht="15" customHeight="1" s="41">
      <c r="A592" s="50" t="n"/>
      <c r="B592" s="52" t="str">
        <f>IF($A592="","",IFERROR(INDEX(회의록!$C$3:$C$302,MATCH($A592,회의록!$A$3:$A$302,0)),"회의번호없음"))</f>
        <v/>
      </c>
      <c r="C592" s="50" t="n"/>
      <c r="D592" s="49" t="n"/>
      <c r="E592" s="53" t="n"/>
      <c r="F592" s="49" t="n"/>
      <c r="G592" s="53" t="n"/>
      <c r="H592" s="56" t="str">
        <f>IF(OR($C592="",$E592="",$F592="완료",$F592="취소"),"",$E592-TODAY())</f>
        <v/>
      </c>
      <c r="I592" s="56" t="str">
        <f>IF(OR($C592="",$E592=""),"",IF($F592="완료",IF($G592="","",MAX(0,$G592-$E592)),IF($F592="취소","",MAX(0,TODAY()-$E592))))</f>
        <v/>
      </c>
      <c r="J592" s="50" t="n"/>
      <c r="K592" s="52" t="str">
        <f>IF($A592="","",$A592&amp;"|"&amp;$L592)</f>
        <v/>
      </c>
      <c r="L592" s="52" t="str">
        <f>IF($A592="","",COUNTIFS($A$3:$A592,$A592))</f>
        <v/>
      </c>
    </row>
    <row r="593" ht="15" customHeight="1" s="41">
      <c r="A593" s="50" t="n"/>
      <c r="B593" s="52" t="str">
        <f>IF($A593="","",IFERROR(INDEX(회의록!$C$3:$C$302,MATCH($A593,회의록!$A$3:$A$302,0)),"회의번호없음"))</f>
        <v/>
      </c>
      <c r="C593" s="50" t="n"/>
      <c r="D593" s="49" t="n"/>
      <c r="E593" s="53" t="n"/>
      <c r="F593" s="49" t="n"/>
      <c r="G593" s="53" t="n"/>
      <c r="H593" s="56" t="str">
        <f>IF(OR($C593="",$E593="",$F593="완료",$F593="취소"),"",$E593-TODAY())</f>
        <v/>
      </c>
      <c r="I593" s="56" t="str">
        <f>IF(OR($C593="",$E593=""),"",IF($F593="완료",IF($G593="","",MAX(0,$G593-$E593)),IF($F593="취소","",MAX(0,TODAY()-$E593))))</f>
        <v/>
      </c>
      <c r="J593" s="50" t="n"/>
      <c r="K593" s="52" t="str">
        <f>IF($A593="","",$A593&amp;"|"&amp;$L593)</f>
        <v/>
      </c>
      <c r="L593" s="52" t="str">
        <f>IF($A593="","",COUNTIFS($A$3:$A593,$A593))</f>
        <v/>
      </c>
    </row>
    <row r="594" ht="15" customHeight="1" s="41">
      <c r="A594" s="50" t="n"/>
      <c r="B594" s="52" t="str">
        <f>IF($A594="","",IFERROR(INDEX(회의록!$C$3:$C$302,MATCH($A594,회의록!$A$3:$A$302,0)),"회의번호없음"))</f>
        <v/>
      </c>
      <c r="C594" s="50" t="n"/>
      <c r="D594" s="49" t="n"/>
      <c r="E594" s="53" t="n"/>
      <c r="F594" s="49" t="n"/>
      <c r="G594" s="53" t="n"/>
      <c r="H594" s="56" t="str">
        <f>IF(OR($C594="",$E594="",$F594="완료",$F594="취소"),"",$E594-TODAY())</f>
        <v/>
      </c>
      <c r="I594" s="56" t="str">
        <f>IF(OR($C594="",$E594=""),"",IF($F594="완료",IF($G594="","",MAX(0,$G594-$E594)),IF($F594="취소","",MAX(0,TODAY()-$E594))))</f>
        <v/>
      </c>
      <c r="J594" s="50" t="n"/>
      <c r="K594" s="52" t="str">
        <f>IF($A594="","",$A594&amp;"|"&amp;$L594)</f>
        <v/>
      </c>
      <c r="L594" s="52" t="str">
        <f>IF($A594="","",COUNTIFS($A$3:$A594,$A594))</f>
        <v/>
      </c>
    </row>
    <row r="595" ht="15" customHeight="1" s="41">
      <c r="A595" s="50" t="n"/>
      <c r="B595" s="52" t="str">
        <f>IF($A595="","",IFERROR(INDEX(회의록!$C$3:$C$302,MATCH($A595,회의록!$A$3:$A$302,0)),"회의번호없음"))</f>
        <v/>
      </c>
      <c r="C595" s="50" t="n"/>
      <c r="D595" s="49" t="n"/>
      <c r="E595" s="53" t="n"/>
      <c r="F595" s="49" t="n"/>
      <c r="G595" s="53" t="n"/>
      <c r="H595" s="56" t="str">
        <f>IF(OR($C595="",$E595="",$F595="완료",$F595="취소"),"",$E595-TODAY())</f>
        <v/>
      </c>
      <c r="I595" s="56" t="str">
        <f>IF(OR($C595="",$E595=""),"",IF($F595="완료",IF($G595="","",MAX(0,$G595-$E595)),IF($F595="취소","",MAX(0,TODAY()-$E595))))</f>
        <v/>
      </c>
      <c r="J595" s="50" t="n"/>
      <c r="K595" s="52" t="str">
        <f>IF($A595="","",$A595&amp;"|"&amp;$L595)</f>
        <v/>
      </c>
      <c r="L595" s="52" t="str">
        <f>IF($A595="","",COUNTIFS($A$3:$A595,$A595))</f>
        <v/>
      </c>
    </row>
    <row r="596" ht="15" customHeight="1" s="41">
      <c r="A596" s="50" t="n"/>
      <c r="B596" s="52" t="str">
        <f>IF($A596="","",IFERROR(INDEX(회의록!$C$3:$C$302,MATCH($A596,회의록!$A$3:$A$302,0)),"회의번호없음"))</f>
        <v/>
      </c>
      <c r="C596" s="50" t="n"/>
      <c r="D596" s="49" t="n"/>
      <c r="E596" s="53" t="n"/>
      <c r="F596" s="49" t="n"/>
      <c r="G596" s="53" t="n"/>
      <c r="H596" s="56" t="str">
        <f>IF(OR($C596="",$E596="",$F596="완료",$F596="취소"),"",$E596-TODAY())</f>
        <v/>
      </c>
      <c r="I596" s="56" t="str">
        <f>IF(OR($C596="",$E596=""),"",IF($F596="완료",IF($G596="","",MAX(0,$G596-$E596)),IF($F596="취소","",MAX(0,TODAY()-$E596))))</f>
        <v/>
      </c>
      <c r="J596" s="50" t="n"/>
      <c r="K596" s="52" t="str">
        <f>IF($A596="","",$A596&amp;"|"&amp;$L596)</f>
        <v/>
      </c>
      <c r="L596" s="52" t="str">
        <f>IF($A596="","",COUNTIFS($A$3:$A596,$A596))</f>
        <v/>
      </c>
    </row>
    <row r="597" ht="15" customHeight="1" s="41">
      <c r="A597" s="50" t="n"/>
      <c r="B597" s="52" t="str">
        <f>IF($A597="","",IFERROR(INDEX(회의록!$C$3:$C$302,MATCH($A597,회의록!$A$3:$A$302,0)),"회의번호없음"))</f>
        <v/>
      </c>
      <c r="C597" s="50" t="n"/>
      <c r="D597" s="49" t="n"/>
      <c r="E597" s="53" t="n"/>
      <c r="F597" s="49" t="n"/>
      <c r="G597" s="53" t="n"/>
      <c r="H597" s="56" t="str">
        <f>IF(OR($C597="",$E597="",$F597="완료",$F597="취소"),"",$E597-TODAY())</f>
        <v/>
      </c>
      <c r="I597" s="56" t="str">
        <f>IF(OR($C597="",$E597=""),"",IF($F597="완료",IF($G597="","",MAX(0,$G597-$E597)),IF($F597="취소","",MAX(0,TODAY()-$E597))))</f>
        <v/>
      </c>
      <c r="J597" s="50" t="n"/>
      <c r="K597" s="52" t="str">
        <f>IF($A597="","",$A597&amp;"|"&amp;$L597)</f>
        <v/>
      </c>
      <c r="L597" s="52" t="str">
        <f>IF($A597="","",COUNTIFS($A$3:$A597,$A597))</f>
        <v/>
      </c>
    </row>
    <row r="598" ht="15" customHeight="1" s="41">
      <c r="A598" s="50" t="n"/>
      <c r="B598" s="52" t="str">
        <f>IF($A598="","",IFERROR(INDEX(회의록!$C$3:$C$302,MATCH($A598,회의록!$A$3:$A$302,0)),"회의번호없음"))</f>
        <v/>
      </c>
      <c r="C598" s="50" t="n"/>
      <c r="D598" s="49" t="n"/>
      <c r="E598" s="53" t="n"/>
      <c r="F598" s="49" t="n"/>
      <c r="G598" s="53" t="n"/>
      <c r="H598" s="56" t="str">
        <f>IF(OR($C598="",$E598="",$F598="완료",$F598="취소"),"",$E598-TODAY())</f>
        <v/>
      </c>
      <c r="I598" s="56" t="str">
        <f>IF(OR($C598="",$E598=""),"",IF($F598="완료",IF($G598="","",MAX(0,$G598-$E598)),IF($F598="취소","",MAX(0,TODAY()-$E598))))</f>
        <v/>
      </c>
      <c r="J598" s="50" t="n"/>
      <c r="K598" s="52" t="str">
        <f>IF($A598="","",$A598&amp;"|"&amp;$L598)</f>
        <v/>
      </c>
      <c r="L598" s="52" t="str">
        <f>IF($A598="","",COUNTIFS($A$3:$A598,$A598))</f>
        <v/>
      </c>
    </row>
    <row r="599" ht="15" customHeight="1" s="41">
      <c r="A599" s="50" t="n"/>
      <c r="B599" s="52" t="str">
        <f>IF($A599="","",IFERROR(INDEX(회의록!$C$3:$C$302,MATCH($A599,회의록!$A$3:$A$302,0)),"회의번호없음"))</f>
        <v/>
      </c>
      <c r="C599" s="50" t="n"/>
      <c r="D599" s="49" t="n"/>
      <c r="E599" s="53" t="n"/>
      <c r="F599" s="49" t="n"/>
      <c r="G599" s="53" t="n"/>
      <c r="H599" s="56" t="str">
        <f>IF(OR($C599="",$E599="",$F599="완료",$F599="취소"),"",$E599-TODAY())</f>
        <v/>
      </c>
      <c r="I599" s="56" t="str">
        <f>IF(OR($C599="",$E599=""),"",IF($F599="완료",IF($G599="","",MAX(0,$G599-$E599)),IF($F599="취소","",MAX(0,TODAY()-$E599))))</f>
        <v/>
      </c>
      <c r="J599" s="50" t="n"/>
      <c r="K599" s="52" t="str">
        <f>IF($A599="","",$A599&amp;"|"&amp;$L599)</f>
        <v/>
      </c>
      <c r="L599" s="52" t="str">
        <f>IF($A599="","",COUNTIFS($A$3:$A599,$A599))</f>
        <v/>
      </c>
    </row>
    <row r="600" ht="15" customHeight="1" s="41">
      <c r="A600" s="50" t="n"/>
      <c r="B600" s="52" t="str">
        <f>IF($A600="","",IFERROR(INDEX(회의록!$C$3:$C$302,MATCH($A600,회의록!$A$3:$A$302,0)),"회의번호없음"))</f>
        <v/>
      </c>
      <c r="C600" s="50" t="n"/>
      <c r="D600" s="49" t="n"/>
      <c r="E600" s="53" t="n"/>
      <c r="F600" s="49" t="n"/>
      <c r="G600" s="53" t="n"/>
      <c r="H600" s="56" t="str">
        <f>IF(OR($C600="",$E600="",$F600="완료",$F600="취소"),"",$E600-TODAY())</f>
        <v/>
      </c>
      <c r="I600" s="56" t="str">
        <f>IF(OR($C600="",$E600=""),"",IF($F600="완료",IF($G600="","",MAX(0,$G600-$E600)),IF($F600="취소","",MAX(0,TODAY()-$E600))))</f>
        <v/>
      </c>
      <c r="J600" s="50" t="n"/>
      <c r="K600" s="52" t="str">
        <f>IF($A600="","",$A600&amp;"|"&amp;$L600)</f>
        <v/>
      </c>
      <c r="L600" s="52" t="str">
        <f>IF($A600="","",COUNTIFS($A$3:$A600,$A600))</f>
        <v/>
      </c>
    </row>
    <row r="601" ht="15" customHeight="1" s="41">
      <c r="A601" s="50" t="n"/>
      <c r="B601" s="52" t="str">
        <f>IF($A601="","",IFERROR(INDEX(회의록!$C$3:$C$302,MATCH($A601,회의록!$A$3:$A$302,0)),"회의번호없음"))</f>
        <v/>
      </c>
      <c r="C601" s="50" t="n"/>
      <c r="D601" s="49" t="n"/>
      <c r="E601" s="53" t="n"/>
      <c r="F601" s="49" t="n"/>
      <c r="G601" s="53" t="n"/>
      <c r="H601" s="56" t="str">
        <f>IF(OR($C601="",$E601="",$F601="완료",$F601="취소"),"",$E601-TODAY())</f>
        <v/>
      </c>
      <c r="I601" s="56" t="str">
        <f>IF(OR($C601="",$E601=""),"",IF($F601="완료",IF($G601="","",MAX(0,$G601-$E601)),IF($F601="취소","",MAX(0,TODAY()-$E601))))</f>
        <v/>
      </c>
      <c r="J601" s="50" t="n"/>
      <c r="K601" s="52" t="str">
        <f>IF($A601="","",$A601&amp;"|"&amp;$L601)</f>
        <v/>
      </c>
      <c r="L601" s="52" t="str">
        <f>IF($A601="","",COUNTIFS($A$3:$A601,$A601))</f>
        <v/>
      </c>
    </row>
    <row r="602" ht="15" customHeight="1" s="41">
      <c r="A602" s="50" t="n"/>
      <c r="B602" s="52" t="str">
        <f>IF($A602="","",IFERROR(INDEX(회의록!$C$3:$C$302,MATCH($A602,회의록!$A$3:$A$302,0)),"회의번호없음"))</f>
        <v/>
      </c>
      <c r="C602" s="50" t="n"/>
      <c r="D602" s="49" t="n"/>
      <c r="E602" s="53" t="n"/>
      <c r="F602" s="49" t="n"/>
      <c r="G602" s="53" t="n"/>
      <c r="H602" s="56" t="str">
        <f>IF(OR($C602="",$E602="",$F602="완료",$F602="취소"),"",$E602-TODAY())</f>
        <v/>
      </c>
      <c r="I602" s="56" t="str">
        <f>IF(OR($C602="",$E602=""),"",IF($F602="완료",IF($G602="","",MAX(0,$G602-$E602)),IF($F602="취소","",MAX(0,TODAY()-$E602))))</f>
        <v/>
      </c>
      <c r="J602" s="50" t="n"/>
      <c r="K602" s="52" t="str">
        <f>IF($A602="","",$A602&amp;"|"&amp;$L602)</f>
        <v/>
      </c>
      <c r="L602" s="52" t="str">
        <f>IF($A602="","",COUNTIFS($A$3:$A602,$A602))</f>
        <v/>
      </c>
    </row>
    <row r="603" ht="15" customHeight="1" s="41">
      <c r="A603" s="50" t="n"/>
      <c r="B603" s="52" t="str">
        <f>IF($A603="","",IFERROR(INDEX(회의록!$C$3:$C$302,MATCH($A603,회의록!$A$3:$A$302,0)),"회의번호없음"))</f>
        <v/>
      </c>
      <c r="C603" s="50" t="n"/>
      <c r="D603" s="49" t="n"/>
      <c r="E603" s="53" t="n"/>
      <c r="F603" s="49" t="n"/>
      <c r="G603" s="53" t="n"/>
      <c r="H603" s="56" t="str">
        <f>IF(OR($C603="",$E603="",$F603="완료",$F603="취소"),"",$E603-TODAY())</f>
        <v/>
      </c>
      <c r="I603" s="56" t="str">
        <f>IF(OR($C603="",$E603=""),"",IF($F603="완료",IF($G603="","",MAX(0,$G603-$E603)),IF($F603="취소","",MAX(0,TODAY()-$E603))))</f>
        <v/>
      </c>
      <c r="J603" s="50" t="n"/>
      <c r="K603" s="52" t="str">
        <f>IF($A603="","",$A603&amp;"|"&amp;$L603)</f>
        <v/>
      </c>
      <c r="L603" s="52" t="str">
        <f>IF($A603="","",COUNTIFS($A$3:$A603,$A603))</f>
        <v/>
      </c>
    </row>
    <row r="604" ht="15" customHeight="1" s="41">
      <c r="A604" s="50" t="n"/>
      <c r="B604" s="52" t="str">
        <f>IF($A604="","",IFERROR(INDEX(회의록!$C$3:$C$302,MATCH($A604,회의록!$A$3:$A$302,0)),"회의번호없음"))</f>
        <v/>
      </c>
      <c r="C604" s="50" t="n"/>
      <c r="D604" s="49" t="n"/>
      <c r="E604" s="53" t="n"/>
      <c r="F604" s="49" t="n"/>
      <c r="G604" s="53" t="n"/>
      <c r="H604" s="56" t="str">
        <f>IF(OR($C604="",$E604="",$F604="완료",$F604="취소"),"",$E604-TODAY())</f>
        <v/>
      </c>
      <c r="I604" s="56" t="str">
        <f>IF(OR($C604="",$E604=""),"",IF($F604="완료",IF($G604="","",MAX(0,$G604-$E604)),IF($F604="취소","",MAX(0,TODAY()-$E604))))</f>
        <v/>
      </c>
      <c r="J604" s="50" t="n"/>
      <c r="K604" s="52" t="str">
        <f>IF($A604="","",$A604&amp;"|"&amp;$L604)</f>
        <v/>
      </c>
      <c r="L604" s="52" t="str">
        <f>IF($A604="","",COUNTIFS($A$3:$A604,$A604))</f>
        <v/>
      </c>
    </row>
    <row r="605" ht="15" customHeight="1" s="41">
      <c r="A605" s="50" t="n"/>
      <c r="B605" s="52" t="str">
        <f>IF($A605="","",IFERROR(INDEX(회의록!$C$3:$C$302,MATCH($A605,회의록!$A$3:$A$302,0)),"회의번호없음"))</f>
        <v/>
      </c>
      <c r="C605" s="50" t="n"/>
      <c r="D605" s="49" t="n"/>
      <c r="E605" s="53" t="n"/>
      <c r="F605" s="49" t="n"/>
      <c r="G605" s="53" t="n"/>
      <c r="H605" s="56" t="str">
        <f>IF(OR($C605="",$E605="",$F605="완료",$F605="취소"),"",$E605-TODAY())</f>
        <v/>
      </c>
      <c r="I605" s="56" t="str">
        <f>IF(OR($C605="",$E605=""),"",IF($F605="완료",IF($G605="","",MAX(0,$G605-$E605)),IF($F605="취소","",MAX(0,TODAY()-$E605))))</f>
        <v/>
      </c>
      <c r="J605" s="50" t="n"/>
      <c r="K605" s="52" t="str">
        <f>IF($A605="","",$A605&amp;"|"&amp;$L605)</f>
        <v/>
      </c>
      <c r="L605" s="52" t="str">
        <f>IF($A605="","",COUNTIFS($A$3:$A605,$A605))</f>
        <v/>
      </c>
    </row>
    <row r="606" ht="15" customHeight="1" s="41">
      <c r="A606" s="50" t="n"/>
      <c r="B606" s="52" t="str">
        <f>IF($A606="","",IFERROR(INDEX(회의록!$C$3:$C$302,MATCH($A606,회의록!$A$3:$A$302,0)),"회의번호없음"))</f>
        <v/>
      </c>
      <c r="C606" s="50" t="n"/>
      <c r="D606" s="49" t="n"/>
      <c r="E606" s="53" t="n"/>
      <c r="F606" s="49" t="n"/>
      <c r="G606" s="53" t="n"/>
      <c r="H606" s="56" t="str">
        <f>IF(OR($C606="",$E606="",$F606="완료",$F606="취소"),"",$E606-TODAY())</f>
        <v/>
      </c>
      <c r="I606" s="56" t="str">
        <f>IF(OR($C606="",$E606=""),"",IF($F606="완료",IF($G606="","",MAX(0,$G606-$E606)),IF($F606="취소","",MAX(0,TODAY()-$E606))))</f>
        <v/>
      </c>
      <c r="J606" s="50" t="n"/>
      <c r="K606" s="52" t="str">
        <f>IF($A606="","",$A606&amp;"|"&amp;$L606)</f>
        <v/>
      </c>
      <c r="L606" s="52" t="str">
        <f>IF($A606="","",COUNTIFS($A$3:$A606,$A606))</f>
        <v/>
      </c>
    </row>
    <row r="607" ht="15" customHeight="1" s="41">
      <c r="A607" s="50" t="n"/>
      <c r="B607" s="52" t="str">
        <f>IF($A607="","",IFERROR(INDEX(회의록!$C$3:$C$302,MATCH($A607,회의록!$A$3:$A$302,0)),"회의번호없음"))</f>
        <v/>
      </c>
      <c r="C607" s="50" t="n"/>
      <c r="D607" s="49" t="n"/>
      <c r="E607" s="53" t="n"/>
      <c r="F607" s="49" t="n"/>
      <c r="G607" s="53" t="n"/>
      <c r="H607" s="56" t="str">
        <f>IF(OR($C607="",$E607="",$F607="완료",$F607="취소"),"",$E607-TODAY())</f>
        <v/>
      </c>
      <c r="I607" s="56" t="str">
        <f>IF(OR($C607="",$E607=""),"",IF($F607="완료",IF($G607="","",MAX(0,$G607-$E607)),IF($F607="취소","",MAX(0,TODAY()-$E607))))</f>
        <v/>
      </c>
      <c r="J607" s="50" t="n"/>
      <c r="K607" s="52" t="str">
        <f>IF($A607="","",$A607&amp;"|"&amp;$L607)</f>
        <v/>
      </c>
      <c r="L607" s="52" t="str">
        <f>IF($A607="","",COUNTIFS($A$3:$A607,$A607))</f>
        <v/>
      </c>
    </row>
    <row r="608" ht="15" customHeight="1" s="41">
      <c r="A608" s="50" t="n"/>
      <c r="B608" s="52" t="str">
        <f>IF($A608="","",IFERROR(INDEX(회의록!$C$3:$C$302,MATCH($A608,회의록!$A$3:$A$302,0)),"회의번호없음"))</f>
        <v/>
      </c>
      <c r="C608" s="50" t="n"/>
      <c r="D608" s="49" t="n"/>
      <c r="E608" s="53" t="n"/>
      <c r="F608" s="49" t="n"/>
      <c r="G608" s="53" t="n"/>
      <c r="H608" s="56" t="str">
        <f>IF(OR($C608="",$E608="",$F608="완료",$F608="취소"),"",$E608-TODAY())</f>
        <v/>
      </c>
      <c r="I608" s="56" t="str">
        <f>IF(OR($C608="",$E608=""),"",IF($F608="완료",IF($G608="","",MAX(0,$G608-$E608)),IF($F608="취소","",MAX(0,TODAY()-$E608))))</f>
        <v/>
      </c>
      <c r="J608" s="50" t="n"/>
      <c r="K608" s="52" t="str">
        <f>IF($A608="","",$A608&amp;"|"&amp;$L608)</f>
        <v/>
      </c>
      <c r="L608" s="52" t="str">
        <f>IF($A608="","",COUNTIFS($A$3:$A608,$A608))</f>
        <v/>
      </c>
    </row>
    <row r="609" ht="15" customHeight="1" s="41">
      <c r="A609" s="50" t="n"/>
      <c r="B609" s="52" t="str">
        <f>IF($A609="","",IFERROR(INDEX(회의록!$C$3:$C$302,MATCH($A609,회의록!$A$3:$A$302,0)),"회의번호없음"))</f>
        <v/>
      </c>
      <c r="C609" s="50" t="n"/>
      <c r="D609" s="49" t="n"/>
      <c r="E609" s="53" t="n"/>
      <c r="F609" s="49" t="n"/>
      <c r="G609" s="53" t="n"/>
      <c r="H609" s="56" t="str">
        <f>IF(OR($C609="",$E609="",$F609="완료",$F609="취소"),"",$E609-TODAY())</f>
        <v/>
      </c>
      <c r="I609" s="56" t="str">
        <f>IF(OR($C609="",$E609=""),"",IF($F609="완료",IF($G609="","",MAX(0,$G609-$E609)),IF($F609="취소","",MAX(0,TODAY()-$E609))))</f>
        <v/>
      </c>
      <c r="J609" s="50" t="n"/>
      <c r="K609" s="52" t="str">
        <f>IF($A609="","",$A609&amp;"|"&amp;$L609)</f>
        <v/>
      </c>
      <c r="L609" s="52" t="str">
        <f>IF($A609="","",COUNTIFS($A$3:$A609,$A609))</f>
        <v/>
      </c>
    </row>
    <row r="610" ht="15" customHeight="1" s="41">
      <c r="A610" s="50" t="n"/>
      <c r="B610" s="52" t="str">
        <f>IF($A610="","",IFERROR(INDEX(회의록!$C$3:$C$302,MATCH($A610,회의록!$A$3:$A$302,0)),"회의번호없음"))</f>
        <v/>
      </c>
      <c r="C610" s="50" t="n"/>
      <c r="D610" s="49" t="n"/>
      <c r="E610" s="53" t="n"/>
      <c r="F610" s="49" t="n"/>
      <c r="G610" s="53" t="n"/>
      <c r="H610" s="56" t="str">
        <f>IF(OR($C610="",$E610="",$F610="완료",$F610="취소"),"",$E610-TODAY())</f>
        <v/>
      </c>
      <c r="I610" s="56" t="str">
        <f>IF(OR($C610="",$E610=""),"",IF($F610="완료",IF($G610="","",MAX(0,$G610-$E610)),IF($F610="취소","",MAX(0,TODAY()-$E610))))</f>
        <v/>
      </c>
      <c r="J610" s="50" t="n"/>
      <c r="K610" s="52" t="str">
        <f>IF($A610="","",$A610&amp;"|"&amp;$L610)</f>
        <v/>
      </c>
      <c r="L610" s="52" t="str">
        <f>IF($A610="","",COUNTIFS($A$3:$A610,$A610))</f>
        <v/>
      </c>
    </row>
    <row r="611" ht="15" customHeight="1" s="41">
      <c r="A611" s="50" t="n"/>
      <c r="B611" s="52" t="str">
        <f>IF($A611="","",IFERROR(INDEX(회의록!$C$3:$C$302,MATCH($A611,회의록!$A$3:$A$302,0)),"회의번호없음"))</f>
        <v/>
      </c>
      <c r="C611" s="50" t="n"/>
      <c r="D611" s="49" t="n"/>
      <c r="E611" s="53" t="n"/>
      <c r="F611" s="49" t="n"/>
      <c r="G611" s="53" t="n"/>
      <c r="H611" s="56" t="str">
        <f>IF(OR($C611="",$E611="",$F611="완료",$F611="취소"),"",$E611-TODAY())</f>
        <v/>
      </c>
      <c r="I611" s="56" t="str">
        <f>IF(OR($C611="",$E611=""),"",IF($F611="완료",IF($G611="","",MAX(0,$G611-$E611)),IF($F611="취소","",MAX(0,TODAY()-$E611))))</f>
        <v/>
      </c>
      <c r="J611" s="50" t="n"/>
      <c r="K611" s="52" t="str">
        <f>IF($A611="","",$A611&amp;"|"&amp;$L611)</f>
        <v/>
      </c>
      <c r="L611" s="52" t="str">
        <f>IF($A611="","",COUNTIFS($A$3:$A611,$A611))</f>
        <v/>
      </c>
    </row>
    <row r="612" ht="15" customHeight="1" s="41">
      <c r="A612" s="50" t="n"/>
      <c r="B612" s="52" t="str">
        <f>IF($A612="","",IFERROR(INDEX(회의록!$C$3:$C$302,MATCH($A612,회의록!$A$3:$A$302,0)),"회의번호없음"))</f>
        <v/>
      </c>
      <c r="C612" s="50" t="n"/>
      <c r="D612" s="49" t="n"/>
      <c r="E612" s="53" t="n"/>
      <c r="F612" s="49" t="n"/>
      <c r="G612" s="53" t="n"/>
      <c r="H612" s="56" t="str">
        <f>IF(OR($C612="",$E612="",$F612="완료",$F612="취소"),"",$E612-TODAY())</f>
        <v/>
      </c>
      <c r="I612" s="56" t="str">
        <f>IF(OR($C612="",$E612=""),"",IF($F612="완료",IF($G612="","",MAX(0,$G612-$E612)),IF($F612="취소","",MAX(0,TODAY()-$E612))))</f>
        <v/>
      </c>
      <c r="J612" s="50" t="n"/>
      <c r="K612" s="52" t="str">
        <f>IF($A612="","",$A612&amp;"|"&amp;$L612)</f>
        <v/>
      </c>
      <c r="L612" s="52" t="str">
        <f>IF($A612="","",COUNTIFS($A$3:$A612,$A612))</f>
        <v/>
      </c>
    </row>
    <row r="613" ht="15" customHeight="1" s="41">
      <c r="A613" s="50" t="n"/>
      <c r="B613" s="52" t="str">
        <f>IF($A613="","",IFERROR(INDEX(회의록!$C$3:$C$302,MATCH($A613,회의록!$A$3:$A$302,0)),"회의번호없음"))</f>
        <v/>
      </c>
      <c r="C613" s="50" t="n"/>
      <c r="D613" s="49" t="n"/>
      <c r="E613" s="53" t="n"/>
      <c r="F613" s="49" t="n"/>
      <c r="G613" s="53" t="n"/>
      <c r="H613" s="56" t="str">
        <f>IF(OR($C613="",$E613="",$F613="완료",$F613="취소"),"",$E613-TODAY())</f>
        <v/>
      </c>
      <c r="I613" s="56" t="str">
        <f>IF(OR($C613="",$E613=""),"",IF($F613="완료",IF($G613="","",MAX(0,$G613-$E613)),IF($F613="취소","",MAX(0,TODAY()-$E613))))</f>
        <v/>
      </c>
      <c r="J613" s="50" t="n"/>
      <c r="K613" s="52" t="str">
        <f>IF($A613="","",$A613&amp;"|"&amp;$L613)</f>
        <v/>
      </c>
      <c r="L613" s="52" t="str">
        <f>IF($A613="","",COUNTIFS($A$3:$A613,$A613))</f>
        <v/>
      </c>
    </row>
    <row r="614" ht="15" customHeight="1" s="41">
      <c r="A614" s="50" t="n"/>
      <c r="B614" s="52" t="str">
        <f>IF($A614="","",IFERROR(INDEX(회의록!$C$3:$C$302,MATCH($A614,회의록!$A$3:$A$302,0)),"회의번호없음"))</f>
        <v/>
      </c>
      <c r="C614" s="50" t="n"/>
      <c r="D614" s="49" t="n"/>
      <c r="E614" s="53" t="n"/>
      <c r="F614" s="49" t="n"/>
      <c r="G614" s="53" t="n"/>
      <c r="H614" s="56" t="str">
        <f>IF(OR($C614="",$E614="",$F614="완료",$F614="취소"),"",$E614-TODAY())</f>
        <v/>
      </c>
      <c r="I614" s="56" t="str">
        <f>IF(OR($C614="",$E614=""),"",IF($F614="완료",IF($G614="","",MAX(0,$G614-$E614)),IF($F614="취소","",MAX(0,TODAY()-$E614))))</f>
        <v/>
      </c>
      <c r="J614" s="50" t="n"/>
      <c r="K614" s="52" t="str">
        <f>IF($A614="","",$A614&amp;"|"&amp;$L614)</f>
        <v/>
      </c>
      <c r="L614" s="52" t="str">
        <f>IF($A614="","",COUNTIFS($A$3:$A614,$A614))</f>
        <v/>
      </c>
    </row>
    <row r="615" ht="15" customHeight="1" s="41">
      <c r="A615" s="50" t="n"/>
      <c r="B615" s="52" t="str">
        <f>IF($A615="","",IFERROR(INDEX(회의록!$C$3:$C$302,MATCH($A615,회의록!$A$3:$A$302,0)),"회의번호없음"))</f>
        <v/>
      </c>
      <c r="C615" s="50" t="n"/>
      <c r="D615" s="49" t="n"/>
      <c r="E615" s="53" t="n"/>
      <c r="F615" s="49" t="n"/>
      <c r="G615" s="53" t="n"/>
      <c r="H615" s="56" t="str">
        <f>IF(OR($C615="",$E615="",$F615="완료",$F615="취소"),"",$E615-TODAY())</f>
        <v/>
      </c>
      <c r="I615" s="56" t="str">
        <f>IF(OR($C615="",$E615=""),"",IF($F615="완료",IF($G615="","",MAX(0,$G615-$E615)),IF($F615="취소","",MAX(0,TODAY()-$E615))))</f>
        <v/>
      </c>
      <c r="J615" s="50" t="n"/>
      <c r="K615" s="52" t="str">
        <f>IF($A615="","",$A615&amp;"|"&amp;$L615)</f>
        <v/>
      </c>
      <c r="L615" s="52" t="str">
        <f>IF($A615="","",COUNTIFS($A$3:$A615,$A615))</f>
        <v/>
      </c>
    </row>
    <row r="616" ht="15" customHeight="1" s="41">
      <c r="A616" s="50" t="n"/>
      <c r="B616" s="52" t="str">
        <f>IF($A616="","",IFERROR(INDEX(회의록!$C$3:$C$302,MATCH($A616,회의록!$A$3:$A$302,0)),"회의번호없음"))</f>
        <v/>
      </c>
      <c r="C616" s="50" t="n"/>
      <c r="D616" s="49" t="n"/>
      <c r="E616" s="53" t="n"/>
      <c r="F616" s="49" t="n"/>
      <c r="G616" s="53" t="n"/>
      <c r="H616" s="56" t="str">
        <f>IF(OR($C616="",$E616="",$F616="완료",$F616="취소"),"",$E616-TODAY())</f>
        <v/>
      </c>
      <c r="I616" s="56" t="str">
        <f>IF(OR($C616="",$E616=""),"",IF($F616="완료",IF($G616="","",MAX(0,$G616-$E616)),IF($F616="취소","",MAX(0,TODAY()-$E616))))</f>
        <v/>
      </c>
      <c r="J616" s="50" t="n"/>
      <c r="K616" s="52" t="str">
        <f>IF($A616="","",$A616&amp;"|"&amp;$L616)</f>
        <v/>
      </c>
      <c r="L616" s="52" t="str">
        <f>IF($A616="","",COUNTIFS($A$3:$A616,$A616))</f>
        <v/>
      </c>
    </row>
    <row r="617" ht="15" customHeight="1" s="41">
      <c r="A617" s="50" t="n"/>
      <c r="B617" s="52" t="str">
        <f>IF($A617="","",IFERROR(INDEX(회의록!$C$3:$C$302,MATCH($A617,회의록!$A$3:$A$302,0)),"회의번호없음"))</f>
        <v/>
      </c>
      <c r="C617" s="50" t="n"/>
      <c r="D617" s="49" t="n"/>
      <c r="E617" s="53" t="n"/>
      <c r="F617" s="49" t="n"/>
      <c r="G617" s="53" t="n"/>
      <c r="H617" s="56" t="str">
        <f>IF(OR($C617="",$E617="",$F617="완료",$F617="취소"),"",$E617-TODAY())</f>
        <v/>
      </c>
      <c r="I617" s="56" t="str">
        <f>IF(OR($C617="",$E617=""),"",IF($F617="완료",IF($G617="","",MAX(0,$G617-$E617)),IF($F617="취소","",MAX(0,TODAY()-$E617))))</f>
        <v/>
      </c>
      <c r="J617" s="50" t="n"/>
      <c r="K617" s="52" t="str">
        <f>IF($A617="","",$A617&amp;"|"&amp;$L617)</f>
        <v/>
      </c>
      <c r="L617" s="52" t="str">
        <f>IF($A617="","",COUNTIFS($A$3:$A617,$A617))</f>
        <v/>
      </c>
    </row>
    <row r="618" ht="15" customHeight="1" s="41">
      <c r="A618" s="50" t="n"/>
      <c r="B618" s="52" t="str">
        <f>IF($A618="","",IFERROR(INDEX(회의록!$C$3:$C$302,MATCH($A618,회의록!$A$3:$A$302,0)),"회의번호없음"))</f>
        <v/>
      </c>
      <c r="C618" s="50" t="n"/>
      <c r="D618" s="49" t="n"/>
      <c r="E618" s="53" t="n"/>
      <c r="F618" s="49" t="n"/>
      <c r="G618" s="53" t="n"/>
      <c r="H618" s="56" t="str">
        <f>IF(OR($C618="",$E618="",$F618="완료",$F618="취소"),"",$E618-TODAY())</f>
        <v/>
      </c>
      <c r="I618" s="56" t="str">
        <f>IF(OR($C618="",$E618=""),"",IF($F618="완료",IF($G618="","",MAX(0,$G618-$E618)),IF($F618="취소","",MAX(0,TODAY()-$E618))))</f>
        <v/>
      </c>
      <c r="J618" s="50" t="n"/>
      <c r="K618" s="52" t="str">
        <f>IF($A618="","",$A618&amp;"|"&amp;$L618)</f>
        <v/>
      </c>
      <c r="L618" s="52" t="str">
        <f>IF($A618="","",COUNTIFS($A$3:$A618,$A618))</f>
        <v/>
      </c>
    </row>
    <row r="619" ht="15" customHeight="1" s="41">
      <c r="A619" s="50" t="n"/>
      <c r="B619" s="52" t="str">
        <f>IF($A619="","",IFERROR(INDEX(회의록!$C$3:$C$302,MATCH($A619,회의록!$A$3:$A$302,0)),"회의번호없음"))</f>
        <v/>
      </c>
      <c r="C619" s="50" t="n"/>
      <c r="D619" s="49" t="n"/>
      <c r="E619" s="53" t="n"/>
      <c r="F619" s="49" t="n"/>
      <c r="G619" s="53" t="n"/>
      <c r="H619" s="56" t="str">
        <f>IF(OR($C619="",$E619="",$F619="완료",$F619="취소"),"",$E619-TODAY())</f>
        <v/>
      </c>
      <c r="I619" s="56" t="str">
        <f>IF(OR($C619="",$E619=""),"",IF($F619="완료",IF($G619="","",MAX(0,$G619-$E619)),IF($F619="취소","",MAX(0,TODAY()-$E619))))</f>
        <v/>
      </c>
      <c r="J619" s="50" t="n"/>
      <c r="K619" s="52" t="str">
        <f>IF($A619="","",$A619&amp;"|"&amp;$L619)</f>
        <v/>
      </c>
      <c r="L619" s="52" t="str">
        <f>IF($A619="","",COUNTIFS($A$3:$A619,$A619))</f>
        <v/>
      </c>
    </row>
    <row r="620" ht="15" customHeight="1" s="41">
      <c r="A620" s="50" t="n"/>
      <c r="B620" s="52" t="str">
        <f>IF($A620="","",IFERROR(INDEX(회의록!$C$3:$C$302,MATCH($A620,회의록!$A$3:$A$302,0)),"회의번호없음"))</f>
        <v/>
      </c>
      <c r="C620" s="50" t="n"/>
      <c r="D620" s="49" t="n"/>
      <c r="E620" s="53" t="n"/>
      <c r="F620" s="49" t="n"/>
      <c r="G620" s="53" t="n"/>
      <c r="H620" s="56" t="str">
        <f>IF(OR($C620="",$E620="",$F620="완료",$F620="취소"),"",$E620-TODAY())</f>
        <v/>
      </c>
      <c r="I620" s="56" t="str">
        <f>IF(OR($C620="",$E620=""),"",IF($F620="완료",IF($G620="","",MAX(0,$G620-$E620)),IF($F620="취소","",MAX(0,TODAY()-$E620))))</f>
        <v/>
      </c>
      <c r="J620" s="50" t="n"/>
      <c r="K620" s="52" t="str">
        <f>IF($A620="","",$A620&amp;"|"&amp;$L620)</f>
        <v/>
      </c>
      <c r="L620" s="52" t="str">
        <f>IF($A620="","",COUNTIFS($A$3:$A620,$A620))</f>
        <v/>
      </c>
    </row>
    <row r="621" ht="15" customHeight="1" s="41">
      <c r="A621" s="50" t="n"/>
      <c r="B621" s="52" t="str">
        <f>IF($A621="","",IFERROR(INDEX(회의록!$C$3:$C$302,MATCH($A621,회의록!$A$3:$A$302,0)),"회의번호없음"))</f>
        <v/>
      </c>
      <c r="C621" s="50" t="n"/>
      <c r="D621" s="49" t="n"/>
      <c r="E621" s="53" t="n"/>
      <c r="F621" s="49" t="n"/>
      <c r="G621" s="53" t="n"/>
      <c r="H621" s="56" t="str">
        <f>IF(OR($C621="",$E621="",$F621="완료",$F621="취소"),"",$E621-TODAY())</f>
        <v/>
      </c>
      <c r="I621" s="56" t="str">
        <f>IF(OR($C621="",$E621=""),"",IF($F621="완료",IF($G621="","",MAX(0,$G621-$E621)),IF($F621="취소","",MAX(0,TODAY()-$E621))))</f>
        <v/>
      </c>
      <c r="J621" s="50" t="n"/>
      <c r="K621" s="52" t="str">
        <f>IF($A621="","",$A621&amp;"|"&amp;$L621)</f>
        <v/>
      </c>
      <c r="L621" s="52" t="str">
        <f>IF($A621="","",COUNTIFS($A$3:$A621,$A621))</f>
        <v/>
      </c>
    </row>
    <row r="622" ht="15" customHeight="1" s="41">
      <c r="A622" s="50" t="n"/>
      <c r="B622" s="52" t="str">
        <f>IF($A622="","",IFERROR(INDEX(회의록!$C$3:$C$302,MATCH($A622,회의록!$A$3:$A$302,0)),"회의번호없음"))</f>
        <v/>
      </c>
      <c r="C622" s="50" t="n"/>
      <c r="D622" s="49" t="n"/>
      <c r="E622" s="53" t="n"/>
      <c r="F622" s="49" t="n"/>
      <c r="G622" s="53" t="n"/>
      <c r="H622" s="56" t="str">
        <f>IF(OR($C622="",$E622="",$F622="완료",$F622="취소"),"",$E622-TODAY())</f>
        <v/>
      </c>
      <c r="I622" s="56" t="str">
        <f>IF(OR($C622="",$E622=""),"",IF($F622="완료",IF($G622="","",MAX(0,$G622-$E622)),IF($F622="취소","",MAX(0,TODAY()-$E622))))</f>
        <v/>
      </c>
      <c r="J622" s="50" t="n"/>
      <c r="K622" s="52" t="str">
        <f>IF($A622="","",$A622&amp;"|"&amp;$L622)</f>
        <v/>
      </c>
      <c r="L622" s="52" t="str">
        <f>IF($A622="","",COUNTIFS($A$3:$A622,$A622))</f>
        <v/>
      </c>
    </row>
    <row r="623" ht="15" customHeight="1" s="41">
      <c r="A623" s="50" t="n"/>
      <c r="B623" s="52" t="str">
        <f>IF($A623="","",IFERROR(INDEX(회의록!$C$3:$C$302,MATCH($A623,회의록!$A$3:$A$302,0)),"회의번호없음"))</f>
        <v/>
      </c>
      <c r="C623" s="50" t="n"/>
      <c r="D623" s="49" t="n"/>
      <c r="E623" s="53" t="n"/>
      <c r="F623" s="49" t="n"/>
      <c r="G623" s="53" t="n"/>
      <c r="H623" s="56" t="str">
        <f>IF(OR($C623="",$E623="",$F623="완료",$F623="취소"),"",$E623-TODAY())</f>
        <v/>
      </c>
      <c r="I623" s="56" t="str">
        <f>IF(OR($C623="",$E623=""),"",IF($F623="완료",IF($G623="","",MAX(0,$G623-$E623)),IF($F623="취소","",MAX(0,TODAY()-$E623))))</f>
        <v/>
      </c>
      <c r="J623" s="50" t="n"/>
      <c r="K623" s="52" t="str">
        <f>IF($A623="","",$A623&amp;"|"&amp;$L623)</f>
        <v/>
      </c>
      <c r="L623" s="52" t="str">
        <f>IF($A623="","",COUNTIFS($A$3:$A623,$A623))</f>
        <v/>
      </c>
    </row>
    <row r="624" ht="15" customHeight="1" s="41">
      <c r="A624" s="50" t="n"/>
      <c r="B624" s="52" t="str">
        <f>IF($A624="","",IFERROR(INDEX(회의록!$C$3:$C$302,MATCH($A624,회의록!$A$3:$A$302,0)),"회의번호없음"))</f>
        <v/>
      </c>
      <c r="C624" s="50" t="n"/>
      <c r="D624" s="49" t="n"/>
      <c r="E624" s="53" t="n"/>
      <c r="F624" s="49" t="n"/>
      <c r="G624" s="53" t="n"/>
      <c r="H624" s="56" t="str">
        <f>IF(OR($C624="",$E624="",$F624="완료",$F624="취소"),"",$E624-TODAY())</f>
        <v/>
      </c>
      <c r="I624" s="56" t="str">
        <f>IF(OR($C624="",$E624=""),"",IF($F624="완료",IF($G624="","",MAX(0,$G624-$E624)),IF($F624="취소","",MAX(0,TODAY()-$E624))))</f>
        <v/>
      </c>
      <c r="J624" s="50" t="n"/>
      <c r="K624" s="52" t="str">
        <f>IF($A624="","",$A624&amp;"|"&amp;$L624)</f>
        <v/>
      </c>
      <c r="L624" s="52" t="str">
        <f>IF($A624="","",COUNTIFS($A$3:$A624,$A624))</f>
        <v/>
      </c>
    </row>
    <row r="625" ht="15" customHeight="1" s="41">
      <c r="A625" s="50" t="n"/>
      <c r="B625" s="52" t="str">
        <f>IF($A625="","",IFERROR(INDEX(회의록!$C$3:$C$302,MATCH($A625,회의록!$A$3:$A$302,0)),"회의번호없음"))</f>
        <v/>
      </c>
      <c r="C625" s="50" t="n"/>
      <c r="D625" s="49" t="n"/>
      <c r="E625" s="53" t="n"/>
      <c r="F625" s="49" t="n"/>
      <c r="G625" s="53" t="n"/>
      <c r="H625" s="56" t="str">
        <f>IF(OR($C625="",$E625="",$F625="완료",$F625="취소"),"",$E625-TODAY())</f>
        <v/>
      </c>
      <c r="I625" s="56" t="str">
        <f>IF(OR($C625="",$E625=""),"",IF($F625="완료",IF($G625="","",MAX(0,$G625-$E625)),IF($F625="취소","",MAX(0,TODAY()-$E625))))</f>
        <v/>
      </c>
      <c r="J625" s="50" t="n"/>
      <c r="K625" s="52" t="str">
        <f>IF($A625="","",$A625&amp;"|"&amp;$L625)</f>
        <v/>
      </c>
      <c r="L625" s="52" t="str">
        <f>IF($A625="","",COUNTIFS($A$3:$A625,$A625))</f>
        <v/>
      </c>
    </row>
    <row r="626" ht="15" customHeight="1" s="41">
      <c r="A626" s="50" t="n"/>
      <c r="B626" s="52" t="str">
        <f>IF($A626="","",IFERROR(INDEX(회의록!$C$3:$C$302,MATCH($A626,회의록!$A$3:$A$302,0)),"회의번호없음"))</f>
        <v/>
      </c>
      <c r="C626" s="50" t="n"/>
      <c r="D626" s="49" t="n"/>
      <c r="E626" s="53" t="n"/>
      <c r="F626" s="49" t="n"/>
      <c r="G626" s="53" t="n"/>
      <c r="H626" s="56" t="str">
        <f>IF(OR($C626="",$E626="",$F626="완료",$F626="취소"),"",$E626-TODAY())</f>
        <v/>
      </c>
      <c r="I626" s="56" t="str">
        <f>IF(OR($C626="",$E626=""),"",IF($F626="완료",IF($G626="","",MAX(0,$G626-$E626)),IF($F626="취소","",MAX(0,TODAY()-$E626))))</f>
        <v/>
      </c>
      <c r="J626" s="50" t="n"/>
      <c r="K626" s="52" t="str">
        <f>IF($A626="","",$A626&amp;"|"&amp;$L626)</f>
        <v/>
      </c>
      <c r="L626" s="52" t="str">
        <f>IF($A626="","",COUNTIFS($A$3:$A626,$A626))</f>
        <v/>
      </c>
    </row>
    <row r="627" ht="15" customHeight="1" s="41">
      <c r="A627" s="50" t="n"/>
      <c r="B627" s="52" t="str">
        <f>IF($A627="","",IFERROR(INDEX(회의록!$C$3:$C$302,MATCH($A627,회의록!$A$3:$A$302,0)),"회의번호없음"))</f>
        <v/>
      </c>
      <c r="C627" s="50" t="n"/>
      <c r="D627" s="49" t="n"/>
      <c r="E627" s="53" t="n"/>
      <c r="F627" s="49" t="n"/>
      <c r="G627" s="53" t="n"/>
      <c r="H627" s="56" t="str">
        <f>IF(OR($C627="",$E627="",$F627="완료",$F627="취소"),"",$E627-TODAY())</f>
        <v/>
      </c>
      <c r="I627" s="56" t="str">
        <f>IF(OR($C627="",$E627=""),"",IF($F627="완료",IF($G627="","",MAX(0,$G627-$E627)),IF($F627="취소","",MAX(0,TODAY()-$E627))))</f>
        <v/>
      </c>
      <c r="J627" s="50" t="n"/>
      <c r="K627" s="52" t="str">
        <f>IF($A627="","",$A627&amp;"|"&amp;$L627)</f>
        <v/>
      </c>
      <c r="L627" s="52" t="str">
        <f>IF($A627="","",COUNTIFS($A$3:$A627,$A627))</f>
        <v/>
      </c>
    </row>
    <row r="628" ht="15" customHeight="1" s="41">
      <c r="A628" s="50" t="n"/>
      <c r="B628" s="52" t="str">
        <f>IF($A628="","",IFERROR(INDEX(회의록!$C$3:$C$302,MATCH($A628,회의록!$A$3:$A$302,0)),"회의번호없음"))</f>
        <v/>
      </c>
      <c r="C628" s="50" t="n"/>
      <c r="D628" s="49" t="n"/>
      <c r="E628" s="53" t="n"/>
      <c r="F628" s="49" t="n"/>
      <c r="G628" s="53" t="n"/>
      <c r="H628" s="56" t="str">
        <f>IF(OR($C628="",$E628="",$F628="완료",$F628="취소"),"",$E628-TODAY())</f>
        <v/>
      </c>
      <c r="I628" s="56" t="str">
        <f>IF(OR($C628="",$E628=""),"",IF($F628="완료",IF($G628="","",MAX(0,$G628-$E628)),IF($F628="취소","",MAX(0,TODAY()-$E628))))</f>
        <v/>
      </c>
      <c r="J628" s="50" t="n"/>
      <c r="K628" s="52" t="str">
        <f>IF($A628="","",$A628&amp;"|"&amp;$L628)</f>
        <v/>
      </c>
      <c r="L628" s="52" t="str">
        <f>IF($A628="","",COUNTIFS($A$3:$A628,$A628))</f>
        <v/>
      </c>
    </row>
    <row r="629" ht="15" customHeight="1" s="41">
      <c r="A629" s="50" t="n"/>
      <c r="B629" s="52" t="str">
        <f>IF($A629="","",IFERROR(INDEX(회의록!$C$3:$C$302,MATCH($A629,회의록!$A$3:$A$302,0)),"회의번호없음"))</f>
        <v/>
      </c>
      <c r="C629" s="50" t="n"/>
      <c r="D629" s="49" t="n"/>
      <c r="E629" s="53" t="n"/>
      <c r="F629" s="49" t="n"/>
      <c r="G629" s="53" t="n"/>
      <c r="H629" s="56" t="str">
        <f>IF(OR($C629="",$E629="",$F629="완료",$F629="취소"),"",$E629-TODAY())</f>
        <v/>
      </c>
      <c r="I629" s="56" t="str">
        <f>IF(OR($C629="",$E629=""),"",IF($F629="완료",IF($G629="","",MAX(0,$G629-$E629)),IF($F629="취소","",MAX(0,TODAY()-$E629))))</f>
        <v/>
      </c>
      <c r="J629" s="50" t="n"/>
      <c r="K629" s="52" t="str">
        <f>IF($A629="","",$A629&amp;"|"&amp;$L629)</f>
        <v/>
      </c>
      <c r="L629" s="52" t="str">
        <f>IF($A629="","",COUNTIFS($A$3:$A629,$A629))</f>
        <v/>
      </c>
    </row>
    <row r="630" ht="15" customHeight="1" s="41">
      <c r="A630" s="50" t="n"/>
      <c r="B630" s="52" t="str">
        <f>IF($A630="","",IFERROR(INDEX(회의록!$C$3:$C$302,MATCH($A630,회의록!$A$3:$A$302,0)),"회의번호없음"))</f>
        <v/>
      </c>
      <c r="C630" s="50" t="n"/>
      <c r="D630" s="49" t="n"/>
      <c r="E630" s="53" t="n"/>
      <c r="F630" s="49" t="n"/>
      <c r="G630" s="53" t="n"/>
      <c r="H630" s="56" t="str">
        <f>IF(OR($C630="",$E630="",$F630="완료",$F630="취소"),"",$E630-TODAY())</f>
        <v/>
      </c>
      <c r="I630" s="56" t="str">
        <f>IF(OR($C630="",$E630=""),"",IF($F630="완료",IF($G630="","",MAX(0,$G630-$E630)),IF($F630="취소","",MAX(0,TODAY()-$E630))))</f>
        <v/>
      </c>
      <c r="J630" s="50" t="n"/>
      <c r="K630" s="52" t="str">
        <f>IF($A630="","",$A630&amp;"|"&amp;$L630)</f>
        <v/>
      </c>
      <c r="L630" s="52" t="str">
        <f>IF($A630="","",COUNTIFS($A$3:$A630,$A630))</f>
        <v/>
      </c>
    </row>
    <row r="631" ht="15" customHeight="1" s="41">
      <c r="A631" s="50" t="n"/>
      <c r="B631" s="52" t="str">
        <f>IF($A631="","",IFERROR(INDEX(회의록!$C$3:$C$302,MATCH($A631,회의록!$A$3:$A$302,0)),"회의번호없음"))</f>
        <v/>
      </c>
      <c r="C631" s="50" t="n"/>
      <c r="D631" s="49" t="n"/>
      <c r="E631" s="53" t="n"/>
      <c r="F631" s="49" t="n"/>
      <c r="G631" s="53" t="n"/>
      <c r="H631" s="56" t="str">
        <f>IF(OR($C631="",$E631="",$F631="완료",$F631="취소"),"",$E631-TODAY())</f>
        <v/>
      </c>
      <c r="I631" s="56" t="str">
        <f>IF(OR($C631="",$E631=""),"",IF($F631="완료",IF($G631="","",MAX(0,$G631-$E631)),IF($F631="취소","",MAX(0,TODAY()-$E631))))</f>
        <v/>
      </c>
      <c r="J631" s="50" t="n"/>
      <c r="K631" s="52" t="str">
        <f>IF($A631="","",$A631&amp;"|"&amp;$L631)</f>
        <v/>
      </c>
      <c r="L631" s="52" t="str">
        <f>IF($A631="","",COUNTIFS($A$3:$A631,$A631))</f>
        <v/>
      </c>
    </row>
    <row r="632" ht="15" customHeight="1" s="41">
      <c r="A632" s="50" t="n"/>
      <c r="B632" s="52" t="str">
        <f>IF($A632="","",IFERROR(INDEX(회의록!$C$3:$C$302,MATCH($A632,회의록!$A$3:$A$302,0)),"회의번호없음"))</f>
        <v/>
      </c>
      <c r="C632" s="50" t="n"/>
      <c r="D632" s="49" t="n"/>
      <c r="E632" s="53" t="n"/>
      <c r="F632" s="49" t="n"/>
      <c r="G632" s="53" t="n"/>
      <c r="H632" s="56" t="str">
        <f>IF(OR($C632="",$E632="",$F632="완료",$F632="취소"),"",$E632-TODAY())</f>
        <v/>
      </c>
      <c r="I632" s="56" t="str">
        <f>IF(OR($C632="",$E632=""),"",IF($F632="완료",IF($G632="","",MAX(0,$G632-$E632)),IF($F632="취소","",MAX(0,TODAY()-$E632))))</f>
        <v/>
      </c>
      <c r="J632" s="50" t="n"/>
      <c r="K632" s="52" t="str">
        <f>IF($A632="","",$A632&amp;"|"&amp;$L632)</f>
        <v/>
      </c>
      <c r="L632" s="52" t="str">
        <f>IF($A632="","",COUNTIFS($A$3:$A632,$A632))</f>
        <v/>
      </c>
    </row>
    <row r="633" ht="15" customHeight="1" s="41">
      <c r="A633" s="50" t="n"/>
      <c r="B633" s="52" t="str">
        <f>IF($A633="","",IFERROR(INDEX(회의록!$C$3:$C$302,MATCH($A633,회의록!$A$3:$A$302,0)),"회의번호없음"))</f>
        <v/>
      </c>
      <c r="C633" s="50" t="n"/>
      <c r="D633" s="49" t="n"/>
      <c r="E633" s="53" t="n"/>
      <c r="F633" s="49" t="n"/>
      <c r="G633" s="53" t="n"/>
      <c r="H633" s="56" t="str">
        <f>IF(OR($C633="",$E633="",$F633="완료",$F633="취소"),"",$E633-TODAY())</f>
        <v/>
      </c>
      <c r="I633" s="56" t="str">
        <f>IF(OR($C633="",$E633=""),"",IF($F633="완료",IF($G633="","",MAX(0,$G633-$E633)),IF($F633="취소","",MAX(0,TODAY()-$E633))))</f>
        <v/>
      </c>
      <c r="J633" s="50" t="n"/>
      <c r="K633" s="52" t="str">
        <f>IF($A633="","",$A633&amp;"|"&amp;$L633)</f>
        <v/>
      </c>
      <c r="L633" s="52" t="str">
        <f>IF($A633="","",COUNTIFS($A$3:$A633,$A633))</f>
        <v/>
      </c>
    </row>
    <row r="634" ht="15" customHeight="1" s="41">
      <c r="A634" s="50" t="n"/>
      <c r="B634" s="52" t="str">
        <f>IF($A634="","",IFERROR(INDEX(회의록!$C$3:$C$302,MATCH($A634,회의록!$A$3:$A$302,0)),"회의번호없음"))</f>
        <v/>
      </c>
      <c r="C634" s="50" t="n"/>
      <c r="D634" s="49" t="n"/>
      <c r="E634" s="53" t="n"/>
      <c r="F634" s="49" t="n"/>
      <c r="G634" s="53" t="n"/>
      <c r="H634" s="56" t="str">
        <f>IF(OR($C634="",$E634="",$F634="완료",$F634="취소"),"",$E634-TODAY())</f>
        <v/>
      </c>
      <c r="I634" s="56" t="str">
        <f>IF(OR($C634="",$E634=""),"",IF($F634="완료",IF($G634="","",MAX(0,$G634-$E634)),IF($F634="취소","",MAX(0,TODAY()-$E634))))</f>
        <v/>
      </c>
      <c r="J634" s="50" t="n"/>
      <c r="K634" s="52" t="str">
        <f>IF($A634="","",$A634&amp;"|"&amp;$L634)</f>
        <v/>
      </c>
      <c r="L634" s="52" t="str">
        <f>IF($A634="","",COUNTIFS($A$3:$A634,$A634))</f>
        <v/>
      </c>
    </row>
    <row r="635" ht="15" customHeight="1" s="41">
      <c r="A635" s="50" t="n"/>
      <c r="B635" s="52" t="str">
        <f>IF($A635="","",IFERROR(INDEX(회의록!$C$3:$C$302,MATCH($A635,회의록!$A$3:$A$302,0)),"회의번호없음"))</f>
        <v/>
      </c>
      <c r="C635" s="50" t="n"/>
      <c r="D635" s="49" t="n"/>
      <c r="E635" s="53" t="n"/>
      <c r="F635" s="49" t="n"/>
      <c r="G635" s="53" t="n"/>
      <c r="H635" s="56" t="str">
        <f>IF(OR($C635="",$E635="",$F635="완료",$F635="취소"),"",$E635-TODAY())</f>
        <v/>
      </c>
      <c r="I635" s="56" t="str">
        <f>IF(OR($C635="",$E635=""),"",IF($F635="완료",IF($G635="","",MAX(0,$G635-$E635)),IF($F635="취소","",MAX(0,TODAY()-$E635))))</f>
        <v/>
      </c>
      <c r="J635" s="50" t="n"/>
      <c r="K635" s="52" t="str">
        <f>IF($A635="","",$A635&amp;"|"&amp;$L635)</f>
        <v/>
      </c>
      <c r="L635" s="52" t="str">
        <f>IF($A635="","",COUNTIFS($A$3:$A635,$A635))</f>
        <v/>
      </c>
    </row>
    <row r="636" ht="15" customHeight="1" s="41">
      <c r="A636" s="50" t="n"/>
      <c r="B636" s="52" t="str">
        <f>IF($A636="","",IFERROR(INDEX(회의록!$C$3:$C$302,MATCH($A636,회의록!$A$3:$A$302,0)),"회의번호없음"))</f>
        <v/>
      </c>
      <c r="C636" s="50" t="n"/>
      <c r="D636" s="49" t="n"/>
      <c r="E636" s="53" t="n"/>
      <c r="F636" s="49" t="n"/>
      <c r="G636" s="53" t="n"/>
      <c r="H636" s="56" t="str">
        <f>IF(OR($C636="",$E636="",$F636="완료",$F636="취소"),"",$E636-TODAY())</f>
        <v/>
      </c>
      <c r="I636" s="56" t="str">
        <f>IF(OR($C636="",$E636=""),"",IF($F636="완료",IF($G636="","",MAX(0,$G636-$E636)),IF($F636="취소","",MAX(0,TODAY()-$E636))))</f>
        <v/>
      </c>
      <c r="J636" s="50" t="n"/>
      <c r="K636" s="52" t="str">
        <f>IF($A636="","",$A636&amp;"|"&amp;$L636)</f>
        <v/>
      </c>
      <c r="L636" s="52" t="str">
        <f>IF($A636="","",COUNTIFS($A$3:$A636,$A636))</f>
        <v/>
      </c>
    </row>
    <row r="637" ht="15" customHeight="1" s="41">
      <c r="A637" s="50" t="n"/>
      <c r="B637" s="52" t="str">
        <f>IF($A637="","",IFERROR(INDEX(회의록!$C$3:$C$302,MATCH($A637,회의록!$A$3:$A$302,0)),"회의번호없음"))</f>
        <v/>
      </c>
      <c r="C637" s="50" t="n"/>
      <c r="D637" s="49" t="n"/>
      <c r="E637" s="53" t="n"/>
      <c r="F637" s="49" t="n"/>
      <c r="G637" s="53" t="n"/>
      <c r="H637" s="56" t="str">
        <f>IF(OR($C637="",$E637="",$F637="완료",$F637="취소"),"",$E637-TODAY())</f>
        <v/>
      </c>
      <c r="I637" s="56" t="str">
        <f>IF(OR($C637="",$E637=""),"",IF($F637="완료",IF($G637="","",MAX(0,$G637-$E637)),IF($F637="취소","",MAX(0,TODAY()-$E637))))</f>
        <v/>
      </c>
      <c r="J637" s="50" t="n"/>
      <c r="K637" s="52" t="str">
        <f>IF($A637="","",$A637&amp;"|"&amp;$L637)</f>
        <v/>
      </c>
      <c r="L637" s="52" t="str">
        <f>IF($A637="","",COUNTIFS($A$3:$A637,$A637))</f>
        <v/>
      </c>
    </row>
    <row r="638" ht="15" customHeight="1" s="41">
      <c r="A638" s="50" t="n"/>
      <c r="B638" s="52" t="str">
        <f>IF($A638="","",IFERROR(INDEX(회의록!$C$3:$C$302,MATCH($A638,회의록!$A$3:$A$302,0)),"회의번호없음"))</f>
        <v/>
      </c>
      <c r="C638" s="50" t="n"/>
      <c r="D638" s="49" t="n"/>
      <c r="E638" s="53" t="n"/>
      <c r="F638" s="49" t="n"/>
      <c r="G638" s="53" t="n"/>
      <c r="H638" s="56" t="str">
        <f>IF(OR($C638="",$E638="",$F638="완료",$F638="취소"),"",$E638-TODAY())</f>
        <v/>
      </c>
      <c r="I638" s="56" t="str">
        <f>IF(OR($C638="",$E638=""),"",IF($F638="완료",IF($G638="","",MAX(0,$G638-$E638)),IF($F638="취소","",MAX(0,TODAY()-$E638))))</f>
        <v/>
      </c>
      <c r="J638" s="50" t="n"/>
      <c r="K638" s="52" t="str">
        <f>IF($A638="","",$A638&amp;"|"&amp;$L638)</f>
        <v/>
      </c>
      <c r="L638" s="52" t="str">
        <f>IF($A638="","",COUNTIFS($A$3:$A638,$A638))</f>
        <v/>
      </c>
    </row>
    <row r="639" ht="15" customHeight="1" s="41">
      <c r="A639" s="50" t="n"/>
      <c r="B639" s="52" t="str">
        <f>IF($A639="","",IFERROR(INDEX(회의록!$C$3:$C$302,MATCH($A639,회의록!$A$3:$A$302,0)),"회의번호없음"))</f>
        <v/>
      </c>
      <c r="C639" s="50" t="n"/>
      <c r="D639" s="49" t="n"/>
      <c r="E639" s="53" t="n"/>
      <c r="F639" s="49" t="n"/>
      <c r="G639" s="53" t="n"/>
      <c r="H639" s="56" t="str">
        <f>IF(OR($C639="",$E639="",$F639="완료",$F639="취소"),"",$E639-TODAY())</f>
        <v/>
      </c>
      <c r="I639" s="56" t="str">
        <f>IF(OR($C639="",$E639=""),"",IF($F639="완료",IF($G639="","",MAX(0,$G639-$E639)),IF($F639="취소","",MAX(0,TODAY()-$E639))))</f>
        <v/>
      </c>
      <c r="J639" s="50" t="n"/>
      <c r="K639" s="52" t="str">
        <f>IF($A639="","",$A639&amp;"|"&amp;$L639)</f>
        <v/>
      </c>
      <c r="L639" s="52" t="str">
        <f>IF($A639="","",COUNTIFS($A$3:$A639,$A639))</f>
        <v/>
      </c>
    </row>
    <row r="640" ht="15" customHeight="1" s="41">
      <c r="A640" s="50" t="n"/>
      <c r="B640" s="52" t="str">
        <f>IF($A640="","",IFERROR(INDEX(회의록!$C$3:$C$302,MATCH($A640,회의록!$A$3:$A$302,0)),"회의번호없음"))</f>
        <v/>
      </c>
      <c r="C640" s="50" t="n"/>
      <c r="D640" s="49" t="n"/>
      <c r="E640" s="53" t="n"/>
      <c r="F640" s="49" t="n"/>
      <c r="G640" s="53" t="n"/>
      <c r="H640" s="56" t="str">
        <f>IF(OR($C640="",$E640="",$F640="완료",$F640="취소"),"",$E640-TODAY())</f>
        <v/>
      </c>
      <c r="I640" s="56" t="str">
        <f>IF(OR($C640="",$E640=""),"",IF($F640="완료",IF($G640="","",MAX(0,$G640-$E640)),IF($F640="취소","",MAX(0,TODAY()-$E640))))</f>
        <v/>
      </c>
      <c r="J640" s="50" t="n"/>
      <c r="K640" s="52" t="str">
        <f>IF($A640="","",$A640&amp;"|"&amp;$L640)</f>
        <v/>
      </c>
      <c r="L640" s="52" t="str">
        <f>IF($A640="","",COUNTIFS($A$3:$A640,$A640))</f>
        <v/>
      </c>
    </row>
    <row r="641" ht="15" customHeight="1" s="41">
      <c r="A641" s="50" t="n"/>
      <c r="B641" s="52" t="str">
        <f>IF($A641="","",IFERROR(INDEX(회의록!$C$3:$C$302,MATCH($A641,회의록!$A$3:$A$302,0)),"회의번호없음"))</f>
        <v/>
      </c>
      <c r="C641" s="50" t="n"/>
      <c r="D641" s="49" t="n"/>
      <c r="E641" s="53" t="n"/>
      <c r="F641" s="49" t="n"/>
      <c r="G641" s="53" t="n"/>
      <c r="H641" s="56" t="str">
        <f>IF(OR($C641="",$E641="",$F641="완료",$F641="취소"),"",$E641-TODAY())</f>
        <v/>
      </c>
      <c r="I641" s="56" t="str">
        <f>IF(OR($C641="",$E641=""),"",IF($F641="완료",IF($G641="","",MAX(0,$G641-$E641)),IF($F641="취소","",MAX(0,TODAY()-$E641))))</f>
        <v/>
      </c>
      <c r="J641" s="50" t="n"/>
      <c r="K641" s="52" t="str">
        <f>IF($A641="","",$A641&amp;"|"&amp;$L641)</f>
        <v/>
      </c>
      <c r="L641" s="52" t="str">
        <f>IF($A641="","",COUNTIFS($A$3:$A641,$A641))</f>
        <v/>
      </c>
    </row>
    <row r="642" ht="15" customHeight="1" s="41">
      <c r="A642" s="50" t="n"/>
      <c r="B642" s="52" t="str">
        <f>IF($A642="","",IFERROR(INDEX(회의록!$C$3:$C$302,MATCH($A642,회의록!$A$3:$A$302,0)),"회의번호없음"))</f>
        <v/>
      </c>
      <c r="C642" s="50" t="n"/>
      <c r="D642" s="49" t="n"/>
      <c r="E642" s="53" t="n"/>
      <c r="F642" s="49" t="n"/>
      <c r="G642" s="53" t="n"/>
      <c r="H642" s="56" t="str">
        <f>IF(OR($C642="",$E642="",$F642="완료",$F642="취소"),"",$E642-TODAY())</f>
        <v/>
      </c>
      <c r="I642" s="56" t="str">
        <f>IF(OR($C642="",$E642=""),"",IF($F642="완료",IF($G642="","",MAX(0,$G642-$E642)),IF($F642="취소","",MAX(0,TODAY()-$E642))))</f>
        <v/>
      </c>
      <c r="J642" s="50" t="n"/>
      <c r="K642" s="52" t="str">
        <f>IF($A642="","",$A642&amp;"|"&amp;$L642)</f>
        <v/>
      </c>
      <c r="L642" s="52" t="str">
        <f>IF($A642="","",COUNTIFS($A$3:$A642,$A642))</f>
        <v/>
      </c>
    </row>
    <row r="643" ht="15" customHeight="1" s="41">
      <c r="A643" s="50" t="n"/>
      <c r="B643" s="52" t="str">
        <f>IF($A643="","",IFERROR(INDEX(회의록!$C$3:$C$302,MATCH($A643,회의록!$A$3:$A$302,0)),"회의번호없음"))</f>
        <v/>
      </c>
      <c r="C643" s="50" t="n"/>
      <c r="D643" s="49" t="n"/>
      <c r="E643" s="53" t="n"/>
      <c r="F643" s="49" t="n"/>
      <c r="G643" s="53" t="n"/>
      <c r="H643" s="56" t="str">
        <f>IF(OR($C643="",$E643="",$F643="완료",$F643="취소"),"",$E643-TODAY())</f>
        <v/>
      </c>
      <c r="I643" s="56" t="str">
        <f>IF(OR($C643="",$E643=""),"",IF($F643="완료",IF($G643="","",MAX(0,$G643-$E643)),IF($F643="취소","",MAX(0,TODAY()-$E643))))</f>
        <v/>
      </c>
      <c r="J643" s="50" t="n"/>
      <c r="K643" s="52" t="str">
        <f>IF($A643="","",$A643&amp;"|"&amp;$L643)</f>
        <v/>
      </c>
      <c r="L643" s="52" t="str">
        <f>IF($A643="","",COUNTIFS($A$3:$A643,$A643))</f>
        <v/>
      </c>
    </row>
    <row r="644" ht="15" customHeight="1" s="41">
      <c r="A644" s="50" t="n"/>
      <c r="B644" s="52" t="str">
        <f>IF($A644="","",IFERROR(INDEX(회의록!$C$3:$C$302,MATCH($A644,회의록!$A$3:$A$302,0)),"회의번호없음"))</f>
        <v/>
      </c>
      <c r="C644" s="50" t="n"/>
      <c r="D644" s="49" t="n"/>
      <c r="E644" s="53" t="n"/>
      <c r="F644" s="49" t="n"/>
      <c r="G644" s="53" t="n"/>
      <c r="H644" s="56" t="str">
        <f>IF(OR($C644="",$E644="",$F644="완료",$F644="취소"),"",$E644-TODAY())</f>
        <v/>
      </c>
      <c r="I644" s="56" t="str">
        <f>IF(OR($C644="",$E644=""),"",IF($F644="완료",IF($G644="","",MAX(0,$G644-$E644)),IF($F644="취소","",MAX(0,TODAY()-$E644))))</f>
        <v/>
      </c>
      <c r="J644" s="50" t="n"/>
      <c r="K644" s="52" t="str">
        <f>IF($A644="","",$A644&amp;"|"&amp;$L644)</f>
        <v/>
      </c>
      <c r="L644" s="52" t="str">
        <f>IF($A644="","",COUNTIFS($A$3:$A644,$A644))</f>
        <v/>
      </c>
    </row>
    <row r="645" ht="15" customHeight="1" s="41">
      <c r="A645" s="50" t="n"/>
      <c r="B645" s="52" t="str">
        <f>IF($A645="","",IFERROR(INDEX(회의록!$C$3:$C$302,MATCH($A645,회의록!$A$3:$A$302,0)),"회의번호없음"))</f>
        <v/>
      </c>
      <c r="C645" s="50" t="n"/>
      <c r="D645" s="49" t="n"/>
      <c r="E645" s="53" t="n"/>
      <c r="F645" s="49" t="n"/>
      <c r="G645" s="53" t="n"/>
      <c r="H645" s="56" t="str">
        <f>IF(OR($C645="",$E645="",$F645="완료",$F645="취소"),"",$E645-TODAY())</f>
        <v/>
      </c>
      <c r="I645" s="56" t="str">
        <f>IF(OR($C645="",$E645=""),"",IF($F645="완료",IF($G645="","",MAX(0,$G645-$E645)),IF($F645="취소","",MAX(0,TODAY()-$E645))))</f>
        <v/>
      </c>
      <c r="J645" s="50" t="n"/>
      <c r="K645" s="52" t="str">
        <f>IF($A645="","",$A645&amp;"|"&amp;$L645)</f>
        <v/>
      </c>
      <c r="L645" s="52" t="str">
        <f>IF($A645="","",COUNTIFS($A$3:$A645,$A645))</f>
        <v/>
      </c>
    </row>
    <row r="646" ht="15" customHeight="1" s="41">
      <c r="A646" s="50" t="n"/>
      <c r="B646" s="52" t="str">
        <f>IF($A646="","",IFERROR(INDEX(회의록!$C$3:$C$302,MATCH($A646,회의록!$A$3:$A$302,0)),"회의번호없음"))</f>
        <v/>
      </c>
      <c r="C646" s="50" t="n"/>
      <c r="D646" s="49" t="n"/>
      <c r="E646" s="53" t="n"/>
      <c r="F646" s="49" t="n"/>
      <c r="G646" s="53" t="n"/>
      <c r="H646" s="56" t="str">
        <f>IF(OR($C646="",$E646="",$F646="완료",$F646="취소"),"",$E646-TODAY())</f>
        <v/>
      </c>
      <c r="I646" s="56" t="str">
        <f>IF(OR($C646="",$E646=""),"",IF($F646="완료",IF($G646="","",MAX(0,$G646-$E646)),IF($F646="취소","",MAX(0,TODAY()-$E646))))</f>
        <v/>
      </c>
      <c r="J646" s="50" t="n"/>
      <c r="K646" s="52" t="str">
        <f>IF($A646="","",$A646&amp;"|"&amp;$L646)</f>
        <v/>
      </c>
      <c r="L646" s="52" t="str">
        <f>IF($A646="","",COUNTIFS($A$3:$A646,$A646))</f>
        <v/>
      </c>
    </row>
    <row r="647" ht="15" customHeight="1" s="41">
      <c r="A647" s="50" t="n"/>
      <c r="B647" s="52" t="str">
        <f>IF($A647="","",IFERROR(INDEX(회의록!$C$3:$C$302,MATCH($A647,회의록!$A$3:$A$302,0)),"회의번호없음"))</f>
        <v/>
      </c>
      <c r="C647" s="50" t="n"/>
      <c r="D647" s="49" t="n"/>
      <c r="E647" s="53" t="n"/>
      <c r="F647" s="49" t="n"/>
      <c r="G647" s="53" t="n"/>
      <c r="H647" s="56" t="str">
        <f>IF(OR($C647="",$E647="",$F647="완료",$F647="취소"),"",$E647-TODAY())</f>
        <v/>
      </c>
      <c r="I647" s="56" t="str">
        <f>IF(OR($C647="",$E647=""),"",IF($F647="완료",IF($G647="","",MAX(0,$G647-$E647)),IF($F647="취소","",MAX(0,TODAY()-$E647))))</f>
        <v/>
      </c>
      <c r="J647" s="50" t="n"/>
      <c r="K647" s="52" t="str">
        <f>IF($A647="","",$A647&amp;"|"&amp;$L647)</f>
        <v/>
      </c>
      <c r="L647" s="52" t="str">
        <f>IF($A647="","",COUNTIFS($A$3:$A647,$A647))</f>
        <v/>
      </c>
    </row>
    <row r="648" ht="15" customHeight="1" s="41">
      <c r="A648" s="50" t="n"/>
      <c r="B648" s="52" t="str">
        <f>IF($A648="","",IFERROR(INDEX(회의록!$C$3:$C$302,MATCH($A648,회의록!$A$3:$A$302,0)),"회의번호없음"))</f>
        <v/>
      </c>
      <c r="C648" s="50" t="n"/>
      <c r="D648" s="49" t="n"/>
      <c r="E648" s="53" t="n"/>
      <c r="F648" s="49" t="n"/>
      <c r="G648" s="53" t="n"/>
      <c r="H648" s="56" t="str">
        <f>IF(OR($C648="",$E648="",$F648="완료",$F648="취소"),"",$E648-TODAY())</f>
        <v/>
      </c>
      <c r="I648" s="56" t="str">
        <f>IF(OR($C648="",$E648=""),"",IF($F648="완료",IF($G648="","",MAX(0,$G648-$E648)),IF($F648="취소","",MAX(0,TODAY()-$E648))))</f>
        <v/>
      </c>
      <c r="J648" s="50" t="n"/>
      <c r="K648" s="52" t="str">
        <f>IF($A648="","",$A648&amp;"|"&amp;$L648)</f>
        <v/>
      </c>
      <c r="L648" s="52" t="str">
        <f>IF($A648="","",COUNTIFS($A$3:$A648,$A648))</f>
        <v/>
      </c>
    </row>
    <row r="649" ht="15" customHeight="1" s="41">
      <c r="A649" s="50" t="n"/>
      <c r="B649" s="52" t="str">
        <f>IF($A649="","",IFERROR(INDEX(회의록!$C$3:$C$302,MATCH($A649,회의록!$A$3:$A$302,0)),"회의번호없음"))</f>
        <v/>
      </c>
      <c r="C649" s="50" t="n"/>
      <c r="D649" s="49" t="n"/>
      <c r="E649" s="53" t="n"/>
      <c r="F649" s="49" t="n"/>
      <c r="G649" s="53" t="n"/>
      <c r="H649" s="56" t="str">
        <f>IF(OR($C649="",$E649="",$F649="완료",$F649="취소"),"",$E649-TODAY())</f>
        <v/>
      </c>
      <c r="I649" s="56" t="str">
        <f>IF(OR($C649="",$E649=""),"",IF($F649="완료",IF($G649="","",MAX(0,$G649-$E649)),IF($F649="취소","",MAX(0,TODAY()-$E649))))</f>
        <v/>
      </c>
      <c r="J649" s="50" t="n"/>
      <c r="K649" s="52" t="str">
        <f>IF($A649="","",$A649&amp;"|"&amp;$L649)</f>
        <v/>
      </c>
      <c r="L649" s="52" t="str">
        <f>IF($A649="","",COUNTIFS($A$3:$A649,$A649))</f>
        <v/>
      </c>
    </row>
    <row r="650" ht="15" customHeight="1" s="41">
      <c r="A650" s="50" t="n"/>
      <c r="B650" s="52" t="str">
        <f>IF($A650="","",IFERROR(INDEX(회의록!$C$3:$C$302,MATCH($A650,회의록!$A$3:$A$302,0)),"회의번호없음"))</f>
        <v/>
      </c>
      <c r="C650" s="50" t="n"/>
      <c r="D650" s="49" t="n"/>
      <c r="E650" s="53" t="n"/>
      <c r="F650" s="49" t="n"/>
      <c r="G650" s="53" t="n"/>
      <c r="H650" s="56" t="str">
        <f>IF(OR($C650="",$E650="",$F650="완료",$F650="취소"),"",$E650-TODAY())</f>
        <v/>
      </c>
      <c r="I650" s="56" t="str">
        <f>IF(OR($C650="",$E650=""),"",IF($F650="완료",IF($G650="","",MAX(0,$G650-$E650)),IF($F650="취소","",MAX(0,TODAY()-$E650))))</f>
        <v/>
      </c>
      <c r="J650" s="50" t="n"/>
      <c r="K650" s="52" t="str">
        <f>IF($A650="","",$A650&amp;"|"&amp;$L650)</f>
        <v/>
      </c>
      <c r="L650" s="52" t="str">
        <f>IF($A650="","",COUNTIFS($A$3:$A650,$A650))</f>
        <v/>
      </c>
    </row>
    <row r="651" ht="15" customHeight="1" s="41">
      <c r="A651" s="50" t="n"/>
      <c r="B651" s="52" t="str">
        <f>IF($A651="","",IFERROR(INDEX(회의록!$C$3:$C$302,MATCH($A651,회의록!$A$3:$A$302,0)),"회의번호없음"))</f>
        <v/>
      </c>
      <c r="C651" s="50" t="n"/>
      <c r="D651" s="49" t="n"/>
      <c r="E651" s="53" t="n"/>
      <c r="F651" s="49" t="n"/>
      <c r="G651" s="53" t="n"/>
      <c r="H651" s="56" t="str">
        <f>IF(OR($C651="",$E651="",$F651="완료",$F651="취소"),"",$E651-TODAY())</f>
        <v/>
      </c>
      <c r="I651" s="56" t="str">
        <f>IF(OR($C651="",$E651=""),"",IF($F651="완료",IF($G651="","",MAX(0,$G651-$E651)),IF($F651="취소","",MAX(0,TODAY()-$E651))))</f>
        <v/>
      </c>
      <c r="J651" s="50" t="n"/>
      <c r="K651" s="52" t="str">
        <f>IF($A651="","",$A651&amp;"|"&amp;$L651)</f>
        <v/>
      </c>
      <c r="L651" s="52" t="str">
        <f>IF($A651="","",COUNTIFS($A$3:$A651,$A651))</f>
        <v/>
      </c>
    </row>
    <row r="652" ht="15" customHeight="1" s="41">
      <c r="A652" s="50" t="n"/>
      <c r="B652" s="52" t="str">
        <f>IF($A652="","",IFERROR(INDEX(회의록!$C$3:$C$302,MATCH($A652,회의록!$A$3:$A$302,0)),"회의번호없음"))</f>
        <v/>
      </c>
      <c r="C652" s="50" t="n"/>
      <c r="D652" s="49" t="n"/>
      <c r="E652" s="53" t="n"/>
      <c r="F652" s="49" t="n"/>
      <c r="G652" s="53" t="n"/>
      <c r="H652" s="56" t="str">
        <f>IF(OR($C652="",$E652="",$F652="완료",$F652="취소"),"",$E652-TODAY())</f>
        <v/>
      </c>
      <c r="I652" s="56" t="str">
        <f>IF(OR($C652="",$E652=""),"",IF($F652="완료",IF($G652="","",MAX(0,$G652-$E652)),IF($F652="취소","",MAX(0,TODAY()-$E652))))</f>
        <v/>
      </c>
      <c r="J652" s="50" t="n"/>
      <c r="K652" s="52" t="str">
        <f>IF($A652="","",$A652&amp;"|"&amp;$L652)</f>
        <v/>
      </c>
      <c r="L652" s="52" t="str">
        <f>IF($A652="","",COUNTIFS($A$3:$A652,$A652))</f>
        <v/>
      </c>
    </row>
    <row r="653" ht="15" customHeight="1" s="41">
      <c r="A653" s="50" t="n"/>
      <c r="B653" s="52" t="str">
        <f>IF($A653="","",IFERROR(INDEX(회의록!$C$3:$C$302,MATCH($A653,회의록!$A$3:$A$302,0)),"회의번호없음"))</f>
        <v/>
      </c>
      <c r="C653" s="50" t="n"/>
      <c r="D653" s="49" t="n"/>
      <c r="E653" s="53" t="n"/>
      <c r="F653" s="49" t="n"/>
      <c r="G653" s="53" t="n"/>
      <c r="H653" s="56" t="str">
        <f>IF(OR($C653="",$E653="",$F653="완료",$F653="취소"),"",$E653-TODAY())</f>
        <v/>
      </c>
      <c r="I653" s="56" t="str">
        <f>IF(OR($C653="",$E653=""),"",IF($F653="완료",IF($G653="","",MAX(0,$G653-$E653)),IF($F653="취소","",MAX(0,TODAY()-$E653))))</f>
        <v/>
      </c>
      <c r="J653" s="50" t="n"/>
      <c r="K653" s="52" t="str">
        <f>IF($A653="","",$A653&amp;"|"&amp;$L653)</f>
        <v/>
      </c>
      <c r="L653" s="52" t="str">
        <f>IF($A653="","",COUNTIFS($A$3:$A653,$A653))</f>
        <v/>
      </c>
    </row>
    <row r="654" ht="15" customHeight="1" s="41">
      <c r="A654" s="50" t="n"/>
      <c r="B654" s="52" t="str">
        <f>IF($A654="","",IFERROR(INDEX(회의록!$C$3:$C$302,MATCH($A654,회의록!$A$3:$A$302,0)),"회의번호없음"))</f>
        <v/>
      </c>
      <c r="C654" s="50" t="n"/>
      <c r="D654" s="49" t="n"/>
      <c r="E654" s="53" t="n"/>
      <c r="F654" s="49" t="n"/>
      <c r="G654" s="53" t="n"/>
      <c r="H654" s="56" t="str">
        <f>IF(OR($C654="",$E654="",$F654="완료",$F654="취소"),"",$E654-TODAY())</f>
        <v/>
      </c>
      <c r="I654" s="56" t="str">
        <f>IF(OR($C654="",$E654=""),"",IF($F654="완료",IF($G654="","",MAX(0,$G654-$E654)),IF($F654="취소","",MAX(0,TODAY()-$E654))))</f>
        <v/>
      </c>
      <c r="J654" s="50" t="n"/>
      <c r="K654" s="52" t="str">
        <f>IF($A654="","",$A654&amp;"|"&amp;$L654)</f>
        <v/>
      </c>
      <c r="L654" s="52" t="str">
        <f>IF($A654="","",COUNTIFS($A$3:$A654,$A654))</f>
        <v/>
      </c>
    </row>
    <row r="655" ht="15" customHeight="1" s="41">
      <c r="A655" s="50" t="n"/>
      <c r="B655" s="52" t="str">
        <f>IF($A655="","",IFERROR(INDEX(회의록!$C$3:$C$302,MATCH($A655,회의록!$A$3:$A$302,0)),"회의번호없음"))</f>
        <v/>
      </c>
      <c r="C655" s="50" t="n"/>
      <c r="D655" s="49" t="n"/>
      <c r="E655" s="53" t="n"/>
      <c r="F655" s="49" t="n"/>
      <c r="G655" s="53" t="n"/>
      <c r="H655" s="56" t="str">
        <f>IF(OR($C655="",$E655="",$F655="완료",$F655="취소"),"",$E655-TODAY())</f>
        <v/>
      </c>
      <c r="I655" s="56" t="str">
        <f>IF(OR($C655="",$E655=""),"",IF($F655="완료",IF($G655="","",MAX(0,$G655-$E655)),IF($F655="취소","",MAX(0,TODAY()-$E655))))</f>
        <v/>
      </c>
      <c r="J655" s="50" t="n"/>
      <c r="K655" s="52" t="str">
        <f>IF($A655="","",$A655&amp;"|"&amp;$L655)</f>
        <v/>
      </c>
      <c r="L655" s="52" t="str">
        <f>IF($A655="","",COUNTIFS($A$3:$A655,$A655))</f>
        <v/>
      </c>
    </row>
    <row r="656" ht="15" customHeight="1" s="41">
      <c r="A656" s="50" t="n"/>
      <c r="B656" s="52" t="str">
        <f>IF($A656="","",IFERROR(INDEX(회의록!$C$3:$C$302,MATCH($A656,회의록!$A$3:$A$302,0)),"회의번호없음"))</f>
        <v/>
      </c>
      <c r="C656" s="50" t="n"/>
      <c r="D656" s="49" t="n"/>
      <c r="E656" s="53" t="n"/>
      <c r="F656" s="49" t="n"/>
      <c r="G656" s="53" t="n"/>
      <c r="H656" s="56" t="str">
        <f>IF(OR($C656="",$E656="",$F656="완료",$F656="취소"),"",$E656-TODAY())</f>
        <v/>
      </c>
      <c r="I656" s="56" t="str">
        <f>IF(OR($C656="",$E656=""),"",IF($F656="완료",IF($G656="","",MAX(0,$G656-$E656)),IF($F656="취소","",MAX(0,TODAY()-$E656))))</f>
        <v/>
      </c>
      <c r="J656" s="50" t="n"/>
      <c r="K656" s="52" t="str">
        <f>IF($A656="","",$A656&amp;"|"&amp;$L656)</f>
        <v/>
      </c>
      <c r="L656" s="52" t="str">
        <f>IF($A656="","",COUNTIFS($A$3:$A656,$A656))</f>
        <v/>
      </c>
    </row>
    <row r="657" ht="15" customHeight="1" s="41">
      <c r="A657" s="50" t="n"/>
      <c r="B657" s="52" t="str">
        <f>IF($A657="","",IFERROR(INDEX(회의록!$C$3:$C$302,MATCH($A657,회의록!$A$3:$A$302,0)),"회의번호없음"))</f>
        <v/>
      </c>
      <c r="C657" s="50" t="n"/>
      <c r="D657" s="49" t="n"/>
      <c r="E657" s="53" t="n"/>
      <c r="F657" s="49" t="n"/>
      <c r="G657" s="53" t="n"/>
      <c r="H657" s="56" t="str">
        <f>IF(OR($C657="",$E657="",$F657="완료",$F657="취소"),"",$E657-TODAY())</f>
        <v/>
      </c>
      <c r="I657" s="56" t="str">
        <f>IF(OR($C657="",$E657=""),"",IF($F657="완료",IF($G657="","",MAX(0,$G657-$E657)),IF($F657="취소","",MAX(0,TODAY()-$E657))))</f>
        <v/>
      </c>
      <c r="J657" s="50" t="n"/>
      <c r="K657" s="52" t="str">
        <f>IF($A657="","",$A657&amp;"|"&amp;$L657)</f>
        <v/>
      </c>
      <c r="L657" s="52" t="str">
        <f>IF($A657="","",COUNTIFS($A$3:$A657,$A657))</f>
        <v/>
      </c>
    </row>
    <row r="658" ht="15" customHeight="1" s="41">
      <c r="A658" s="50" t="n"/>
      <c r="B658" s="52" t="str">
        <f>IF($A658="","",IFERROR(INDEX(회의록!$C$3:$C$302,MATCH($A658,회의록!$A$3:$A$302,0)),"회의번호없음"))</f>
        <v/>
      </c>
      <c r="C658" s="50" t="n"/>
      <c r="D658" s="49" t="n"/>
      <c r="E658" s="53" t="n"/>
      <c r="F658" s="49" t="n"/>
      <c r="G658" s="53" t="n"/>
      <c r="H658" s="56" t="str">
        <f>IF(OR($C658="",$E658="",$F658="완료",$F658="취소"),"",$E658-TODAY())</f>
        <v/>
      </c>
      <c r="I658" s="56" t="str">
        <f>IF(OR($C658="",$E658=""),"",IF($F658="완료",IF($G658="","",MAX(0,$G658-$E658)),IF($F658="취소","",MAX(0,TODAY()-$E658))))</f>
        <v/>
      </c>
      <c r="J658" s="50" t="n"/>
      <c r="K658" s="52" t="str">
        <f>IF($A658="","",$A658&amp;"|"&amp;$L658)</f>
        <v/>
      </c>
      <c r="L658" s="52" t="str">
        <f>IF($A658="","",COUNTIFS($A$3:$A658,$A658))</f>
        <v/>
      </c>
    </row>
    <row r="659" ht="15" customHeight="1" s="41">
      <c r="A659" s="50" t="n"/>
      <c r="B659" s="52" t="str">
        <f>IF($A659="","",IFERROR(INDEX(회의록!$C$3:$C$302,MATCH($A659,회의록!$A$3:$A$302,0)),"회의번호없음"))</f>
        <v/>
      </c>
      <c r="C659" s="50" t="n"/>
      <c r="D659" s="49" t="n"/>
      <c r="E659" s="53" t="n"/>
      <c r="F659" s="49" t="n"/>
      <c r="G659" s="53" t="n"/>
      <c r="H659" s="56" t="str">
        <f>IF(OR($C659="",$E659="",$F659="완료",$F659="취소"),"",$E659-TODAY())</f>
        <v/>
      </c>
      <c r="I659" s="56" t="str">
        <f>IF(OR($C659="",$E659=""),"",IF($F659="완료",IF($G659="","",MAX(0,$G659-$E659)),IF($F659="취소","",MAX(0,TODAY()-$E659))))</f>
        <v/>
      </c>
      <c r="J659" s="50" t="n"/>
      <c r="K659" s="52" t="str">
        <f>IF($A659="","",$A659&amp;"|"&amp;$L659)</f>
        <v/>
      </c>
      <c r="L659" s="52" t="str">
        <f>IF($A659="","",COUNTIFS($A$3:$A659,$A659))</f>
        <v/>
      </c>
    </row>
    <row r="660" ht="15" customHeight="1" s="41">
      <c r="A660" s="50" t="n"/>
      <c r="B660" s="52" t="str">
        <f>IF($A660="","",IFERROR(INDEX(회의록!$C$3:$C$302,MATCH($A660,회의록!$A$3:$A$302,0)),"회의번호없음"))</f>
        <v/>
      </c>
      <c r="C660" s="50" t="n"/>
      <c r="D660" s="49" t="n"/>
      <c r="E660" s="53" t="n"/>
      <c r="F660" s="49" t="n"/>
      <c r="G660" s="53" t="n"/>
      <c r="H660" s="56" t="str">
        <f>IF(OR($C660="",$E660="",$F660="완료",$F660="취소"),"",$E660-TODAY())</f>
        <v/>
      </c>
      <c r="I660" s="56" t="str">
        <f>IF(OR($C660="",$E660=""),"",IF($F660="완료",IF($G660="","",MAX(0,$G660-$E660)),IF($F660="취소","",MAX(0,TODAY()-$E660))))</f>
        <v/>
      </c>
      <c r="J660" s="50" t="n"/>
      <c r="K660" s="52" t="str">
        <f>IF($A660="","",$A660&amp;"|"&amp;$L660)</f>
        <v/>
      </c>
      <c r="L660" s="52" t="str">
        <f>IF($A660="","",COUNTIFS($A$3:$A660,$A660))</f>
        <v/>
      </c>
    </row>
    <row r="661" ht="15" customHeight="1" s="41">
      <c r="A661" s="50" t="n"/>
      <c r="B661" s="52" t="str">
        <f>IF($A661="","",IFERROR(INDEX(회의록!$C$3:$C$302,MATCH($A661,회의록!$A$3:$A$302,0)),"회의번호없음"))</f>
        <v/>
      </c>
      <c r="C661" s="50" t="n"/>
      <c r="D661" s="49" t="n"/>
      <c r="E661" s="53" t="n"/>
      <c r="F661" s="49" t="n"/>
      <c r="G661" s="53" t="n"/>
      <c r="H661" s="56" t="str">
        <f>IF(OR($C661="",$E661="",$F661="완료",$F661="취소"),"",$E661-TODAY())</f>
        <v/>
      </c>
      <c r="I661" s="56" t="str">
        <f>IF(OR($C661="",$E661=""),"",IF($F661="완료",IF($G661="","",MAX(0,$G661-$E661)),IF($F661="취소","",MAX(0,TODAY()-$E661))))</f>
        <v/>
      </c>
      <c r="J661" s="50" t="n"/>
      <c r="K661" s="52" t="str">
        <f>IF($A661="","",$A661&amp;"|"&amp;$L661)</f>
        <v/>
      </c>
      <c r="L661" s="52" t="str">
        <f>IF($A661="","",COUNTIFS($A$3:$A661,$A661))</f>
        <v/>
      </c>
    </row>
    <row r="662" ht="15" customHeight="1" s="41">
      <c r="A662" s="50" t="n"/>
      <c r="B662" s="52" t="str">
        <f>IF($A662="","",IFERROR(INDEX(회의록!$C$3:$C$302,MATCH($A662,회의록!$A$3:$A$302,0)),"회의번호없음"))</f>
        <v/>
      </c>
      <c r="C662" s="50" t="n"/>
      <c r="D662" s="49" t="n"/>
      <c r="E662" s="53" t="n"/>
      <c r="F662" s="49" t="n"/>
      <c r="G662" s="53" t="n"/>
      <c r="H662" s="56" t="str">
        <f>IF(OR($C662="",$E662="",$F662="완료",$F662="취소"),"",$E662-TODAY())</f>
        <v/>
      </c>
      <c r="I662" s="56" t="str">
        <f>IF(OR($C662="",$E662=""),"",IF($F662="완료",IF($G662="","",MAX(0,$G662-$E662)),IF($F662="취소","",MAX(0,TODAY()-$E662))))</f>
        <v/>
      </c>
      <c r="J662" s="50" t="n"/>
      <c r="K662" s="52" t="str">
        <f>IF($A662="","",$A662&amp;"|"&amp;$L662)</f>
        <v/>
      </c>
      <c r="L662" s="52" t="str">
        <f>IF($A662="","",COUNTIFS($A$3:$A662,$A662))</f>
        <v/>
      </c>
    </row>
    <row r="663" ht="15" customHeight="1" s="41">
      <c r="A663" s="50" t="n"/>
      <c r="B663" s="52" t="str">
        <f>IF($A663="","",IFERROR(INDEX(회의록!$C$3:$C$302,MATCH($A663,회의록!$A$3:$A$302,0)),"회의번호없음"))</f>
        <v/>
      </c>
      <c r="C663" s="50" t="n"/>
      <c r="D663" s="49" t="n"/>
      <c r="E663" s="53" t="n"/>
      <c r="F663" s="49" t="n"/>
      <c r="G663" s="53" t="n"/>
      <c r="H663" s="56" t="str">
        <f>IF(OR($C663="",$E663="",$F663="완료",$F663="취소"),"",$E663-TODAY())</f>
        <v/>
      </c>
      <c r="I663" s="56" t="str">
        <f>IF(OR($C663="",$E663=""),"",IF($F663="완료",IF($G663="","",MAX(0,$G663-$E663)),IF($F663="취소","",MAX(0,TODAY()-$E663))))</f>
        <v/>
      </c>
      <c r="J663" s="50" t="n"/>
      <c r="K663" s="52" t="str">
        <f>IF($A663="","",$A663&amp;"|"&amp;$L663)</f>
        <v/>
      </c>
      <c r="L663" s="52" t="str">
        <f>IF($A663="","",COUNTIFS($A$3:$A663,$A663))</f>
        <v/>
      </c>
    </row>
    <row r="664" ht="15" customHeight="1" s="41">
      <c r="A664" s="50" t="n"/>
      <c r="B664" s="52" t="str">
        <f>IF($A664="","",IFERROR(INDEX(회의록!$C$3:$C$302,MATCH($A664,회의록!$A$3:$A$302,0)),"회의번호없음"))</f>
        <v/>
      </c>
      <c r="C664" s="50" t="n"/>
      <c r="D664" s="49" t="n"/>
      <c r="E664" s="53" t="n"/>
      <c r="F664" s="49" t="n"/>
      <c r="G664" s="53" t="n"/>
      <c r="H664" s="56" t="str">
        <f>IF(OR($C664="",$E664="",$F664="완료",$F664="취소"),"",$E664-TODAY())</f>
        <v/>
      </c>
      <c r="I664" s="56" t="str">
        <f>IF(OR($C664="",$E664=""),"",IF($F664="완료",IF($G664="","",MAX(0,$G664-$E664)),IF($F664="취소","",MAX(0,TODAY()-$E664))))</f>
        <v/>
      </c>
      <c r="J664" s="50" t="n"/>
      <c r="K664" s="52" t="str">
        <f>IF($A664="","",$A664&amp;"|"&amp;$L664)</f>
        <v/>
      </c>
      <c r="L664" s="52" t="str">
        <f>IF($A664="","",COUNTIFS($A$3:$A664,$A664))</f>
        <v/>
      </c>
    </row>
    <row r="665" ht="15" customHeight="1" s="41">
      <c r="A665" s="50" t="n"/>
      <c r="B665" s="52" t="str">
        <f>IF($A665="","",IFERROR(INDEX(회의록!$C$3:$C$302,MATCH($A665,회의록!$A$3:$A$302,0)),"회의번호없음"))</f>
        <v/>
      </c>
      <c r="C665" s="50" t="n"/>
      <c r="D665" s="49" t="n"/>
      <c r="E665" s="53" t="n"/>
      <c r="F665" s="49" t="n"/>
      <c r="G665" s="53" t="n"/>
      <c r="H665" s="56" t="str">
        <f>IF(OR($C665="",$E665="",$F665="완료",$F665="취소"),"",$E665-TODAY())</f>
        <v/>
      </c>
      <c r="I665" s="56" t="str">
        <f>IF(OR($C665="",$E665=""),"",IF($F665="완료",IF($G665="","",MAX(0,$G665-$E665)),IF($F665="취소","",MAX(0,TODAY()-$E665))))</f>
        <v/>
      </c>
      <c r="J665" s="50" t="n"/>
      <c r="K665" s="52" t="str">
        <f>IF($A665="","",$A665&amp;"|"&amp;$L665)</f>
        <v/>
      </c>
      <c r="L665" s="52" t="str">
        <f>IF($A665="","",COUNTIFS($A$3:$A665,$A665))</f>
        <v/>
      </c>
    </row>
    <row r="666" ht="15" customHeight="1" s="41">
      <c r="A666" s="50" t="n"/>
      <c r="B666" s="52" t="str">
        <f>IF($A666="","",IFERROR(INDEX(회의록!$C$3:$C$302,MATCH($A666,회의록!$A$3:$A$302,0)),"회의번호없음"))</f>
        <v/>
      </c>
      <c r="C666" s="50" t="n"/>
      <c r="D666" s="49" t="n"/>
      <c r="E666" s="53" t="n"/>
      <c r="F666" s="49" t="n"/>
      <c r="G666" s="53" t="n"/>
      <c r="H666" s="56" t="str">
        <f>IF(OR($C666="",$E666="",$F666="완료",$F666="취소"),"",$E666-TODAY())</f>
        <v/>
      </c>
      <c r="I666" s="56" t="str">
        <f>IF(OR($C666="",$E666=""),"",IF($F666="완료",IF($G666="","",MAX(0,$G666-$E666)),IF($F666="취소","",MAX(0,TODAY()-$E666))))</f>
        <v/>
      </c>
      <c r="J666" s="50" t="n"/>
      <c r="K666" s="52" t="str">
        <f>IF($A666="","",$A666&amp;"|"&amp;$L666)</f>
        <v/>
      </c>
      <c r="L666" s="52" t="str">
        <f>IF($A666="","",COUNTIFS($A$3:$A666,$A666))</f>
        <v/>
      </c>
    </row>
    <row r="667" ht="15" customHeight="1" s="41">
      <c r="A667" s="50" t="n"/>
      <c r="B667" s="52" t="str">
        <f>IF($A667="","",IFERROR(INDEX(회의록!$C$3:$C$302,MATCH($A667,회의록!$A$3:$A$302,0)),"회의번호없음"))</f>
        <v/>
      </c>
      <c r="C667" s="50" t="n"/>
      <c r="D667" s="49" t="n"/>
      <c r="E667" s="53" t="n"/>
      <c r="F667" s="49" t="n"/>
      <c r="G667" s="53" t="n"/>
      <c r="H667" s="56" t="str">
        <f>IF(OR($C667="",$E667="",$F667="완료",$F667="취소"),"",$E667-TODAY())</f>
        <v/>
      </c>
      <c r="I667" s="56" t="str">
        <f>IF(OR($C667="",$E667=""),"",IF($F667="완료",IF($G667="","",MAX(0,$G667-$E667)),IF($F667="취소","",MAX(0,TODAY()-$E667))))</f>
        <v/>
      </c>
      <c r="J667" s="50" t="n"/>
      <c r="K667" s="52" t="str">
        <f>IF($A667="","",$A667&amp;"|"&amp;$L667)</f>
        <v/>
      </c>
      <c r="L667" s="52" t="str">
        <f>IF($A667="","",COUNTIFS($A$3:$A667,$A667))</f>
        <v/>
      </c>
    </row>
    <row r="668" ht="15" customHeight="1" s="41">
      <c r="A668" s="50" t="n"/>
      <c r="B668" s="52" t="str">
        <f>IF($A668="","",IFERROR(INDEX(회의록!$C$3:$C$302,MATCH($A668,회의록!$A$3:$A$302,0)),"회의번호없음"))</f>
        <v/>
      </c>
      <c r="C668" s="50" t="n"/>
      <c r="D668" s="49" t="n"/>
      <c r="E668" s="53" t="n"/>
      <c r="F668" s="49" t="n"/>
      <c r="G668" s="53" t="n"/>
      <c r="H668" s="56" t="str">
        <f>IF(OR($C668="",$E668="",$F668="완료",$F668="취소"),"",$E668-TODAY())</f>
        <v/>
      </c>
      <c r="I668" s="56" t="str">
        <f>IF(OR($C668="",$E668=""),"",IF($F668="완료",IF($G668="","",MAX(0,$G668-$E668)),IF($F668="취소","",MAX(0,TODAY()-$E668))))</f>
        <v/>
      </c>
      <c r="J668" s="50" t="n"/>
      <c r="K668" s="52" t="str">
        <f>IF($A668="","",$A668&amp;"|"&amp;$L668)</f>
        <v/>
      </c>
      <c r="L668" s="52" t="str">
        <f>IF($A668="","",COUNTIFS($A$3:$A668,$A668))</f>
        <v/>
      </c>
    </row>
    <row r="669" ht="15" customHeight="1" s="41">
      <c r="A669" s="50" t="n"/>
      <c r="B669" s="52" t="str">
        <f>IF($A669="","",IFERROR(INDEX(회의록!$C$3:$C$302,MATCH($A669,회의록!$A$3:$A$302,0)),"회의번호없음"))</f>
        <v/>
      </c>
      <c r="C669" s="50" t="n"/>
      <c r="D669" s="49" t="n"/>
      <c r="E669" s="53" t="n"/>
      <c r="F669" s="49" t="n"/>
      <c r="G669" s="53" t="n"/>
      <c r="H669" s="56" t="str">
        <f>IF(OR($C669="",$E669="",$F669="완료",$F669="취소"),"",$E669-TODAY())</f>
        <v/>
      </c>
      <c r="I669" s="56" t="str">
        <f>IF(OR($C669="",$E669=""),"",IF($F669="완료",IF($G669="","",MAX(0,$G669-$E669)),IF($F669="취소","",MAX(0,TODAY()-$E669))))</f>
        <v/>
      </c>
      <c r="J669" s="50" t="n"/>
      <c r="K669" s="52" t="str">
        <f>IF($A669="","",$A669&amp;"|"&amp;$L669)</f>
        <v/>
      </c>
      <c r="L669" s="52" t="str">
        <f>IF($A669="","",COUNTIFS($A$3:$A669,$A669))</f>
        <v/>
      </c>
    </row>
    <row r="670" ht="15" customHeight="1" s="41">
      <c r="A670" s="50" t="n"/>
      <c r="B670" s="52" t="str">
        <f>IF($A670="","",IFERROR(INDEX(회의록!$C$3:$C$302,MATCH($A670,회의록!$A$3:$A$302,0)),"회의번호없음"))</f>
        <v/>
      </c>
      <c r="C670" s="50" t="n"/>
      <c r="D670" s="49" t="n"/>
      <c r="E670" s="53" t="n"/>
      <c r="F670" s="49" t="n"/>
      <c r="G670" s="53" t="n"/>
      <c r="H670" s="56" t="str">
        <f>IF(OR($C670="",$E670="",$F670="완료",$F670="취소"),"",$E670-TODAY())</f>
        <v/>
      </c>
      <c r="I670" s="56" t="str">
        <f>IF(OR($C670="",$E670=""),"",IF($F670="완료",IF($G670="","",MAX(0,$G670-$E670)),IF($F670="취소","",MAX(0,TODAY()-$E670))))</f>
        <v/>
      </c>
      <c r="J670" s="50" t="n"/>
      <c r="K670" s="52" t="str">
        <f>IF($A670="","",$A670&amp;"|"&amp;$L670)</f>
        <v/>
      </c>
      <c r="L670" s="52" t="str">
        <f>IF($A670="","",COUNTIFS($A$3:$A670,$A670))</f>
        <v/>
      </c>
    </row>
    <row r="671" ht="15" customHeight="1" s="41">
      <c r="A671" s="50" t="n"/>
      <c r="B671" s="52" t="str">
        <f>IF($A671="","",IFERROR(INDEX(회의록!$C$3:$C$302,MATCH($A671,회의록!$A$3:$A$302,0)),"회의번호없음"))</f>
        <v/>
      </c>
      <c r="C671" s="50" t="n"/>
      <c r="D671" s="49" t="n"/>
      <c r="E671" s="53" t="n"/>
      <c r="F671" s="49" t="n"/>
      <c r="G671" s="53" t="n"/>
      <c r="H671" s="56" t="str">
        <f>IF(OR($C671="",$E671="",$F671="완료",$F671="취소"),"",$E671-TODAY())</f>
        <v/>
      </c>
      <c r="I671" s="56" t="str">
        <f>IF(OR($C671="",$E671=""),"",IF($F671="완료",IF($G671="","",MAX(0,$G671-$E671)),IF($F671="취소","",MAX(0,TODAY()-$E671))))</f>
        <v/>
      </c>
      <c r="J671" s="50" t="n"/>
      <c r="K671" s="52" t="str">
        <f>IF($A671="","",$A671&amp;"|"&amp;$L671)</f>
        <v/>
      </c>
      <c r="L671" s="52" t="str">
        <f>IF($A671="","",COUNTIFS($A$3:$A671,$A671))</f>
        <v/>
      </c>
    </row>
    <row r="672" ht="15" customHeight="1" s="41">
      <c r="A672" s="50" t="n"/>
      <c r="B672" s="52" t="str">
        <f>IF($A672="","",IFERROR(INDEX(회의록!$C$3:$C$302,MATCH($A672,회의록!$A$3:$A$302,0)),"회의번호없음"))</f>
        <v/>
      </c>
      <c r="C672" s="50" t="n"/>
      <c r="D672" s="49" t="n"/>
      <c r="E672" s="53" t="n"/>
      <c r="F672" s="49" t="n"/>
      <c r="G672" s="53" t="n"/>
      <c r="H672" s="56" t="str">
        <f>IF(OR($C672="",$E672="",$F672="완료",$F672="취소"),"",$E672-TODAY())</f>
        <v/>
      </c>
      <c r="I672" s="56" t="str">
        <f>IF(OR($C672="",$E672=""),"",IF($F672="완료",IF($G672="","",MAX(0,$G672-$E672)),IF($F672="취소","",MAX(0,TODAY()-$E672))))</f>
        <v/>
      </c>
      <c r="J672" s="50" t="n"/>
      <c r="K672" s="52" t="str">
        <f>IF($A672="","",$A672&amp;"|"&amp;$L672)</f>
        <v/>
      </c>
      <c r="L672" s="52" t="str">
        <f>IF($A672="","",COUNTIFS($A$3:$A672,$A672))</f>
        <v/>
      </c>
    </row>
    <row r="673" ht="15" customHeight="1" s="41">
      <c r="A673" s="50" t="n"/>
      <c r="B673" s="52" t="str">
        <f>IF($A673="","",IFERROR(INDEX(회의록!$C$3:$C$302,MATCH($A673,회의록!$A$3:$A$302,0)),"회의번호없음"))</f>
        <v/>
      </c>
      <c r="C673" s="50" t="n"/>
      <c r="D673" s="49" t="n"/>
      <c r="E673" s="53" t="n"/>
      <c r="F673" s="49" t="n"/>
      <c r="G673" s="53" t="n"/>
      <c r="H673" s="56" t="str">
        <f>IF(OR($C673="",$E673="",$F673="완료",$F673="취소"),"",$E673-TODAY())</f>
        <v/>
      </c>
      <c r="I673" s="56" t="str">
        <f>IF(OR($C673="",$E673=""),"",IF($F673="완료",IF($G673="","",MAX(0,$G673-$E673)),IF($F673="취소","",MAX(0,TODAY()-$E673))))</f>
        <v/>
      </c>
      <c r="J673" s="50" t="n"/>
      <c r="K673" s="52" t="str">
        <f>IF($A673="","",$A673&amp;"|"&amp;$L673)</f>
        <v/>
      </c>
      <c r="L673" s="52" t="str">
        <f>IF($A673="","",COUNTIFS($A$3:$A673,$A673))</f>
        <v/>
      </c>
    </row>
    <row r="674" ht="15" customHeight="1" s="41">
      <c r="A674" s="50" t="n"/>
      <c r="B674" s="52" t="str">
        <f>IF($A674="","",IFERROR(INDEX(회의록!$C$3:$C$302,MATCH($A674,회의록!$A$3:$A$302,0)),"회의번호없음"))</f>
        <v/>
      </c>
      <c r="C674" s="50" t="n"/>
      <c r="D674" s="49" t="n"/>
      <c r="E674" s="53" t="n"/>
      <c r="F674" s="49" t="n"/>
      <c r="G674" s="53" t="n"/>
      <c r="H674" s="56" t="str">
        <f>IF(OR($C674="",$E674="",$F674="완료",$F674="취소"),"",$E674-TODAY())</f>
        <v/>
      </c>
      <c r="I674" s="56" t="str">
        <f>IF(OR($C674="",$E674=""),"",IF($F674="완료",IF($G674="","",MAX(0,$G674-$E674)),IF($F674="취소","",MAX(0,TODAY()-$E674))))</f>
        <v/>
      </c>
      <c r="J674" s="50" t="n"/>
      <c r="K674" s="52" t="str">
        <f>IF($A674="","",$A674&amp;"|"&amp;$L674)</f>
        <v/>
      </c>
      <c r="L674" s="52" t="str">
        <f>IF($A674="","",COUNTIFS($A$3:$A674,$A674))</f>
        <v/>
      </c>
    </row>
    <row r="675" ht="15" customHeight="1" s="41">
      <c r="A675" s="50" t="n"/>
      <c r="B675" s="52" t="str">
        <f>IF($A675="","",IFERROR(INDEX(회의록!$C$3:$C$302,MATCH($A675,회의록!$A$3:$A$302,0)),"회의번호없음"))</f>
        <v/>
      </c>
      <c r="C675" s="50" t="n"/>
      <c r="D675" s="49" t="n"/>
      <c r="E675" s="53" t="n"/>
      <c r="F675" s="49" t="n"/>
      <c r="G675" s="53" t="n"/>
      <c r="H675" s="56" t="str">
        <f>IF(OR($C675="",$E675="",$F675="완료",$F675="취소"),"",$E675-TODAY())</f>
        <v/>
      </c>
      <c r="I675" s="56" t="str">
        <f>IF(OR($C675="",$E675=""),"",IF($F675="완료",IF($G675="","",MAX(0,$G675-$E675)),IF($F675="취소","",MAX(0,TODAY()-$E675))))</f>
        <v/>
      </c>
      <c r="J675" s="50" t="n"/>
      <c r="K675" s="52" t="str">
        <f>IF($A675="","",$A675&amp;"|"&amp;$L675)</f>
        <v/>
      </c>
      <c r="L675" s="52" t="str">
        <f>IF($A675="","",COUNTIFS($A$3:$A675,$A675))</f>
        <v/>
      </c>
    </row>
    <row r="676" ht="15" customHeight="1" s="41">
      <c r="A676" s="50" t="n"/>
      <c r="B676" s="52" t="str">
        <f>IF($A676="","",IFERROR(INDEX(회의록!$C$3:$C$302,MATCH($A676,회의록!$A$3:$A$302,0)),"회의번호없음"))</f>
        <v/>
      </c>
      <c r="C676" s="50" t="n"/>
      <c r="D676" s="49" t="n"/>
      <c r="E676" s="53" t="n"/>
      <c r="F676" s="49" t="n"/>
      <c r="G676" s="53" t="n"/>
      <c r="H676" s="56" t="str">
        <f>IF(OR($C676="",$E676="",$F676="완료",$F676="취소"),"",$E676-TODAY())</f>
        <v/>
      </c>
      <c r="I676" s="56" t="str">
        <f>IF(OR($C676="",$E676=""),"",IF($F676="완료",IF($G676="","",MAX(0,$G676-$E676)),IF($F676="취소","",MAX(0,TODAY()-$E676))))</f>
        <v/>
      </c>
      <c r="J676" s="50" t="n"/>
      <c r="K676" s="52" t="str">
        <f>IF($A676="","",$A676&amp;"|"&amp;$L676)</f>
        <v/>
      </c>
      <c r="L676" s="52" t="str">
        <f>IF($A676="","",COUNTIFS($A$3:$A676,$A676))</f>
        <v/>
      </c>
    </row>
    <row r="677" ht="15" customHeight="1" s="41">
      <c r="A677" s="50" t="n"/>
      <c r="B677" s="52" t="str">
        <f>IF($A677="","",IFERROR(INDEX(회의록!$C$3:$C$302,MATCH($A677,회의록!$A$3:$A$302,0)),"회의번호없음"))</f>
        <v/>
      </c>
      <c r="C677" s="50" t="n"/>
      <c r="D677" s="49" t="n"/>
      <c r="E677" s="53" t="n"/>
      <c r="F677" s="49" t="n"/>
      <c r="G677" s="53" t="n"/>
      <c r="H677" s="56" t="str">
        <f>IF(OR($C677="",$E677="",$F677="완료",$F677="취소"),"",$E677-TODAY())</f>
        <v/>
      </c>
      <c r="I677" s="56" t="str">
        <f>IF(OR($C677="",$E677=""),"",IF($F677="완료",IF($G677="","",MAX(0,$G677-$E677)),IF($F677="취소","",MAX(0,TODAY()-$E677))))</f>
        <v/>
      </c>
      <c r="J677" s="50" t="n"/>
      <c r="K677" s="52" t="str">
        <f>IF($A677="","",$A677&amp;"|"&amp;$L677)</f>
        <v/>
      </c>
      <c r="L677" s="52" t="str">
        <f>IF($A677="","",COUNTIFS($A$3:$A677,$A677))</f>
        <v/>
      </c>
    </row>
    <row r="678" ht="15" customHeight="1" s="41">
      <c r="A678" s="50" t="n"/>
      <c r="B678" s="52" t="str">
        <f>IF($A678="","",IFERROR(INDEX(회의록!$C$3:$C$302,MATCH($A678,회의록!$A$3:$A$302,0)),"회의번호없음"))</f>
        <v/>
      </c>
      <c r="C678" s="50" t="n"/>
      <c r="D678" s="49" t="n"/>
      <c r="E678" s="53" t="n"/>
      <c r="F678" s="49" t="n"/>
      <c r="G678" s="53" t="n"/>
      <c r="H678" s="56" t="str">
        <f>IF(OR($C678="",$E678="",$F678="완료",$F678="취소"),"",$E678-TODAY())</f>
        <v/>
      </c>
      <c r="I678" s="56" t="str">
        <f>IF(OR($C678="",$E678=""),"",IF($F678="완료",IF($G678="","",MAX(0,$G678-$E678)),IF($F678="취소","",MAX(0,TODAY()-$E678))))</f>
        <v/>
      </c>
      <c r="J678" s="50" t="n"/>
      <c r="K678" s="52" t="str">
        <f>IF($A678="","",$A678&amp;"|"&amp;$L678)</f>
        <v/>
      </c>
      <c r="L678" s="52" t="str">
        <f>IF($A678="","",COUNTIFS($A$3:$A678,$A678))</f>
        <v/>
      </c>
    </row>
    <row r="679" ht="15" customHeight="1" s="41">
      <c r="A679" s="50" t="n"/>
      <c r="B679" s="52" t="str">
        <f>IF($A679="","",IFERROR(INDEX(회의록!$C$3:$C$302,MATCH($A679,회의록!$A$3:$A$302,0)),"회의번호없음"))</f>
        <v/>
      </c>
      <c r="C679" s="50" t="n"/>
      <c r="D679" s="49" t="n"/>
      <c r="E679" s="53" t="n"/>
      <c r="F679" s="49" t="n"/>
      <c r="G679" s="53" t="n"/>
      <c r="H679" s="56" t="str">
        <f>IF(OR($C679="",$E679="",$F679="완료",$F679="취소"),"",$E679-TODAY())</f>
        <v/>
      </c>
      <c r="I679" s="56" t="str">
        <f>IF(OR($C679="",$E679=""),"",IF($F679="완료",IF($G679="","",MAX(0,$G679-$E679)),IF($F679="취소","",MAX(0,TODAY()-$E679))))</f>
        <v/>
      </c>
      <c r="J679" s="50" t="n"/>
      <c r="K679" s="52" t="str">
        <f>IF($A679="","",$A679&amp;"|"&amp;$L679)</f>
        <v/>
      </c>
      <c r="L679" s="52" t="str">
        <f>IF($A679="","",COUNTIFS($A$3:$A679,$A679))</f>
        <v/>
      </c>
    </row>
    <row r="680" ht="15" customHeight="1" s="41">
      <c r="A680" s="50" t="n"/>
      <c r="B680" s="52" t="str">
        <f>IF($A680="","",IFERROR(INDEX(회의록!$C$3:$C$302,MATCH($A680,회의록!$A$3:$A$302,0)),"회의번호없음"))</f>
        <v/>
      </c>
      <c r="C680" s="50" t="n"/>
      <c r="D680" s="49" t="n"/>
      <c r="E680" s="53" t="n"/>
      <c r="F680" s="49" t="n"/>
      <c r="G680" s="53" t="n"/>
      <c r="H680" s="56" t="str">
        <f>IF(OR($C680="",$E680="",$F680="완료",$F680="취소"),"",$E680-TODAY())</f>
        <v/>
      </c>
      <c r="I680" s="56" t="str">
        <f>IF(OR($C680="",$E680=""),"",IF($F680="완료",IF($G680="","",MAX(0,$G680-$E680)),IF($F680="취소","",MAX(0,TODAY()-$E680))))</f>
        <v/>
      </c>
      <c r="J680" s="50" t="n"/>
      <c r="K680" s="52" t="str">
        <f>IF($A680="","",$A680&amp;"|"&amp;$L680)</f>
        <v/>
      </c>
      <c r="L680" s="52" t="str">
        <f>IF($A680="","",COUNTIFS($A$3:$A680,$A680))</f>
        <v/>
      </c>
    </row>
    <row r="681" ht="15" customHeight="1" s="41">
      <c r="A681" s="50" t="n"/>
      <c r="B681" s="52" t="str">
        <f>IF($A681="","",IFERROR(INDEX(회의록!$C$3:$C$302,MATCH($A681,회의록!$A$3:$A$302,0)),"회의번호없음"))</f>
        <v/>
      </c>
      <c r="C681" s="50" t="n"/>
      <c r="D681" s="49" t="n"/>
      <c r="E681" s="53" t="n"/>
      <c r="F681" s="49" t="n"/>
      <c r="G681" s="53" t="n"/>
      <c r="H681" s="56" t="str">
        <f>IF(OR($C681="",$E681="",$F681="완료",$F681="취소"),"",$E681-TODAY())</f>
        <v/>
      </c>
      <c r="I681" s="56" t="str">
        <f>IF(OR($C681="",$E681=""),"",IF($F681="완료",IF($G681="","",MAX(0,$G681-$E681)),IF($F681="취소","",MAX(0,TODAY()-$E681))))</f>
        <v/>
      </c>
      <c r="J681" s="50" t="n"/>
      <c r="K681" s="52" t="str">
        <f>IF($A681="","",$A681&amp;"|"&amp;$L681)</f>
        <v/>
      </c>
      <c r="L681" s="52" t="str">
        <f>IF($A681="","",COUNTIFS($A$3:$A681,$A681))</f>
        <v/>
      </c>
    </row>
    <row r="682" ht="15" customHeight="1" s="41">
      <c r="A682" s="50" t="n"/>
      <c r="B682" s="52" t="str">
        <f>IF($A682="","",IFERROR(INDEX(회의록!$C$3:$C$302,MATCH($A682,회의록!$A$3:$A$302,0)),"회의번호없음"))</f>
        <v/>
      </c>
      <c r="C682" s="50" t="n"/>
      <c r="D682" s="49" t="n"/>
      <c r="E682" s="53" t="n"/>
      <c r="F682" s="49" t="n"/>
      <c r="G682" s="53" t="n"/>
      <c r="H682" s="56" t="str">
        <f>IF(OR($C682="",$E682="",$F682="완료",$F682="취소"),"",$E682-TODAY())</f>
        <v/>
      </c>
      <c r="I682" s="56" t="str">
        <f>IF(OR($C682="",$E682=""),"",IF($F682="완료",IF($G682="","",MAX(0,$G682-$E682)),IF($F682="취소","",MAX(0,TODAY()-$E682))))</f>
        <v/>
      </c>
      <c r="J682" s="50" t="n"/>
      <c r="K682" s="52" t="str">
        <f>IF($A682="","",$A682&amp;"|"&amp;$L682)</f>
        <v/>
      </c>
      <c r="L682" s="52" t="str">
        <f>IF($A682="","",COUNTIFS($A$3:$A682,$A682))</f>
        <v/>
      </c>
    </row>
    <row r="683" ht="15" customHeight="1" s="41">
      <c r="A683" s="50" t="n"/>
      <c r="B683" s="52" t="str">
        <f>IF($A683="","",IFERROR(INDEX(회의록!$C$3:$C$302,MATCH($A683,회의록!$A$3:$A$302,0)),"회의번호없음"))</f>
        <v/>
      </c>
      <c r="C683" s="50" t="n"/>
      <c r="D683" s="49" t="n"/>
      <c r="E683" s="53" t="n"/>
      <c r="F683" s="49" t="n"/>
      <c r="G683" s="53" t="n"/>
      <c r="H683" s="56" t="str">
        <f>IF(OR($C683="",$E683="",$F683="완료",$F683="취소"),"",$E683-TODAY())</f>
        <v/>
      </c>
      <c r="I683" s="56" t="str">
        <f>IF(OR($C683="",$E683=""),"",IF($F683="완료",IF($G683="","",MAX(0,$G683-$E683)),IF($F683="취소","",MAX(0,TODAY()-$E683))))</f>
        <v/>
      </c>
      <c r="J683" s="50" t="n"/>
      <c r="K683" s="52" t="str">
        <f>IF($A683="","",$A683&amp;"|"&amp;$L683)</f>
        <v/>
      </c>
      <c r="L683" s="52" t="str">
        <f>IF($A683="","",COUNTIFS($A$3:$A683,$A683))</f>
        <v/>
      </c>
    </row>
    <row r="684" ht="15" customHeight="1" s="41">
      <c r="A684" s="50" t="n"/>
      <c r="B684" s="52" t="str">
        <f>IF($A684="","",IFERROR(INDEX(회의록!$C$3:$C$302,MATCH($A684,회의록!$A$3:$A$302,0)),"회의번호없음"))</f>
        <v/>
      </c>
      <c r="C684" s="50" t="n"/>
      <c r="D684" s="49" t="n"/>
      <c r="E684" s="53" t="n"/>
      <c r="F684" s="49" t="n"/>
      <c r="G684" s="53" t="n"/>
      <c r="H684" s="56" t="str">
        <f>IF(OR($C684="",$E684="",$F684="완료",$F684="취소"),"",$E684-TODAY())</f>
        <v/>
      </c>
      <c r="I684" s="56" t="str">
        <f>IF(OR($C684="",$E684=""),"",IF($F684="완료",IF($G684="","",MAX(0,$G684-$E684)),IF($F684="취소","",MAX(0,TODAY()-$E684))))</f>
        <v/>
      </c>
      <c r="J684" s="50" t="n"/>
      <c r="K684" s="52" t="str">
        <f>IF($A684="","",$A684&amp;"|"&amp;$L684)</f>
        <v/>
      </c>
      <c r="L684" s="52" t="str">
        <f>IF($A684="","",COUNTIFS($A$3:$A684,$A684))</f>
        <v/>
      </c>
    </row>
    <row r="685" ht="15" customHeight="1" s="41">
      <c r="A685" s="50" t="n"/>
      <c r="B685" s="52" t="str">
        <f>IF($A685="","",IFERROR(INDEX(회의록!$C$3:$C$302,MATCH($A685,회의록!$A$3:$A$302,0)),"회의번호없음"))</f>
        <v/>
      </c>
      <c r="C685" s="50" t="n"/>
      <c r="D685" s="49" t="n"/>
      <c r="E685" s="53" t="n"/>
      <c r="F685" s="49" t="n"/>
      <c r="G685" s="53" t="n"/>
      <c r="H685" s="56" t="str">
        <f>IF(OR($C685="",$E685="",$F685="완료",$F685="취소"),"",$E685-TODAY())</f>
        <v/>
      </c>
      <c r="I685" s="56" t="str">
        <f>IF(OR($C685="",$E685=""),"",IF($F685="완료",IF($G685="","",MAX(0,$G685-$E685)),IF($F685="취소","",MAX(0,TODAY()-$E685))))</f>
        <v/>
      </c>
      <c r="J685" s="50" t="n"/>
      <c r="K685" s="52" t="str">
        <f>IF($A685="","",$A685&amp;"|"&amp;$L685)</f>
        <v/>
      </c>
      <c r="L685" s="52" t="str">
        <f>IF($A685="","",COUNTIFS($A$3:$A685,$A685))</f>
        <v/>
      </c>
    </row>
    <row r="686" ht="15" customHeight="1" s="41">
      <c r="A686" s="50" t="n"/>
      <c r="B686" s="52" t="str">
        <f>IF($A686="","",IFERROR(INDEX(회의록!$C$3:$C$302,MATCH($A686,회의록!$A$3:$A$302,0)),"회의번호없음"))</f>
        <v/>
      </c>
      <c r="C686" s="50" t="n"/>
      <c r="D686" s="49" t="n"/>
      <c r="E686" s="53" t="n"/>
      <c r="F686" s="49" t="n"/>
      <c r="G686" s="53" t="n"/>
      <c r="H686" s="56" t="str">
        <f>IF(OR($C686="",$E686="",$F686="완료",$F686="취소"),"",$E686-TODAY())</f>
        <v/>
      </c>
      <c r="I686" s="56" t="str">
        <f>IF(OR($C686="",$E686=""),"",IF($F686="완료",IF($G686="","",MAX(0,$G686-$E686)),IF($F686="취소","",MAX(0,TODAY()-$E686))))</f>
        <v/>
      </c>
      <c r="J686" s="50" t="n"/>
      <c r="K686" s="52" t="str">
        <f>IF($A686="","",$A686&amp;"|"&amp;$L686)</f>
        <v/>
      </c>
      <c r="L686" s="52" t="str">
        <f>IF($A686="","",COUNTIFS($A$3:$A686,$A686))</f>
        <v/>
      </c>
    </row>
    <row r="687" ht="15" customHeight="1" s="41">
      <c r="A687" s="50" t="n"/>
      <c r="B687" s="52" t="str">
        <f>IF($A687="","",IFERROR(INDEX(회의록!$C$3:$C$302,MATCH($A687,회의록!$A$3:$A$302,0)),"회의번호없음"))</f>
        <v/>
      </c>
      <c r="C687" s="50" t="n"/>
      <c r="D687" s="49" t="n"/>
      <c r="E687" s="53" t="n"/>
      <c r="F687" s="49" t="n"/>
      <c r="G687" s="53" t="n"/>
      <c r="H687" s="56" t="str">
        <f>IF(OR($C687="",$E687="",$F687="완료",$F687="취소"),"",$E687-TODAY())</f>
        <v/>
      </c>
      <c r="I687" s="56" t="str">
        <f>IF(OR($C687="",$E687=""),"",IF($F687="완료",IF($G687="","",MAX(0,$G687-$E687)),IF($F687="취소","",MAX(0,TODAY()-$E687))))</f>
        <v/>
      </c>
      <c r="J687" s="50" t="n"/>
      <c r="K687" s="52" t="str">
        <f>IF($A687="","",$A687&amp;"|"&amp;$L687)</f>
        <v/>
      </c>
      <c r="L687" s="52" t="str">
        <f>IF($A687="","",COUNTIFS($A$3:$A687,$A687))</f>
        <v/>
      </c>
    </row>
    <row r="688" ht="15" customHeight="1" s="41">
      <c r="A688" s="50" t="n"/>
      <c r="B688" s="52" t="str">
        <f>IF($A688="","",IFERROR(INDEX(회의록!$C$3:$C$302,MATCH($A688,회의록!$A$3:$A$302,0)),"회의번호없음"))</f>
        <v/>
      </c>
      <c r="C688" s="50" t="n"/>
      <c r="D688" s="49" t="n"/>
      <c r="E688" s="53" t="n"/>
      <c r="F688" s="49" t="n"/>
      <c r="G688" s="53" t="n"/>
      <c r="H688" s="56" t="str">
        <f>IF(OR($C688="",$E688="",$F688="완료",$F688="취소"),"",$E688-TODAY())</f>
        <v/>
      </c>
      <c r="I688" s="56" t="str">
        <f>IF(OR($C688="",$E688=""),"",IF($F688="완료",IF($G688="","",MAX(0,$G688-$E688)),IF($F688="취소","",MAX(0,TODAY()-$E688))))</f>
        <v/>
      </c>
      <c r="J688" s="50" t="n"/>
      <c r="K688" s="52" t="str">
        <f>IF($A688="","",$A688&amp;"|"&amp;$L688)</f>
        <v/>
      </c>
      <c r="L688" s="52" t="str">
        <f>IF($A688="","",COUNTIFS($A$3:$A688,$A688))</f>
        <v/>
      </c>
    </row>
    <row r="689" ht="15" customHeight="1" s="41">
      <c r="A689" s="50" t="n"/>
      <c r="B689" s="52" t="str">
        <f>IF($A689="","",IFERROR(INDEX(회의록!$C$3:$C$302,MATCH($A689,회의록!$A$3:$A$302,0)),"회의번호없음"))</f>
        <v/>
      </c>
      <c r="C689" s="50" t="n"/>
      <c r="D689" s="49" t="n"/>
      <c r="E689" s="53" t="n"/>
      <c r="F689" s="49" t="n"/>
      <c r="G689" s="53" t="n"/>
      <c r="H689" s="56" t="str">
        <f>IF(OR($C689="",$E689="",$F689="완료",$F689="취소"),"",$E689-TODAY())</f>
        <v/>
      </c>
      <c r="I689" s="56" t="str">
        <f>IF(OR($C689="",$E689=""),"",IF($F689="완료",IF($G689="","",MAX(0,$G689-$E689)),IF($F689="취소","",MAX(0,TODAY()-$E689))))</f>
        <v/>
      </c>
      <c r="J689" s="50" t="n"/>
      <c r="K689" s="52" t="str">
        <f>IF($A689="","",$A689&amp;"|"&amp;$L689)</f>
        <v/>
      </c>
      <c r="L689" s="52" t="str">
        <f>IF($A689="","",COUNTIFS($A$3:$A689,$A689))</f>
        <v/>
      </c>
    </row>
    <row r="690" ht="15" customHeight="1" s="41">
      <c r="A690" s="50" t="n"/>
      <c r="B690" s="52" t="str">
        <f>IF($A690="","",IFERROR(INDEX(회의록!$C$3:$C$302,MATCH($A690,회의록!$A$3:$A$302,0)),"회의번호없음"))</f>
        <v/>
      </c>
      <c r="C690" s="50" t="n"/>
      <c r="D690" s="49" t="n"/>
      <c r="E690" s="53" t="n"/>
      <c r="F690" s="49" t="n"/>
      <c r="G690" s="53" t="n"/>
      <c r="H690" s="56" t="str">
        <f>IF(OR($C690="",$E690="",$F690="완료",$F690="취소"),"",$E690-TODAY())</f>
        <v/>
      </c>
      <c r="I690" s="56" t="str">
        <f>IF(OR($C690="",$E690=""),"",IF($F690="완료",IF($G690="","",MAX(0,$G690-$E690)),IF($F690="취소","",MAX(0,TODAY()-$E690))))</f>
        <v/>
      </c>
      <c r="J690" s="50" t="n"/>
      <c r="K690" s="52" t="str">
        <f>IF($A690="","",$A690&amp;"|"&amp;$L690)</f>
        <v/>
      </c>
      <c r="L690" s="52" t="str">
        <f>IF($A690="","",COUNTIFS($A$3:$A690,$A690))</f>
        <v/>
      </c>
    </row>
    <row r="691" ht="15" customHeight="1" s="41">
      <c r="A691" s="50" t="n"/>
      <c r="B691" s="52" t="str">
        <f>IF($A691="","",IFERROR(INDEX(회의록!$C$3:$C$302,MATCH($A691,회의록!$A$3:$A$302,0)),"회의번호없음"))</f>
        <v/>
      </c>
      <c r="C691" s="50" t="n"/>
      <c r="D691" s="49" t="n"/>
      <c r="E691" s="53" t="n"/>
      <c r="F691" s="49" t="n"/>
      <c r="G691" s="53" t="n"/>
      <c r="H691" s="56" t="str">
        <f>IF(OR($C691="",$E691="",$F691="완료",$F691="취소"),"",$E691-TODAY())</f>
        <v/>
      </c>
      <c r="I691" s="56" t="str">
        <f>IF(OR($C691="",$E691=""),"",IF($F691="완료",IF($G691="","",MAX(0,$G691-$E691)),IF($F691="취소","",MAX(0,TODAY()-$E691))))</f>
        <v/>
      </c>
      <c r="J691" s="50" t="n"/>
      <c r="K691" s="52" t="str">
        <f>IF($A691="","",$A691&amp;"|"&amp;$L691)</f>
        <v/>
      </c>
      <c r="L691" s="52" t="str">
        <f>IF($A691="","",COUNTIFS($A$3:$A691,$A691))</f>
        <v/>
      </c>
    </row>
    <row r="692" ht="15" customHeight="1" s="41">
      <c r="A692" s="50" t="n"/>
      <c r="B692" s="52" t="str">
        <f>IF($A692="","",IFERROR(INDEX(회의록!$C$3:$C$302,MATCH($A692,회의록!$A$3:$A$302,0)),"회의번호없음"))</f>
        <v/>
      </c>
      <c r="C692" s="50" t="n"/>
      <c r="D692" s="49" t="n"/>
      <c r="E692" s="53" t="n"/>
      <c r="F692" s="49" t="n"/>
      <c r="G692" s="53" t="n"/>
      <c r="H692" s="56" t="str">
        <f>IF(OR($C692="",$E692="",$F692="완료",$F692="취소"),"",$E692-TODAY())</f>
        <v/>
      </c>
      <c r="I692" s="56" t="str">
        <f>IF(OR($C692="",$E692=""),"",IF($F692="완료",IF($G692="","",MAX(0,$G692-$E692)),IF($F692="취소","",MAX(0,TODAY()-$E692))))</f>
        <v/>
      </c>
      <c r="J692" s="50" t="n"/>
      <c r="K692" s="52" t="str">
        <f>IF($A692="","",$A692&amp;"|"&amp;$L692)</f>
        <v/>
      </c>
      <c r="L692" s="52" t="str">
        <f>IF($A692="","",COUNTIFS($A$3:$A692,$A692))</f>
        <v/>
      </c>
    </row>
    <row r="693" ht="15" customHeight="1" s="41">
      <c r="A693" s="50" t="n"/>
      <c r="B693" s="52" t="str">
        <f>IF($A693="","",IFERROR(INDEX(회의록!$C$3:$C$302,MATCH($A693,회의록!$A$3:$A$302,0)),"회의번호없음"))</f>
        <v/>
      </c>
      <c r="C693" s="50" t="n"/>
      <c r="D693" s="49" t="n"/>
      <c r="E693" s="53" t="n"/>
      <c r="F693" s="49" t="n"/>
      <c r="G693" s="53" t="n"/>
      <c r="H693" s="56" t="str">
        <f>IF(OR($C693="",$E693="",$F693="완료",$F693="취소"),"",$E693-TODAY())</f>
        <v/>
      </c>
      <c r="I693" s="56" t="str">
        <f>IF(OR($C693="",$E693=""),"",IF($F693="완료",IF($G693="","",MAX(0,$G693-$E693)),IF($F693="취소","",MAX(0,TODAY()-$E693))))</f>
        <v/>
      </c>
      <c r="J693" s="50" t="n"/>
      <c r="K693" s="52" t="str">
        <f>IF($A693="","",$A693&amp;"|"&amp;$L693)</f>
        <v/>
      </c>
      <c r="L693" s="52" t="str">
        <f>IF($A693="","",COUNTIFS($A$3:$A693,$A693))</f>
        <v/>
      </c>
    </row>
    <row r="694" ht="15" customHeight="1" s="41">
      <c r="A694" s="50" t="n"/>
      <c r="B694" s="52" t="str">
        <f>IF($A694="","",IFERROR(INDEX(회의록!$C$3:$C$302,MATCH($A694,회의록!$A$3:$A$302,0)),"회의번호없음"))</f>
        <v/>
      </c>
      <c r="C694" s="50" t="n"/>
      <c r="D694" s="49" t="n"/>
      <c r="E694" s="53" t="n"/>
      <c r="F694" s="49" t="n"/>
      <c r="G694" s="53" t="n"/>
      <c r="H694" s="56" t="str">
        <f>IF(OR($C694="",$E694="",$F694="완료",$F694="취소"),"",$E694-TODAY())</f>
        <v/>
      </c>
      <c r="I694" s="56" t="str">
        <f>IF(OR($C694="",$E694=""),"",IF($F694="완료",IF($G694="","",MAX(0,$G694-$E694)),IF($F694="취소","",MAX(0,TODAY()-$E694))))</f>
        <v/>
      </c>
      <c r="J694" s="50" t="n"/>
      <c r="K694" s="52" t="str">
        <f>IF($A694="","",$A694&amp;"|"&amp;$L694)</f>
        <v/>
      </c>
      <c r="L694" s="52" t="str">
        <f>IF($A694="","",COUNTIFS($A$3:$A694,$A694))</f>
        <v/>
      </c>
    </row>
    <row r="695" ht="15" customHeight="1" s="41">
      <c r="A695" s="50" t="n"/>
      <c r="B695" s="52" t="str">
        <f>IF($A695="","",IFERROR(INDEX(회의록!$C$3:$C$302,MATCH($A695,회의록!$A$3:$A$302,0)),"회의번호없음"))</f>
        <v/>
      </c>
      <c r="C695" s="50" t="n"/>
      <c r="D695" s="49" t="n"/>
      <c r="E695" s="53" t="n"/>
      <c r="F695" s="49" t="n"/>
      <c r="G695" s="53" t="n"/>
      <c r="H695" s="56" t="str">
        <f>IF(OR($C695="",$E695="",$F695="완료",$F695="취소"),"",$E695-TODAY())</f>
        <v/>
      </c>
      <c r="I695" s="56" t="str">
        <f>IF(OR($C695="",$E695=""),"",IF($F695="완료",IF($G695="","",MAX(0,$G695-$E695)),IF($F695="취소","",MAX(0,TODAY()-$E695))))</f>
        <v/>
      </c>
      <c r="J695" s="50" t="n"/>
      <c r="K695" s="52" t="str">
        <f>IF($A695="","",$A695&amp;"|"&amp;$L695)</f>
        <v/>
      </c>
      <c r="L695" s="52" t="str">
        <f>IF($A695="","",COUNTIFS($A$3:$A695,$A695))</f>
        <v/>
      </c>
    </row>
    <row r="696" ht="15" customHeight="1" s="41">
      <c r="A696" s="50" t="n"/>
      <c r="B696" s="52" t="str">
        <f>IF($A696="","",IFERROR(INDEX(회의록!$C$3:$C$302,MATCH($A696,회의록!$A$3:$A$302,0)),"회의번호없음"))</f>
        <v/>
      </c>
      <c r="C696" s="50" t="n"/>
      <c r="D696" s="49" t="n"/>
      <c r="E696" s="53" t="n"/>
      <c r="F696" s="49" t="n"/>
      <c r="G696" s="53" t="n"/>
      <c r="H696" s="56" t="str">
        <f>IF(OR($C696="",$E696="",$F696="완료",$F696="취소"),"",$E696-TODAY())</f>
        <v/>
      </c>
      <c r="I696" s="56" t="str">
        <f>IF(OR($C696="",$E696=""),"",IF($F696="완료",IF($G696="","",MAX(0,$G696-$E696)),IF($F696="취소","",MAX(0,TODAY()-$E696))))</f>
        <v/>
      </c>
      <c r="J696" s="50" t="n"/>
      <c r="K696" s="52" t="str">
        <f>IF($A696="","",$A696&amp;"|"&amp;$L696)</f>
        <v/>
      </c>
      <c r="L696" s="52" t="str">
        <f>IF($A696="","",COUNTIFS($A$3:$A696,$A696))</f>
        <v/>
      </c>
    </row>
    <row r="697" ht="15" customHeight="1" s="41">
      <c r="A697" s="50" t="n"/>
      <c r="B697" s="52" t="str">
        <f>IF($A697="","",IFERROR(INDEX(회의록!$C$3:$C$302,MATCH($A697,회의록!$A$3:$A$302,0)),"회의번호없음"))</f>
        <v/>
      </c>
      <c r="C697" s="50" t="n"/>
      <c r="D697" s="49" t="n"/>
      <c r="E697" s="53" t="n"/>
      <c r="F697" s="49" t="n"/>
      <c r="G697" s="53" t="n"/>
      <c r="H697" s="56" t="str">
        <f>IF(OR($C697="",$E697="",$F697="완료",$F697="취소"),"",$E697-TODAY())</f>
        <v/>
      </c>
      <c r="I697" s="56" t="str">
        <f>IF(OR($C697="",$E697=""),"",IF($F697="완료",IF($G697="","",MAX(0,$G697-$E697)),IF($F697="취소","",MAX(0,TODAY()-$E697))))</f>
        <v/>
      </c>
      <c r="J697" s="50" t="n"/>
      <c r="K697" s="52" t="str">
        <f>IF($A697="","",$A697&amp;"|"&amp;$L697)</f>
        <v/>
      </c>
      <c r="L697" s="52" t="str">
        <f>IF($A697="","",COUNTIFS($A$3:$A697,$A697))</f>
        <v/>
      </c>
    </row>
    <row r="698" ht="15" customHeight="1" s="41">
      <c r="A698" s="50" t="n"/>
      <c r="B698" s="52" t="str">
        <f>IF($A698="","",IFERROR(INDEX(회의록!$C$3:$C$302,MATCH($A698,회의록!$A$3:$A$302,0)),"회의번호없음"))</f>
        <v/>
      </c>
      <c r="C698" s="50" t="n"/>
      <c r="D698" s="49" t="n"/>
      <c r="E698" s="53" t="n"/>
      <c r="F698" s="49" t="n"/>
      <c r="G698" s="53" t="n"/>
      <c r="H698" s="56" t="str">
        <f>IF(OR($C698="",$E698="",$F698="완료",$F698="취소"),"",$E698-TODAY())</f>
        <v/>
      </c>
      <c r="I698" s="56" t="str">
        <f>IF(OR($C698="",$E698=""),"",IF($F698="완료",IF($G698="","",MAX(0,$G698-$E698)),IF($F698="취소","",MAX(0,TODAY()-$E698))))</f>
        <v/>
      </c>
      <c r="J698" s="50" t="n"/>
      <c r="K698" s="52" t="str">
        <f>IF($A698="","",$A698&amp;"|"&amp;$L698)</f>
        <v/>
      </c>
      <c r="L698" s="52" t="str">
        <f>IF($A698="","",COUNTIFS($A$3:$A698,$A698))</f>
        <v/>
      </c>
    </row>
    <row r="699" ht="15" customHeight="1" s="41">
      <c r="A699" s="50" t="n"/>
      <c r="B699" s="52" t="str">
        <f>IF($A699="","",IFERROR(INDEX(회의록!$C$3:$C$302,MATCH($A699,회의록!$A$3:$A$302,0)),"회의번호없음"))</f>
        <v/>
      </c>
      <c r="C699" s="50" t="n"/>
      <c r="D699" s="49" t="n"/>
      <c r="E699" s="53" t="n"/>
      <c r="F699" s="49" t="n"/>
      <c r="G699" s="53" t="n"/>
      <c r="H699" s="56" t="str">
        <f>IF(OR($C699="",$E699="",$F699="완료",$F699="취소"),"",$E699-TODAY())</f>
        <v/>
      </c>
      <c r="I699" s="56" t="str">
        <f>IF(OR($C699="",$E699=""),"",IF($F699="완료",IF($G699="","",MAX(0,$G699-$E699)),IF($F699="취소","",MAX(0,TODAY()-$E699))))</f>
        <v/>
      </c>
      <c r="J699" s="50" t="n"/>
      <c r="K699" s="52" t="str">
        <f>IF($A699="","",$A699&amp;"|"&amp;$L699)</f>
        <v/>
      </c>
      <c r="L699" s="52" t="str">
        <f>IF($A699="","",COUNTIFS($A$3:$A699,$A699))</f>
        <v/>
      </c>
    </row>
    <row r="700" ht="15" customHeight="1" s="41">
      <c r="A700" s="50" t="n"/>
      <c r="B700" s="52" t="str">
        <f>IF($A700="","",IFERROR(INDEX(회의록!$C$3:$C$302,MATCH($A700,회의록!$A$3:$A$302,0)),"회의번호없음"))</f>
        <v/>
      </c>
      <c r="C700" s="50" t="n"/>
      <c r="D700" s="49" t="n"/>
      <c r="E700" s="53" t="n"/>
      <c r="F700" s="49" t="n"/>
      <c r="G700" s="53" t="n"/>
      <c r="H700" s="56" t="str">
        <f>IF(OR($C700="",$E700="",$F700="완료",$F700="취소"),"",$E700-TODAY())</f>
        <v/>
      </c>
      <c r="I700" s="56" t="str">
        <f>IF(OR($C700="",$E700=""),"",IF($F700="완료",IF($G700="","",MAX(0,$G700-$E700)),IF($F700="취소","",MAX(0,TODAY()-$E700))))</f>
        <v/>
      </c>
      <c r="J700" s="50" t="n"/>
      <c r="K700" s="52" t="str">
        <f>IF($A700="","",$A700&amp;"|"&amp;$L700)</f>
        <v/>
      </c>
      <c r="L700" s="52" t="str">
        <f>IF($A700="","",COUNTIFS($A$3:$A700,$A700))</f>
        <v/>
      </c>
    </row>
    <row r="701" ht="15" customHeight="1" s="41">
      <c r="A701" s="50" t="n"/>
      <c r="B701" s="52" t="str">
        <f>IF($A701="","",IFERROR(INDEX(회의록!$C$3:$C$302,MATCH($A701,회의록!$A$3:$A$302,0)),"회의번호없음"))</f>
        <v/>
      </c>
      <c r="C701" s="50" t="n"/>
      <c r="D701" s="49" t="n"/>
      <c r="E701" s="53" t="n"/>
      <c r="F701" s="49" t="n"/>
      <c r="G701" s="53" t="n"/>
      <c r="H701" s="56" t="str">
        <f>IF(OR($C701="",$E701="",$F701="완료",$F701="취소"),"",$E701-TODAY())</f>
        <v/>
      </c>
      <c r="I701" s="56" t="str">
        <f>IF(OR($C701="",$E701=""),"",IF($F701="완료",IF($G701="","",MAX(0,$G701-$E701)),IF($F701="취소","",MAX(0,TODAY()-$E701))))</f>
        <v/>
      </c>
      <c r="J701" s="50" t="n"/>
      <c r="K701" s="52" t="str">
        <f>IF($A701="","",$A701&amp;"|"&amp;$L701)</f>
        <v/>
      </c>
      <c r="L701" s="52" t="str">
        <f>IF($A701="","",COUNTIFS($A$3:$A701,$A701))</f>
        <v/>
      </c>
    </row>
    <row r="702" ht="15" customHeight="1" s="41">
      <c r="A702" s="50" t="n"/>
      <c r="B702" s="52" t="str">
        <f>IF($A702="","",IFERROR(INDEX(회의록!$C$3:$C$302,MATCH($A702,회의록!$A$3:$A$302,0)),"회의번호없음"))</f>
        <v/>
      </c>
      <c r="C702" s="50" t="n"/>
      <c r="D702" s="49" t="n"/>
      <c r="E702" s="53" t="n"/>
      <c r="F702" s="49" t="n"/>
      <c r="G702" s="53" t="n"/>
      <c r="H702" s="56" t="str">
        <f>IF(OR($C702="",$E702="",$F702="완료",$F702="취소"),"",$E702-TODAY())</f>
        <v/>
      </c>
      <c r="I702" s="56" t="str">
        <f>IF(OR($C702="",$E702=""),"",IF($F702="완료",IF($G702="","",MAX(0,$G702-$E702)),IF($F702="취소","",MAX(0,TODAY()-$E702))))</f>
        <v/>
      </c>
      <c r="J702" s="50" t="n"/>
      <c r="K702" s="52" t="str">
        <f>IF($A702="","",$A702&amp;"|"&amp;$L702)</f>
        <v/>
      </c>
      <c r="L702" s="52" t="str">
        <f>IF($A702="","",COUNTIFS($A$3:$A702,$A702))</f>
        <v/>
      </c>
    </row>
    <row r="703" ht="15" customHeight="1" s="41">
      <c r="A703" s="50" t="n"/>
      <c r="B703" s="52" t="str">
        <f>IF($A703="","",IFERROR(INDEX(회의록!$C$3:$C$302,MATCH($A703,회의록!$A$3:$A$302,0)),"회의번호없음"))</f>
        <v/>
      </c>
      <c r="C703" s="50" t="n"/>
      <c r="D703" s="49" t="n"/>
      <c r="E703" s="53" t="n"/>
      <c r="F703" s="49" t="n"/>
      <c r="G703" s="53" t="n"/>
      <c r="H703" s="56" t="str">
        <f>IF(OR($C703="",$E703="",$F703="완료",$F703="취소"),"",$E703-TODAY())</f>
        <v/>
      </c>
      <c r="I703" s="56" t="str">
        <f>IF(OR($C703="",$E703=""),"",IF($F703="완료",IF($G703="","",MAX(0,$G703-$E703)),IF($F703="취소","",MAX(0,TODAY()-$E703))))</f>
        <v/>
      </c>
      <c r="J703" s="50" t="n"/>
      <c r="K703" s="52" t="str">
        <f>IF($A703="","",$A703&amp;"|"&amp;$L703)</f>
        <v/>
      </c>
      <c r="L703" s="52" t="str">
        <f>IF($A703="","",COUNTIFS($A$3:$A703,$A703))</f>
        <v/>
      </c>
    </row>
    <row r="704" ht="15" customHeight="1" s="41">
      <c r="A704" s="50" t="n"/>
      <c r="B704" s="52" t="str">
        <f>IF($A704="","",IFERROR(INDEX(회의록!$C$3:$C$302,MATCH($A704,회의록!$A$3:$A$302,0)),"회의번호없음"))</f>
        <v/>
      </c>
      <c r="C704" s="50" t="n"/>
      <c r="D704" s="49" t="n"/>
      <c r="E704" s="53" t="n"/>
      <c r="F704" s="49" t="n"/>
      <c r="G704" s="53" t="n"/>
      <c r="H704" s="56" t="str">
        <f>IF(OR($C704="",$E704="",$F704="완료",$F704="취소"),"",$E704-TODAY())</f>
        <v/>
      </c>
      <c r="I704" s="56" t="str">
        <f>IF(OR($C704="",$E704=""),"",IF($F704="완료",IF($G704="","",MAX(0,$G704-$E704)),IF($F704="취소","",MAX(0,TODAY()-$E704))))</f>
        <v/>
      </c>
      <c r="J704" s="50" t="n"/>
      <c r="K704" s="52" t="str">
        <f>IF($A704="","",$A704&amp;"|"&amp;$L704)</f>
        <v/>
      </c>
      <c r="L704" s="52" t="str">
        <f>IF($A704="","",COUNTIFS($A$3:$A704,$A704))</f>
        <v/>
      </c>
    </row>
    <row r="705" ht="15" customHeight="1" s="41">
      <c r="A705" s="50" t="n"/>
      <c r="B705" s="52" t="str">
        <f>IF($A705="","",IFERROR(INDEX(회의록!$C$3:$C$302,MATCH($A705,회의록!$A$3:$A$302,0)),"회의번호없음"))</f>
        <v/>
      </c>
      <c r="C705" s="50" t="n"/>
      <c r="D705" s="49" t="n"/>
      <c r="E705" s="53" t="n"/>
      <c r="F705" s="49" t="n"/>
      <c r="G705" s="53" t="n"/>
      <c r="H705" s="56" t="str">
        <f>IF(OR($C705="",$E705="",$F705="완료",$F705="취소"),"",$E705-TODAY())</f>
        <v/>
      </c>
      <c r="I705" s="56" t="str">
        <f>IF(OR($C705="",$E705=""),"",IF($F705="완료",IF($G705="","",MAX(0,$G705-$E705)),IF($F705="취소","",MAX(0,TODAY()-$E705))))</f>
        <v/>
      </c>
      <c r="J705" s="50" t="n"/>
      <c r="K705" s="52" t="str">
        <f>IF($A705="","",$A705&amp;"|"&amp;$L705)</f>
        <v/>
      </c>
      <c r="L705" s="52" t="str">
        <f>IF($A705="","",COUNTIFS($A$3:$A705,$A705))</f>
        <v/>
      </c>
    </row>
    <row r="706" ht="15" customHeight="1" s="41">
      <c r="A706" s="50" t="n"/>
      <c r="B706" s="52" t="str">
        <f>IF($A706="","",IFERROR(INDEX(회의록!$C$3:$C$302,MATCH($A706,회의록!$A$3:$A$302,0)),"회의번호없음"))</f>
        <v/>
      </c>
      <c r="C706" s="50" t="n"/>
      <c r="D706" s="49" t="n"/>
      <c r="E706" s="53" t="n"/>
      <c r="F706" s="49" t="n"/>
      <c r="G706" s="53" t="n"/>
      <c r="H706" s="56" t="str">
        <f>IF(OR($C706="",$E706="",$F706="완료",$F706="취소"),"",$E706-TODAY())</f>
        <v/>
      </c>
      <c r="I706" s="56" t="str">
        <f>IF(OR($C706="",$E706=""),"",IF($F706="완료",IF($G706="","",MAX(0,$G706-$E706)),IF($F706="취소","",MAX(0,TODAY()-$E706))))</f>
        <v/>
      </c>
      <c r="J706" s="50" t="n"/>
      <c r="K706" s="52" t="str">
        <f>IF($A706="","",$A706&amp;"|"&amp;$L706)</f>
        <v/>
      </c>
      <c r="L706" s="52" t="str">
        <f>IF($A706="","",COUNTIFS($A$3:$A706,$A706))</f>
        <v/>
      </c>
    </row>
    <row r="707" ht="15" customHeight="1" s="41">
      <c r="A707" s="50" t="n"/>
      <c r="B707" s="52" t="str">
        <f>IF($A707="","",IFERROR(INDEX(회의록!$C$3:$C$302,MATCH($A707,회의록!$A$3:$A$302,0)),"회의번호없음"))</f>
        <v/>
      </c>
      <c r="C707" s="50" t="n"/>
      <c r="D707" s="49" t="n"/>
      <c r="E707" s="53" t="n"/>
      <c r="F707" s="49" t="n"/>
      <c r="G707" s="53" t="n"/>
      <c r="H707" s="56" t="str">
        <f>IF(OR($C707="",$E707="",$F707="완료",$F707="취소"),"",$E707-TODAY())</f>
        <v/>
      </c>
      <c r="I707" s="56" t="str">
        <f>IF(OR($C707="",$E707=""),"",IF($F707="완료",IF($G707="","",MAX(0,$G707-$E707)),IF($F707="취소","",MAX(0,TODAY()-$E707))))</f>
        <v/>
      </c>
      <c r="J707" s="50" t="n"/>
      <c r="K707" s="52" t="str">
        <f>IF($A707="","",$A707&amp;"|"&amp;$L707)</f>
        <v/>
      </c>
      <c r="L707" s="52" t="str">
        <f>IF($A707="","",COUNTIFS($A$3:$A707,$A707))</f>
        <v/>
      </c>
    </row>
    <row r="708" ht="15" customHeight="1" s="41">
      <c r="A708" s="50" t="n"/>
      <c r="B708" s="52" t="str">
        <f>IF($A708="","",IFERROR(INDEX(회의록!$C$3:$C$302,MATCH($A708,회의록!$A$3:$A$302,0)),"회의번호없음"))</f>
        <v/>
      </c>
      <c r="C708" s="50" t="n"/>
      <c r="D708" s="49" t="n"/>
      <c r="E708" s="53" t="n"/>
      <c r="F708" s="49" t="n"/>
      <c r="G708" s="53" t="n"/>
      <c r="H708" s="56" t="str">
        <f>IF(OR($C708="",$E708="",$F708="완료",$F708="취소"),"",$E708-TODAY())</f>
        <v/>
      </c>
      <c r="I708" s="56" t="str">
        <f>IF(OR($C708="",$E708=""),"",IF($F708="완료",IF($G708="","",MAX(0,$G708-$E708)),IF($F708="취소","",MAX(0,TODAY()-$E708))))</f>
        <v/>
      </c>
      <c r="J708" s="50" t="n"/>
      <c r="K708" s="52" t="str">
        <f>IF($A708="","",$A708&amp;"|"&amp;$L708)</f>
        <v/>
      </c>
      <c r="L708" s="52" t="str">
        <f>IF($A708="","",COUNTIFS($A$3:$A708,$A708))</f>
        <v/>
      </c>
    </row>
    <row r="709" ht="15" customHeight="1" s="41">
      <c r="A709" s="50" t="n"/>
      <c r="B709" s="52" t="str">
        <f>IF($A709="","",IFERROR(INDEX(회의록!$C$3:$C$302,MATCH($A709,회의록!$A$3:$A$302,0)),"회의번호없음"))</f>
        <v/>
      </c>
      <c r="C709" s="50" t="n"/>
      <c r="D709" s="49" t="n"/>
      <c r="E709" s="53" t="n"/>
      <c r="F709" s="49" t="n"/>
      <c r="G709" s="53" t="n"/>
      <c r="H709" s="56" t="str">
        <f>IF(OR($C709="",$E709="",$F709="완료",$F709="취소"),"",$E709-TODAY())</f>
        <v/>
      </c>
      <c r="I709" s="56" t="str">
        <f>IF(OR($C709="",$E709=""),"",IF($F709="완료",IF($G709="","",MAX(0,$G709-$E709)),IF($F709="취소","",MAX(0,TODAY()-$E709))))</f>
        <v/>
      </c>
      <c r="J709" s="50" t="n"/>
      <c r="K709" s="52" t="str">
        <f>IF($A709="","",$A709&amp;"|"&amp;$L709)</f>
        <v/>
      </c>
      <c r="L709" s="52" t="str">
        <f>IF($A709="","",COUNTIFS($A$3:$A709,$A709))</f>
        <v/>
      </c>
    </row>
    <row r="710" ht="15" customHeight="1" s="41">
      <c r="A710" s="50" t="n"/>
      <c r="B710" s="52" t="str">
        <f>IF($A710="","",IFERROR(INDEX(회의록!$C$3:$C$302,MATCH($A710,회의록!$A$3:$A$302,0)),"회의번호없음"))</f>
        <v/>
      </c>
      <c r="C710" s="50" t="n"/>
      <c r="D710" s="49" t="n"/>
      <c r="E710" s="53" t="n"/>
      <c r="F710" s="49" t="n"/>
      <c r="G710" s="53" t="n"/>
      <c r="H710" s="56" t="str">
        <f>IF(OR($C710="",$E710="",$F710="완료",$F710="취소"),"",$E710-TODAY())</f>
        <v/>
      </c>
      <c r="I710" s="56" t="str">
        <f>IF(OR($C710="",$E710=""),"",IF($F710="완료",IF($G710="","",MAX(0,$G710-$E710)),IF($F710="취소","",MAX(0,TODAY()-$E710))))</f>
        <v/>
      </c>
      <c r="J710" s="50" t="n"/>
      <c r="K710" s="52" t="str">
        <f>IF($A710="","",$A710&amp;"|"&amp;$L710)</f>
        <v/>
      </c>
      <c r="L710" s="52" t="str">
        <f>IF($A710="","",COUNTIFS($A$3:$A710,$A710))</f>
        <v/>
      </c>
    </row>
    <row r="711" ht="15" customHeight="1" s="41">
      <c r="A711" s="50" t="n"/>
      <c r="B711" s="52" t="str">
        <f>IF($A711="","",IFERROR(INDEX(회의록!$C$3:$C$302,MATCH($A711,회의록!$A$3:$A$302,0)),"회의번호없음"))</f>
        <v/>
      </c>
      <c r="C711" s="50" t="n"/>
      <c r="D711" s="49" t="n"/>
      <c r="E711" s="53" t="n"/>
      <c r="F711" s="49" t="n"/>
      <c r="G711" s="53" t="n"/>
      <c r="H711" s="56" t="str">
        <f>IF(OR($C711="",$E711="",$F711="완료",$F711="취소"),"",$E711-TODAY())</f>
        <v/>
      </c>
      <c r="I711" s="56" t="str">
        <f>IF(OR($C711="",$E711=""),"",IF($F711="완료",IF($G711="","",MAX(0,$G711-$E711)),IF($F711="취소","",MAX(0,TODAY()-$E711))))</f>
        <v/>
      </c>
      <c r="J711" s="50" t="n"/>
      <c r="K711" s="52" t="str">
        <f>IF($A711="","",$A711&amp;"|"&amp;$L711)</f>
        <v/>
      </c>
      <c r="L711" s="52" t="str">
        <f>IF($A711="","",COUNTIFS($A$3:$A711,$A711))</f>
        <v/>
      </c>
    </row>
    <row r="712" ht="15" customHeight="1" s="41">
      <c r="A712" s="50" t="n"/>
      <c r="B712" s="52" t="str">
        <f>IF($A712="","",IFERROR(INDEX(회의록!$C$3:$C$302,MATCH($A712,회의록!$A$3:$A$302,0)),"회의번호없음"))</f>
        <v/>
      </c>
      <c r="C712" s="50" t="n"/>
      <c r="D712" s="49" t="n"/>
      <c r="E712" s="53" t="n"/>
      <c r="F712" s="49" t="n"/>
      <c r="G712" s="53" t="n"/>
      <c r="H712" s="56" t="str">
        <f>IF(OR($C712="",$E712="",$F712="완료",$F712="취소"),"",$E712-TODAY())</f>
        <v/>
      </c>
      <c r="I712" s="56" t="str">
        <f>IF(OR($C712="",$E712=""),"",IF($F712="완료",IF($G712="","",MAX(0,$G712-$E712)),IF($F712="취소","",MAX(0,TODAY()-$E712))))</f>
        <v/>
      </c>
      <c r="J712" s="50" t="n"/>
      <c r="K712" s="52" t="str">
        <f>IF($A712="","",$A712&amp;"|"&amp;$L712)</f>
        <v/>
      </c>
      <c r="L712" s="52" t="str">
        <f>IF($A712="","",COUNTIFS($A$3:$A712,$A712))</f>
        <v/>
      </c>
    </row>
    <row r="713" ht="15" customHeight="1" s="41">
      <c r="A713" s="50" t="n"/>
      <c r="B713" s="52" t="str">
        <f>IF($A713="","",IFERROR(INDEX(회의록!$C$3:$C$302,MATCH($A713,회의록!$A$3:$A$302,0)),"회의번호없음"))</f>
        <v/>
      </c>
      <c r="C713" s="50" t="n"/>
      <c r="D713" s="49" t="n"/>
      <c r="E713" s="53" t="n"/>
      <c r="F713" s="49" t="n"/>
      <c r="G713" s="53" t="n"/>
      <c r="H713" s="56" t="str">
        <f>IF(OR($C713="",$E713="",$F713="완료",$F713="취소"),"",$E713-TODAY())</f>
        <v/>
      </c>
      <c r="I713" s="56" t="str">
        <f>IF(OR($C713="",$E713=""),"",IF($F713="완료",IF($G713="","",MAX(0,$G713-$E713)),IF($F713="취소","",MAX(0,TODAY()-$E713))))</f>
        <v/>
      </c>
      <c r="J713" s="50" t="n"/>
      <c r="K713" s="52" t="str">
        <f>IF($A713="","",$A713&amp;"|"&amp;$L713)</f>
        <v/>
      </c>
      <c r="L713" s="52" t="str">
        <f>IF($A713="","",COUNTIFS($A$3:$A713,$A713))</f>
        <v/>
      </c>
    </row>
    <row r="714" ht="15" customHeight="1" s="41">
      <c r="A714" s="50" t="n"/>
      <c r="B714" s="52" t="str">
        <f>IF($A714="","",IFERROR(INDEX(회의록!$C$3:$C$302,MATCH($A714,회의록!$A$3:$A$302,0)),"회의번호없음"))</f>
        <v/>
      </c>
      <c r="C714" s="50" t="n"/>
      <c r="D714" s="49" t="n"/>
      <c r="E714" s="53" t="n"/>
      <c r="F714" s="49" t="n"/>
      <c r="G714" s="53" t="n"/>
      <c r="H714" s="56" t="str">
        <f>IF(OR($C714="",$E714="",$F714="완료",$F714="취소"),"",$E714-TODAY())</f>
        <v/>
      </c>
      <c r="I714" s="56" t="str">
        <f>IF(OR($C714="",$E714=""),"",IF($F714="완료",IF($G714="","",MAX(0,$G714-$E714)),IF($F714="취소","",MAX(0,TODAY()-$E714))))</f>
        <v/>
      </c>
      <c r="J714" s="50" t="n"/>
      <c r="K714" s="52" t="str">
        <f>IF($A714="","",$A714&amp;"|"&amp;$L714)</f>
        <v/>
      </c>
      <c r="L714" s="52" t="str">
        <f>IF($A714="","",COUNTIFS($A$3:$A714,$A714))</f>
        <v/>
      </c>
    </row>
    <row r="715" ht="15" customHeight="1" s="41">
      <c r="A715" s="50" t="n"/>
      <c r="B715" s="52" t="str">
        <f>IF($A715="","",IFERROR(INDEX(회의록!$C$3:$C$302,MATCH($A715,회의록!$A$3:$A$302,0)),"회의번호없음"))</f>
        <v/>
      </c>
      <c r="C715" s="50" t="n"/>
      <c r="D715" s="49" t="n"/>
      <c r="E715" s="53" t="n"/>
      <c r="F715" s="49" t="n"/>
      <c r="G715" s="53" t="n"/>
      <c r="H715" s="56" t="str">
        <f>IF(OR($C715="",$E715="",$F715="완료",$F715="취소"),"",$E715-TODAY())</f>
        <v/>
      </c>
      <c r="I715" s="56" t="str">
        <f>IF(OR($C715="",$E715=""),"",IF($F715="완료",IF($G715="","",MAX(0,$G715-$E715)),IF($F715="취소","",MAX(0,TODAY()-$E715))))</f>
        <v/>
      </c>
      <c r="J715" s="50" t="n"/>
      <c r="K715" s="52" t="str">
        <f>IF($A715="","",$A715&amp;"|"&amp;$L715)</f>
        <v/>
      </c>
      <c r="L715" s="52" t="str">
        <f>IF($A715="","",COUNTIFS($A$3:$A715,$A715))</f>
        <v/>
      </c>
    </row>
    <row r="716" ht="15" customHeight="1" s="41">
      <c r="A716" s="50" t="n"/>
      <c r="B716" s="52" t="str">
        <f>IF($A716="","",IFERROR(INDEX(회의록!$C$3:$C$302,MATCH($A716,회의록!$A$3:$A$302,0)),"회의번호없음"))</f>
        <v/>
      </c>
      <c r="C716" s="50" t="n"/>
      <c r="D716" s="49" t="n"/>
      <c r="E716" s="53" t="n"/>
      <c r="F716" s="49" t="n"/>
      <c r="G716" s="53" t="n"/>
      <c r="H716" s="56" t="str">
        <f>IF(OR($C716="",$E716="",$F716="완료",$F716="취소"),"",$E716-TODAY())</f>
        <v/>
      </c>
      <c r="I716" s="56" t="str">
        <f>IF(OR($C716="",$E716=""),"",IF($F716="완료",IF($G716="","",MAX(0,$G716-$E716)),IF($F716="취소","",MAX(0,TODAY()-$E716))))</f>
        <v/>
      </c>
      <c r="J716" s="50" t="n"/>
      <c r="K716" s="52" t="str">
        <f>IF($A716="","",$A716&amp;"|"&amp;$L716)</f>
        <v/>
      </c>
      <c r="L716" s="52" t="str">
        <f>IF($A716="","",COUNTIFS($A$3:$A716,$A716))</f>
        <v/>
      </c>
    </row>
    <row r="717" ht="15" customHeight="1" s="41">
      <c r="A717" s="50" t="n"/>
      <c r="B717" s="52" t="str">
        <f>IF($A717="","",IFERROR(INDEX(회의록!$C$3:$C$302,MATCH($A717,회의록!$A$3:$A$302,0)),"회의번호없음"))</f>
        <v/>
      </c>
      <c r="C717" s="50" t="n"/>
      <c r="D717" s="49" t="n"/>
      <c r="E717" s="53" t="n"/>
      <c r="F717" s="49" t="n"/>
      <c r="G717" s="53" t="n"/>
      <c r="H717" s="56" t="str">
        <f>IF(OR($C717="",$E717="",$F717="완료",$F717="취소"),"",$E717-TODAY())</f>
        <v/>
      </c>
      <c r="I717" s="56" t="str">
        <f>IF(OR($C717="",$E717=""),"",IF($F717="완료",IF($G717="","",MAX(0,$G717-$E717)),IF($F717="취소","",MAX(0,TODAY()-$E717))))</f>
        <v/>
      </c>
      <c r="J717" s="50" t="n"/>
      <c r="K717" s="52" t="str">
        <f>IF($A717="","",$A717&amp;"|"&amp;$L717)</f>
        <v/>
      </c>
      <c r="L717" s="52" t="str">
        <f>IF($A717="","",COUNTIFS($A$3:$A717,$A717))</f>
        <v/>
      </c>
    </row>
    <row r="718" ht="15" customHeight="1" s="41">
      <c r="A718" s="50" t="n"/>
      <c r="B718" s="52" t="str">
        <f>IF($A718="","",IFERROR(INDEX(회의록!$C$3:$C$302,MATCH($A718,회의록!$A$3:$A$302,0)),"회의번호없음"))</f>
        <v/>
      </c>
      <c r="C718" s="50" t="n"/>
      <c r="D718" s="49" t="n"/>
      <c r="E718" s="53" t="n"/>
      <c r="F718" s="49" t="n"/>
      <c r="G718" s="53" t="n"/>
      <c r="H718" s="56" t="str">
        <f>IF(OR($C718="",$E718="",$F718="완료",$F718="취소"),"",$E718-TODAY())</f>
        <v/>
      </c>
      <c r="I718" s="56" t="str">
        <f>IF(OR($C718="",$E718=""),"",IF($F718="완료",IF($G718="","",MAX(0,$G718-$E718)),IF($F718="취소","",MAX(0,TODAY()-$E718))))</f>
        <v/>
      </c>
      <c r="J718" s="50" t="n"/>
      <c r="K718" s="52" t="str">
        <f>IF($A718="","",$A718&amp;"|"&amp;$L718)</f>
        <v/>
      </c>
      <c r="L718" s="52" t="str">
        <f>IF($A718="","",COUNTIFS($A$3:$A718,$A718))</f>
        <v/>
      </c>
    </row>
    <row r="719" ht="15" customHeight="1" s="41">
      <c r="A719" s="50" t="n"/>
      <c r="B719" s="52" t="str">
        <f>IF($A719="","",IFERROR(INDEX(회의록!$C$3:$C$302,MATCH($A719,회의록!$A$3:$A$302,0)),"회의번호없음"))</f>
        <v/>
      </c>
      <c r="C719" s="50" t="n"/>
      <c r="D719" s="49" t="n"/>
      <c r="E719" s="53" t="n"/>
      <c r="F719" s="49" t="n"/>
      <c r="G719" s="53" t="n"/>
      <c r="H719" s="56" t="str">
        <f>IF(OR($C719="",$E719="",$F719="완료",$F719="취소"),"",$E719-TODAY())</f>
        <v/>
      </c>
      <c r="I719" s="56" t="str">
        <f>IF(OR($C719="",$E719=""),"",IF($F719="완료",IF($G719="","",MAX(0,$G719-$E719)),IF($F719="취소","",MAX(0,TODAY()-$E719))))</f>
        <v/>
      </c>
      <c r="J719" s="50" t="n"/>
      <c r="K719" s="52" t="str">
        <f>IF($A719="","",$A719&amp;"|"&amp;$L719)</f>
        <v/>
      </c>
      <c r="L719" s="52" t="str">
        <f>IF($A719="","",COUNTIFS($A$3:$A719,$A719))</f>
        <v/>
      </c>
    </row>
    <row r="720" ht="15" customHeight="1" s="41">
      <c r="A720" s="50" t="n"/>
      <c r="B720" s="52" t="str">
        <f>IF($A720="","",IFERROR(INDEX(회의록!$C$3:$C$302,MATCH($A720,회의록!$A$3:$A$302,0)),"회의번호없음"))</f>
        <v/>
      </c>
      <c r="C720" s="50" t="n"/>
      <c r="D720" s="49" t="n"/>
      <c r="E720" s="53" t="n"/>
      <c r="F720" s="49" t="n"/>
      <c r="G720" s="53" t="n"/>
      <c r="H720" s="56" t="str">
        <f>IF(OR($C720="",$E720="",$F720="완료",$F720="취소"),"",$E720-TODAY())</f>
        <v/>
      </c>
      <c r="I720" s="56" t="str">
        <f>IF(OR($C720="",$E720=""),"",IF($F720="완료",IF($G720="","",MAX(0,$G720-$E720)),IF($F720="취소","",MAX(0,TODAY()-$E720))))</f>
        <v/>
      </c>
      <c r="J720" s="50" t="n"/>
      <c r="K720" s="52" t="str">
        <f>IF($A720="","",$A720&amp;"|"&amp;$L720)</f>
        <v/>
      </c>
      <c r="L720" s="52" t="str">
        <f>IF($A720="","",COUNTIFS($A$3:$A720,$A720))</f>
        <v/>
      </c>
    </row>
    <row r="721" ht="15" customHeight="1" s="41">
      <c r="A721" s="50" t="n"/>
      <c r="B721" s="52" t="str">
        <f>IF($A721="","",IFERROR(INDEX(회의록!$C$3:$C$302,MATCH($A721,회의록!$A$3:$A$302,0)),"회의번호없음"))</f>
        <v/>
      </c>
      <c r="C721" s="50" t="n"/>
      <c r="D721" s="49" t="n"/>
      <c r="E721" s="53" t="n"/>
      <c r="F721" s="49" t="n"/>
      <c r="G721" s="53" t="n"/>
      <c r="H721" s="56" t="str">
        <f>IF(OR($C721="",$E721="",$F721="완료",$F721="취소"),"",$E721-TODAY())</f>
        <v/>
      </c>
      <c r="I721" s="56" t="str">
        <f>IF(OR($C721="",$E721=""),"",IF($F721="완료",IF($G721="","",MAX(0,$G721-$E721)),IF($F721="취소","",MAX(0,TODAY()-$E721))))</f>
        <v/>
      </c>
      <c r="J721" s="50" t="n"/>
      <c r="K721" s="52" t="str">
        <f>IF($A721="","",$A721&amp;"|"&amp;$L721)</f>
        <v/>
      </c>
      <c r="L721" s="52" t="str">
        <f>IF($A721="","",COUNTIFS($A$3:$A721,$A721))</f>
        <v/>
      </c>
    </row>
    <row r="722" ht="15" customHeight="1" s="41">
      <c r="A722" s="50" t="n"/>
      <c r="B722" s="52" t="str">
        <f>IF($A722="","",IFERROR(INDEX(회의록!$C$3:$C$302,MATCH($A722,회의록!$A$3:$A$302,0)),"회의번호없음"))</f>
        <v/>
      </c>
      <c r="C722" s="50" t="n"/>
      <c r="D722" s="49" t="n"/>
      <c r="E722" s="53" t="n"/>
      <c r="F722" s="49" t="n"/>
      <c r="G722" s="53" t="n"/>
      <c r="H722" s="56" t="str">
        <f>IF(OR($C722="",$E722="",$F722="완료",$F722="취소"),"",$E722-TODAY())</f>
        <v/>
      </c>
      <c r="I722" s="56" t="str">
        <f>IF(OR($C722="",$E722=""),"",IF($F722="완료",IF($G722="","",MAX(0,$G722-$E722)),IF($F722="취소","",MAX(0,TODAY()-$E722))))</f>
        <v/>
      </c>
      <c r="J722" s="50" t="n"/>
      <c r="K722" s="52" t="str">
        <f>IF($A722="","",$A722&amp;"|"&amp;$L722)</f>
        <v/>
      </c>
      <c r="L722" s="52" t="str">
        <f>IF($A722="","",COUNTIFS($A$3:$A722,$A722))</f>
        <v/>
      </c>
    </row>
    <row r="723" ht="15" customHeight="1" s="41">
      <c r="A723" s="50" t="n"/>
      <c r="B723" s="52" t="str">
        <f>IF($A723="","",IFERROR(INDEX(회의록!$C$3:$C$302,MATCH($A723,회의록!$A$3:$A$302,0)),"회의번호없음"))</f>
        <v/>
      </c>
      <c r="C723" s="50" t="n"/>
      <c r="D723" s="49" t="n"/>
      <c r="E723" s="53" t="n"/>
      <c r="F723" s="49" t="n"/>
      <c r="G723" s="53" t="n"/>
      <c r="H723" s="56" t="str">
        <f>IF(OR($C723="",$E723="",$F723="완료",$F723="취소"),"",$E723-TODAY())</f>
        <v/>
      </c>
      <c r="I723" s="56" t="str">
        <f>IF(OR($C723="",$E723=""),"",IF($F723="완료",IF($G723="","",MAX(0,$G723-$E723)),IF($F723="취소","",MAX(0,TODAY()-$E723))))</f>
        <v/>
      </c>
      <c r="J723" s="50" t="n"/>
      <c r="K723" s="52" t="str">
        <f>IF($A723="","",$A723&amp;"|"&amp;$L723)</f>
        <v/>
      </c>
      <c r="L723" s="52" t="str">
        <f>IF($A723="","",COUNTIFS($A$3:$A723,$A723))</f>
        <v/>
      </c>
    </row>
    <row r="724" ht="15" customHeight="1" s="41">
      <c r="A724" s="50" t="n"/>
      <c r="B724" s="52" t="str">
        <f>IF($A724="","",IFERROR(INDEX(회의록!$C$3:$C$302,MATCH($A724,회의록!$A$3:$A$302,0)),"회의번호없음"))</f>
        <v/>
      </c>
      <c r="C724" s="50" t="n"/>
      <c r="D724" s="49" t="n"/>
      <c r="E724" s="53" t="n"/>
      <c r="F724" s="49" t="n"/>
      <c r="G724" s="53" t="n"/>
      <c r="H724" s="56" t="str">
        <f>IF(OR($C724="",$E724="",$F724="완료",$F724="취소"),"",$E724-TODAY())</f>
        <v/>
      </c>
      <c r="I724" s="56" t="str">
        <f>IF(OR($C724="",$E724=""),"",IF($F724="완료",IF($G724="","",MAX(0,$G724-$E724)),IF($F724="취소","",MAX(0,TODAY()-$E724))))</f>
        <v/>
      </c>
      <c r="J724" s="50" t="n"/>
      <c r="K724" s="52" t="str">
        <f>IF($A724="","",$A724&amp;"|"&amp;$L724)</f>
        <v/>
      </c>
      <c r="L724" s="52" t="str">
        <f>IF($A724="","",COUNTIFS($A$3:$A724,$A724))</f>
        <v/>
      </c>
    </row>
    <row r="725" ht="15" customHeight="1" s="41">
      <c r="A725" s="50" t="n"/>
      <c r="B725" s="52" t="str">
        <f>IF($A725="","",IFERROR(INDEX(회의록!$C$3:$C$302,MATCH($A725,회의록!$A$3:$A$302,0)),"회의번호없음"))</f>
        <v/>
      </c>
      <c r="C725" s="50" t="n"/>
      <c r="D725" s="49" t="n"/>
      <c r="E725" s="53" t="n"/>
      <c r="F725" s="49" t="n"/>
      <c r="G725" s="53" t="n"/>
      <c r="H725" s="56" t="str">
        <f>IF(OR($C725="",$E725="",$F725="완료",$F725="취소"),"",$E725-TODAY())</f>
        <v/>
      </c>
      <c r="I725" s="56" t="str">
        <f>IF(OR($C725="",$E725=""),"",IF($F725="완료",IF($G725="","",MAX(0,$G725-$E725)),IF($F725="취소","",MAX(0,TODAY()-$E725))))</f>
        <v/>
      </c>
      <c r="J725" s="50" t="n"/>
      <c r="K725" s="52" t="str">
        <f>IF($A725="","",$A725&amp;"|"&amp;$L725)</f>
        <v/>
      </c>
      <c r="L725" s="52" t="str">
        <f>IF($A725="","",COUNTIFS($A$3:$A725,$A725))</f>
        <v/>
      </c>
    </row>
    <row r="726" ht="15" customHeight="1" s="41">
      <c r="A726" s="50" t="n"/>
      <c r="B726" s="52" t="str">
        <f>IF($A726="","",IFERROR(INDEX(회의록!$C$3:$C$302,MATCH($A726,회의록!$A$3:$A$302,0)),"회의번호없음"))</f>
        <v/>
      </c>
      <c r="C726" s="50" t="n"/>
      <c r="D726" s="49" t="n"/>
      <c r="E726" s="53" t="n"/>
      <c r="F726" s="49" t="n"/>
      <c r="G726" s="53" t="n"/>
      <c r="H726" s="56" t="str">
        <f>IF(OR($C726="",$E726="",$F726="완료",$F726="취소"),"",$E726-TODAY())</f>
        <v/>
      </c>
      <c r="I726" s="56" t="str">
        <f>IF(OR($C726="",$E726=""),"",IF($F726="완료",IF($G726="","",MAX(0,$G726-$E726)),IF($F726="취소","",MAX(0,TODAY()-$E726))))</f>
        <v/>
      </c>
      <c r="J726" s="50" t="n"/>
      <c r="K726" s="52" t="str">
        <f>IF($A726="","",$A726&amp;"|"&amp;$L726)</f>
        <v/>
      </c>
      <c r="L726" s="52" t="str">
        <f>IF($A726="","",COUNTIFS($A$3:$A726,$A726))</f>
        <v/>
      </c>
    </row>
    <row r="727" ht="15" customHeight="1" s="41">
      <c r="A727" s="50" t="n"/>
      <c r="B727" s="52" t="str">
        <f>IF($A727="","",IFERROR(INDEX(회의록!$C$3:$C$302,MATCH($A727,회의록!$A$3:$A$302,0)),"회의번호없음"))</f>
        <v/>
      </c>
      <c r="C727" s="50" t="n"/>
      <c r="D727" s="49" t="n"/>
      <c r="E727" s="53" t="n"/>
      <c r="F727" s="49" t="n"/>
      <c r="G727" s="53" t="n"/>
      <c r="H727" s="56" t="str">
        <f>IF(OR($C727="",$E727="",$F727="완료",$F727="취소"),"",$E727-TODAY())</f>
        <v/>
      </c>
      <c r="I727" s="56" t="str">
        <f>IF(OR($C727="",$E727=""),"",IF($F727="완료",IF($G727="","",MAX(0,$G727-$E727)),IF($F727="취소","",MAX(0,TODAY()-$E727))))</f>
        <v/>
      </c>
      <c r="J727" s="50" t="n"/>
      <c r="K727" s="52" t="str">
        <f>IF($A727="","",$A727&amp;"|"&amp;$L727)</f>
        <v/>
      </c>
      <c r="L727" s="52" t="str">
        <f>IF($A727="","",COUNTIFS($A$3:$A727,$A727))</f>
        <v/>
      </c>
    </row>
    <row r="728" ht="15" customHeight="1" s="41">
      <c r="A728" s="50" t="n"/>
      <c r="B728" s="52" t="str">
        <f>IF($A728="","",IFERROR(INDEX(회의록!$C$3:$C$302,MATCH($A728,회의록!$A$3:$A$302,0)),"회의번호없음"))</f>
        <v/>
      </c>
      <c r="C728" s="50" t="n"/>
      <c r="D728" s="49" t="n"/>
      <c r="E728" s="53" t="n"/>
      <c r="F728" s="49" t="n"/>
      <c r="G728" s="53" t="n"/>
      <c r="H728" s="56" t="str">
        <f>IF(OR($C728="",$E728="",$F728="완료",$F728="취소"),"",$E728-TODAY())</f>
        <v/>
      </c>
      <c r="I728" s="56" t="str">
        <f>IF(OR($C728="",$E728=""),"",IF($F728="완료",IF($G728="","",MAX(0,$G728-$E728)),IF($F728="취소","",MAX(0,TODAY()-$E728))))</f>
        <v/>
      </c>
      <c r="J728" s="50" t="n"/>
      <c r="K728" s="52" t="str">
        <f>IF($A728="","",$A728&amp;"|"&amp;$L728)</f>
        <v/>
      </c>
      <c r="L728" s="52" t="str">
        <f>IF($A728="","",COUNTIFS($A$3:$A728,$A728))</f>
        <v/>
      </c>
    </row>
    <row r="729" ht="15" customHeight="1" s="41">
      <c r="A729" s="50" t="n"/>
      <c r="B729" s="52" t="str">
        <f>IF($A729="","",IFERROR(INDEX(회의록!$C$3:$C$302,MATCH($A729,회의록!$A$3:$A$302,0)),"회의번호없음"))</f>
        <v/>
      </c>
      <c r="C729" s="50" t="n"/>
      <c r="D729" s="49" t="n"/>
      <c r="E729" s="53" t="n"/>
      <c r="F729" s="49" t="n"/>
      <c r="G729" s="53" t="n"/>
      <c r="H729" s="56" t="str">
        <f>IF(OR($C729="",$E729="",$F729="완료",$F729="취소"),"",$E729-TODAY())</f>
        <v/>
      </c>
      <c r="I729" s="56" t="str">
        <f>IF(OR($C729="",$E729=""),"",IF($F729="완료",IF($G729="","",MAX(0,$G729-$E729)),IF($F729="취소","",MAX(0,TODAY()-$E729))))</f>
        <v/>
      </c>
      <c r="J729" s="50" t="n"/>
      <c r="K729" s="52" t="str">
        <f>IF($A729="","",$A729&amp;"|"&amp;$L729)</f>
        <v/>
      </c>
      <c r="L729" s="52" t="str">
        <f>IF($A729="","",COUNTIFS($A$3:$A729,$A729))</f>
        <v/>
      </c>
    </row>
    <row r="730" ht="15" customHeight="1" s="41">
      <c r="A730" s="50" t="n"/>
      <c r="B730" s="52" t="str">
        <f>IF($A730="","",IFERROR(INDEX(회의록!$C$3:$C$302,MATCH($A730,회의록!$A$3:$A$302,0)),"회의번호없음"))</f>
        <v/>
      </c>
      <c r="C730" s="50" t="n"/>
      <c r="D730" s="49" t="n"/>
      <c r="E730" s="53" t="n"/>
      <c r="F730" s="49" t="n"/>
      <c r="G730" s="53" t="n"/>
      <c r="H730" s="56" t="str">
        <f>IF(OR($C730="",$E730="",$F730="완료",$F730="취소"),"",$E730-TODAY())</f>
        <v/>
      </c>
      <c r="I730" s="56" t="str">
        <f>IF(OR($C730="",$E730=""),"",IF($F730="완료",IF($G730="","",MAX(0,$G730-$E730)),IF($F730="취소","",MAX(0,TODAY()-$E730))))</f>
        <v/>
      </c>
      <c r="J730" s="50" t="n"/>
      <c r="K730" s="52" t="str">
        <f>IF($A730="","",$A730&amp;"|"&amp;$L730)</f>
        <v/>
      </c>
      <c r="L730" s="52" t="str">
        <f>IF($A730="","",COUNTIFS($A$3:$A730,$A730))</f>
        <v/>
      </c>
    </row>
    <row r="731" ht="15" customHeight="1" s="41">
      <c r="A731" s="50" t="n"/>
      <c r="B731" s="52" t="str">
        <f>IF($A731="","",IFERROR(INDEX(회의록!$C$3:$C$302,MATCH($A731,회의록!$A$3:$A$302,0)),"회의번호없음"))</f>
        <v/>
      </c>
      <c r="C731" s="50" t="n"/>
      <c r="D731" s="49" t="n"/>
      <c r="E731" s="53" t="n"/>
      <c r="F731" s="49" t="n"/>
      <c r="G731" s="53" t="n"/>
      <c r="H731" s="56" t="str">
        <f>IF(OR($C731="",$E731="",$F731="완료",$F731="취소"),"",$E731-TODAY())</f>
        <v/>
      </c>
      <c r="I731" s="56" t="str">
        <f>IF(OR($C731="",$E731=""),"",IF($F731="완료",IF($G731="","",MAX(0,$G731-$E731)),IF($F731="취소","",MAX(0,TODAY()-$E731))))</f>
        <v/>
      </c>
      <c r="J731" s="50" t="n"/>
      <c r="K731" s="52" t="str">
        <f>IF($A731="","",$A731&amp;"|"&amp;$L731)</f>
        <v/>
      </c>
      <c r="L731" s="52" t="str">
        <f>IF($A731="","",COUNTIFS($A$3:$A731,$A731))</f>
        <v/>
      </c>
    </row>
    <row r="732" ht="15" customHeight="1" s="41">
      <c r="A732" s="50" t="n"/>
      <c r="B732" s="52" t="str">
        <f>IF($A732="","",IFERROR(INDEX(회의록!$C$3:$C$302,MATCH($A732,회의록!$A$3:$A$302,0)),"회의번호없음"))</f>
        <v/>
      </c>
      <c r="C732" s="50" t="n"/>
      <c r="D732" s="49" t="n"/>
      <c r="E732" s="53" t="n"/>
      <c r="F732" s="49" t="n"/>
      <c r="G732" s="53" t="n"/>
      <c r="H732" s="56" t="str">
        <f>IF(OR($C732="",$E732="",$F732="완료",$F732="취소"),"",$E732-TODAY())</f>
        <v/>
      </c>
      <c r="I732" s="56" t="str">
        <f>IF(OR($C732="",$E732=""),"",IF($F732="완료",IF($G732="","",MAX(0,$G732-$E732)),IF($F732="취소","",MAX(0,TODAY()-$E732))))</f>
        <v/>
      </c>
      <c r="J732" s="50" t="n"/>
      <c r="K732" s="52" t="str">
        <f>IF($A732="","",$A732&amp;"|"&amp;$L732)</f>
        <v/>
      </c>
      <c r="L732" s="52" t="str">
        <f>IF($A732="","",COUNTIFS($A$3:$A732,$A732))</f>
        <v/>
      </c>
    </row>
    <row r="733" ht="15" customHeight="1" s="41">
      <c r="A733" s="50" t="n"/>
      <c r="B733" s="52" t="str">
        <f>IF($A733="","",IFERROR(INDEX(회의록!$C$3:$C$302,MATCH($A733,회의록!$A$3:$A$302,0)),"회의번호없음"))</f>
        <v/>
      </c>
      <c r="C733" s="50" t="n"/>
      <c r="D733" s="49" t="n"/>
      <c r="E733" s="53" t="n"/>
      <c r="F733" s="49" t="n"/>
      <c r="G733" s="53" t="n"/>
      <c r="H733" s="56" t="str">
        <f>IF(OR($C733="",$E733="",$F733="완료",$F733="취소"),"",$E733-TODAY())</f>
        <v/>
      </c>
      <c r="I733" s="56" t="str">
        <f>IF(OR($C733="",$E733=""),"",IF($F733="완료",IF($G733="","",MAX(0,$G733-$E733)),IF($F733="취소","",MAX(0,TODAY()-$E733))))</f>
        <v/>
      </c>
      <c r="J733" s="50" t="n"/>
      <c r="K733" s="52" t="str">
        <f>IF($A733="","",$A733&amp;"|"&amp;$L733)</f>
        <v/>
      </c>
      <c r="L733" s="52" t="str">
        <f>IF($A733="","",COUNTIFS($A$3:$A733,$A733))</f>
        <v/>
      </c>
    </row>
    <row r="734" ht="15" customHeight="1" s="41">
      <c r="A734" s="50" t="n"/>
      <c r="B734" s="52" t="str">
        <f>IF($A734="","",IFERROR(INDEX(회의록!$C$3:$C$302,MATCH($A734,회의록!$A$3:$A$302,0)),"회의번호없음"))</f>
        <v/>
      </c>
      <c r="C734" s="50" t="n"/>
      <c r="D734" s="49" t="n"/>
      <c r="E734" s="53" t="n"/>
      <c r="F734" s="49" t="n"/>
      <c r="G734" s="53" t="n"/>
      <c r="H734" s="56" t="str">
        <f>IF(OR($C734="",$E734="",$F734="완료",$F734="취소"),"",$E734-TODAY())</f>
        <v/>
      </c>
      <c r="I734" s="56" t="str">
        <f>IF(OR($C734="",$E734=""),"",IF($F734="완료",IF($G734="","",MAX(0,$G734-$E734)),IF($F734="취소","",MAX(0,TODAY()-$E734))))</f>
        <v/>
      </c>
      <c r="J734" s="50" t="n"/>
      <c r="K734" s="52" t="str">
        <f>IF($A734="","",$A734&amp;"|"&amp;$L734)</f>
        <v/>
      </c>
      <c r="L734" s="52" t="str">
        <f>IF($A734="","",COUNTIFS($A$3:$A734,$A734))</f>
        <v/>
      </c>
    </row>
    <row r="735" ht="15" customHeight="1" s="41">
      <c r="A735" s="50" t="n"/>
      <c r="B735" s="52" t="str">
        <f>IF($A735="","",IFERROR(INDEX(회의록!$C$3:$C$302,MATCH($A735,회의록!$A$3:$A$302,0)),"회의번호없음"))</f>
        <v/>
      </c>
      <c r="C735" s="50" t="n"/>
      <c r="D735" s="49" t="n"/>
      <c r="E735" s="53" t="n"/>
      <c r="F735" s="49" t="n"/>
      <c r="G735" s="53" t="n"/>
      <c r="H735" s="56" t="str">
        <f>IF(OR($C735="",$E735="",$F735="완료",$F735="취소"),"",$E735-TODAY())</f>
        <v/>
      </c>
      <c r="I735" s="56" t="str">
        <f>IF(OR($C735="",$E735=""),"",IF($F735="완료",IF($G735="","",MAX(0,$G735-$E735)),IF($F735="취소","",MAX(0,TODAY()-$E735))))</f>
        <v/>
      </c>
      <c r="J735" s="50" t="n"/>
      <c r="K735" s="52" t="str">
        <f>IF($A735="","",$A735&amp;"|"&amp;$L735)</f>
        <v/>
      </c>
      <c r="L735" s="52" t="str">
        <f>IF($A735="","",COUNTIFS($A$3:$A735,$A735))</f>
        <v/>
      </c>
    </row>
    <row r="736" ht="15" customHeight="1" s="41">
      <c r="A736" s="50" t="n"/>
      <c r="B736" s="52" t="str">
        <f>IF($A736="","",IFERROR(INDEX(회의록!$C$3:$C$302,MATCH($A736,회의록!$A$3:$A$302,0)),"회의번호없음"))</f>
        <v/>
      </c>
      <c r="C736" s="50" t="n"/>
      <c r="D736" s="49" t="n"/>
      <c r="E736" s="53" t="n"/>
      <c r="F736" s="49" t="n"/>
      <c r="G736" s="53" t="n"/>
      <c r="H736" s="56" t="str">
        <f>IF(OR($C736="",$E736="",$F736="완료",$F736="취소"),"",$E736-TODAY())</f>
        <v/>
      </c>
      <c r="I736" s="56" t="str">
        <f>IF(OR($C736="",$E736=""),"",IF($F736="완료",IF($G736="","",MAX(0,$G736-$E736)),IF($F736="취소","",MAX(0,TODAY()-$E736))))</f>
        <v/>
      </c>
      <c r="J736" s="50" t="n"/>
      <c r="K736" s="52" t="str">
        <f>IF($A736="","",$A736&amp;"|"&amp;$L736)</f>
        <v/>
      </c>
      <c r="L736" s="52" t="str">
        <f>IF($A736="","",COUNTIFS($A$3:$A736,$A736))</f>
        <v/>
      </c>
    </row>
    <row r="737" ht="15" customHeight="1" s="41">
      <c r="A737" s="50" t="n"/>
      <c r="B737" s="52" t="str">
        <f>IF($A737="","",IFERROR(INDEX(회의록!$C$3:$C$302,MATCH($A737,회의록!$A$3:$A$302,0)),"회의번호없음"))</f>
        <v/>
      </c>
      <c r="C737" s="50" t="n"/>
      <c r="D737" s="49" t="n"/>
      <c r="E737" s="53" t="n"/>
      <c r="F737" s="49" t="n"/>
      <c r="G737" s="53" t="n"/>
      <c r="H737" s="56" t="str">
        <f>IF(OR($C737="",$E737="",$F737="완료",$F737="취소"),"",$E737-TODAY())</f>
        <v/>
      </c>
      <c r="I737" s="56" t="str">
        <f>IF(OR($C737="",$E737=""),"",IF($F737="완료",IF($G737="","",MAX(0,$G737-$E737)),IF($F737="취소","",MAX(0,TODAY()-$E737))))</f>
        <v/>
      </c>
      <c r="J737" s="50" t="n"/>
      <c r="K737" s="52" t="str">
        <f>IF($A737="","",$A737&amp;"|"&amp;$L737)</f>
        <v/>
      </c>
      <c r="L737" s="52" t="str">
        <f>IF($A737="","",COUNTIFS($A$3:$A737,$A737))</f>
        <v/>
      </c>
    </row>
    <row r="738" ht="15" customHeight="1" s="41">
      <c r="A738" s="50" t="n"/>
      <c r="B738" s="52" t="str">
        <f>IF($A738="","",IFERROR(INDEX(회의록!$C$3:$C$302,MATCH($A738,회의록!$A$3:$A$302,0)),"회의번호없음"))</f>
        <v/>
      </c>
      <c r="C738" s="50" t="n"/>
      <c r="D738" s="49" t="n"/>
      <c r="E738" s="53" t="n"/>
      <c r="F738" s="49" t="n"/>
      <c r="G738" s="53" t="n"/>
      <c r="H738" s="56" t="str">
        <f>IF(OR($C738="",$E738="",$F738="완료",$F738="취소"),"",$E738-TODAY())</f>
        <v/>
      </c>
      <c r="I738" s="56" t="str">
        <f>IF(OR($C738="",$E738=""),"",IF($F738="완료",IF($G738="","",MAX(0,$G738-$E738)),IF($F738="취소","",MAX(0,TODAY()-$E738))))</f>
        <v/>
      </c>
      <c r="J738" s="50" t="n"/>
      <c r="K738" s="52" t="str">
        <f>IF($A738="","",$A738&amp;"|"&amp;$L738)</f>
        <v/>
      </c>
      <c r="L738" s="52" t="str">
        <f>IF($A738="","",COUNTIFS($A$3:$A738,$A738))</f>
        <v/>
      </c>
    </row>
    <row r="739" ht="15" customHeight="1" s="41">
      <c r="A739" s="50" t="n"/>
      <c r="B739" s="52" t="str">
        <f>IF($A739="","",IFERROR(INDEX(회의록!$C$3:$C$302,MATCH($A739,회의록!$A$3:$A$302,0)),"회의번호없음"))</f>
        <v/>
      </c>
      <c r="C739" s="50" t="n"/>
      <c r="D739" s="49" t="n"/>
      <c r="E739" s="53" t="n"/>
      <c r="F739" s="49" t="n"/>
      <c r="G739" s="53" t="n"/>
      <c r="H739" s="56" t="str">
        <f>IF(OR($C739="",$E739="",$F739="완료",$F739="취소"),"",$E739-TODAY())</f>
        <v/>
      </c>
      <c r="I739" s="56" t="str">
        <f>IF(OR($C739="",$E739=""),"",IF($F739="완료",IF($G739="","",MAX(0,$G739-$E739)),IF($F739="취소","",MAX(0,TODAY()-$E739))))</f>
        <v/>
      </c>
      <c r="J739" s="50" t="n"/>
      <c r="K739" s="52" t="str">
        <f>IF($A739="","",$A739&amp;"|"&amp;$L739)</f>
        <v/>
      </c>
      <c r="L739" s="52" t="str">
        <f>IF($A739="","",COUNTIFS($A$3:$A739,$A739))</f>
        <v/>
      </c>
    </row>
    <row r="740" ht="15" customHeight="1" s="41">
      <c r="A740" s="50" t="n"/>
      <c r="B740" s="52" t="str">
        <f>IF($A740="","",IFERROR(INDEX(회의록!$C$3:$C$302,MATCH($A740,회의록!$A$3:$A$302,0)),"회의번호없음"))</f>
        <v/>
      </c>
      <c r="C740" s="50" t="n"/>
      <c r="D740" s="49" t="n"/>
      <c r="E740" s="53" t="n"/>
      <c r="F740" s="49" t="n"/>
      <c r="G740" s="53" t="n"/>
      <c r="H740" s="56" t="str">
        <f>IF(OR($C740="",$E740="",$F740="완료",$F740="취소"),"",$E740-TODAY())</f>
        <v/>
      </c>
      <c r="I740" s="56" t="str">
        <f>IF(OR($C740="",$E740=""),"",IF($F740="완료",IF($G740="","",MAX(0,$G740-$E740)),IF($F740="취소","",MAX(0,TODAY()-$E740))))</f>
        <v/>
      </c>
      <c r="J740" s="50" t="n"/>
      <c r="K740" s="52" t="str">
        <f>IF($A740="","",$A740&amp;"|"&amp;$L740)</f>
        <v/>
      </c>
      <c r="L740" s="52" t="str">
        <f>IF($A740="","",COUNTIFS($A$3:$A740,$A740))</f>
        <v/>
      </c>
    </row>
    <row r="741" ht="15" customHeight="1" s="41">
      <c r="A741" s="50" t="n"/>
      <c r="B741" s="52" t="str">
        <f>IF($A741="","",IFERROR(INDEX(회의록!$C$3:$C$302,MATCH($A741,회의록!$A$3:$A$302,0)),"회의번호없음"))</f>
        <v/>
      </c>
      <c r="C741" s="50" t="n"/>
      <c r="D741" s="49" t="n"/>
      <c r="E741" s="53" t="n"/>
      <c r="F741" s="49" t="n"/>
      <c r="G741" s="53" t="n"/>
      <c r="H741" s="56" t="str">
        <f>IF(OR($C741="",$E741="",$F741="완료",$F741="취소"),"",$E741-TODAY())</f>
        <v/>
      </c>
      <c r="I741" s="56" t="str">
        <f>IF(OR($C741="",$E741=""),"",IF($F741="완료",IF($G741="","",MAX(0,$G741-$E741)),IF($F741="취소","",MAX(0,TODAY()-$E741))))</f>
        <v/>
      </c>
      <c r="J741" s="50" t="n"/>
      <c r="K741" s="52" t="str">
        <f>IF($A741="","",$A741&amp;"|"&amp;$L741)</f>
        <v/>
      </c>
      <c r="L741" s="52" t="str">
        <f>IF($A741="","",COUNTIFS($A$3:$A741,$A741))</f>
        <v/>
      </c>
    </row>
    <row r="742" ht="15" customHeight="1" s="41">
      <c r="A742" s="50" t="n"/>
      <c r="B742" s="52" t="str">
        <f>IF($A742="","",IFERROR(INDEX(회의록!$C$3:$C$302,MATCH($A742,회의록!$A$3:$A$302,0)),"회의번호없음"))</f>
        <v/>
      </c>
      <c r="C742" s="50" t="n"/>
      <c r="D742" s="49" t="n"/>
      <c r="E742" s="53" t="n"/>
      <c r="F742" s="49" t="n"/>
      <c r="G742" s="53" t="n"/>
      <c r="H742" s="56" t="str">
        <f>IF(OR($C742="",$E742="",$F742="완료",$F742="취소"),"",$E742-TODAY())</f>
        <v/>
      </c>
      <c r="I742" s="56" t="str">
        <f>IF(OR($C742="",$E742=""),"",IF($F742="완료",IF($G742="","",MAX(0,$G742-$E742)),IF($F742="취소","",MAX(0,TODAY()-$E742))))</f>
        <v/>
      </c>
      <c r="J742" s="50" t="n"/>
      <c r="K742" s="52" t="str">
        <f>IF($A742="","",$A742&amp;"|"&amp;$L742)</f>
        <v/>
      </c>
      <c r="L742" s="52" t="str">
        <f>IF($A742="","",COUNTIFS($A$3:$A742,$A742))</f>
        <v/>
      </c>
    </row>
    <row r="743" ht="15" customHeight="1" s="41">
      <c r="A743" s="50" t="n"/>
      <c r="B743" s="52" t="str">
        <f>IF($A743="","",IFERROR(INDEX(회의록!$C$3:$C$302,MATCH($A743,회의록!$A$3:$A$302,0)),"회의번호없음"))</f>
        <v/>
      </c>
      <c r="C743" s="50" t="n"/>
      <c r="D743" s="49" t="n"/>
      <c r="E743" s="53" t="n"/>
      <c r="F743" s="49" t="n"/>
      <c r="G743" s="53" t="n"/>
      <c r="H743" s="56" t="str">
        <f>IF(OR($C743="",$E743="",$F743="완료",$F743="취소"),"",$E743-TODAY())</f>
        <v/>
      </c>
      <c r="I743" s="56" t="str">
        <f>IF(OR($C743="",$E743=""),"",IF($F743="완료",IF($G743="","",MAX(0,$G743-$E743)),IF($F743="취소","",MAX(0,TODAY()-$E743))))</f>
        <v/>
      </c>
      <c r="J743" s="50" t="n"/>
      <c r="K743" s="52" t="str">
        <f>IF($A743="","",$A743&amp;"|"&amp;$L743)</f>
        <v/>
      </c>
      <c r="L743" s="52" t="str">
        <f>IF($A743="","",COUNTIFS($A$3:$A743,$A743))</f>
        <v/>
      </c>
    </row>
    <row r="744" ht="15" customHeight="1" s="41">
      <c r="A744" s="50" t="n"/>
      <c r="B744" s="52" t="str">
        <f>IF($A744="","",IFERROR(INDEX(회의록!$C$3:$C$302,MATCH($A744,회의록!$A$3:$A$302,0)),"회의번호없음"))</f>
        <v/>
      </c>
      <c r="C744" s="50" t="n"/>
      <c r="D744" s="49" t="n"/>
      <c r="E744" s="53" t="n"/>
      <c r="F744" s="49" t="n"/>
      <c r="G744" s="53" t="n"/>
      <c r="H744" s="56" t="str">
        <f>IF(OR($C744="",$E744="",$F744="완료",$F744="취소"),"",$E744-TODAY())</f>
        <v/>
      </c>
      <c r="I744" s="56" t="str">
        <f>IF(OR($C744="",$E744=""),"",IF($F744="완료",IF($G744="","",MAX(0,$G744-$E744)),IF($F744="취소","",MAX(0,TODAY()-$E744))))</f>
        <v/>
      </c>
      <c r="J744" s="50" t="n"/>
      <c r="K744" s="52" t="str">
        <f>IF($A744="","",$A744&amp;"|"&amp;$L744)</f>
        <v/>
      </c>
      <c r="L744" s="52" t="str">
        <f>IF($A744="","",COUNTIFS($A$3:$A744,$A744))</f>
        <v/>
      </c>
    </row>
    <row r="745" ht="15" customHeight="1" s="41">
      <c r="A745" s="50" t="n"/>
      <c r="B745" s="52" t="str">
        <f>IF($A745="","",IFERROR(INDEX(회의록!$C$3:$C$302,MATCH($A745,회의록!$A$3:$A$302,0)),"회의번호없음"))</f>
        <v/>
      </c>
      <c r="C745" s="50" t="n"/>
      <c r="D745" s="49" t="n"/>
      <c r="E745" s="53" t="n"/>
      <c r="F745" s="49" t="n"/>
      <c r="G745" s="53" t="n"/>
      <c r="H745" s="56" t="str">
        <f>IF(OR($C745="",$E745="",$F745="완료",$F745="취소"),"",$E745-TODAY())</f>
        <v/>
      </c>
      <c r="I745" s="56" t="str">
        <f>IF(OR($C745="",$E745=""),"",IF($F745="완료",IF($G745="","",MAX(0,$G745-$E745)),IF($F745="취소","",MAX(0,TODAY()-$E745))))</f>
        <v/>
      </c>
      <c r="J745" s="50" t="n"/>
      <c r="K745" s="52" t="str">
        <f>IF($A745="","",$A745&amp;"|"&amp;$L745)</f>
        <v/>
      </c>
      <c r="L745" s="52" t="str">
        <f>IF($A745="","",COUNTIFS($A$3:$A745,$A745))</f>
        <v/>
      </c>
    </row>
    <row r="746" ht="15" customHeight="1" s="41">
      <c r="A746" s="50" t="n"/>
      <c r="B746" s="52" t="str">
        <f>IF($A746="","",IFERROR(INDEX(회의록!$C$3:$C$302,MATCH($A746,회의록!$A$3:$A$302,0)),"회의번호없음"))</f>
        <v/>
      </c>
      <c r="C746" s="50" t="n"/>
      <c r="D746" s="49" t="n"/>
      <c r="E746" s="53" t="n"/>
      <c r="F746" s="49" t="n"/>
      <c r="G746" s="53" t="n"/>
      <c r="H746" s="56" t="str">
        <f>IF(OR($C746="",$E746="",$F746="완료",$F746="취소"),"",$E746-TODAY())</f>
        <v/>
      </c>
      <c r="I746" s="56" t="str">
        <f>IF(OR($C746="",$E746=""),"",IF($F746="완료",IF($G746="","",MAX(0,$G746-$E746)),IF($F746="취소","",MAX(0,TODAY()-$E746))))</f>
        <v/>
      </c>
      <c r="J746" s="50" t="n"/>
      <c r="K746" s="52" t="str">
        <f>IF($A746="","",$A746&amp;"|"&amp;$L746)</f>
        <v/>
      </c>
      <c r="L746" s="52" t="str">
        <f>IF($A746="","",COUNTIFS($A$3:$A746,$A746))</f>
        <v/>
      </c>
    </row>
    <row r="747" ht="15" customHeight="1" s="41">
      <c r="A747" s="50" t="n"/>
      <c r="B747" s="52" t="str">
        <f>IF($A747="","",IFERROR(INDEX(회의록!$C$3:$C$302,MATCH($A747,회의록!$A$3:$A$302,0)),"회의번호없음"))</f>
        <v/>
      </c>
      <c r="C747" s="50" t="n"/>
      <c r="D747" s="49" t="n"/>
      <c r="E747" s="53" t="n"/>
      <c r="F747" s="49" t="n"/>
      <c r="G747" s="53" t="n"/>
      <c r="H747" s="56" t="str">
        <f>IF(OR($C747="",$E747="",$F747="완료",$F747="취소"),"",$E747-TODAY())</f>
        <v/>
      </c>
      <c r="I747" s="56" t="str">
        <f>IF(OR($C747="",$E747=""),"",IF($F747="완료",IF($G747="","",MAX(0,$G747-$E747)),IF($F747="취소","",MAX(0,TODAY()-$E747))))</f>
        <v/>
      </c>
      <c r="J747" s="50" t="n"/>
      <c r="K747" s="52" t="str">
        <f>IF($A747="","",$A747&amp;"|"&amp;$L747)</f>
        <v/>
      </c>
      <c r="L747" s="52" t="str">
        <f>IF($A747="","",COUNTIFS($A$3:$A747,$A747))</f>
        <v/>
      </c>
    </row>
    <row r="748" ht="15" customHeight="1" s="41">
      <c r="A748" s="50" t="n"/>
      <c r="B748" s="52" t="str">
        <f>IF($A748="","",IFERROR(INDEX(회의록!$C$3:$C$302,MATCH($A748,회의록!$A$3:$A$302,0)),"회의번호없음"))</f>
        <v/>
      </c>
      <c r="C748" s="50" t="n"/>
      <c r="D748" s="49" t="n"/>
      <c r="E748" s="53" t="n"/>
      <c r="F748" s="49" t="n"/>
      <c r="G748" s="53" t="n"/>
      <c r="H748" s="56" t="str">
        <f>IF(OR($C748="",$E748="",$F748="완료",$F748="취소"),"",$E748-TODAY())</f>
        <v/>
      </c>
      <c r="I748" s="56" t="str">
        <f>IF(OR($C748="",$E748=""),"",IF($F748="완료",IF($G748="","",MAX(0,$G748-$E748)),IF($F748="취소","",MAX(0,TODAY()-$E748))))</f>
        <v/>
      </c>
      <c r="J748" s="50" t="n"/>
      <c r="K748" s="52" t="str">
        <f>IF($A748="","",$A748&amp;"|"&amp;$L748)</f>
        <v/>
      </c>
      <c r="L748" s="52" t="str">
        <f>IF($A748="","",COUNTIFS($A$3:$A748,$A748))</f>
        <v/>
      </c>
    </row>
    <row r="749" ht="15" customHeight="1" s="41">
      <c r="A749" s="50" t="n"/>
      <c r="B749" s="52" t="str">
        <f>IF($A749="","",IFERROR(INDEX(회의록!$C$3:$C$302,MATCH($A749,회의록!$A$3:$A$302,0)),"회의번호없음"))</f>
        <v/>
      </c>
      <c r="C749" s="50" t="n"/>
      <c r="D749" s="49" t="n"/>
      <c r="E749" s="53" t="n"/>
      <c r="F749" s="49" t="n"/>
      <c r="G749" s="53" t="n"/>
      <c r="H749" s="56" t="str">
        <f>IF(OR($C749="",$E749="",$F749="완료",$F749="취소"),"",$E749-TODAY())</f>
        <v/>
      </c>
      <c r="I749" s="56" t="str">
        <f>IF(OR($C749="",$E749=""),"",IF($F749="완료",IF($G749="","",MAX(0,$G749-$E749)),IF($F749="취소","",MAX(0,TODAY()-$E749))))</f>
        <v/>
      </c>
      <c r="J749" s="50" t="n"/>
      <c r="K749" s="52" t="str">
        <f>IF($A749="","",$A749&amp;"|"&amp;$L749)</f>
        <v/>
      </c>
      <c r="L749" s="52" t="str">
        <f>IF($A749="","",COUNTIFS($A$3:$A749,$A749))</f>
        <v/>
      </c>
    </row>
    <row r="750" ht="15" customHeight="1" s="41">
      <c r="A750" s="50" t="n"/>
      <c r="B750" s="52" t="str">
        <f>IF($A750="","",IFERROR(INDEX(회의록!$C$3:$C$302,MATCH($A750,회의록!$A$3:$A$302,0)),"회의번호없음"))</f>
        <v/>
      </c>
      <c r="C750" s="50" t="n"/>
      <c r="D750" s="49" t="n"/>
      <c r="E750" s="53" t="n"/>
      <c r="F750" s="49" t="n"/>
      <c r="G750" s="53" t="n"/>
      <c r="H750" s="56" t="str">
        <f>IF(OR($C750="",$E750="",$F750="완료",$F750="취소"),"",$E750-TODAY())</f>
        <v/>
      </c>
      <c r="I750" s="56" t="str">
        <f>IF(OR($C750="",$E750=""),"",IF($F750="완료",IF($G750="","",MAX(0,$G750-$E750)),IF($F750="취소","",MAX(0,TODAY()-$E750))))</f>
        <v/>
      </c>
      <c r="J750" s="50" t="n"/>
      <c r="K750" s="52" t="str">
        <f>IF($A750="","",$A750&amp;"|"&amp;$L750)</f>
        <v/>
      </c>
      <c r="L750" s="52" t="str">
        <f>IF($A750="","",COUNTIFS($A$3:$A750,$A750))</f>
        <v/>
      </c>
    </row>
    <row r="751" ht="15" customHeight="1" s="41">
      <c r="A751" s="50" t="n"/>
      <c r="B751" s="52" t="str">
        <f>IF($A751="","",IFERROR(INDEX(회의록!$C$3:$C$302,MATCH($A751,회의록!$A$3:$A$302,0)),"회의번호없음"))</f>
        <v/>
      </c>
      <c r="C751" s="50" t="n"/>
      <c r="D751" s="49" t="n"/>
      <c r="E751" s="53" t="n"/>
      <c r="F751" s="49" t="n"/>
      <c r="G751" s="53" t="n"/>
      <c r="H751" s="56" t="str">
        <f>IF(OR($C751="",$E751="",$F751="완료",$F751="취소"),"",$E751-TODAY())</f>
        <v/>
      </c>
      <c r="I751" s="56" t="str">
        <f>IF(OR($C751="",$E751=""),"",IF($F751="완료",IF($G751="","",MAX(0,$G751-$E751)),IF($F751="취소","",MAX(0,TODAY()-$E751))))</f>
        <v/>
      </c>
      <c r="J751" s="50" t="n"/>
      <c r="K751" s="52" t="str">
        <f>IF($A751="","",$A751&amp;"|"&amp;$L751)</f>
        <v/>
      </c>
      <c r="L751" s="52" t="str">
        <f>IF($A751="","",COUNTIFS($A$3:$A751,$A751))</f>
        <v/>
      </c>
    </row>
    <row r="752" ht="15" customHeight="1" s="41">
      <c r="A752" s="50" t="n"/>
      <c r="B752" s="52" t="str">
        <f>IF($A752="","",IFERROR(INDEX(회의록!$C$3:$C$302,MATCH($A752,회의록!$A$3:$A$302,0)),"회의번호없음"))</f>
        <v/>
      </c>
      <c r="C752" s="50" t="n"/>
      <c r="D752" s="49" t="n"/>
      <c r="E752" s="53" t="n"/>
      <c r="F752" s="49" t="n"/>
      <c r="G752" s="53" t="n"/>
      <c r="H752" s="56" t="str">
        <f>IF(OR($C752="",$E752="",$F752="완료",$F752="취소"),"",$E752-TODAY())</f>
        <v/>
      </c>
      <c r="I752" s="56" t="str">
        <f>IF(OR($C752="",$E752=""),"",IF($F752="완료",IF($G752="","",MAX(0,$G752-$E752)),IF($F752="취소","",MAX(0,TODAY()-$E752))))</f>
        <v/>
      </c>
      <c r="J752" s="50" t="n"/>
      <c r="K752" s="52" t="str">
        <f>IF($A752="","",$A752&amp;"|"&amp;$L752)</f>
        <v/>
      </c>
      <c r="L752" s="52" t="str">
        <f>IF($A752="","",COUNTIFS($A$3:$A752,$A752))</f>
        <v/>
      </c>
    </row>
    <row r="753" ht="15" customHeight="1" s="41">
      <c r="A753" s="50" t="n"/>
      <c r="B753" s="52" t="str">
        <f>IF($A753="","",IFERROR(INDEX(회의록!$C$3:$C$302,MATCH($A753,회의록!$A$3:$A$302,0)),"회의번호없음"))</f>
        <v/>
      </c>
      <c r="C753" s="50" t="n"/>
      <c r="D753" s="49" t="n"/>
      <c r="E753" s="53" t="n"/>
      <c r="F753" s="49" t="n"/>
      <c r="G753" s="53" t="n"/>
      <c r="H753" s="56" t="str">
        <f>IF(OR($C753="",$E753="",$F753="완료",$F753="취소"),"",$E753-TODAY())</f>
        <v/>
      </c>
      <c r="I753" s="56" t="str">
        <f>IF(OR($C753="",$E753=""),"",IF($F753="완료",IF($G753="","",MAX(0,$G753-$E753)),IF($F753="취소","",MAX(0,TODAY()-$E753))))</f>
        <v/>
      </c>
      <c r="J753" s="50" t="n"/>
      <c r="K753" s="52" t="str">
        <f>IF($A753="","",$A753&amp;"|"&amp;$L753)</f>
        <v/>
      </c>
      <c r="L753" s="52" t="str">
        <f>IF($A753="","",COUNTIFS($A$3:$A753,$A753))</f>
        <v/>
      </c>
    </row>
    <row r="754" ht="15" customHeight="1" s="41">
      <c r="A754" s="50" t="n"/>
      <c r="B754" s="52" t="str">
        <f>IF($A754="","",IFERROR(INDEX(회의록!$C$3:$C$302,MATCH($A754,회의록!$A$3:$A$302,0)),"회의번호없음"))</f>
        <v/>
      </c>
      <c r="C754" s="50" t="n"/>
      <c r="D754" s="49" t="n"/>
      <c r="E754" s="53" t="n"/>
      <c r="F754" s="49" t="n"/>
      <c r="G754" s="53" t="n"/>
      <c r="H754" s="56" t="str">
        <f>IF(OR($C754="",$E754="",$F754="완료",$F754="취소"),"",$E754-TODAY())</f>
        <v/>
      </c>
      <c r="I754" s="56" t="str">
        <f>IF(OR($C754="",$E754=""),"",IF($F754="완료",IF($G754="","",MAX(0,$G754-$E754)),IF($F754="취소","",MAX(0,TODAY()-$E754))))</f>
        <v/>
      </c>
      <c r="J754" s="50" t="n"/>
      <c r="K754" s="52" t="str">
        <f>IF($A754="","",$A754&amp;"|"&amp;$L754)</f>
        <v/>
      </c>
      <c r="L754" s="52" t="str">
        <f>IF($A754="","",COUNTIFS($A$3:$A754,$A754))</f>
        <v/>
      </c>
    </row>
    <row r="755" ht="15" customHeight="1" s="41">
      <c r="A755" s="50" t="n"/>
      <c r="B755" s="52" t="str">
        <f>IF($A755="","",IFERROR(INDEX(회의록!$C$3:$C$302,MATCH($A755,회의록!$A$3:$A$302,0)),"회의번호없음"))</f>
        <v/>
      </c>
      <c r="C755" s="50" t="n"/>
      <c r="D755" s="49" t="n"/>
      <c r="E755" s="53" t="n"/>
      <c r="F755" s="49" t="n"/>
      <c r="G755" s="53" t="n"/>
      <c r="H755" s="56" t="str">
        <f>IF(OR($C755="",$E755="",$F755="완료",$F755="취소"),"",$E755-TODAY())</f>
        <v/>
      </c>
      <c r="I755" s="56" t="str">
        <f>IF(OR($C755="",$E755=""),"",IF($F755="완료",IF($G755="","",MAX(0,$G755-$E755)),IF($F755="취소","",MAX(0,TODAY()-$E755))))</f>
        <v/>
      </c>
      <c r="J755" s="50" t="n"/>
      <c r="K755" s="52" t="str">
        <f>IF($A755="","",$A755&amp;"|"&amp;$L755)</f>
        <v/>
      </c>
      <c r="L755" s="52" t="str">
        <f>IF($A755="","",COUNTIFS($A$3:$A755,$A755))</f>
        <v/>
      </c>
    </row>
    <row r="756" ht="15" customHeight="1" s="41">
      <c r="A756" s="50" t="n"/>
      <c r="B756" s="52" t="str">
        <f>IF($A756="","",IFERROR(INDEX(회의록!$C$3:$C$302,MATCH($A756,회의록!$A$3:$A$302,0)),"회의번호없음"))</f>
        <v/>
      </c>
      <c r="C756" s="50" t="n"/>
      <c r="D756" s="49" t="n"/>
      <c r="E756" s="53" t="n"/>
      <c r="F756" s="49" t="n"/>
      <c r="G756" s="53" t="n"/>
      <c r="H756" s="56" t="str">
        <f>IF(OR($C756="",$E756="",$F756="완료",$F756="취소"),"",$E756-TODAY())</f>
        <v/>
      </c>
      <c r="I756" s="56" t="str">
        <f>IF(OR($C756="",$E756=""),"",IF($F756="완료",IF($G756="","",MAX(0,$G756-$E756)),IF($F756="취소","",MAX(0,TODAY()-$E756))))</f>
        <v/>
      </c>
      <c r="J756" s="50" t="n"/>
      <c r="K756" s="52" t="str">
        <f>IF($A756="","",$A756&amp;"|"&amp;$L756)</f>
        <v/>
      </c>
      <c r="L756" s="52" t="str">
        <f>IF($A756="","",COUNTIFS($A$3:$A756,$A756))</f>
        <v/>
      </c>
    </row>
    <row r="757" ht="15" customHeight="1" s="41">
      <c r="A757" s="50" t="n"/>
      <c r="B757" s="52" t="str">
        <f>IF($A757="","",IFERROR(INDEX(회의록!$C$3:$C$302,MATCH($A757,회의록!$A$3:$A$302,0)),"회의번호없음"))</f>
        <v/>
      </c>
      <c r="C757" s="50" t="n"/>
      <c r="D757" s="49" t="n"/>
      <c r="E757" s="53" t="n"/>
      <c r="F757" s="49" t="n"/>
      <c r="G757" s="53" t="n"/>
      <c r="H757" s="56" t="str">
        <f>IF(OR($C757="",$E757="",$F757="완료",$F757="취소"),"",$E757-TODAY())</f>
        <v/>
      </c>
      <c r="I757" s="56" t="str">
        <f>IF(OR($C757="",$E757=""),"",IF($F757="완료",IF($G757="","",MAX(0,$G757-$E757)),IF($F757="취소","",MAX(0,TODAY()-$E757))))</f>
        <v/>
      </c>
      <c r="J757" s="50" t="n"/>
      <c r="K757" s="52" t="str">
        <f>IF($A757="","",$A757&amp;"|"&amp;$L757)</f>
        <v/>
      </c>
      <c r="L757" s="52" t="str">
        <f>IF($A757="","",COUNTIFS($A$3:$A757,$A757))</f>
        <v/>
      </c>
    </row>
    <row r="758" ht="15" customHeight="1" s="41">
      <c r="A758" s="50" t="n"/>
      <c r="B758" s="52" t="str">
        <f>IF($A758="","",IFERROR(INDEX(회의록!$C$3:$C$302,MATCH($A758,회의록!$A$3:$A$302,0)),"회의번호없음"))</f>
        <v/>
      </c>
      <c r="C758" s="50" t="n"/>
      <c r="D758" s="49" t="n"/>
      <c r="E758" s="53" t="n"/>
      <c r="F758" s="49" t="n"/>
      <c r="G758" s="53" t="n"/>
      <c r="H758" s="56" t="str">
        <f>IF(OR($C758="",$E758="",$F758="완료",$F758="취소"),"",$E758-TODAY())</f>
        <v/>
      </c>
      <c r="I758" s="56" t="str">
        <f>IF(OR($C758="",$E758=""),"",IF($F758="완료",IF($G758="","",MAX(0,$G758-$E758)),IF($F758="취소","",MAX(0,TODAY()-$E758))))</f>
        <v/>
      </c>
      <c r="J758" s="50" t="n"/>
      <c r="K758" s="52" t="str">
        <f>IF($A758="","",$A758&amp;"|"&amp;$L758)</f>
        <v/>
      </c>
      <c r="L758" s="52" t="str">
        <f>IF($A758="","",COUNTIFS($A$3:$A758,$A758))</f>
        <v/>
      </c>
    </row>
    <row r="759" ht="15" customHeight="1" s="41">
      <c r="A759" s="50" t="n"/>
      <c r="B759" s="52" t="str">
        <f>IF($A759="","",IFERROR(INDEX(회의록!$C$3:$C$302,MATCH($A759,회의록!$A$3:$A$302,0)),"회의번호없음"))</f>
        <v/>
      </c>
      <c r="C759" s="50" t="n"/>
      <c r="D759" s="49" t="n"/>
      <c r="E759" s="53" t="n"/>
      <c r="F759" s="49" t="n"/>
      <c r="G759" s="53" t="n"/>
      <c r="H759" s="56" t="str">
        <f>IF(OR($C759="",$E759="",$F759="완료",$F759="취소"),"",$E759-TODAY())</f>
        <v/>
      </c>
      <c r="I759" s="56" t="str">
        <f>IF(OR($C759="",$E759=""),"",IF($F759="완료",IF($G759="","",MAX(0,$G759-$E759)),IF($F759="취소","",MAX(0,TODAY()-$E759))))</f>
        <v/>
      </c>
      <c r="J759" s="50" t="n"/>
      <c r="K759" s="52" t="str">
        <f>IF($A759="","",$A759&amp;"|"&amp;$L759)</f>
        <v/>
      </c>
      <c r="L759" s="52" t="str">
        <f>IF($A759="","",COUNTIFS($A$3:$A759,$A759))</f>
        <v/>
      </c>
    </row>
    <row r="760" ht="15" customHeight="1" s="41">
      <c r="A760" s="50" t="n"/>
      <c r="B760" s="52" t="str">
        <f>IF($A760="","",IFERROR(INDEX(회의록!$C$3:$C$302,MATCH($A760,회의록!$A$3:$A$302,0)),"회의번호없음"))</f>
        <v/>
      </c>
      <c r="C760" s="50" t="n"/>
      <c r="D760" s="49" t="n"/>
      <c r="E760" s="53" t="n"/>
      <c r="F760" s="49" t="n"/>
      <c r="G760" s="53" t="n"/>
      <c r="H760" s="56" t="str">
        <f>IF(OR($C760="",$E760="",$F760="완료",$F760="취소"),"",$E760-TODAY())</f>
        <v/>
      </c>
      <c r="I760" s="56" t="str">
        <f>IF(OR($C760="",$E760=""),"",IF($F760="완료",IF($G760="","",MAX(0,$G760-$E760)),IF($F760="취소","",MAX(0,TODAY()-$E760))))</f>
        <v/>
      </c>
      <c r="J760" s="50" t="n"/>
      <c r="K760" s="52" t="str">
        <f>IF($A760="","",$A760&amp;"|"&amp;$L760)</f>
        <v/>
      </c>
      <c r="L760" s="52" t="str">
        <f>IF($A760="","",COUNTIFS($A$3:$A760,$A760))</f>
        <v/>
      </c>
    </row>
    <row r="761" ht="15" customHeight="1" s="41">
      <c r="A761" s="50" t="n"/>
      <c r="B761" s="52" t="str">
        <f>IF($A761="","",IFERROR(INDEX(회의록!$C$3:$C$302,MATCH($A761,회의록!$A$3:$A$302,0)),"회의번호없음"))</f>
        <v/>
      </c>
      <c r="C761" s="50" t="n"/>
      <c r="D761" s="49" t="n"/>
      <c r="E761" s="53" t="n"/>
      <c r="F761" s="49" t="n"/>
      <c r="G761" s="53" t="n"/>
      <c r="H761" s="56" t="str">
        <f>IF(OR($C761="",$E761="",$F761="완료",$F761="취소"),"",$E761-TODAY())</f>
        <v/>
      </c>
      <c r="I761" s="56" t="str">
        <f>IF(OR($C761="",$E761=""),"",IF($F761="완료",IF($G761="","",MAX(0,$G761-$E761)),IF($F761="취소","",MAX(0,TODAY()-$E761))))</f>
        <v/>
      </c>
      <c r="J761" s="50" t="n"/>
      <c r="K761" s="52" t="str">
        <f>IF($A761="","",$A761&amp;"|"&amp;$L761)</f>
        <v/>
      </c>
      <c r="L761" s="52" t="str">
        <f>IF($A761="","",COUNTIFS($A$3:$A761,$A761))</f>
        <v/>
      </c>
    </row>
    <row r="762" ht="15" customHeight="1" s="41">
      <c r="A762" s="50" t="n"/>
      <c r="B762" s="52" t="str">
        <f>IF($A762="","",IFERROR(INDEX(회의록!$C$3:$C$302,MATCH($A762,회의록!$A$3:$A$302,0)),"회의번호없음"))</f>
        <v/>
      </c>
      <c r="C762" s="50" t="n"/>
      <c r="D762" s="49" t="n"/>
      <c r="E762" s="53" t="n"/>
      <c r="F762" s="49" t="n"/>
      <c r="G762" s="53" t="n"/>
      <c r="H762" s="56" t="str">
        <f>IF(OR($C762="",$E762="",$F762="완료",$F762="취소"),"",$E762-TODAY())</f>
        <v/>
      </c>
      <c r="I762" s="56" t="str">
        <f>IF(OR($C762="",$E762=""),"",IF($F762="완료",IF($G762="","",MAX(0,$G762-$E762)),IF($F762="취소","",MAX(0,TODAY()-$E762))))</f>
        <v/>
      </c>
      <c r="J762" s="50" t="n"/>
      <c r="K762" s="52" t="str">
        <f>IF($A762="","",$A762&amp;"|"&amp;$L762)</f>
        <v/>
      </c>
      <c r="L762" s="52" t="str">
        <f>IF($A762="","",COUNTIFS($A$3:$A762,$A762))</f>
        <v/>
      </c>
    </row>
    <row r="763" ht="15" customHeight="1" s="41">
      <c r="A763" s="50" t="n"/>
      <c r="B763" s="52" t="str">
        <f>IF($A763="","",IFERROR(INDEX(회의록!$C$3:$C$302,MATCH($A763,회의록!$A$3:$A$302,0)),"회의번호없음"))</f>
        <v/>
      </c>
      <c r="C763" s="50" t="n"/>
      <c r="D763" s="49" t="n"/>
      <c r="E763" s="53" t="n"/>
      <c r="F763" s="49" t="n"/>
      <c r="G763" s="53" t="n"/>
      <c r="H763" s="56" t="str">
        <f>IF(OR($C763="",$E763="",$F763="완료",$F763="취소"),"",$E763-TODAY())</f>
        <v/>
      </c>
      <c r="I763" s="56" t="str">
        <f>IF(OR($C763="",$E763=""),"",IF($F763="완료",IF($G763="","",MAX(0,$G763-$E763)),IF($F763="취소","",MAX(0,TODAY()-$E763))))</f>
        <v/>
      </c>
      <c r="J763" s="50" t="n"/>
      <c r="K763" s="52" t="str">
        <f>IF($A763="","",$A763&amp;"|"&amp;$L763)</f>
        <v/>
      </c>
      <c r="L763" s="52" t="str">
        <f>IF($A763="","",COUNTIFS($A$3:$A763,$A763))</f>
        <v/>
      </c>
    </row>
    <row r="764" ht="15" customHeight="1" s="41">
      <c r="A764" s="50" t="n"/>
      <c r="B764" s="52" t="str">
        <f>IF($A764="","",IFERROR(INDEX(회의록!$C$3:$C$302,MATCH($A764,회의록!$A$3:$A$302,0)),"회의번호없음"))</f>
        <v/>
      </c>
      <c r="C764" s="50" t="n"/>
      <c r="D764" s="49" t="n"/>
      <c r="E764" s="53" t="n"/>
      <c r="F764" s="49" t="n"/>
      <c r="G764" s="53" t="n"/>
      <c r="H764" s="56" t="str">
        <f>IF(OR($C764="",$E764="",$F764="완료",$F764="취소"),"",$E764-TODAY())</f>
        <v/>
      </c>
      <c r="I764" s="56" t="str">
        <f>IF(OR($C764="",$E764=""),"",IF($F764="완료",IF($G764="","",MAX(0,$G764-$E764)),IF($F764="취소","",MAX(0,TODAY()-$E764))))</f>
        <v/>
      </c>
      <c r="J764" s="50" t="n"/>
      <c r="K764" s="52" t="str">
        <f>IF($A764="","",$A764&amp;"|"&amp;$L764)</f>
        <v/>
      </c>
      <c r="L764" s="52" t="str">
        <f>IF($A764="","",COUNTIFS($A$3:$A764,$A764))</f>
        <v/>
      </c>
    </row>
    <row r="765" ht="15" customHeight="1" s="41">
      <c r="A765" s="50" t="n"/>
      <c r="B765" s="52" t="str">
        <f>IF($A765="","",IFERROR(INDEX(회의록!$C$3:$C$302,MATCH($A765,회의록!$A$3:$A$302,0)),"회의번호없음"))</f>
        <v/>
      </c>
      <c r="C765" s="50" t="n"/>
      <c r="D765" s="49" t="n"/>
      <c r="E765" s="53" t="n"/>
      <c r="F765" s="49" t="n"/>
      <c r="G765" s="53" t="n"/>
      <c r="H765" s="56" t="str">
        <f>IF(OR($C765="",$E765="",$F765="완료",$F765="취소"),"",$E765-TODAY())</f>
        <v/>
      </c>
      <c r="I765" s="56" t="str">
        <f>IF(OR($C765="",$E765=""),"",IF($F765="완료",IF($G765="","",MAX(0,$G765-$E765)),IF($F765="취소","",MAX(0,TODAY()-$E765))))</f>
        <v/>
      </c>
      <c r="J765" s="50" t="n"/>
      <c r="K765" s="52" t="str">
        <f>IF($A765="","",$A765&amp;"|"&amp;$L765)</f>
        <v/>
      </c>
      <c r="L765" s="52" t="str">
        <f>IF($A765="","",COUNTIFS($A$3:$A765,$A765))</f>
        <v/>
      </c>
    </row>
    <row r="766" ht="15" customHeight="1" s="41">
      <c r="A766" s="50" t="n"/>
      <c r="B766" s="52" t="str">
        <f>IF($A766="","",IFERROR(INDEX(회의록!$C$3:$C$302,MATCH($A766,회의록!$A$3:$A$302,0)),"회의번호없음"))</f>
        <v/>
      </c>
      <c r="C766" s="50" t="n"/>
      <c r="D766" s="49" t="n"/>
      <c r="E766" s="53" t="n"/>
      <c r="F766" s="49" t="n"/>
      <c r="G766" s="53" t="n"/>
      <c r="H766" s="56" t="str">
        <f>IF(OR($C766="",$E766="",$F766="완료",$F766="취소"),"",$E766-TODAY())</f>
        <v/>
      </c>
      <c r="I766" s="56" t="str">
        <f>IF(OR($C766="",$E766=""),"",IF($F766="완료",IF($G766="","",MAX(0,$G766-$E766)),IF($F766="취소","",MAX(0,TODAY()-$E766))))</f>
        <v/>
      </c>
      <c r="J766" s="50" t="n"/>
      <c r="K766" s="52" t="str">
        <f>IF($A766="","",$A766&amp;"|"&amp;$L766)</f>
        <v/>
      </c>
      <c r="L766" s="52" t="str">
        <f>IF($A766="","",COUNTIFS($A$3:$A766,$A766))</f>
        <v/>
      </c>
    </row>
    <row r="767" ht="15" customHeight="1" s="41">
      <c r="A767" s="50" t="n"/>
      <c r="B767" s="52" t="str">
        <f>IF($A767="","",IFERROR(INDEX(회의록!$C$3:$C$302,MATCH($A767,회의록!$A$3:$A$302,0)),"회의번호없음"))</f>
        <v/>
      </c>
      <c r="C767" s="50" t="n"/>
      <c r="D767" s="49" t="n"/>
      <c r="E767" s="53" t="n"/>
      <c r="F767" s="49" t="n"/>
      <c r="G767" s="53" t="n"/>
      <c r="H767" s="56" t="str">
        <f>IF(OR($C767="",$E767="",$F767="완료",$F767="취소"),"",$E767-TODAY())</f>
        <v/>
      </c>
      <c r="I767" s="56" t="str">
        <f>IF(OR($C767="",$E767=""),"",IF($F767="완료",IF($G767="","",MAX(0,$G767-$E767)),IF($F767="취소","",MAX(0,TODAY()-$E767))))</f>
        <v/>
      </c>
      <c r="J767" s="50" t="n"/>
      <c r="K767" s="52" t="str">
        <f>IF($A767="","",$A767&amp;"|"&amp;$L767)</f>
        <v/>
      </c>
      <c r="L767" s="52" t="str">
        <f>IF($A767="","",COUNTIFS($A$3:$A767,$A767))</f>
        <v/>
      </c>
    </row>
    <row r="768" ht="15" customHeight="1" s="41">
      <c r="A768" s="50" t="n"/>
      <c r="B768" s="52" t="str">
        <f>IF($A768="","",IFERROR(INDEX(회의록!$C$3:$C$302,MATCH($A768,회의록!$A$3:$A$302,0)),"회의번호없음"))</f>
        <v/>
      </c>
      <c r="C768" s="50" t="n"/>
      <c r="D768" s="49" t="n"/>
      <c r="E768" s="53" t="n"/>
      <c r="F768" s="49" t="n"/>
      <c r="G768" s="53" t="n"/>
      <c r="H768" s="56" t="str">
        <f>IF(OR($C768="",$E768="",$F768="완료",$F768="취소"),"",$E768-TODAY())</f>
        <v/>
      </c>
      <c r="I768" s="56" t="str">
        <f>IF(OR($C768="",$E768=""),"",IF($F768="완료",IF($G768="","",MAX(0,$G768-$E768)),IF($F768="취소","",MAX(0,TODAY()-$E768))))</f>
        <v/>
      </c>
      <c r="J768" s="50" t="n"/>
      <c r="K768" s="52" t="str">
        <f>IF($A768="","",$A768&amp;"|"&amp;$L768)</f>
        <v/>
      </c>
      <c r="L768" s="52" t="str">
        <f>IF($A768="","",COUNTIFS($A$3:$A768,$A768))</f>
        <v/>
      </c>
    </row>
    <row r="769" ht="15" customHeight="1" s="41">
      <c r="A769" s="50" t="n"/>
      <c r="B769" s="52" t="str">
        <f>IF($A769="","",IFERROR(INDEX(회의록!$C$3:$C$302,MATCH($A769,회의록!$A$3:$A$302,0)),"회의번호없음"))</f>
        <v/>
      </c>
      <c r="C769" s="50" t="n"/>
      <c r="D769" s="49" t="n"/>
      <c r="E769" s="53" t="n"/>
      <c r="F769" s="49" t="n"/>
      <c r="G769" s="53" t="n"/>
      <c r="H769" s="56" t="str">
        <f>IF(OR($C769="",$E769="",$F769="완료",$F769="취소"),"",$E769-TODAY())</f>
        <v/>
      </c>
      <c r="I769" s="56" t="str">
        <f>IF(OR($C769="",$E769=""),"",IF($F769="완료",IF($G769="","",MAX(0,$G769-$E769)),IF($F769="취소","",MAX(0,TODAY()-$E769))))</f>
        <v/>
      </c>
      <c r="J769" s="50" t="n"/>
      <c r="K769" s="52" t="str">
        <f>IF($A769="","",$A769&amp;"|"&amp;$L769)</f>
        <v/>
      </c>
      <c r="L769" s="52" t="str">
        <f>IF($A769="","",COUNTIFS($A$3:$A769,$A769))</f>
        <v/>
      </c>
    </row>
    <row r="770" ht="15" customHeight="1" s="41">
      <c r="A770" s="50" t="n"/>
      <c r="B770" s="52" t="str">
        <f>IF($A770="","",IFERROR(INDEX(회의록!$C$3:$C$302,MATCH($A770,회의록!$A$3:$A$302,0)),"회의번호없음"))</f>
        <v/>
      </c>
      <c r="C770" s="50" t="n"/>
      <c r="D770" s="49" t="n"/>
      <c r="E770" s="53" t="n"/>
      <c r="F770" s="49" t="n"/>
      <c r="G770" s="53" t="n"/>
      <c r="H770" s="56" t="str">
        <f>IF(OR($C770="",$E770="",$F770="완료",$F770="취소"),"",$E770-TODAY())</f>
        <v/>
      </c>
      <c r="I770" s="56" t="str">
        <f>IF(OR($C770="",$E770=""),"",IF($F770="완료",IF($G770="","",MAX(0,$G770-$E770)),IF($F770="취소","",MAX(0,TODAY()-$E770))))</f>
        <v/>
      </c>
      <c r="J770" s="50" t="n"/>
      <c r="K770" s="52" t="str">
        <f>IF($A770="","",$A770&amp;"|"&amp;$L770)</f>
        <v/>
      </c>
      <c r="L770" s="52" t="str">
        <f>IF($A770="","",COUNTIFS($A$3:$A770,$A770))</f>
        <v/>
      </c>
    </row>
    <row r="771" ht="15" customHeight="1" s="41">
      <c r="A771" s="50" t="n"/>
      <c r="B771" s="52" t="str">
        <f>IF($A771="","",IFERROR(INDEX(회의록!$C$3:$C$302,MATCH($A771,회의록!$A$3:$A$302,0)),"회의번호없음"))</f>
        <v/>
      </c>
      <c r="C771" s="50" t="n"/>
      <c r="D771" s="49" t="n"/>
      <c r="E771" s="53" t="n"/>
      <c r="F771" s="49" t="n"/>
      <c r="G771" s="53" t="n"/>
      <c r="H771" s="56" t="str">
        <f>IF(OR($C771="",$E771="",$F771="완료",$F771="취소"),"",$E771-TODAY())</f>
        <v/>
      </c>
      <c r="I771" s="56" t="str">
        <f>IF(OR($C771="",$E771=""),"",IF($F771="완료",IF($G771="","",MAX(0,$G771-$E771)),IF($F771="취소","",MAX(0,TODAY()-$E771))))</f>
        <v/>
      </c>
      <c r="J771" s="50" t="n"/>
      <c r="K771" s="52" t="str">
        <f>IF($A771="","",$A771&amp;"|"&amp;$L771)</f>
        <v/>
      </c>
      <c r="L771" s="52" t="str">
        <f>IF($A771="","",COUNTIFS($A$3:$A771,$A771))</f>
        <v/>
      </c>
    </row>
    <row r="772" ht="15" customHeight="1" s="41">
      <c r="A772" s="50" t="n"/>
      <c r="B772" s="52" t="str">
        <f>IF($A772="","",IFERROR(INDEX(회의록!$C$3:$C$302,MATCH($A772,회의록!$A$3:$A$302,0)),"회의번호없음"))</f>
        <v/>
      </c>
      <c r="C772" s="50" t="n"/>
      <c r="D772" s="49" t="n"/>
      <c r="E772" s="53" t="n"/>
      <c r="F772" s="49" t="n"/>
      <c r="G772" s="53" t="n"/>
      <c r="H772" s="56" t="str">
        <f>IF(OR($C772="",$E772="",$F772="완료",$F772="취소"),"",$E772-TODAY())</f>
        <v/>
      </c>
      <c r="I772" s="56" t="str">
        <f>IF(OR($C772="",$E772=""),"",IF($F772="완료",IF($G772="","",MAX(0,$G772-$E772)),IF($F772="취소","",MAX(0,TODAY()-$E772))))</f>
        <v/>
      </c>
      <c r="J772" s="50" t="n"/>
      <c r="K772" s="52" t="str">
        <f>IF($A772="","",$A772&amp;"|"&amp;$L772)</f>
        <v/>
      </c>
      <c r="L772" s="52" t="str">
        <f>IF($A772="","",COUNTIFS($A$3:$A772,$A772))</f>
        <v/>
      </c>
    </row>
    <row r="773" ht="15" customHeight="1" s="41">
      <c r="A773" s="50" t="n"/>
      <c r="B773" s="52" t="str">
        <f>IF($A773="","",IFERROR(INDEX(회의록!$C$3:$C$302,MATCH($A773,회의록!$A$3:$A$302,0)),"회의번호없음"))</f>
        <v/>
      </c>
      <c r="C773" s="50" t="n"/>
      <c r="D773" s="49" t="n"/>
      <c r="E773" s="53" t="n"/>
      <c r="F773" s="49" t="n"/>
      <c r="G773" s="53" t="n"/>
      <c r="H773" s="56" t="str">
        <f>IF(OR($C773="",$E773="",$F773="완료",$F773="취소"),"",$E773-TODAY())</f>
        <v/>
      </c>
      <c r="I773" s="56" t="str">
        <f>IF(OR($C773="",$E773=""),"",IF($F773="완료",IF($G773="","",MAX(0,$G773-$E773)),IF($F773="취소","",MAX(0,TODAY()-$E773))))</f>
        <v/>
      </c>
      <c r="J773" s="50" t="n"/>
      <c r="K773" s="52" t="str">
        <f>IF($A773="","",$A773&amp;"|"&amp;$L773)</f>
        <v/>
      </c>
      <c r="L773" s="52" t="str">
        <f>IF($A773="","",COUNTIFS($A$3:$A773,$A773))</f>
        <v/>
      </c>
    </row>
    <row r="774" ht="15" customHeight="1" s="41">
      <c r="A774" s="50" t="n"/>
      <c r="B774" s="52" t="str">
        <f>IF($A774="","",IFERROR(INDEX(회의록!$C$3:$C$302,MATCH($A774,회의록!$A$3:$A$302,0)),"회의번호없음"))</f>
        <v/>
      </c>
      <c r="C774" s="50" t="n"/>
      <c r="D774" s="49" t="n"/>
      <c r="E774" s="53" t="n"/>
      <c r="F774" s="49" t="n"/>
      <c r="G774" s="53" t="n"/>
      <c r="H774" s="56" t="str">
        <f>IF(OR($C774="",$E774="",$F774="완료",$F774="취소"),"",$E774-TODAY())</f>
        <v/>
      </c>
      <c r="I774" s="56" t="str">
        <f>IF(OR($C774="",$E774=""),"",IF($F774="완료",IF($G774="","",MAX(0,$G774-$E774)),IF($F774="취소","",MAX(0,TODAY()-$E774))))</f>
        <v/>
      </c>
      <c r="J774" s="50" t="n"/>
      <c r="K774" s="52" t="str">
        <f>IF($A774="","",$A774&amp;"|"&amp;$L774)</f>
        <v/>
      </c>
      <c r="L774" s="52" t="str">
        <f>IF($A774="","",COUNTIFS($A$3:$A774,$A774))</f>
        <v/>
      </c>
    </row>
    <row r="775" ht="15" customHeight="1" s="41">
      <c r="A775" s="50" t="n"/>
      <c r="B775" s="52" t="str">
        <f>IF($A775="","",IFERROR(INDEX(회의록!$C$3:$C$302,MATCH($A775,회의록!$A$3:$A$302,0)),"회의번호없음"))</f>
        <v/>
      </c>
      <c r="C775" s="50" t="n"/>
      <c r="D775" s="49" t="n"/>
      <c r="E775" s="53" t="n"/>
      <c r="F775" s="49" t="n"/>
      <c r="G775" s="53" t="n"/>
      <c r="H775" s="56" t="str">
        <f>IF(OR($C775="",$E775="",$F775="완료",$F775="취소"),"",$E775-TODAY())</f>
        <v/>
      </c>
      <c r="I775" s="56" t="str">
        <f>IF(OR($C775="",$E775=""),"",IF($F775="완료",IF($G775="","",MAX(0,$G775-$E775)),IF($F775="취소","",MAX(0,TODAY()-$E775))))</f>
        <v/>
      </c>
      <c r="J775" s="50" t="n"/>
      <c r="K775" s="52" t="str">
        <f>IF($A775="","",$A775&amp;"|"&amp;$L775)</f>
        <v/>
      </c>
      <c r="L775" s="52" t="str">
        <f>IF($A775="","",COUNTIFS($A$3:$A775,$A775))</f>
        <v/>
      </c>
    </row>
    <row r="776" ht="15" customHeight="1" s="41">
      <c r="A776" s="50" t="n"/>
      <c r="B776" s="52" t="str">
        <f>IF($A776="","",IFERROR(INDEX(회의록!$C$3:$C$302,MATCH($A776,회의록!$A$3:$A$302,0)),"회의번호없음"))</f>
        <v/>
      </c>
      <c r="C776" s="50" t="n"/>
      <c r="D776" s="49" t="n"/>
      <c r="E776" s="53" t="n"/>
      <c r="F776" s="49" t="n"/>
      <c r="G776" s="53" t="n"/>
      <c r="H776" s="56" t="str">
        <f>IF(OR($C776="",$E776="",$F776="완료",$F776="취소"),"",$E776-TODAY())</f>
        <v/>
      </c>
      <c r="I776" s="56" t="str">
        <f>IF(OR($C776="",$E776=""),"",IF($F776="완료",IF($G776="","",MAX(0,$G776-$E776)),IF($F776="취소","",MAX(0,TODAY()-$E776))))</f>
        <v/>
      </c>
      <c r="J776" s="50" t="n"/>
      <c r="K776" s="52" t="str">
        <f>IF($A776="","",$A776&amp;"|"&amp;$L776)</f>
        <v/>
      </c>
      <c r="L776" s="52" t="str">
        <f>IF($A776="","",COUNTIFS($A$3:$A776,$A776))</f>
        <v/>
      </c>
    </row>
    <row r="777" ht="15" customHeight="1" s="41">
      <c r="A777" s="50" t="n"/>
      <c r="B777" s="52" t="str">
        <f>IF($A777="","",IFERROR(INDEX(회의록!$C$3:$C$302,MATCH($A777,회의록!$A$3:$A$302,0)),"회의번호없음"))</f>
        <v/>
      </c>
      <c r="C777" s="50" t="n"/>
      <c r="D777" s="49" t="n"/>
      <c r="E777" s="53" t="n"/>
      <c r="F777" s="49" t="n"/>
      <c r="G777" s="53" t="n"/>
      <c r="H777" s="56" t="str">
        <f>IF(OR($C777="",$E777="",$F777="완료",$F777="취소"),"",$E777-TODAY())</f>
        <v/>
      </c>
      <c r="I777" s="56" t="str">
        <f>IF(OR($C777="",$E777=""),"",IF($F777="완료",IF($G777="","",MAX(0,$G777-$E777)),IF($F777="취소","",MAX(0,TODAY()-$E777))))</f>
        <v/>
      </c>
      <c r="J777" s="50" t="n"/>
      <c r="K777" s="52" t="str">
        <f>IF($A777="","",$A777&amp;"|"&amp;$L777)</f>
        <v/>
      </c>
      <c r="L777" s="52" t="str">
        <f>IF($A777="","",COUNTIFS($A$3:$A777,$A777))</f>
        <v/>
      </c>
    </row>
    <row r="778" ht="15" customHeight="1" s="41">
      <c r="A778" s="50" t="n"/>
      <c r="B778" s="52" t="str">
        <f>IF($A778="","",IFERROR(INDEX(회의록!$C$3:$C$302,MATCH($A778,회의록!$A$3:$A$302,0)),"회의번호없음"))</f>
        <v/>
      </c>
      <c r="C778" s="50" t="n"/>
      <c r="D778" s="49" t="n"/>
      <c r="E778" s="53" t="n"/>
      <c r="F778" s="49" t="n"/>
      <c r="G778" s="53" t="n"/>
      <c r="H778" s="56" t="str">
        <f>IF(OR($C778="",$E778="",$F778="완료",$F778="취소"),"",$E778-TODAY())</f>
        <v/>
      </c>
      <c r="I778" s="56" t="str">
        <f>IF(OR($C778="",$E778=""),"",IF($F778="완료",IF($G778="","",MAX(0,$G778-$E778)),IF($F778="취소","",MAX(0,TODAY()-$E778))))</f>
        <v/>
      </c>
      <c r="J778" s="50" t="n"/>
      <c r="K778" s="52" t="str">
        <f>IF($A778="","",$A778&amp;"|"&amp;$L778)</f>
        <v/>
      </c>
      <c r="L778" s="52" t="str">
        <f>IF($A778="","",COUNTIFS($A$3:$A778,$A778))</f>
        <v/>
      </c>
    </row>
    <row r="779" ht="15" customHeight="1" s="41">
      <c r="A779" s="50" t="n"/>
      <c r="B779" s="52" t="str">
        <f>IF($A779="","",IFERROR(INDEX(회의록!$C$3:$C$302,MATCH($A779,회의록!$A$3:$A$302,0)),"회의번호없음"))</f>
        <v/>
      </c>
      <c r="C779" s="50" t="n"/>
      <c r="D779" s="49" t="n"/>
      <c r="E779" s="53" t="n"/>
      <c r="F779" s="49" t="n"/>
      <c r="G779" s="53" t="n"/>
      <c r="H779" s="56" t="str">
        <f>IF(OR($C779="",$E779="",$F779="완료",$F779="취소"),"",$E779-TODAY())</f>
        <v/>
      </c>
      <c r="I779" s="56" t="str">
        <f>IF(OR($C779="",$E779=""),"",IF($F779="완료",IF($G779="","",MAX(0,$G779-$E779)),IF($F779="취소","",MAX(0,TODAY()-$E779))))</f>
        <v/>
      </c>
      <c r="J779" s="50" t="n"/>
      <c r="K779" s="52" t="str">
        <f>IF($A779="","",$A779&amp;"|"&amp;$L779)</f>
        <v/>
      </c>
      <c r="L779" s="52" t="str">
        <f>IF($A779="","",COUNTIFS($A$3:$A779,$A779))</f>
        <v/>
      </c>
    </row>
    <row r="780" ht="15" customHeight="1" s="41">
      <c r="A780" s="50" t="n"/>
      <c r="B780" s="52" t="str">
        <f>IF($A780="","",IFERROR(INDEX(회의록!$C$3:$C$302,MATCH($A780,회의록!$A$3:$A$302,0)),"회의번호없음"))</f>
        <v/>
      </c>
      <c r="C780" s="50" t="n"/>
      <c r="D780" s="49" t="n"/>
      <c r="E780" s="53" t="n"/>
      <c r="F780" s="49" t="n"/>
      <c r="G780" s="53" t="n"/>
      <c r="H780" s="56" t="str">
        <f>IF(OR($C780="",$E780="",$F780="완료",$F780="취소"),"",$E780-TODAY())</f>
        <v/>
      </c>
      <c r="I780" s="56" t="str">
        <f>IF(OR($C780="",$E780=""),"",IF($F780="완료",IF($G780="","",MAX(0,$G780-$E780)),IF($F780="취소","",MAX(0,TODAY()-$E780))))</f>
        <v/>
      </c>
      <c r="J780" s="50" t="n"/>
      <c r="K780" s="52" t="str">
        <f>IF($A780="","",$A780&amp;"|"&amp;$L780)</f>
        <v/>
      </c>
      <c r="L780" s="52" t="str">
        <f>IF($A780="","",COUNTIFS($A$3:$A780,$A780))</f>
        <v/>
      </c>
    </row>
    <row r="781" ht="15" customHeight="1" s="41">
      <c r="A781" s="50" t="n"/>
      <c r="B781" s="52" t="str">
        <f>IF($A781="","",IFERROR(INDEX(회의록!$C$3:$C$302,MATCH($A781,회의록!$A$3:$A$302,0)),"회의번호없음"))</f>
        <v/>
      </c>
      <c r="C781" s="50" t="n"/>
      <c r="D781" s="49" t="n"/>
      <c r="E781" s="53" t="n"/>
      <c r="F781" s="49" t="n"/>
      <c r="G781" s="53" t="n"/>
      <c r="H781" s="56" t="str">
        <f>IF(OR($C781="",$E781="",$F781="완료",$F781="취소"),"",$E781-TODAY())</f>
        <v/>
      </c>
      <c r="I781" s="56" t="str">
        <f>IF(OR($C781="",$E781=""),"",IF($F781="완료",IF($G781="","",MAX(0,$G781-$E781)),IF($F781="취소","",MAX(0,TODAY()-$E781))))</f>
        <v/>
      </c>
      <c r="J781" s="50" t="n"/>
      <c r="K781" s="52" t="str">
        <f>IF($A781="","",$A781&amp;"|"&amp;$L781)</f>
        <v/>
      </c>
      <c r="L781" s="52" t="str">
        <f>IF($A781="","",COUNTIFS($A$3:$A781,$A781))</f>
        <v/>
      </c>
    </row>
    <row r="782" ht="15" customHeight="1" s="41">
      <c r="A782" s="50" t="n"/>
      <c r="B782" s="52" t="str">
        <f>IF($A782="","",IFERROR(INDEX(회의록!$C$3:$C$302,MATCH($A782,회의록!$A$3:$A$302,0)),"회의번호없음"))</f>
        <v/>
      </c>
      <c r="C782" s="50" t="n"/>
      <c r="D782" s="49" t="n"/>
      <c r="E782" s="53" t="n"/>
      <c r="F782" s="49" t="n"/>
      <c r="G782" s="53" t="n"/>
      <c r="H782" s="56" t="str">
        <f>IF(OR($C782="",$E782="",$F782="완료",$F782="취소"),"",$E782-TODAY())</f>
        <v/>
      </c>
      <c r="I782" s="56" t="str">
        <f>IF(OR($C782="",$E782=""),"",IF($F782="완료",IF($G782="","",MAX(0,$G782-$E782)),IF($F782="취소","",MAX(0,TODAY()-$E782))))</f>
        <v/>
      </c>
      <c r="J782" s="50" t="n"/>
      <c r="K782" s="52" t="str">
        <f>IF($A782="","",$A782&amp;"|"&amp;$L782)</f>
        <v/>
      </c>
      <c r="L782" s="52" t="str">
        <f>IF($A782="","",COUNTIFS($A$3:$A782,$A782))</f>
        <v/>
      </c>
    </row>
    <row r="783" ht="15" customHeight="1" s="41">
      <c r="A783" s="50" t="n"/>
      <c r="B783" s="52" t="str">
        <f>IF($A783="","",IFERROR(INDEX(회의록!$C$3:$C$302,MATCH($A783,회의록!$A$3:$A$302,0)),"회의번호없음"))</f>
        <v/>
      </c>
      <c r="C783" s="50" t="n"/>
      <c r="D783" s="49" t="n"/>
      <c r="E783" s="53" t="n"/>
      <c r="F783" s="49" t="n"/>
      <c r="G783" s="53" t="n"/>
      <c r="H783" s="56" t="str">
        <f>IF(OR($C783="",$E783="",$F783="완료",$F783="취소"),"",$E783-TODAY())</f>
        <v/>
      </c>
      <c r="I783" s="56" t="str">
        <f>IF(OR($C783="",$E783=""),"",IF($F783="완료",IF($G783="","",MAX(0,$G783-$E783)),IF($F783="취소","",MAX(0,TODAY()-$E783))))</f>
        <v/>
      </c>
      <c r="J783" s="50" t="n"/>
      <c r="K783" s="52" t="str">
        <f>IF($A783="","",$A783&amp;"|"&amp;$L783)</f>
        <v/>
      </c>
      <c r="L783" s="52" t="str">
        <f>IF($A783="","",COUNTIFS($A$3:$A783,$A783))</f>
        <v/>
      </c>
    </row>
    <row r="784" ht="15" customHeight="1" s="41">
      <c r="A784" s="50" t="n"/>
      <c r="B784" s="52" t="str">
        <f>IF($A784="","",IFERROR(INDEX(회의록!$C$3:$C$302,MATCH($A784,회의록!$A$3:$A$302,0)),"회의번호없음"))</f>
        <v/>
      </c>
      <c r="C784" s="50" t="n"/>
      <c r="D784" s="49" t="n"/>
      <c r="E784" s="53" t="n"/>
      <c r="F784" s="49" t="n"/>
      <c r="G784" s="53" t="n"/>
      <c r="H784" s="56" t="str">
        <f>IF(OR($C784="",$E784="",$F784="완료",$F784="취소"),"",$E784-TODAY())</f>
        <v/>
      </c>
      <c r="I784" s="56" t="str">
        <f>IF(OR($C784="",$E784=""),"",IF($F784="완료",IF($G784="","",MAX(0,$G784-$E784)),IF($F784="취소","",MAX(0,TODAY()-$E784))))</f>
        <v/>
      </c>
      <c r="J784" s="50" t="n"/>
      <c r="K784" s="52" t="str">
        <f>IF($A784="","",$A784&amp;"|"&amp;$L784)</f>
        <v/>
      </c>
      <c r="L784" s="52" t="str">
        <f>IF($A784="","",COUNTIFS($A$3:$A784,$A784))</f>
        <v/>
      </c>
    </row>
    <row r="785" ht="15" customHeight="1" s="41">
      <c r="A785" s="50" t="n"/>
      <c r="B785" s="52" t="str">
        <f>IF($A785="","",IFERROR(INDEX(회의록!$C$3:$C$302,MATCH($A785,회의록!$A$3:$A$302,0)),"회의번호없음"))</f>
        <v/>
      </c>
      <c r="C785" s="50" t="n"/>
      <c r="D785" s="49" t="n"/>
      <c r="E785" s="53" t="n"/>
      <c r="F785" s="49" t="n"/>
      <c r="G785" s="53" t="n"/>
      <c r="H785" s="56" t="str">
        <f>IF(OR($C785="",$E785="",$F785="완료",$F785="취소"),"",$E785-TODAY())</f>
        <v/>
      </c>
      <c r="I785" s="56" t="str">
        <f>IF(OR($C785="",$E785=""),"",IF($F785="완료",IF($G785="","",MAX(0,$G785-$E785)),IF($F785="취소","",MAX(0,TODAY()-$E785))))</f>
        <v/>
      </c>
      <c r="J785" s="50" t="n"/>
      <c r="K785" s="52" t="str">
        <f>IF($A785="","",$A785&amp;"|"&amp;$L785)</f>
        <v/>
      </c>
      <c r="L785" s="52" t="str">
        <f>IF($A785="","",COUNTIFS($A$3:$A785,$A785))</f>
        <v/>
      </c>
    </row>
    <row r="786" ht="15" customHeight="1" s="41">
      <c r="A786" s="50" t="n"/>
      <c r="B786" s="52" t="str">
        <f>IF($A786="","",IFERROR(INDEX(회의록!$C$3:$C$302,MATCH($A786,회의록!$A$3:$A$302,0)),"회의번호없음"))</f>
        <v/>
      </c>
      <c r="C786" s="50" t="n"/>
      <c r="D786" s="49" t="n"/>
      <c r="E786" s="53" t="n"/>
      <c r="F786" s="49" t="n"/>
      <c r="G786" s="53" t="n"/>
      <c r="H786" s="56" t="str">
        <f>IF(OR($C786="",$E786="",$F786="완료",$F786="취소"),"",$E786-TODAY())</f>
        <v/>
      </c>
      <c r="I786" s="56" t="str">
        <f>IF(OR($C786="",$E786=""),"",IF($F786="완료",IF($G786="","",MAX(0,$G786-$E786)),IF($F786="취소","",MAX(0,TODAY()-$E786))))</f>
        <v/>
      </c>
      <c r="J786" s="50" t="n"/>
      <c r="K786" s="52" t="str">
        <f>IF($A786="","",$A786&amp;"|"&amp;$L786)</f>
        <v/>
      </c>
      <c r="L786" s="52" t="str">
        <f>IF($A786="","",COUNTIFS($A$3:$A786,$A786))</f>
        <v/>
      </c>
    </row>
    <row r="787" ht="15" customHeight="1" s="41">
      <c r="A787" s="50" t="n"/>
      <c r="B787" s="52" t="str">
        <f>IF($A787="","",IFERROR(INDEX(회의록!$C$3:$C$302,MATCH($A787,회의록!$A$3:$A$302,0)),"회의번호없음"))</f>
        <v/>
      </c>
      <c r="C787" s="50" t="n"/>
      <c r="D787" s="49" t="n"/>
      <c r="E787" s="53" t="n"/>
      <c r="F787" s="49" t="n"/>
      <c r="G787" s="53" t="n"/>
      <c r="H787" s="56" t="str">
        <f>IF(OR($C787="",$E787="",$F787="완료",$F787="취소"),"",$E787-TODAY())</f>
        <v/>
      </c>
      <c r="I787" s="56" t="str">
        <f>IF(OR($C787="",$E787=""),"",IF($F787="완료",IF($G787="","",MAX(0,$G787-$E787)),IF($F787="취소","",MAX(0,TODAY()-$E787))))</f>
        <v/>
      </c>
      <c r="J787" s="50" t="n"/>
      <c r="K787" s="52" t="str">
        <f>IF($A787="","",$A787&amp;"|"&amp;$L787)</f>
        <v/>
      </c>
      <c r="L787" s="52" t="str">
        <f>IF($A787="","",COUNTIFS($A$3:$A787,$A787))</f>
        <v/>
      </c>
    </row>
    <row r="788" ht="15" customHeight="1" s="41">
      <c r="A788" s="50" t="n"/>
      <c r="B788" s="52" t="str">
        <f>IF($A788="","",IFERROR(INDEX(회의록!$C$3:$C$302,MATCH($A788,회의록!$A$3:$A$302,0)),"회의번호없음"))</f>
        <v/>
      </c>
      <c r="C788" s="50" t="n"/>
      <c r="D788" s="49" t="n"/>
      <c r="E788" s="53" t="n"/>
      <c r="F788" s="49" t="n"/>
      <c r="G788" s="53" t="n"/>
      <c r="H788" s="56" t="str">
        <f>IF(OR($C788="",$E788="",$F788="완료",$F788="취소"),"",$E788-TODAY())</f>
        <v/>
      </c>
      <c r="I788" s="56" t="str">
        <f>IF(OR($C788="",$E788=""),"",IF($F788="완료",IF($G788="","",MAX(0,$G788-$E788)),IF($F788="취소","",MAX(0,TODAY()-$E788))))</f>
        <v/>
      </c>
      <c r="J788" s="50" t="n"/>
      <c r="K788" s="52" t="str">
        <f>IF($A788="","",$A788&amp;"|"&amp;$L788)</f>
        <v/>
      </c>
      <c r="L788" s="52" t="str">
        <f>IF($A788="","",COUNTIFS($A$3:$A788,$A788))</f>
        <v/>
      </c>
    </row>
    <row r="789" ht="15" customHeight="1" s="41">
      <c r="A789" s="50" t="n"/>
      <c r="B789" s="52" t="str">
        <f>IF($A789="","",IFERROR(INDEX(회의록!$C$3:$C$302,MATCH($A789,회의록!$A$3:$A$302,0)),"회의번호없음"))</f>
        <v/>
      </c>
      <c r="C789" s="50" t="n"/>
      <c r="D789" s="49" t="n"/>
      <c r="E789" s="53" t="n"/>
      <c r="F789" s="49" t="n"/>
      <c r="G789" s="53" t="n"/>
      <c r="H789" s="56" t="str">
        <f>IF(OR($C789="",$E789="",$F789="완료",$F789="취소"),"",$E789-TODAY())</f>
        <v/>
      </c>
      <c r="I789" s="56" t="str">
        <f>IF(OR($C789="",$E789=""),"",IF($F789="완료",IF($G789="","",MAX(0,$G789-$E789)),IF($F789="취소","",MAX(0,TODAY()-$E789))))</f>
        <v/>
      </c>
      <c r="J789" s="50" t="n"/>
      <c r="K789" s="52" t="str">
        <f>IF($A789="","",$A789&amp;"|"&amp;$L789)</f>
        <v/>
      </c>
      <c r="L789" s="52" t="str">
        <f>IF($A789="","",COUNTIFS($A$3:$A789,$A789))</f>
        <v/>
      </c>
    </row>
    <row r="790" ht="15" customHeight="1" s="41">
      <c r="A790" s="50" t="n"/>
      <c r="B790" s="52" t="str">
        <f>IF($A790="","",IFERROR(INDEX(회의록!$C$3:$C$302,MATCH($A790,회의록!$A$3:$A$302,0)),"회의번호없음"))</f>
        <v/>
      </c>
      <c r="C790" s="50" t="n"/>
      <c r="D790" s="49" t="n"/>
      <c r="E790" s="53" t="n"/>
      <c r="F790" s="49" t="n"/>
      <c r="G790" s="53" t="n"/>
      <c r="H790" s="56" t="str">
        <f>IF(OR($C790="",$E790="",$F790="완료",$F790="취소"),"",$E790-TODAY())</f>
        <v/>
      </c>
      <c r="I790" s="56" t="str">
        <f>IF(OR($C790="",$E790=""),"",IF($F790="완료",IF($G790="","",MAX(0,$G790-$E790)),IF($F790="취소","",MAX(0,TODAY()-$E790))))</f>
        <v/>
      </c>
      <c r="J790" s="50" t="n"/>
      <c r="K790" s="52" t="str">
        <f>IF($A790="","",$A790&amp;"|"&amp;$L790)</f>
        <v/>
      </c>
      <c r="L790" s="52" t="str">
        <f>IF($A790="","",COUNTIFS($A$3:$A790,$A790))</f>
        <v/>
      </c>
    </row>
    <row r="791" ht="15" customHeight="1" s="41">
      <c r="A791" s="50" t="n"/>
      <c r="B791" s="52" t="str">
        <f>IF($A791="","",IFERROR(INDEX(회의록!$C$3:$C$302,MATCH($A791,회의록!$A$3:$A$302,0)),"회의번호없음"))</f>
        <v/>
      </c>
      <c r="C791" s="50" t="n"/>
      <c r="D791" s="49" t="n"/>
      <c r="E791" s="53" t="n"/>
      <c r="F791" s="49" t="n"/>
      <c r="G791" s="53" t="n"/>
      <c r="H791" s="56" t="str">
        <f>IF(OR($C791="",$E791="",$F791="완료",$F791="취소"),"",$E791-TODAY())</f>
        <v/>
      </c>
      <c r="I791" s="56" t="str">
        <f>IF(OR($C791="",$E791=""),"",IF($F791="완료",IF($G791="","",MAX(0,$G791-$E791)),IF($F791="취소","",MAX(0,TODAY()-$E791))))</f>
        <v/>
      </c>
      <c r="J791" s="50" t="n"/>
      <c r="K791" s="52" t="str">
        <f>IF($A791="","",$A791&amp;"|"&amp;$L791)</f>
        <v/>
      </c>
      <c r="L791" s="52" t="str">
        <f>IF($A791="","",COUNTIFS($A$3:$A791,$A791))</f>
        <v/>
      </c>
    </row>
    <row r="792" ht="15" customHeight="1" s="41">
      <c r="A792" s="50" t="n"/>
      <c r="B792" s="52" t="str">
        <f>IF($A792="","",IFERROR(INDEX(회의록!$C$3:$C$302,MATCH($A792,회의록!$A$3:$A$302,0)),"회의번호없음"))</f>
        <v/>
      </c>
      <c r="C792" s="50" t="n"/>
      <c r="D792" s="49" t="n"/>
      <c r="E792" s="53" t="n"/>
      <c r="F792" s="49" t="n"/>
      <c r="G792" s="53" t="n"/>
      <c r="H792" s="56" t="str">
        <f>IF(OR($C792="",$E792="",$F792="완료",$F792="취소"),"",$E792-TODAY())</f>
        <v/>
      </c>
      <c r="I792" s="56" t="str">
        <f>IF(OR($C792="",$E792=""),"",IF($F792="완료",IF($G792="","",MAX(0,$G792-$E792)),IF($F792="취소","",MAX(0,TODAY()-$E792))))</f>
        <v/>
      </c>
      <c r="J792" s="50" t="n"/>
      <c r="K792" s="52" t="str">
        <f>IF($A792="","",$A792&amp;"|"&amp;$L792)</f>
        <v/>
      </c>
      <c r="L792" s="52" t="str">
        <f>IF($A792="","",COUNTIFS($A$3:$A792,$A792))</f>
        <v/>
      </c>
    </row>
    <row r="793" ht="15" customHeight="1" s="41">
      <c r="A793" s="50" t="n"/>
      <c r="B793" s="52" t="str">
        <f>IF($A793="","",IFERROR(INDEX(회의록!$C$3:$C$302,MATCH($A793,회의록!$A$3:$A$302,0)),"회의번호없음"))</f>
        <v/>
      </c>
      <c r="C793" s="50" t="n"/>
      <c r="D793" s="49" t="n"/>
      <c r="E793" s="53" t="n"/>
      <c r="F793" s="49" t="n"/>
      <c r="G793" s="53" t="n"/>
      <c r="H793" s="56" t="str">
        <f>IF(OR($C793="",$E793="",$F793="완료",$F793="취소"),"",$E793-TODAY())</f>
        <v/>
      </c>
      <c r="I793" s="56" t="str">
        <f>IF(OR($C793="",$E793=""),"",IF($F793="완료",IF($G793="","",MAX(0,$G793-$E793)),IF($F793="취소","",MAX(0,TODAY()-$E793))))</f>
        <v/>
      </c>
      <c r="J793" s="50" t="n"/>
      <c r="K793" s="52" t="str">
        <f>IF($A793="","",$A793&amp;"|"&amp;$L793)</f>
        <v/>
      </c>
      <c r="L793" s="52" t="str">
        <f>IF($A793="","",COUNTIFS($A$3:$A793,$A793))</f>
        <v/>
      </c>
    </row>
    <row r="794" ht="15" customHeight="1" s="41">
      <c r="A794" s="50" t="n"/>
      <c r="B794" s="52" t="str">
        <f>IF($A794="","",IFERROR(INDEX(회의록!$C$3:$C$302,MATCH($A794,회의록!$A$3:$A$302,0)),"회의번호없음"))</f>
        <v/>
      </c>
      <c r="C794" s="50" t="n"/>
      <c r="D794" s="49" t="n"/>
      <c r="E794" s="53" t="n"/>
      <c r="F794" s="49" t="n"/>
      <c r="G794" s="53" t="n"/>
      <c r="H794" s="56" t="str">
        <f>IF(OR($C794="",$E794="",$F794="완료",$F794="취소"),"",$E794-TODAY())</f>
        <v/>
      </c>
      <c r="I794" s="56" t="str">
        <f>IF(OR($C794="",$E794=""),"",IF($F794="완료",IF($G794="","",MAX(0,$G794-$E794)),IF($F794="취소","",MAX(0,TODAY()-$E794))))</f>
        <v/>
      </c>
      <c r="J794" s="50" t="n"/>
      <c r="K794" s="52" t="str">
        <f>IF($A794="","",$A794&amp;"|"&amp;$L794)</f>
        <v/>
      </c>
      <c r="L794" s="52" t="str">
        <f>IF($A794="","",COUNTIFS($A$3:$A794,$A794))</f>
        <v/>
      </c>
    </row>
    <row r="795" ht="15" customHeight="1" s="41">
      <c r="A795" s="50" t="n"/>
      <c r="B795" s="52" t="str">
        <f>IF($A795="","",IFERROR(INDEX(회의록!$C$3:$C$302,MATCH($A795,회의록!$A$3:$A$302,0)),"회의번호없음"))</f>
        <v/>
      </c>
      <c r="C795" s="50" t="n"/>
      <c r="D795" s="49" t="n"/>
      <c r="E795" s="53" t="n"/>
      <c r="F795" s="49" t="n"/>
      <c r="G795" s="53" t="n"/>
      <c r="H795" s="56" t="str">
        <f>IF(OR($C795="",$E795="",$F795="완료",$F795="취소"),"",$E795-TODAY())</f>
        <v/>
      </c>
      <c r="I795" s="56" t="str">
        <f>IF(OR($C795="",$E795=""),"",IF($F795="완료",IF($G795="","",MAX(0,$G795-$E795)),IF($F795="취소","",MAX(0,TODAY()-$E795))))</f>
        <v/>
      </c>
      <c r="J795" s="50" t="n"/>
      <c r="K795" s="52" t="str">
        <f>IF($A795="","",$A795&amp;"|"&amp;$L795)</f>
        <v/>
      </c>
      <c r="L795" s="52" t="str">
        <f>IF($A795="","",COUNTIFS($A$3:$A795,$A795))</f>
        <v/>
      </c>
    </row>
    <row r="796" ht="15" customHeight="1" s="41">
      <c r="A796" s="50" t="n"/>
      <c r="B796" s="52" t="str">
        <f>IF($A796="","",IFERROR(INDEX(회의록!$C$3:$C$302,MATCH($A796,회의록!$A$3:$A$302,0)),"회의번호없음"))</f>
        <v/>
      </c>
      <c r="C796" s="50" t="n"/>
      <c r="D796" s="49" t="n"/>
      <c r="E796" s="53" t="n"/>
      <c r="F796" s="49" t="n"/>
      <c r="G796" s="53" t="n"/>
      <c r="H796" s="56" t="str">
        <f>IF(OR($C796="",$E796="",$F796="완료",$F796="취소"),"",$E796-TODAY())</f>
        <v/>
      </c>
      <c r="I796" s="56" t="str">
        <f>IF(OR($C796="",$E796=""),"",IF($F796="완료",IF($G796="","",MAX(0,$G796-$E796)),IF($F796="취소","",MAX(0,TODAY()-$E796))))</f>
        <v/>
      </c>
      <c r="J796" s="50" t="n"/>
      <c r="K796" s="52" t="str">
        <f>IF($A796="","",$A796&amp;"|"&amp;$L796)</f>
        <v/>
      </c>
      <c r="L796" s="52" t="str">
        <f>IF($A796="","",COUNTIFS($A$3:$A796,$A796))</f>
        <v/>
      </c>
    </row>
    <row r="797" ht="15" customHeight="1" s="41">
      <c r="A797" s="50" t="n"/>
      <c r="B797" s="52" t="str">
        <f>IF($A797="","",IFERROR(INDEX(회의록!$C$3:$C$302,MATCH($A797,회의록!$A$3:$A$302,0)),"회의번호없음"))</f>
        <v/>
      </c>
      <c r="C797" s="50" t="n"/>
      <c r="D797" s="49" t="n"/>
      <c r="E797" s="53" t="n"/>
      <c r="F797" s="49" t="n"/>
      <c r="G797" s="53" t="n"/>
      <c r="H797" s="56" t="str">
        <f>IF(OR($C797="",$E797="",$F797="완료",$F797="취소"),"",$E797-TODAY())</f>
        <v/>
      </c>
      <c r="I797" s="56" t="str">
        <f>IF(OR($C797="",$E797=""),"",IF($F797="완료",IF($G797="","",MAX(0,$G797-$E797)),IF($F797="취소","",MAX(0,TODAY()-$E797))))</f>
        <v/>
      </c>
      <c r="J797" s="50" t="n"/>
      <c r="K797" s="52" t="str">
        <f>IF($A797="","",$A797&amp;"|"&amp;$L797)</f>
        <v/>
      </c>
      <c r="L797" s="52" t="str">
        <f>IF($A797="","",COUNTIFS($A$3:$A797,$A797))</f>
        <v/>
      </c>
    </row>
    <row r="798" ht="15" customHeight="1" s="41">
      <c r="A798" s="50" t="n"/>
      <c r="B798" s="52" t="str">
        <f>IF($A798="","",IFERROR(INDEX(회의록!$C$3:$C$302,MATCH($A798,회의록!$A$3:$A$302,0)),"회의번호없음"))</f>
        <v/>
      </c>
      <c r="C798" s="50" t="n"/>
      <c r="D798" s="49" t="n"/>
      <c r="E798" s="53" t="n"/>
      <c r="F798" s="49" t="n"/>
      <c r="G798" s="53" t="n"/>
      <c r="H798" s="56" t="str">
        <f>IF(OR($C798="",$E798="",$F798="완료",$F798="취소"),"",$E798-TODAY())</f>
        <v/>
      </c>
      <c r="I798" s="56" t="str">
        <f>IF(OR($C798="",$E798=""),"",IF($F798="완료",IF($G798="","",MAX(0,$G798-$E798)),IF($F798="취소","",MAX(0,TODAY()-$E798))))</f>
        <v/>
      </c>
      <c r="J798" s="50" t="n"/>
      <c r="K798" s="52" t="str">
        <f>IF($A798="","",$A798&amp;"|"&amp;$L798)</f>
        <v/>
      </c>
      <c r="L798" s="52" t="str">
        <f>IF($A798="","",COUNTIFS($A$3:$A798,$A798))</f>
        <v/>
      </c>
    </row>
    <row r="799" ht="15" customHeight="1" s="41">
      <c r="A799" s="50" t="n"/>
      <c r="B799" s="52" t="str">
        <f>IF($A799="","",IFERROR(INDEX(회의록!$C$3:$C$302,MATCH($A799,회의록!$A$3:$A$302,0)),"회의번호없음"))</f>
        <v/>
      </c>
      <c r="C799" s="50" t="n"/>
      <c r="D799" s="49" t="n"/>
      <c r="E799" s="53" t="n"/>
      <c r="F799" s="49" t="n"/>
      <c r="G799" s="53" t="n"/>
      <c r="H799" s="56" t="str">
        <f>IF(OR($C799="",$E799="",$F799="완료",$F799="취소"),"",$E799-TODAY())</f>
        <v/>
      </c>
      <c r="I799" s="56" t="str">
        <f>IF(OR($C799="",$E799=""),"",IF($F799="완료",IF($G799="","",MAX(0,$G799-$E799)),IF($F799="취소","",MAX(0,TODAY()-$E799))))</f>
        <v/>
      </c>
      <c r="J799" s="50" t="n"/>
      <c r="K799" s="52" t="str">
        <f>IF($A799="","",$A799&amp;"|"&amp;$L799)</f>
        <v/>
      </c>
      <c r="L799" s="52" t="str">
        <f>IF($A799="","",COUNTIFS($A$3:$A799,$A799))</f>
        <v/>
      </c>
    </row>
    <row r="800" ht="15" customHeight="1" s="41">
      <c r="A800" s="50" t="n"/>
      <c r="B800" s="52" t="str">
        <f>IF($A800="","",IFERROR(INDEX(회의록!$C$3:$C$302,MATCH($A800,회의록!$A$3:$A$302,0)),"회의번호없음"))</f>
        <v/>
      </c>
      <c r="C800" s="50" t="n"/>
      <c r="D800" s="49" t="n"/>
      <c r="E800" s="53" t="n"/>
      <c r="F800" s="49" t="n"/>
      <c r="G800" s="53" t="n"/>
      <c r="H800" s="56" t="str">
        <f>IF(OR($C800="",$E800="",$F800="완료",$F800="취소"),"",$E800-TODAY())</f>
        <v/>
      </c>
      <c r="I800" s="56" t="str">
        <f>IF(OR($C800="",$E800=""),"",IF($F800="완료",IF($G800="","",MAX(0,$G800-$E800)),IF($F800="취소","",MAX(0,TODAY()-$E800))))</f>
        <v/>
      </c>
      <c r="J800" s="50" t="n"/>
      <c r="K800" s="52" t="str">
        <f>IF($A800="","",$A800&amp;"|"&amp;$L800)</f>
        <v/>
      </c>
      <c r="L800" s="52" t="str">
        <f>IF($A800="","",COUNTIFS($A$3:$A800,$A800))</f>
        <v/>
      </c>
    </row>
    <row r="801" ht="15" customHeight="1" s="41">
      <c r="A801" s="50" t="n"/>
      <c r="B801" s="52" t="str">
        <f>IF($A801="","",IFERROR(INDEX(회의록!$C$3:$C$302,MATCH($A801,회의록!$A$3:$A$302,0)),"회의번호없음"))</f>
        <v/>
      </c>
      <c r="C801" s="50" t="n"/>
      <c r="D801" s="49" t="n"/>
      <c r="E801" s="53" t="n"/>
      <c r="F801" s="49" t="n"/>
      <c r="G801" s="53" t="n"/>
      <c r="H801" s="56" t="str">
        <f>IF(OR($C801="",$E801="",$F801="완료",$F801="취소"),"",$E801-TODAY())</f>
        <v/>
      </c>
      <c r="I801" s="56" t="str">
        <f>IF(OR($C801="",$E801=""),"",IF($F801="완료",IF($G801="","",MAX(0,$G801-$E801)),IF($F801="취소","",MAX(0,TODAY()-$E801))))</f>
        <v/>
      </c>
      <c r="J801" s="50" t="n"/>
      <c r="K801" s="52" t="str">
        <f>IF($A801="","",$A801&amp;"|"&amp;$L801)</f>
        <v/>
      </c>
      <c r="L801" s="52" t="str">
        <f>IF($A801="","",COUNTIFS($A$3:$A801,$A801))</f>
        <v/>
      </c>
    </row>
    <row r="802" ht="15" customHeight="1" s="41">
      <c r="A802" s="50" t="n"/>
      <c r="B802" s="52" t="str">
        <f>IF($A802="","",IFERROR(INDEX(회의록!$C$3:$C$302,MATCH($A802,회의록!$A$3:$A$302,0)),"회의번호없음"))</f>
        <v/>
      </c>
      <c r="C802" s="50" t="n"/>
      <c r="D802" s="49" t="n"/>
      <c r="E802" s="53" t="n"/>
      <c r="F802" s="49" t="n"/>
      <c r="G802" s="53" t="n"/>
      <c r="H802" s="56" t="str">
        <f>IF(OR($C802="",$E802="",$F802="완료",$F802="취소"),"",$E802-TODAY())</f>
        <v/>
      </c>
      <c r="I802" s="56" t="str">
        <f>IF(OR($C802="",$E802=""),"",IF($F802="완료",IF($G802="","",MAX(0,$G802-$E802)),IF($F802="취소","",MAX(0,TODAY()-$E802))))</f>
        <v/>
      </c>
      <c r="J802" s="50" t="n"/>
      <c r="K802" s="52" t="str">
        <f>IF($A802="","",$A802&amp;"|"&amp;$L802)</f>
        <v/>
      </c>
      <c r="L802" s="52" t="str">
        <f>IF($A802="","",COUNTIFS($A$3:$A802,$A802))</f>
        <v/>
      </c>
    </row>
    <row r="803" ht="15" customHeight="1" s="41">
      <c r="A803" s="50" t="n"/>
      <c r="B803" s="52" t="str">
        <f>IF($A803="","",IFERROR(INDEX(회의록!$C$3:$C$302,MATCH($A803,회의록!$A$3:$A$302,0)),"회의번호없음"))</f>
        <v/>
      </c>
      <c r="C803" s="50" t="n"/>
      <c r="D803" s="49" t="n"/>
      <c r="E803" s="53" t="n"/>
      <c r="F803" s="49" t="n"/>
      <c r="G803" s="53" t="n"/>
      <c r="H803" s="56" t="str">
        <f>IF(OR($C803="",$E803="",$F803="완료",$F803="취소"),"",$E803-TODAY())</f>
        <v/>
      </c>
      <c r="I803" s="56" t="str">
        <f>IF(OR($C803="",$E803=""),"",IF($F803="완료",IF($G803="","",MAX(0,$G803-$E803)),IF($F803="취소","",MAX(0,TODAY()-$E803))))</f>
        <v/>
      </c>
      <c r="J803" s="50" t="n"/>
      <c r="K803" s="52" t="str">
        <f>IF($A803="","",$A803&amp;"|"&amp;$L803)</f>
        <v/>
      </c>
      <c r="L803" s="52" t="str">
        <f>IF($A803="","",COUNTIFS($A$3:$A803,$A803))</f>
        <v/>
      </c>
    </row>
    <row r="804" ht="15" customHeight="1" s="41">
      <c r="A804" s="50" t="n"/>
      <c r="B804" s="52" t="str">
        <f>IF($A804="","",IFERROR(INDEX(회의록!$C$3:$C$302,MATCH($A804,회의록!$A$3:$A$302,0)),"회의번호없음"))</f>
        <v/>
      </c>
      <c r="C804" s="50" t="n"/>
      <c r="D804" s="49" t="n"/>
      <c r="E804" s="53" t="n"/>
      <c r="F804" s="49" t="n"/>
      <c r="G804" s="53" t="n"/>
      <c r="H804" s="56" t="str">
        <f>IF(OR($C804="",$E804="",$F804="완료",$F804="취소"),"",$E804-TODAY())</f>
        <v/>
      </c>
      <c r="I804" s="56" t="str">
        <f>IF(OR($C804="",$E804=""),"",IF($F804="완료",IF($G804="","",MAX(0,$G804-$E804)),IF($F804="취소","",MAX(0,TODAY()-$E804))))</f>
        <v/>
      </c>
      <c r="J804" s="50" t="n"/>
      <c r="K804" s="52" t="str">
        <f>IF($A804="","",$A804&amp;"|"&amp;$L804)</f>
        <v/>
      </c>
      <c r="L804" s="52" t="str">
        <f>IF($A804="","",COUNTIFS($A$3:$A804,$A804))</f>
        <v/>
      </c>
    </row>
    <row r="805" ht="15" customHeight="1" s="41">
      <c r="A805" s="50" t="n"/>
      <c r="B805" s="52" t="str">
        <f>IF($A805="","",IFERROR(INDEX(회의록!$C$3:$C$302,MATCH($A805,회의록!$A$3:$A$302,0)),"회의번호없음"))</f>
        <v/>
      </c>
      <c r="C805" s="50" t="n"/>
      <c r="D805" s="49" t="n"/>
      <c r="E805" s="53" t="n"/>
      <c r="F805" s="49" t="n"/>
      <c r="G805" s="53" t="n"/>
      <c r="H805" s="56" t="str">
        <f>IF(OR($C805="",$E805="",$F805="완료",$F805="취소"),"",$E805-TODAY())</f>
        <v/>
      </c>
      <c r="I805" s="56" t="str">
        <f>IF(OR($C805="",$E805=""),"",IF($F805="완료",IF($G805="","",MAX(0,$G805-$E805)),IF($F805="취소","",MAX(0,TODAY()-$E805))))</f>
        <v/>
      </c>
      <c r="J805" s="50" t="n"/>
      <c r="K805" s="52" t="str">
        <f>IF($A805="","",$A805&amp;"|"&amp;$L805)</f>
        <v/>
      </c>
      <c r="L805" s="52" t="str">
        <f>IF($A805="","",COUNTIFS($A$3:$A805,$A805))</f>
        <v/>
      </c>
    </row>
    <row r="806" ht="15" customHeight="1" s="41">
      <c r="A806" s="50" t="n"/>
      <c r="B806" s="52" t="str">
        <f>IF($A806="","",IFERROR(INDEX(회의록!$C$3:$C$302,MATCH($A806,회의록!$A$3:$A$302,0)),"회의번호없음"))</f>
        <v/>
      </c>
      <c r="C806" s="50" t="n"/>
      <c r="D806" s="49" t="n"/>
      <c r="E806" s="53" t="n"/>
      <c r="F806" s="49" t="n"/>
      <c r="G806" s="53" t="n"/>
      <c r="H806" s="56" t="str">
        <f>IF(OR($C806="",$E806="",$F806="완료",$F806="취소"),"",$E806-TODAY())</f>
        <v/>
      </c>
      <c r="I806" s="56" t="str">
        <f>IF(OR($C806="",$E806=""),"",IF($F806="완료",IF($G806="","",MAX(0,$G806-$E806)),IF($F806="취소","",MAX(0,TODAY()-$E806))))</f>
        <v/>
      </c>
      <c r="J806" s="50" t="n"/>
      <c r="K806" s="52" t="str">
        <f>IF($A806="","",$A806&amp;"|"&amp;$L806)</f>
        <v/>
      </c>
      <c r="L806" s="52" t="str">
        <f>IF($A806="","",COUNTIFS($A$3:$A806,$A806))</f>
        <v/>
      </c>
    </row>
    <row r="807" ht="15" customHeight="1" s="41">
      <c r="A807" s="50" t="n"/>
      <c r="B807" s="52" t="str">
        <f>IF($A807="","",IFERROR(INDEX(회의록!$C$3:$C$302,MATCH($A807,회의록!$A$3:$A$302,0)),"회의번호없음"))</f>
        <v/>
      </c>
      <c r="C807" s="50" t="n"/>
      <c r="D807" s="49" t="n"/>
      <c r="E807" s="53" t="n"/>
      <c r="F807" s="49" t="n"/>
      <c r="G807" s="53" t="n"/>
      <c r="H807" s="56" t="str">
        <f>IF(OR($C807="",$E807="",$F807="완료",$F807="취소"),"",$E807-TODAY())</f>
        <v/>
      </c>
      <c r="I807" s="56" t="str">
        <f>IF(OR($C807="",$E807=""),"",IF($F807="완료",IF($G807="","",MAX(0,$G807-$E807)),IF($F807="취소","",MAX(0,TODAY()-$E807))))</f>
        <v/>
      </c>
      <c r="J807" s="50" t="n"/>
      <c r="K807" s="52" t="str">
        <f>IF($A807="","",$A807&amp;"|"&amp;$L807)</f>
        <v/>
      </c>
      <c r="L807" s="52" t="str">
        <f>IF($A807="","",COUNTIFS($A$3:$A807,$A807))</f>
        <v/>
      </c>
    </row>
    <row r="808" ht="15" customHeight="1" s="41">
      <c r="A808" s="50" t="n"/>
      <c r="B808" s="52" t="str">
        <f>IF($A808="","",IFERROR(INDEX(회의록!$C$3:$C$302,MATCH($A808,회의록!$A$3:$A$302,0)),"회의번호없음"))</f>
        <v/>
      </c>
      <c r="C808" s="50" t="n"/>
      <c r="D808" s="49" t="n"/>
      <c r="E808" s="53" t="n"/>
      <c r="F808" s="49" t="n"/>
      <c r="G808" s="53" t="n"/>
      <c r="H808" s="56" t="str">
        <f>IF(OR($C808="",$E808="",$F808="완료",$F808="취소"),"",$E808-TODAY())</f>
        <v/>
      </c>
      <c r="I808" s="56" t="str">
        <f>IF(OR($C808="",$E808=""),"",IF($F808="완료",IF($G808="","",MAX(0,$G808-$E808)),IF($F808="취소","",MAX(0,TODAY()-$E808))))</f>
        <v/>
      </c>
      <c r="J808" s="50" t="n"/>
      <c r="K808" s="52" t="str">
        <f>IF($A808="","",$A808&amp;"|"&amp;$L808)</f>
        <v/>
      </c>
      <c r="L808" s="52" t="str">
        <f>IF($A808="","",COUNTIFS($A$3:$A808,$A808))</f>
        <v/>
      </c>
    </row>
    <row r="809" ht="15" customHeight="1" s="41">
      <c r="A809" s="50" t="n"/>
      <c r="B809" s="52" t="str">
        <f>IF($A809="","",IFERROR(INDEX(회의록!$C$3:$C$302,MATCH($A809,회의록!$A$3:$A$302,0)),"회의번호없음"))</f>
        <v/>
      </c>
      <c r="C809" s="50" t="n"/>
      <c r="D809" s="49" t="n"/>
      <c r="E809" s="53" t="n"/>
      <c r="F809" s="49" t="n"/>
      <c r="G809" s="53" t="n"/>
      <c r="H809" s="56" t="str">
        <f>IF(OR($C809="",$E809="",$F809="완료",$F809="취소"),"",$E809-TODAY())</f>
        <v/>
      </c>
      <c r="I809" s="56" t="str">
        <f>IF(OR($C809="",$E809=""),"",IF($F809="완료",IF($G809="","",MAX(0,$G809-$E809)),IF($F809="취소","",MAX(0,TODAY()-$E809))))</f>
        <v/>
      </c>
      <c r="J809" s="50" t="n"/>
      <c r="K809" s="52" t="str">
        <f>IF($A809="","",$A809&amp;"|"&amp;$L809)</f>
        <v/>
      </c>
      <c r="L809" s="52" t="str">
        <f>IF($A809="","",COUNTIFS($A$3:$A809,$A809))</f>
        <v/>
      </c>
    </row>
    <row r="810" ht="15" customHeight="1" s="41">
      <c r="A810" s="50" t="n"/>
      <c r="B810" s="52" t="str">
        <f>IF($A810="","",IFERROR(INDEX(회의록!$C$3:$C$302,MATCH($A810,회의록!$A$3:$A$302,0)),"회의번호없음"))</f>
        <v/>
      </c>
      <c r="C810" s="50" t="n"/>
      <c r="D810" s="49" t="n"/>
      <c r="E810" s="53" t="n"/>
      <c r="F810" s="49" t="n"/>
      <c r="G810" s="53" t="n"/>
      <c r="H810" s="56" t="str">
        <f>IF(OR($C810="",$E810="",$F810="완료",$F810="취소"),"",$E810-TODAY())</f>
        <v/>
      </c>
      <c r="I810" s="56" t="str">
        <f>IF(OR($C810="",$E810=""),"",IF($F810="완료",IF($G810="","",MAX(0,$G810-$E810)),IF($F810="취소","",MAX(0,TODAY()-$E810))))</f>
        <v/>
      </c>
      <c r="J810" s="50" t="n"/>
      <c r="K810" s="52" t="str">
        <f>IF($A810="","",$A810&amp;"|"&amp;$L810)</f>
        <v/>
      </c>
      <c r="L810" s="52" t="str">
        <f>IF($A810="","",COUNTIFS($A$3:$A810,$A810))</f>
        <v/>
      </c>
    </row>
    <row r="811" ht="15" customHeight="1" s="41">
      <c r="A811" s="50" t="n"/>
      <c r="B811" s="52" t="str">
        <f>IF($A811="","",IFERROR(INDEX(회의록!$C$3:$C$302,MATCH($A811,회의록!$A$3:$A$302,0)),"회의번호없음"))</f>
        <v/>
      </c>
      <c r="C811" s="50" t="n"/>
      <c r="D811" s="49" t="n"/>
      <c r="E811" s="53" t="n"/>
      <c r="F811" s="49" t="n"/>
      <c r="G811" s="53" t="n"/>
      <c r="H811" s="56" t="str">
        <f>IF(OR($C811="",$E811="",$F811="완료",$F811="취소"),"",$E811-TODAY())</f>
        <v/>
      </c>
      <c r="I811" s="56" t="str">
        <f>IF(OR($C811="",$E811=""),"",IF($F811="완료",IF($G811="","",MAX(0,$G811-$E811)),IF($F811="취소","",MAX(0,TODAY()-$E811))))</f>
        <v/>
      </c>
      <c r="J811" s="50" t="n"/>
      <c r="K811" s="52" t="str">
        <f>IF($A811="","",$A811&amp;"|"&amp;$L811)</f>
        <v/>
      </c>
      <c r="L811" s="52" t="str">
        <f>IF($A811="","",COUNTIFS($A$3:$A811,$A811))</f>
        <v/>
      </c>
    </row>
    <row r="812" ht="15" customHeight="1" s="41">
      <c r="A812" s="50" t="n"/>
      <c r="B812" s="52" t="str">
        <f>IF($A812="","",IFERROR(INDEX(회의록!$C$3:$C$302,MATCH($A812,회의록!$A$3:$A$302,0)),"회의번호없음"))</f>
        <v/>
      </c>
      <c r="C812" s="50" t="n"/>
      <c r="D812" s="49" t="n"/>
      <c r="E812" s="53" t="n"/>
      <c r="F812" s="49" t="n"/>
      <c r="G812" s="53" t="n"/>
      <c r="H812" s="56" t="str">
        <f>IF(OR($C812="",$E812="",$F812="완료",$F812="취소"),"",$E812-TODAY())</f>
        <v/>
      </c>
      <c r="I812" s="56" t="str">
        <f>IF(OR($C812="",$E812=""),"",IF($F812="완료",IF($G812="","",MAX(0,$G812-$E812)),IF($F812="취소","",MAX(0,TODAY()-$E812))))</f>
        <v/>
      </c>
      <c r="J812" s="50" t="n"/>
      <c r="K812" s="52" t="str">
        <f>IF($A812="","",$A812&amp;"|"&amp;$L812)</f>
        <v/>
      </c>
      <c r="L812" s="52" t="str">
        <f>IF($A812="","",COUNTIFS($A$3:$A812,$A812))</f>
        <v/>
      </c>
    </row>
    <row r="813" ht="15" customHeight="1" s="41">
      <c r="A813" s="50" t="n"/>
      <c r="B813" s="52" t="str">
        <f>IF($A813="","",IFERROR(INDEX(회의록!$C$3:$C$302,MATCH($A813,회의록!$A$3:$A$302,0)),"회의번호없음"))</f>
        <v/>
      </c>
      <c r="C813" s="50" t="n"/>
      <c r="D813" s="49" t="n"/>
      <c r="E813" s="53" t="n"/>
      <c r="F813" s="49" t="n"/>
      <c r="G813" s="53" t="n"/>
      <c r="H813" s="56" t="str">
        <f>IF(OR($C813="",$E813="",$F813="완료",$F813="취소"),"",$E813-TODAY())</f>
        <v/>
      </c>
      <c r="I813" s="56" t="str">
        <f>IF(OR($C813="",$E813=""),"",IF($F813="완료",IF($G813="","",MAX(0,$G813-$E813)),IF($F813="취소","",MAX(0,TODAY()-$E813))))</f>
        <v/>
      </c>
      <c r="J813" s="50" t="n"/>
      <c r="K813" s="52" t="str">
        <f>IF($A813="","",$A813&amp;"|"&amp;$L813)</f>
        <v/>
      </c>
      <c r="L813" s="52" t="str">
        <f>IF($A813="","",COUNTIFS($A$3:$A813,$A813))</f>
        <v/>
      </c>
    </row>
    <row r="814" ht="15" customHeight="1" s="41">
      <c r="A814" s="50" t="n"/>
      <c r="B814" s="52" t="str">
        <f>IF($A814="","",IFERROR(INDEX(회의록!$C$3:$C$302,MATCH($A814,회의록!$A$3:$A$302,0)),"회의번호없음"))</f>
        <v/>
      </c>
      <c r="C814" s="50" t="n"/>
      <c r="D814" s="49" t="n"/>
      <c r="E814" s="53" t="n"/>
      <c r="F814" s="49" t="n"/>
      <c r="G814" s="53" t="n"/>
      <c r="H814" s="56" t="str">
        <f>IF(OR($C814="",$E814="",$F814="완료",$F814="취소"),"",$E814-TODAY())</f>
        <v/>
      </c>
      <c r="I814" s="56" t="str">
        <f>IF(OR($C814="",$E814=""),"",IF($F814="완료",IF($G814="","",MAX(0,$G814-$E814)),IF($F814="취소","",MAX(0,TODAY()-$E814))))</f>
        <v/>
      </c>
      <c r="J814" s="50" t="n"/>
      <c r="K814" s="52" t="str">
        <f>IF($A814="","",$A814&amp;"|"&amp;$L814)</f>
        <v/>
      </c>
      <c r="L814" s="52" t="str">
        <f>IF($A814="","",COUNTIFS($A$3:$A814,$A814))</f>
        <v/>
      </c>
    </row>
    <row r="815" ht="15" customHeight="1" s="41">
      <c r="A815" s="50" t="n"/>
      <c r="B815" s="52" t="str">
        <f>IF($A815="","",IFERROR(INDEX(회의록!$C$3:$C$302,MATCH($A815,회의록!$A$3:$A$302,0)),"회의번호없음"))</f>
        <v/>
      </c>
      <c r="C815" s="50" t="n"/>
      <c r="D815" s="49" t="n"/>
      <c r="E815" s="53" t="n"/>
      <c r="F815" s="49" t="n"/>
      <c r="G815" s="53" t="n"/>
      <c r="H815" s="56" t="str">
        <f>IF(OR($C815="",$E815="",$F815="완료",$F815="취소"),"",$E815-TODAY())</f>
        <v/>
      </c>
      <c r="I815" s="56" t="str">
        <f>IF(OR($C815="",$E815=""),"",IF($F815="완료",IF($G815="","",MAX(0,$G815-$E815)),IF($F815="취소","",MAX(0,TODAY()-$E815))))</f>
        <v/>
      </c>
      <c r="J815" s="50" t="n"/>
      <c r="K815" s="52" t="str">
        <f>IF($A815="","",$A815&amp;"|"&amp;$L815)</f>
        <v/>
      </c>
      <c r="L815" s="52" t="str">
        <f>IF($A815="","",COUNTIFS($A$3:$A815,$A815))</f>
        <v/>
      </c>
    </row>
    <row r="816" ht="15" customHeight="1" s="41">
      <c r="A816" s="50" t="n"/>
      <c r="B816" s="52" t="str">
        <f>IF($A816="","",IFERROR(INDEX(회의록!$C$3:$C$302,MATCH($A816,회의록!$A$3:$A$302,0)),"회의번호없음"))</f>
        <v/>
      </c>
      <c r="C816" s="50" t="n"/>
      <c r="D816" s="49" t="n"/>
      <c r="E816" s="53" t="n"/>
      <c r="F816" s="49" t="n"/>
      <c r="G816" s="53" t="n"/>
      <c r="H816" s="56" t="str">
        <f>IF(OR($C816="",$E816="",$F816="완료",$F816="취소"),"",$E816-TODAY())</f>
        <v/>
      </c>
      <c r="I816" s="56" t="str">
        <f>IF(OR($C816="",$E816=""),"",IF($F816="완료",IF($G816="","",MAX(0,$G816-$E816)),IF($F816="취소","",MAX(0,TODAY()-$E816))))</f>
        <v/>
      </c>
      <c r="J816" s="50" t="n"/>
      <c r="K816" s="52" t="str">
        <f>IF($A816="","",$A816&amp;"|"&amp;$L816)</f>
        <v/>
      </c>
      <c r="L816" s="52" t="str">
        <f>IF($A816="","",COUNTIFS($A$3:$A816,$A816))</f>
        <v/>
      </c>
    </row>
    <row r="817" ht="15" customHeight="1" s="41">
      <c r="A817" s="50" t="n"/>
      <c r="B817" s="52" t="str">
        <f>IF($A817="","",IFERROR(INDEX(회의록!$C$3:$C$302,MATCH($A817,회의록!$A$3:$A$302,0)),"회의번호없음"))</f>
        <v/>
      </c>
      <c r="C817" s="50" t="n"/>
      <c r="D817" s="49" t="n"/>
      <c r="E817" s="53" t="n"/>
      <c r="F817" s="49" t="n"/>
      <c r="G817" s="53" t="n"/>
      <c r="H817" s="56" t="str">
        <f>IF(OR($C817="",$E817="",$F817="완료",$F817="취소"),"",$E817-TODAY())</f>
        <v/>
      </c>
      <c r="I817" s="56" t="str">
        <f>IF(OR($C817="",$E817=""),"",IF($F817="완료",IF($G817="","",MAX(0,$G817-$E817)),IF($F817="취소","",MAX(0,TODAY()-$E817))))</f>
        <v/>
      </c>
      <c r="J817" s="50" t="n"/>
      <c r="K817" s="52" t="str">
        <f>IF($A817="","",$A817&amp;"|"&amp;$L817)</f>
        <v/>
      </c>
      <c r="L817" s="52" t="str">
        <f>IF($A817="","",COUNTIFS($A$3:$A817,$A817))</f>
        <v/>
      </c>
    </row>
    <row r="818" ht="15" customHeight="1" s="41">
      <c r="A818" s="50" t="n"/>
      <c r="B818" s="52" t="str">
        <f>IF($A818="","",IFERROR(INDEX(회의록!$C$3:$C$302,MATCH($A818,회의록!$A$3:$A$302,0)),"회의번호없음"))</f>
        <v/>
      </c>
      <c r="C818" s="50" t="n"/>
      <c r="D818" s="49" t="n"/>
      <c r="E818" s="53" t="n"/>
      <c r="F818" s="49" t="n"/>
      <c r="G818" s="53" t="n"/>
      <c r="H818" s="56" t="str">
        <f>IF(OR($C818="",$E818="",$F818="완료",$F818="취소"),"",$E818-TODAY())</f>
        <v/>
      </c>
      <c r="I818" s="56" t="str">
        <f>IF(OR($C818="",$E818=""),"",IF($F818="완료",IF($G818="","",MAX(0,$G818-$E818)),IF($F818="취소","",MAX(0,TODAY()-$E818))))</f>
        <v/>
      </c>
      <c r="J818" s="50" t="n"/>
      <c r="K818" s="52" t="str">
        <f>IF($A818="","",$A818&amp;"|"&amp;$L818)</f>
        <v/>
      </c>
      <c r="L818" s="52" t="str">
        <f>IF($A818="","",COUNTIFS($A$3:$A818,$A818))</f>
        <v/>
      </c>
    </row>
    <row r="819" ht="15" customHeight="1" s="41">
      <c r="A819" s="50" t="n"/>
      <c r="B819" s="52" t="str">
        <f>IF($A819="","",IFERROR(INDEX(회의록!$C$3:$C$302,MATCH($A819,회의록!$A$3:$A$302,0)),"회의번호없음"))</f>
        <v/>
      </c>
      <c r="C819" s="50" t="n"/>
      <c r="D819" s="49" t="n"/>
      <c r="E819" s="53" t="n"/>
      <c r="F819" s="49" t="n"/>
      <c r="G819" s="53" t="n"/>
      <c r="H819" s="56" t="str">
        <f>IF(OR($C819="",$E819="",$F819="완료",$F819="취소"),"",$E819-TODAY())</f>
        <v/>
      </c>
      <c r="I819" s="56" t="str">
        <f>IF(OR($C819="",$E819=""),"",IF($F819="완료",IF($G819="","",MAX(0,$G819-$E819)),IF($F819="취소","",MAX(0,TODAY()-$E819))))</f>
        <v/>
      </c>
      <c r="J819" s="50" t="n"/>
      <c r="K819" s="52" t="str">
        <f>IF($A819="","",$A819&amp;"|"&amp;$L819)</f>
        <v/>
      </c>
      <c r="L819" s="52" t="str">
        <f>IF($A819="","",COUNTIFS($A$3:$A819,$A819))</f>
        <v/>
      </c>
    </row>
    <row r="820" ht="15" customHeight="1" s="41">
      <c r="A820" s="50" t="n"/>
      <c r="B820" s="52" t="str">
        <f>IF($A820="","",IFERROR(INDEX(회의록!$C$3:$C$302,MATCH($A820,회의록!$A$3:$A$302,0)),"회의번호없음"))</f>
        <v/>
      </c>
      <c r="C820" s="50" t="n"/>
      <c r="D820" s="49" t="n"/>
      <c r="E820" s="53" t="n"/>
      <c r="F820" s="49" t="n"/>
      <c r="G820" s="53" t="n"/>
      <c r="H820" s="56" t="str">
        <f>IF(OR($C820="",$E820="",$F820="완료",$F820="취소"),"",$E820-TODAY())</f>
        <v/>
      </c>
      <c r="I820" s="56" t="str">
        <f>IF(OR($C820="",$E820=""),"",IF($F820="완료",IF($G820="","",MAX(0,$G820-$E820)),IF($F820="취소","",MAX(0,TODAY()-$E820))))</f>
        <v/>
      </c>
      <c r="J820" s="50" t="n"/>
      <c r="K820" s="52" t="str">
        <f>IF($A820="","",$A820&amp;"|"&amp;$L820)</f>
        <v/>
      </c>
      <c r="L820" s="52" t="str">
        <f>IF($A820="","",COUNTIFS($A$3:$A820,$A820))</f>
        <v/>
      </c>
    </row>
    <row r="821" ht="15" customHeight="1" s="41">
      <c r="A821" s="50" t="n"/>
      <c r="B821" s="52" t="str">
        <f>IF($A821="","",IFERROR(INDEX(회의록!$C$3:$C$302,MATCH($A821,회의록!$A$3:$A$302,0)),"회의번호없음"))</f>
        <v/>
      </c>
      <c r="C821" s="50" t="n"/>
      <c r="D821" s="49" t="n"/>
      <c r="E821" s="53" t="n"/>
      <c r="F821" s="49" t="n"/>
      <c r="G821" s="53" t="n"/>
      <c r="H821" s="56" t="str">
        <f>IF(OR($C821="",$E821="",$F821="완료",$F821="취소"),"",$E821-TODAY())</f>
        <v/>
      </c>
      <c r="I821" s="56" t="str">
        <f>IF(OR($C821="",$E821=""),"",IF($F821="완료",IF($G821="","",MAX(0,$G821-$E821)),IF($F821="취소","",MAX(0,TODAY()-$E821))))</f>
        <v/>
      </c>
      <c r="J821" s="50" t="n"/>
      <c r="K821" s="52" t="str">
        <f>IF($A821="","",$A821&amp;"|"&amp;$L821)</f>
        <v/>
      </c>
      <c r="L821" s="52" t="str">
        <f>IF($A821="","",COUNTIFS($A$3:$A821,$A821))</f>
        <v/>
      </c>
    </row>
    <row r="822" ht="15" customHeight="1" s="41">
      <c r="A822" s="50" t="n"/>
      <c r="B822" s="52" t="str">
        <f>IF($A822="","",IFERROR(INDEX(회의록!$C$3:$C$302,MATCH($A822,회의록!$A$3:$A$302,0)),"회의번호없음"))</f>
        <v/>
      </c>
      <c r="C822" s="50" t="n"/>
      <c r="D822" s="49" t="n"/>
      <c r="E822" s="53" t="n"/>
      <c r="F822" s="49" t="n"/>
      <c r="G822" s="53" t="n"/>
      <c r="H822" s="56" t="str">
        <f>IF(OR($C822="",$E822="",$F822="완료",$F822="취소"),"",$E822-TODAY())</f>
        <v/>
      </c>
      <c r="I822" s="56" t="str">
        <f>IF(OR($C822="",$E822=""),"",IF($F822="완료",IF($G822="","",MAX(0,$G822-$E822)),IF($F822="취소","",MAX(0,TODAY()-$E822))))</f>
        <v/>
      </c>
      <c r="J822" s="50" t="n"/>
      <c r="K822" s="52" t="str">
        <f>IF($A822="","",$A822&amp;"|"&amp;$L822)</f>
        <v/>
      </c>
      <c r="L822" s="52" t="str">
        <f>IF($A822="","",COUNTIFS($A$3:$A822,$A822))</f>
        <v/>
      </c>
    </row>
    <row r="823" ht="15" customHeight="1" s="41">
      <c r="A823" s="50" t="n"/>
      <c r="B823" s="52" t="str">
        <f>IF($A823="","",IFERROR(INDEX(회의록!$C$3:$C$302,MATCH($A823,회의록!$A$3:$A$302,0)),"회의번호없음"))</f>
        <v/>
      </c>
      <c r="C823" s="50" t="n"/>
      <c r="D823" s="49" t="n"/>
      <c r="E823" s="53" t="n"/>
      <c r="F823" s="49" t="n"/>
      <c r="G823" s="53" t="n"/>
      <c r="H823" s="56" t="str">
        <f>IF(OR($C823="",$E823="",$F823="완료",$F823="취소"),"",$E823-TODAY())</f>
        <v/>
      </c>
      <c r="I823" s="56" t="str">
        <f>IF(OR($C823="",$E823=""),"",IF($F823="완료",IF($G823="","",MAX(0,$G823-$E823)),IF($F823="취소","",MAX(0,TODAY()-$E823))))</f>
        <v/>
      </c>
      <c r="J823" s="50" t="n"/>
      <c r="K823" s="52" t="str">
        <f>IF($A823="","",$A823&amp;"|"&amp;$L823)</f>
        <v/>
      </c>
      <c r="L823" s="52" t="str">
        <f>IF($A823="","",COUNTIFS($A$3:$A823,$A823))</f>
        <v/>
      </c>
    </row>
    <row r="824" ht="15" customHeight="1" s="41">
      <c r="A824" s="50" t="n"/>
      <c r="B824" s="52" t="str">
        <f>IF($A824="","",IFERROR(INDEX(회의록!$C$3:$C$302,MATCH($A824,회의록!$A$3:$A$302,0)),"회의번호없음"))</f>
        <v/>
      </c>
      <c r="C824" s="50" t="n"/>
      <c r="D824" s="49" t="n"/>
      <c r="E824" s="53" t="n"/>
      <c r="F824" s="49" t="n"/>
      <c r="G824" s="53" t="n"/>
      <c r="H824" s="56" t="str">
        <f>IF(OR($C824="",$E824="",$F824="완료",$F824="취소"),"",$E824-TODAY())</f>
        <v/>
      </c>
      <c r="I824" s="56" t="str">
        <f>IF(OR($C824="",$E824=""),"",IF($F824="완료",IF($G824="","",MAX(0,$G824-$E824)),IF($F824="취소","",MAX(0,TODAY()-$E824))))</f>
        <v/>
      </c>
      <c r="J824" s="50" t="n"/>
      <c r="K824" s="52" t="str">
        <f>IF($A824="","",$A824&amp;"|"&amp;$L824)</f>
        <v/>
      </c>
      <c r="L824" s="52" t="str">
        <f>IF($A824="","",COUNTIFS($A$3:$A824,$A824))</f>
        <v/>
      </c>
    </row>
    <row r="825" ht="15" customHeight="1" s="41">
      <c r="A825" s="50" t="n"/>
      <c r="B825" s="52" t="str">
        <f>IF($A825="","",IFERROR(INDEX(회의록!$C$3:$C$302,MATCH($A825,회의록!$A$3:$A$302,0)),"회의번호없음"))</f>
        <v/>
      </c>
      <c r="C825" s="50" t="n"/>
      <c r="D825" s="49" t="n"/>
      <c r="E825" s="53" t="n"/>
      <c r="F825" s="49" t="n"/>
      <c r="G825" s="53" t="n"/>
      <c r="H825" s="56" t="str">
        <f>IF(OR($C825="",$E825="",$F825="완료",$F825="취소"),"",$E825-TODAY())</f>
        <v/>
      </c>
      <c r="I825" s="56" t="str">
        <f>IF(OR($C825="",$E825=""),"",IF($F825="완료",IF($G825="","",MAX(0,$G825-$E825)),IF($F825="취소","",MAX(0,TODAY()-$E825))))</f>
        <v/>
      </c>
      <c r="J825" s="50" t="n"/>
      <c r="K825" s="52" t="str">
        <f>IF($A825="","",$A825&amp;"|"&amp;$L825)</f>
        <v/>
      </c>
      <c r="L825" s="52" t="str">
        <f>IF($A825="","",COUNTIFS($A$3:$A825,$A825))</f>
        <v/>
      </c>
    </row>
    <row r="826" ht="15" customHeight="1" s="41">
      <c r="A826" s="50" t="n"/>
      <c r="B826" s="52" t="str">
        <f>IF($A826="","",IFERROR(INDEX(회의록!$C$3:$C$302,MATCH($A826,회의록!$A$3:$A$302,0)),"회의번호없음"))</f>
        <v/>
      </c>
      <c r="C826" s="50" t="n"/>
      <c r="D826" s="49" t="n"/>
      <c r="E826" s="53" t="n"/>
      <c r="F826" s="49" t="n"/>
      <c r="G826" s="53" t="n"/>
      <c r="H826" s="56" t="str">
        <f>IF(OR($C826="",$E826="",$F826="완료",$F826="취소"),"",$E826-TODAY())</f>
        <v/>
      </c>
      <c r="I826" s="56" t="str">
        <f>IF(OR($C826="",$E826=""),"",IF($F826="완료",IF($G826="","",MAX(0,$G826-$E826)),IF($F826="취소","",MAX(0,TODAY()-$E826))))</f>
        <v/>
      </c>
      <c r="J826" s="50" t="n"/>
      <c r="K826" s="52" t="str">
        <f>IF($A826="","",$A826&amp;"|"&amp;$L826)</f>
        <v/>
      </c>
      <c r="L826" s="52" t="str">
        <f>IF($A826="","",COUNTIFS($A$3:$A826,$A826))</f>
        <v/>
      </c>
    </row>
    <row r="827" ht="15" customHeight="1" s="41">
      <c r="A827" s="50" t="n"/>
      <c r="B827" s="52" t="str">
        <f>IF($A827="","",IFERROR(INDEX(회의록!$C$3:$C$302,MATCH($A827,회의록!$A$3:$A$302,0)),"회의번호없음"))</f>
        <v/>
      </c>
      <c r="C827" s="50" t="n"/>
      <c r="D827" s="49" t="n"/>
      <c r="E827" s="53" t="n"/>
      <c r="F827" s="49" t="n"/>
      <c r="G827" s="53" t="n"/>
      <c r="H827" s="56" t="str">
        <f>IF(OR($C827="",$E827="",$F827="완료",$F827="취소"),"",$E827-TODAY())</f>
        <v/>
      </c>
      <c r="I827" s="56" t="str">
        <f>IF(OR($C827="",$E827=""),"",IF($F827="완료",IF($G827="","",MAX(0,$G827-$E827)),IF($F827="취소","",MAX(0,TODAY()-$E827))))</f>
        <v/>
      </c>
      <c r="J827" s="50" t="n"/>
      <c r="K827" s="52" t="str">
        <f>IF($A827="","",$A827&amp;"|"&amp;$L827)</f>
        <v/>
      </c>
      <c r="L827" s="52" t="str">
        <f>IF($A827="","",COUNTIFS($A$3:$A827,$A827))</f>
        <v/>
      </c>
    </row>
    <row r="828" ht="15" customHeight="1" s="41">
      <c r="A828" s="50" t="n"/>
      <c r="B828" s="52" t="str">
        <f>IF($A828="","",IFERROR(INDEX(회의록!$C$3:$C$302,MATCH($A828,회의록!$A$3:$A$302,0)),"회의번호없음"))</f>
        <v/>
      </c>
      <c r="C828" s="50" t="n"/>
      <c r="D828" s="49" t="n"/>
      <c r="E828" s="53" t="n"/>
      <c r="F828" s="49" t="n"/>
      <c r="G828" s="53" t="n"/>
      <c r="H828" s="56" t="str">
        <f>IF(OR($C828="",$E828="",$F828="완료",$F828="취소"),"",$E828-TODAY())</f>
        <v/>
      </c>
      <c r="I828" s="56" t="str">
        <f>IF(OR($C828="",$E828=""),"",IF($F828="완료",IF($G828="","",MAX(0,$G828-$E828)),IF($F828="취소","",MAX(0,TODAY()-$E828))))</f>
        <v/>
      </c>
      <c r="J828" s="50" t="n"/>
      <c r="K828" s="52" t="str">
        <f>IF($A828="","",$A828&amp;"|"&amp;$L828)</f>
        <v/>
      </c>
      <c r="L828" s="52" t="str">
        <f>IF($A828="","",COUNTIFS($A$3:$A828,$A828))</f>
        <v/>
      </c>
    </row>
    <row r="829" ht="15" customHeight="1" s="41">
      <c r="A829" s="50" t="n"/>
      <c r="B829" s="52" t="str">
        <f>IF($A829="","",IFERROR(INDEX(회의록!$C$3:$C$302,MATCH($A829,회의록!$A$3:$A$302,0)),"회의번호없음"))</f>
        <v/>
      </c>
      <c r="C829" s="50" t="n"/>
      <c r="D829" s="49" t="n"/>
      <c r="E829" s="53" t="n"/>
      <c r="F829" s="49" t="n"/>
      <c r="G829" s="53" t="n"/>
      <c r="H829" s="56" t="str">
        <f>IF(OR($C829="",$E829="",$F829="완료",$F829="취소"),"",$E829-TODAY())</f>
        <v/>
      </c>
      <c r="I829" s="56" t="str">
        <f>IF(OR($C829="",$E829=""),"",IF($F829="완료",IF($G829="","",MAX(0,$G829-$E829)),IF($F829="취소","",MAX(0,TODAY()-$E829))))</f>
        <v/>
      </c>
      <c r="J829" s="50" t="n"/>
      <c r="K829" s="52" t="str">
        <f>IF($A829="","",$A829&amp;"|"&amp;$L829)</f>
        <v/>
      </c>
      <c r="L829" s="52" t="str">
        <f>IF($A829="","",COUNTIFS($A$3:$A829,$A829))</f>
        <v/>
      </c>
    </row>
    <row r="830" ht="15" customHeight="1" s="41">
      <c r="A830" s="50" t="n"/>
      <c r="B830" s="52" t="str">
        <f>IF($A830="","",IFERROR(INDEX(회의록!$C$3:$C$302,MATCH($A830,회의록!$A$3:$A$302,0)),"회의번호없음"))</f>
        <v/>
      </c>
      <c r="C830" s="50" t="n"/>
      <c r="D830" s="49" t="n"/>
      <c r="E830" s="53" t="n"/>
      <c r="F830" s="49" t="n"/>
      <c r="G830" s="53" t="n"/>
      <c r="H830" s="56" t="str">
        <f>IF(OR($C830="",$E830="",$F830="완료",$F830="취소"),"",$E830-TODAY())</f>
        <v/>
      </c>
      <c r="I830" s="56" t="str">
        <f>IF(OR($C830="",$E830=""),"",IF($F830="완료",IF($G830="","",MAX(0,$G830-$E830)),IF($F830="취소","",MAX(0,TODAY()-$E830))))</f>
        <v/>
      </c>
      <c r="J830" s="50" t="n"/>
      <c r="K830" s="52" t="str">
        <f>IF($A830="","",$A830&amp;"|"&amp;$L830)</f>
        <v/>
      </c>
      <c r="L830" s="52" t="str">
        <f>IF($A830="","",COUNTIFS($A$3:$A830,$A830))</f>
        <v/>
      </c>
    </row>
    <row r="831" ht="15" customHeight="1" s="41">
      <c r="A831" s="50" t="n"/>
      <c r="B831" s="52" t="str">
        <f>IF($A831="","",IFERROR(INDEX(회의록!$C$3:$C$302,MATCH($A831,회의록!$A$3:$A$302,0)),"회의번호없음"))</f>
        <v/>
      </c>
      <c r="C831" s="50" t="n"/>
      <c r="D831" s="49" t="n"/>
      <c r="E831" s="53" t="n"/>
      <c r="F831" s="49" t="n"/>
      <c r="G831" s="53" t="n"/>
      <c r="H831" s="56" t="str">
        <f>IF(OR($C831="",$E831="",$F831="완료",$F831="취소"),"",$E831-TODAY())</f>
        <v/>
      </c>
      <c r="I831" s="56" t="str">
        <f>IF(OR($C831="",$E831=""),"",IF($F831="완료",IF($G831="","",MAX(0,$G831-$E831)),IF($F831="취소","",MAX(0,TODAY()-$E831))))</f>
        <v/>
      </c>
      <c r="J831" s="50" t="n"/>
      <c r="K831" s="52" t="str">
        <f>IF($A831="","",$A831&amp;"|"&amp;$L831)</f>
        <v/>
      </c>
      <c r="L831" s="52" t="str">
        <f>IF($A831="","",COUNTIFS($A$3:$A831,$A831))</f>
        <v/>
      </c>
    </row>
    <row r="832" ht="15" customHeight="1" s="41">
      <c r="A832" s="50" t="n"/>
      <c r="B832" s="52" t="str">
        <f>IF($A832="","",IFERROR(INDEX(회의록!$C$3:$C$302,MATCH($A832,회의록!$A$3:$A$302,0)),"회의번호없음"))</f>
        <v/>
      </c>
      <c r="C832" s="50" t="n"/>
      <c r="D832" s="49" t="n"/>
      <c r="E832" s="53" t="n"/>
      <c r="F832" s="49" t="n"/>
      <c r="G832" s="53" t="n"/>
      <c r="H832" s="56" t="str">
        <f>IF(OR($C832="",$E832="",$F832="완료",$F832="취소"),"",$E832-TODAY())</f>
        <v/>
      </c>
      <c r="I832" s="56" t="str">
        <f>IF(OR($C832="",$E832=""),"",IF($F832="완료",IF($G832="","",MAX(0,$G832-$E832)),IF($F832="취소","",MAX(0,TODAY()-$E832))))</f>
        <v/>
      </c>
      <c r="J832" s="50" t="n"/>
      <c r="K832" s="52" t="str">
        <f>IF($A832="","",$A832&amp;"|"&amp;$L832)</f>
        <v/>
      </c>
      <c r="L832" s="52" t="str">
        <f>IF($A832="","",COUNTIFS($A$3:$A832,$A832))</f>
        <v/>
      </c>
    </row>
    <row r="833" ht="15" customHeight="1" s="41">
      <c r="A833" s="50" t="n"/>
      <c r="B833" s="52" t="str">
        <f>IF($A833="","",IFERROR(INDEX(회의록!$C$3:$C$302,MATCH($A833,회의록!$A$3:$A$302,0)),"회의번호없음"))</f>
        <v/>
      </c>
      <c r="C833" s="50" t="n"/>
      <c r="D833" s="49" t="n"/>
      <c r="E833" s="53" t="n"/>
      <c r="F833" s="49" t="n"/>
      <c r="G833" s="53" t="n"/>
      <c r="H833" s="56" t="str">
        <f>IF(OR($C833="",$E833="",$F833="완료",$F833="취소"),"",$E833-TODAY())</f>
        <v/>
      </c>
      <c r="I833" s="56" t="str">
        <f>IF(OR($C833="",$E833=""),"",IF($F833="완료",IF($G833="","",MAX(0,$G833-$E833)),IF($F833="취소","",MAX(0,TODAY()-$E833))))</f>
        <v/>
      </c>
      <c r="J833" s="50" t="n"/>
      <c r="K833" s="52" t="str">
        <f>IF($A833="","",$A833&amp;"|"&amp;$L833)</f>
        <v/>
      </c>
      <c r="L833" s="52" t="str">
        <f>IF($A833="","",COUNTIFS($A$3:$A833,$A833))</f>
        <v/>
      </c>
    </row>
    <row r="834" ht="15" customHeight="1" s="41">
      <c r="A834" s="50" t="n"/>
      <c r="B834" s="52" t="str">
        <f>IF($A834="","",IFERROR(INDEX(회의록!$C$3:$C$302,MATCH($A834,회의록!$A$3:$A$302,0)),"회의번호없음"))</f>
        <v/>
      </c>
      <c r="C834" s="50" t="n"/>
      <c r="D834" s="49" t="n"/>
      <c r="E834" s="53" t="n"/>
      <c r="F834" s="49" t="n"/>
      <c r="G834" s="53" t="n"/>
      <c r="H834" s="56" t="str">
        <f>IF(OR($C834="",$E834="",$F834="완료",$F834="취소"),"",$E834-TODAY())</f>
        <v/>
      </c>
      <c r="I834" s="56" t="str">
        <f>IF(OR($C834="",$E834=""),"",IF($F834="완료",IF($G834="","",MAX(0,$G834-$E834)),IF($F834="취소","",MAX(0,TODAY()-$E834))))</f>
        <v/>
      </c>
      <c r="J834" s="50" t="n"/>
      <c r="K834" s="52" t="str">
        <f>IF($A834="","",$A834&amp;"|"&amp;$L834)</f>
        <v/>
      </c>
      <c r="L834" s="52" t="str">
        <f>IF($A834="","",COUNTIFS($A$3:$A834,$A834))</f>
        <v/>
      </c>
    </row>
    <row r="835" ht="15" customHeight="1" s="41">
      <c r="A835" s="50" t="n"/>
      <c r="B835" s="52" t="str">
        <f>IF($A835="","",IFERROR(INDEX(회의록!$C$3:$C$302,MATCH($A835,회의록!$A$3:$A$302,0)),"회의번호없음"))</f>
        <v/>
      </c>
      <c r="C835" s="50" t="n"/>
      <c r="D835" s="49" t="n"/>
      <c r="E835" s="53" t="n"/>
      <c r="F835" s="49" t="n"/>
      <c r="G835" s="53" t="n"/>
      <c r="H835" s="56" t="str">
        <f>IF(OR($C835="",$E835="",$F835="완료",$F835="취소"),"",$E835-TODAY())</f>
        <v/>
      </c>
      <c r="I835" s="56" t="str">
        <f>IF(OR($C835="",$E835=""),"",IF($F835="완료",IF($G835="","",MAX(0,$G835-$E835)),IF($F835="취소","",MAX(0,TODAY()-$E835))))</f>
        <v/>
      </c>
      <c r="J835" s="50" t="n"/>
      <c r="K835" s="52" t="str">
        <f>IF($A835="","",$A835&amp;"|"&amp;$L835)</f>
        <v/>
      </c>
      <c r="L835" s="52" t="str">
        <f>IF($A835="","",COUNTIFS($A$3:$A835,$A835))</f>
        <v/>
      </c>
    </row>
    <row r="836" ht="15" customHeight="1" s="41">
      <c r="A836" s="50" t="n"/>
      <c r="B836" s="52" t="str">
        <f>IF($A836="","",IFERROR(INDEX(회의록!$C$3:$C$302,MATCH($A836,회의록!$A$3:$A$302,0)),"회의번호없음"))</f>
        <v/>
      </c>
      <c r="C836" s="50" t="n"/>
      <c r="D836" s="49" t="n"/>
      <c r="E836" s="53" t="n"/>
      <c r="F836" s="49" t="n"/>
      <c r="G836" s="53" t="n"/>
      <c r="H836" s="56" t="str">
        <f>IF(OR($C836="",$E836="",$F836="완료",$F836="취소"),"",$E836-TODAY())</f>
        <v/>
      </c>
      <c r="I836" s="56" t="str">
        <f>IF(OR($C836="",$E836=""),"",IF($F836="완료",IF($G836="","",MAX(0,$G836-$E836)),IF($F836="취소","",MAX(0,TODAY()-$E836))))</f>
        <v/>
      </c>
      <c r="J836" s="50" t="n"/>
      <c r="K836" s="52" t="str">
        <f>IF($A836="","",$A836&amp;"|"&amp;$L836)</f>
        <v/>
      </c>
      <c r="L836" s="52" t="str">
        <f>IF($A836="","",COUNTIFS($A$3:$A836,$A836))</f>
        <v/>
      </c>
    </row>
    <row r="837" ht="15" customHeight="1" s="41">
      <c r="A837" s="50" t="n"/>
      <c r="B837" s="52" t="str">
        <f>IF($A837="","",IFERROR(INDEX(회의록!$C$3:$C$302,MATCH($A837,회의록!$A$3:$A$302,0)),"회의번호없음"))</f>
        <v/>
      </c>
      <c r="C837" s="50" t="n"/>
      <c r="D837" s="49" t="n"/>
      <c r="E837" s="53" t="n"/>
      <c r="F837" s="49" t="n"/>
      <c r="G837" s="53" t="n"/>
      <c r="H837" s="56" t="str">
        <f>IF(OR($C837="",$E837="",$F837="완료",$F837="취소"),"",$E837-TODAY())</f>
        <v/>
      </c>
      <c r="I837" s="56" t="str">
        <f>IF(OR($C837="",$E837=""),"",IF($F837="완료",IF($G837="","",MAX(0,$G837-$E837)),IF($F837="취소","",MAX(0,TODAY()-$E837))))</f>
        <v/>
      </c>
      <c r="J837" s="50" t="n"/>
      <c r="K837" s="52" t="str">
        <f>IF($A837="","",$A837&amp;"|"&amp;$L837)</f>
        <v/>
      </c>
      <c r="L837" s="52" t="str">
        <f>IF($A837="","",COUNTIFS($A$3:$A837,$A837))</f>
        <v/>
      </c>
    </row>
    <row r="838" ht="15" customHeight="1" s="41">
      <c r="A838" s="50" t="n"/>
      <c r="B838" s="52" t="str">
        <f>IF($A838="","",IFERROR(INDEX(회의록!$C$3:$C$302,MATCH($A838,회의록!$A$3:$A$302,0)),"회의번호없음"))</f>
        <v/>
      </c>
      <c r="C838" s="50" t="n"/>
      <c r="D838" s="49" t="n"/>
      <c r="E838" s="53" t="n"/>
      <c r="F838" s="49" t="n"/>
      <c r="G838" s="53" t="n"/>
      <c r="H838" s="56" t="str">
        <f>IF(OR($C838="",$E838="",$F838="완료",$F838="취소"),"",$E838-TODAY())</f>
        <v/>
      </c>
      <c r="I838" s="56" t="str">
        <f>IF(OR($C838="",$E838=""),"",IF($F838="완료",IF($G838="","",MAX(0,$G838-$E838)),IF($F838="취소","",MAX(0,TODAY()-$E838))))</f>
        <v/>
      </c>
      <c r="J838" s="50" t="n"/>
      <c r="K838" s="52" t="str">
        <f>IF($A838="","",$A838&amp;"|"&amp;$L838)</f>
        <v/>
      </c>
      <c r="L838" s="52" t="str">
        <f>IF($A838="","",COUNTIFS($A$3:$A838,$A838))</f>
        <v/>
      </c>
    </row>
    <row r="839" ht="15" customHeight="1" s="41">
      <c r="A839" s="50" t="n"/>
      <c r="B839" s="52" t="str">
        <f>IF($A839="","",IFERROR(INDEX(회의록!$C$3:$C$302,MATCH($A839,회의록!$A$3:$A$302,0)),"회의번호없음"))</f>
        <v/>
      </c>
      <c r="C839" s="50" t="n"/>
      <c r="D839" s="49" t="n"/>
      <c r="E839" s="53" t="n"/>
      <c r="F839" s="49" t="n"/>
      <c r="G839" s="53" t="n"/>
      <c r="H839" s="56" t="str">
        <f>IF(OR($C839="",$E839="",$F839="완료",$F839="취소"),"",$E839-TODAY())</f>
        <v/>
      </c>
      <c r="I839" s="56" t="str">
        <f>IF(OR($C839="",$E839=""),"",IF($F839="완료",IF($G839="","",MAX(0,$G839-$E839)),IF($F839="취소","",MAX(0,TODAY()-$E839))))</f>
        <v/>
      </c>
      <c r="J839" s="50" t="n"/>
      <c r="K839" s="52" t="str">
        <f>IF($A839="","",$A839&amp;"|"&amp;$L839)</f>
        <v/>
      </c>
      <c r="L839" s="52" t="str">
        <f>IF($A839="","",COUNTIFS($A$3:$A839,$A839))</f>
        <v/>
      </c>
    </row>
    <row r="840" ht="15" customHeight="1" s="41">
      <c r="A840" s="50" t="n"/>
      <c r="B840" s="52" t="str">
        <f>IF($A840="","",IFERROR(INDEX(회의록!$C$3:$C$302,MATCH($A840,회의록!$A$3:$A$302,0)),"회의번호없음"))</f>
        <v/>
      </c>
      <c r="C840" s="50" t="n"/>
      <c r="D840" s="49" t="n"/>
      <c r="E840" s="53" t="n"/>
      <c r="F840" s="49" t="n"/>
      <c r="G840" s="53" t="n"/>
      <c r="H840" s="56" t="str">
        <f>IF(OR($C840="",$E840="",$F840="완료",$F840="취소"),"",$E840-TODAY())</f>
        <v/>
      </c>
      <c r="I840" s="56" t="str">
        <f>IF(OR($C840="",$E840=""),"",IF($F840="완료",IF($G840="","",MAX(0,$G840-$E840)),IF($F840="취소","",MAX(0,TODAY()-$E840))))</f>
        <v/>
      </c>
      <c r="J840" s="50" t="n"/>
      <c r="K840" s="52" t="str">
        <f>IF($A840="","",$A840&amp;"|"&amp;$L840)</f>
        <v/>
      </c>
      <c r="L840" s="52" t="str">
        <f>IF($A840="","",COUNTIFS($A$3:$A840,$A840))</f>
        <v/>
      </c>
    </row>
    <row r="841" ht="15" customHeight="1" s="41">
      <c r="A841" s="50" t="n"/>
      <c r="B841" s="52" t="str">
        <f>IF($A841="","",IFERROR(INDEX(회의록!$C$3:$C$302,MATCH($A841,회의록!$A$3:$A$302,0)),"회의번호없음"))</f>
        <v/>
      </c>
      <c r="C841" s="50" t="n"/>
      <c r="D841" s="49" t="n"/>
      <c r="E841" s="53" t="n"/>
      <c r="F841" s="49" t="n"/>
      <c r="G841" s="53" t="n"/>
      <c r="H841" s="56" t="str">
        <f>IF(OR($C841="",$E841="",$F841="완료",$F841="취소"),"",$E841-TODAY())</f>
        <v/>
      </c>
      <c r="I841" s="56" t="str">
        <f>IF(OR($C841="",$E841=""),"",IF($F841="완료",IF($G841="","",MAX(0,$G841-$E841)),IF($F841="취소","",MAX(0,TODAY()-$E841))))</f>
        <v/>
      </c>
      <c r="J841" s="50" t="n"/>
      <c r="K841" s="52" t="str">
        <f>IF($A841="","",$A841&amp;"|"&amp;$L841)</f>
        <v/>
      </c>
      <c r="L841" s="52" t="str">
        <f>IF($A841="","",COUNTIFS($A$3:$A841,$A841))</f>
        <v/>
      </c>
    </row>
    <row r="842" ht="15" customHeight="1" s="41">
      <c r="A842" s="50" t="n"/>
      <c r="B842" s="52" t="str">
        <f>IF($A842="","",IFERROR(INDEX(회의록!$C$3:$C$302,MATCH($A842,회의록!$A$3:$A$302,0)),"회의번호없음"))</f>
        <v/>
      </c>
      <c r="C842" s="50" t="n"/>
      <c r="D842" s="49" t="n"/>
      <c r="E842" s="53" t="n"/>
      <c r="F842" s="49" t="n"/>
      <c r="G842" s="53" t="n"/>
      <c r="H842" s="56" t="str">
        <f>IF(OR($C842="",$E842="",$F842="완료",$F842="취소"),"",$E842-TODAY())</f>
        <v/>
      </c>
      <c r="I842" s="56" t="str">
        <f>IF(OR($C842="",$E842=""),"",IF($F842="완료",IF($G842="","",MAX(0,$G842-$E842)),IF($F842="취소","",MAX(0,TODAY()-$E842))))</f>
        <v/>
      </c>
      <c r="J842" s="50" t="n"/>
      <c r="K842" s="52" t="str">
        <f>IF($A842="","",$A842&amp;"|"&amp;$L842)</f>
        <v/>
      </c>
      <c r="L842" s="52" t="str">
        <f>IF($A842="","",COUNTIFS($A$3:$A842,$A842))</f>
        <v/>
      </c>
    </row>
    <row r="843" ht="15" customHeight="1" s="41">
      <c r="A843" s="50" t="n"/>
      <c r="B843" s="52" t="str">
        <f>IF($A843="","",IFERROR(INDEX(회의록!$C$3:$C$302,MATCH($A843,회의록!$A$3:$A$302,0)),"회의번호없음"))</f>
        <v/>
      </c>
      <c r="C843" s="50" t="n"/>
      <c r="D843" s="49" t="n"/>
      <c r="E843" s="53" t="n"/>
      <c r="F843" s="49" t="n"/>
      <c r="G843" s="53" t="n"/>
      <c r="H843" s="56" t="str">
        <f>IF(OR($C843="",$E843="",$F843="완료",$F843="취소"),"",$E843-TODAY())</f>
        <v/>
      </c>
      <c r="I843" s="56" t="str">
        <f>IF(OR($C843="",$E843=""),"",IF($F843="완료",IF($G843="","",MAX(0,$G843-$E843)),IF($F843="취소","",MAX(0,TODAY()-$E843))))</f>
        <v/>
      </c>
      <c r="J843" s="50" t="n"/>
      <c r="K843" s="52" t="str">
        <f>IF($A843="","",$A843&amp;"|"&amp;$L843)</f>
        <v/>
      </c>
      <c r="L843" s="52" t="str">
        <f>IF($A843="","",COUNTIFS($A$3:$A843,$A843))</f>
        <v/>
      </c>
    </row>
    <row r="844" ht="15" customHeight="1" s="41">
      <c r="A844" s="50" t="n"/>
      <c r="B844" s="52" t="str">
        <f>IF($A844="","",IFERROR(INDEX(회의록!$C$3:$C$302,MATCH($A844,회의록!$A$3:$A$302,0)),"회의번호없음"))</f>
        <v/>
      </c>
      <c r="C844" s="50" t="n"/>
      <c r="D844" s="49" t="n"/>
      <c r="E844" s="53" t="n"/>
      <c r="F844" s="49" t="n"/>
      <c r="G844" s="53" t="n"/>
      <c r="H844" s="56" t="str">
        <f>IF(OR($C844="",$E844="",$F844="완료",$F844="취소"),"",$E844-TODAY())</f>
        <v/>
      </c>
      <c r="I844" s="56" t="str">
        <f>IF(OR($C844="",$E844=""),"",IF($F844="완료",IF($G844="","",MAX(0,$G844-$E844)),IF($F844="취소","",MAX(0,TODAY()-$E844))))</f>
        <v/>
      </c>
      <c r="J844" s="50" t="n"/>
      <c r="K844" s="52" t="str">
        <f>IF($A844="","",$A844&amp;"|"&amp;$L844)</f>
        <v/>
      </c>
      <c r="L844" s="52" t="str">
        <f>IF($A844="","",COUNTIFS($A$3:$A844,$A844))</f>
        <v/>
      </c>
    </row>
    <row r="845" ht="15" customHeight="1" s="41">
      <c r="A845" s="50" t="n"/>
      <c r="B845" s="52" t="str">
        <f>IF($A845="","",IFERROR(INDEX(회의록!$C$3:$C$302,MATCH($A845,회의록!$A$3:$A$302,0)),"회의번호없음"))</f>
        <v/>
      </c>
      <c r="C845" s="50" t="n"/>
      <c r="D845" s="49" t="n"/>
      <c r="E845" s="53" t="n"/>
      <c r="F845" s="49" t="n"/>
      <c r="G845" s="53" t="n"/>
      <c r="H845" s="56" t="str">
        <f>IF(OR($C845="",$E845="",$F845="완료",$F845="취소"),"",$E845-TODAY())</f>
        <v/>
      </c>
      <c r="I845" s="56" t="str">
        <f>IF(OR($C845="",$E845=""),"",IF($F845="완료",IF($G845="","",MAX(0,$G845-$E845)),IF($F845="취소","",MAX(0,TODAY()-$E845))))</f>
        <v/>
      </c>
      <c r="J845" s="50" t="n"/>
      <c r="K845" s="52" t="str">
        <f>IF($A845="","",$A845&amp;"|"&amp;$L845)</f>
        <v/>
      </c>
      <c r="L845" s="52" t="str">
        <f>IF($A845="","",COUNTIFS($A$3:$A845,$A845))</f>
        <v/>
      </c>
    </row>
    <row r="846" ht="15" customHeight="1" s="41">
      <c r="A846" s="50" t="n"/>
      <c r="B846" s="52" t="str">
        <f>IF($A846="","",IFERROR(INDEX(회의록!$C$3:$C$302,MATCH($A846,회의록!$A$3:$A$302,0)),"회의번호없음"))</f>
        <v/>
      </c>
      <c r="C846" s="50" t="n"/>
      <c r="D846" s="49" t="n"/>
      <c r="E846" s="53" t="n"/>
      <c r="F846" s="49" t="n"/>
      <c r="G846" s="53" t="n"/>
      <c r="H846" s="56" t="str">
        <f>IF(OR($C846="",$E846="",$F846="완료",$F846="취소"),"",$E846-TODAY())</f>
        <v/>
      </c>
      <c r="I846" s="56" t="str">
        <f>IF(OR($C846="",$E846=""),"",IF($F846="완료",IF($G846="","",MAX(0,$G846-$E846)),IF($F846="취소","",MAX(0,TODAY()-$E846))))</f>
        <v/>
      </c>
      <c r="J846" s="50" t="n"/>
      <c r="K846" s="52" t="str">
        <f>IF($A846="","",$A846&amp;"|"&amp;$L846)</f>
        <v/>
      </c>
      <c r="L846" s="52" t="str">
        <f>IF($A846="","",COUNTIFS($A$3:$A846,$A846))</f>
        <v/>
      </c>
    </row>
    <row r="847" ht="15" customHeight="1" s="41">
      <c r="A847" s="50" t="n"/>
      <c r="B847" s="52" t="str">
        <f>IF($A847="","",IFERROR(INDEX(회의록!$C$3:$C$302,MATCH($A847,회의록!$A$3:$A$302,0)),"회의번호없음"))</f>
        <v/>
      </c>
      <c r="C847" s="50" t="n"/>
      <c r="D847" s="49" t="n"/>
      <c r="E847" s="53" t="n"/>
      <c r="F847" s="49" t="n"/>
      <c r="G847" s="53" t="n"/>
      <c r="H847" s="56" t="str">
        <f>IF(OR($C847="",$E847="",$F847="완료",$F847="취소"),"",$E847-TODAY())</f>
        <v/>
      </c>
      <c r="I847" s="56" t="str">
        <f>IF(OR($C847="",$E847=""),"",IF($F847="완료",IF($G847="","",MAX(0,$G847-$E847)),IF($F847="취소","",MAX(0,TODAY()-$E847))))</f>
        <v/>
      </c>
      <c r="J847" s="50" t="n"/>
      <c r="K847" s="52" t="str">
        <f>IF($A847="","",$A847&amp;"|"&amp;$L847)</f>
        <v/>
      </c>
      <c r="L847" s="52" t="str">
        <f>IF($A847="","",COUNTIFS($A$3:$A847,$A847))</f>
        <v/>
      </c>
    </row>
    <row r="848" ht="15" customHeight="1" s="41">
      <c r="A848" s="50" t="n"/>
      <c r="B848" s="52" t="str">
        <f>IF($A848="","",IFERROR(INDEX(회의록!$C$3:$C$302,MATCH($A848,회의록!$A$3:$A$302,0)),"회의번호없음"))</f>
        <v/>
      </c>
      <c r="C848" s="50" t="n"/>
      <c r="D848" s="49" t="n"/>
      <c r="E848" s="53" t="n"/>
      <c r="F848" s="49" t="n"/>
      <c r="G848" s="53" t="n"/>
      <c r="H848" s="56" t="str">
        <f>IF(OR($C848="",$E848="",$F848="완료",$F848="취소"),"",$E848-TODAY())</f>
        <v/>
      </c>
      <c r="I848" s="56" t="str">
        <f>IF(OR($C848="",$E848=""),"",IF($F848="완료",IF($G848="","",MAX(0,$G848-$E848)),IF($F848="취소","",MAX(0,TODAY()-$E848))))</f>
        <v/>
      </c>
      <c r="J848" s="50" t="n"/>
      <c r="K848" s="52" t="str">
        <f>IF($A848="","",$A848&amp;"|"&amp;$L848)</f>
        <v/>
      </c>
      <c r="L848" s="52" t="str">
        <f>IF($A848="","",COUNTIFS($A$3:$A848,$A848))</f>
        <v/>
      </c>
    </row>
    <row r="849" ht="15" customHeight="1" s="41">
      <c r="A849" s="50" t="n"/>
      <c r="B849" s="52" t="str">
        <f>IF($A849="","",IFERROR(INDEX(회의록!$C$3:$C$302,MATCH($A849,회의록!$A$3:$A$302,0)),"회의번호없음"))</f>
        <v/>
      </c>
      <c r="C849" s="50" t="n"/>
      <c r="D849" s="49" t="n"/>
      <c r="E849" s="53" t="n"/>
      <c r="F849" s="49" t="n"/>
      <c r="G849" s="53" t="n"/>
      <c r="H849" s="56" t="str">
        <f>IF(OR($C849="",$E849="",$F849="완료",$F849="취소"),"",$E849-TODAY())</f>
        <v/>
      </c>
      <c r="I849" s="56" t="str">
        <f>IF(OR($C849="",$E849=""),"",IF($F849="완료",IF($G849="","",MAX(0,$G849-$E849)),IF($F849="취소","",MAX(0,TODAY()-$E849))))</f>
        <v/>
      </c>
      <c r="J849" s="50" t="n"/>
      <c r="K849" s="52" t="str">
        <f>IF($A849="","",$A849&amp;"|"&amp;$L849)</f>
        <v/>
      </c>
      <c r="L849" s="52" t="str">
        <f>IF($A849="","",COUNTIFS($A$3:$A849,$A849))</f>
        <v/>
      </c>
    </row>
    <row r="850" ht="15" customHeight="1" s="41">
      <c r="A850" s="50" t="n"/>
      <c r="B850" s="52" t="str">
        <f>IF($A850="","",IFERROR(INDEX(회의록!$C$3:$C$302,MATCH($A850,회의록!$A$3:$A$302,0)),"회의번호없음"))</f>
        <v/>
      </c>
      <c r="C850" s="50" t="n"/>
      <c r="D850" s="49" t="n"/>
      <c r="E850" s="53" t="n"/>
      <c r="F850" s="49" t="n"/>
      <c r="G850" s="53" t="n"/>
      <c r="H850" s="56" t="str">
        <f>IF(OR($C850="",$E850="",$F850="완료",$F850="취소"),"",$E850-TODAY())</f>
        <v/>
      </c>
      <c r="I850" s="56" t="str">
        <f>IF(OR($C850="",$E850=""),"",IF($F850="완료",IF($G850="","",MAX(0,$G850-$E850)),IF($F850="취소","",MAX(0,TODAY()-$E850))))</f>
        <v/>
      </c>
      <c r="J850" s="50" t="n"/>
      <c r="K850" s="52" t="str">
        <f>IF($A850="","",$A850&amp;"|"&amp;$L850)</f>
        <v/>
      </c>
      <c r="L850" s="52" t="str">
        <f>IF($A850="","",COUNTIFS($A$3:$A850,$A850))</f>
        <v/>
      </c>
    </row>
    <row r="851" ht="15" customHeight="1" s="41">
      <c r="A851" s="50" t="n"/>
      <c r="B851" s="52" t="str">
        <f>IF($A851="","",IFERROR(INDEX(회의록!$C$3:$C$302,MATCH($A851,회의록!$A$3:$A$302,0)),"회의번호없음"))</f>
        <v/>
      </c>
      <c r="C851" s="50" t="n"/>
      <c r="D851" s="49" t="n"/>
      <c r="E851" s="53" t="n"/>
      <c r="F851" s="49" t="n"/>
      <c r="G851" s="53" t="n"/>
      <c r="H851" s="56" t="str">
        <f>IF(OR($C851="",$E851="",$F851="완료",$F851="취소"),"",$E851-TODAY())</f>
        <v/>
      </c>
      <c r="I851" s="56" t="str">
        <f>IF(OR($C851="",$E851=""),"",IF($F851="완료",IF($G851="","",MAX(0,$G851-$E851)),IF($F851="취소","",MAX(0,TODAY()-$E851))))</f>
        <v/>
      </c>
      <c r="J851" s="50" t="n"/>
      <c r="K851" s="52" t="str">
        <f>IF($A851="","",$A851&amp;"|"&amp;$L851)</f>
        <v/>
      </c>
      <c r="L851" s="52" t="str">
        <f>IF($A851="","",COUNTIFS($A$3:$A851,$A851))</f>
        <v/>
      </c>
    </row>
    <row r="852" ht="15" customHeight="1" s="41">
      <c r="A852" s="50" t="n"/>
      <c r="B852" s="52" t="str">
        <f>IF($A852="","",IFERROR(INDEX(회의록!$C$3:$C$302,MATCH($A852,회의록!$A$3:$A$302,0)),"회의번호없음"))</f>
        <v/>
      </c>
      <c r="C852" s="50" t="n"/>
      <c r="D852" s="49" t="n"/>
      <c r="E852" s="53" t="n"/>
      <c r="F852" s="49" t="n"/>
      <c r="G852" s="53" t="n"/>
      <c r="H852" s="56" t="str">
        <f>IF(OR($C852="",$E852="",$F852="완료",$F852="취소"),"",$E852-TODAY())</f>
        <v/>
      </c>
      <c r="I852" s="56" t="str">
        <f>IF(OR($C852="",$E852=""),"",IF($F852="완료",IF($G852="","",MAX(0,$G852-$E852)),IF($F852="취소","",MAX(0,TODAY()-$E852))))</f>
        <v/>
      </c>
      <c r="J852" s="50" t="n"/>
      <c r="K852" s="52" t="str">
        <f>IF($A852="","",$A852&amp;"|"&amp;$L852)</f>
        <v/>
      </c>
      <c r="L852" s="52" t="str">
        <f>IF($A852="","",COUNTIFS($A$3:$A852,$A852))</f>
        <v/>
      </c>
    </row>
    <row r="853" ht="15" customHeight="1" s="41">
      <c r="A853" s="50" t="n"/>
      <c r="B853" s="52" t="str">
        <f>IF($A853="","",IFERROR(INDEX(회의록!$C$3:$C$302,MATCH($A853,회의록!$A$3:$A$302,0)),"회의번호없음"))</f>
        <v/>
      </c>
      <c r="C853" s="50" t="n"/>
      <c r="D853" s="49" t="n"/>
      <c r="E853" s="53" t="n"/>
      <c r="F853" s="49" t="n"/>
      <c r="G853" s="53" t="n"/>
      <c r="H853" s="56" t="str">
        <f>IF(OR($C853="",$E853="",$F853="완료",$F853="취소"),"",$E853-TODAY())</f>
        <v/>
      </c>
      <c r="I853" s="56" t="str">
        <f>IF(OR($C853="",$E853=""),"",IF($F853="완료",IF($G853="","",MAX(0,$G853-$E853)),IF($F853="취소","",MAX(0,TODAY()-$E853))))</f>
        <v/>
      </c>
      <c r="J853" s="50" t="n"/>
      <c r="K853" s="52" t="str">
        <f>IF($A853="","",$A853&amp;"|"&amp;$L853)</f>
        <v/>
      </c>
      <c r="L853" s="52" t="str">
        <f>IF($A853="","",COUNTIFS($A$3:$A853,$A853))</f>
        <v/>
      </c>
    </row>
    <row r="854" ht="15" customHeight="1" s="41">
      <c r="A854" s="50" t="n"/>
      <c r="B854" s="52" t="str">
        <f>IF($A854="","",IFERROR(INDEX(회의록!$C$3:$C$302,MATCH($A854,회의록!$A$3:$A$302,0)),"회의번호없음"))</f>
        <v/>
      </c>
      <c r="C854" s="50" t="n"/>
      <c r="D854" s="49" t="n"/>
      <c r="E854" s="53" t="n"/>
      <c r="F854" s="49" t="n"/>
      <c r="G854" s="53" t="n"/>
      <c r="H854" s="56" t="str">
        <f>IF(OR($C854="",$E854="",$F854="완료",$F854="취소"),"",$E854-TODAY())</f>
        <v/>
      </c>
      <c r="I854" s="56" t="str">
        <f>IF(OR($C854="",$E854=""),"",IF($F854="완료",IF($G854="","",MAX(0,$G854-$E854)),IF($F854="취소","",MAX(0,TODAY()-$E854))))</f>
        <v/>
      </c>
      <c r="J854" s="50" t="n"/>
      <c r="K854" s="52" t="str">
        <f>IF($A854="","",$A854&amp;"|"&amp;$L854)</f>
        <v/>
      </c>
      <c r="L854" s="52" t="str">
        <f>IF($A854="","",COUNTIFS($A$3:$A854,$A854))</f>
        <v/>
      </c>
    </row>
    <row r="855" ht="15" customHeight="1" s="41">
      <c r="A855" s="50" t="n"/>
      <c r="B855" s="52" t="str">
        <f>IF($A855="","",IFERROR(INDEX(회의록!$C$3:$C$302,MATCH($A855,회의록!$A$3:$A$302,0)),"회의번호없음"))</f>
        <v/>
      </c>
      <c r="C855" s="50" t="n"/>
      <c r="D855" s="49" t="n"/>
      <c r="E855" s="53" t="n"/>
      <c r="F855" s="49" t="n"/>
      <c r="G855" s="53" t="n"/>
      <c r="H855" s="56" t="str">
        <f>IF(OR($C855="",$E855="",$F855="완료",$F855="취소"),"",$E855-TODAY())</f>
        <v/>
      </c>
      <c r="I855" s="56" t="str">
        <f>IF(OR($C855="",$E855=""),"",IF($F855="완료",IF($G855="","",MAX(0,$G855-$E855)),IF($F855="취소","",MAX(0,TODAY()-$E855))))</f>
        <v/>
      </c>
      <c r="J855" s="50" t="n"/>
      <c r="K855" s="52" t="str">
        <f>IF($A855="","",$A855&amp;"|"&amp;$L855)</f>
        <v/>
      </c>
      <c r="L855" s="52" t="str">
        <f>IF($A855="","",COUNTIFS($A$3:$A855,$A855))</f>
        <v/>
      </c>
    </row>
    <row r="856" ht="15" customHeight="1" s="41">
      <c r="A856" s="50" t="n"/>
      <c r="B856" s="52" t="str">
        <f>IF($A856="","",IFERROR(INDEX(회의록!$C$3:$C$302,MATCH($A856,회의록!$A$3:$A$302,0)),"회의번호없음"))</f>
        <v/>
      </c>
      <c r="C856" s="50" t="n"/>
      <c r="D856" s="49" t="n"/>
      <c r="E856" s="53" t="n"/>
      <c r="F856" s="49" t="n"/>
      <c r="G856" s="53" t="n"/>
      <c r="H856" s="56" t="str">
        <f>IF(OR($C856="",$E856="",$F856="완료",$F856="취소"),"",$E856-TODAY())</f>
        <v/>
      </c>
      <c r="I856" s="56" t="str">
        <f>IF(OR($C856="",$E856=""),"",IF($F856="완료",IF($G856="","",MAX(0,$G856-$E856)),IF($F856="취소","",MAX(0,TODAY()-$E856))))</f>
        <v/>
      </c>
      <c r="J856" s="50" t="n"/>
      <c r="K856" s="52" t="str">
        <f>IF($A856="","",$A856&amp;"|"&amp;$L856)</f>
        <v/>
      </c>
      <c r="L856" s="52" t="str">
        <f>IF($A856="","",COUNTIFS($A$3:$A856,$A856))</f>
        <v/>
      </c>
    </row>
    <row r="857" ht="15" customHeight="1" s="41">
      <c r="A857" s="50" t="n"/>
      <c r="B857" s="52" t="str">
        <f>IF($A857="","",IFERROR(INDEX(회의록!$C$3:$C$302,MATCH($A857,회의록!$A$3:$A$302,0)),"회의번호없음"))</f>
        <v/>
      </c>
      <c r="C857" s="50" t="n"/>
      <c r="D857" s="49" t="n"/>
      <c r="E857" s="53" t="n"/>
      <c r="F857" s="49" t="n"/>
      <c r="G857" s="53" t="n"/>
      <c r="H857" s="56" t="str">
        <f>IF(OR($C857="",$E857="",$F857="완료",$F857="취소"),"",$E857-TODAY())</f>
        <v/>
      </c>
      <c r="I857" s="56" t="str">
        <f>IF(OR($C857="",$E857=""),"",IF($F857="완료",IF($G857="","",MAX(0,$G857-$E857)),IF($F857="취소","",MAX(0,TODAY()-$E857))))</f>
        <v/>
      </c>
      <c r="J857" s="50" t="n"/>
      <c r="K857" s="52" t="str">
        <f>IF($A857="","",$A857&amp;"|"&amp;$L857)</f>
        <v/>
      </c>
      <c r="L857" s="52" t="str">
        <f>IF($A857="","",COUNTIFS($A$3:$A857,$A857))</f>
        <v/>
      </c>
    </row>
    <row r="858" ht="15" customHeight="1" s="41">
      <c r="A858" s="50" t="n"/>
      <c r="B858" s="52" t="str">
        <f>IF($A858="","",IFERROR(INDEX(회의록!$C$3:$C$302,MATCH($A858,회의록!$A$3:$A$302,0)),"회의번호없음"))</f>
        <v/>
      </c>
      <c r="C858" s="50" t="n"/>
      <c r="D858" s="49" t="n"/>
      <c r="E858" s="53" t="n"/>
      <c r="F858" s="49" t="n"/>
      <c r="G858" s="53" t="n"/>
      <c r="H858" s="56" t="str">
        <f>IF(OR($C858="",$E858="",$F858="완료",$F858="취소"),"",$E858-TODAY())</f>
        <v/>
      </c>
      <c r="I858" s="56" t="str">
        <f>IF(OR($C858="",$E858=""),"",IF($F858="완료",IF($G858="","",MAX(0,$G858-$E858)),IF($F858="취소","",MAX(0,TODAY()-$E858))))</f>
        <v/>
      </c>
      <c r="J858" s="50" t="n"/>
      <c r="K858" s="52" t="str">
        <f>IF($A858="","",$A858&amp;"|"&amp;$L858)</f>
        <v/>
      </c>
      <c r="L858" s="52" t="str">
        <f>IF($A858="","",COUNTIFS($A$3:$A858,$A858))</f>
        <v/>
      </c>
    </row>
    <row r="859" ht="15" customHeight="1" s="41">
      <c r="A859" s="50" t="n"/>
      <c r="B859" s="52" t="str">
        <f>IF($A859="","",IFERROR(INDEX(회의록!$C$3:$C$302,MATCH($A859,회의록!$A$3:$A$302,0)),"회의번호없음"))</f>
        <v/>
      </c>
      <c r="C859" s="50" t="n"/>
      <c r="D859" s="49" t="n"/>
      <c r="E859" s="53" t="n"/>
      <c r="F859" s="49" t="n"/>
      <c r="G859" s="53" t="n"/>
      <c r="H859" s="56" t="str">
        <f>IF(OR($C859="",$E859="",$F859="완료",$F859="취소"),"",$E859-TODAY())</f>
        <v/>
      </c>
      <c r="I859" s="56" t="str">
        <f>IF(OR($C859="",$E859=""),"",IF($F859="완료",IF($G859="","",MAX(0,$G859-$E859)),IF($F859="취소","",MAX(0,TODAY()-$E859))))</f>
        <v/>
      </c>
      <c r="J859" s="50" t="n"/>
      <c r="K859" s="52" t="str">
        <f>IF($A859="","",$A859&amp;"|"&amp;$L859)</f>
        <v/>
      </c>
      <c r="L859" s="52" t="str">
        <f>IF($A859="","",COUNTIFS($A$3:$A859,$A859))</f>
        <v/>
      </c>
    </row>
    <row r="860" ht="15" customHeight="1" s="41">
      <c r="A860" s="50" t="n"/>
      <c r="B860" s="52" t="str">
        <f>IF($A860="","",IFERROR(INDEX(회의록!$C$3:$C$302,MATCH($A860,회의록!$A$3:$A$302,0)),"회의번호없음"))</f>
        <v/>
      </c>
      <c r="C860" s="50" t="n"/>
      <c r="D860" s="49" t="n"/>
      <c r="E860" s="53" t="n"/>
      <c r="F860" s="49" t="n"/>
      <c r="G860" s="53" t="n"/>
      <c r="H860" s="56" t="str">
        <f>IF(OR($C860="",$E860="",$F860="완료",$F860="취소"),"",$E860-TODAY())</f>
        <v/>
      </c>
      <c r="I860" s="56" t="str">
        <f>IF(OR($C860="",$E860=""),"",IF($F860="완료",IF($G860="","",MAX(0,$G860-$E860)),IF($F860="취소","",MAX(0,TODAY()-$E860))))</f>
        <v/>
      </c>
      <c r="J860" s="50" t="n"/>
      <c r="K860" s="52" t="str">
        <f>IF($A860="","",$A860&amp;"|"&amp;$L860)</f>
        <v/>
      </c>
      <c r="L860" s="52" t="str">
        <f>IF($A860="","",COUNTIFS($A$3:$A860,$A860))</f>
        <v/>
      </c>
    </row>
    <row r="861" ht="15" customHeight="1" s="41">
      <c r="A861" s="50" t="n"/>
      <c r="B861" s="52" t="str">
        <f>IF($A861="","",IFERROR(INDEX(회의록!$C$3:$C$302,MATCH($A861,회의록!$A$3:$A$302,0)),"회의번호없음"))</f>
        <v/>
      </c>
      <c r="C861" s="50" t="n"/>
      <c r="D861" s="49" t="n"/>
      <c r="E861" s="53" t="n"/>
      <c r="F861" s="49" t="n"/>
      <c r="G861" s="53" t="n"/>
      <c r="H861" s="56" t="str">
        <f>IF(OR($C861="",$E861="",$F861="완료",$F861="취소"),"",$E861-TODAY())</f>
        <v/>
      </c>
      <c r="I861" s="56" t="str">
        <f>IF(OR($C861="",$E861=""),"",IF($F861="완료",IF($G861="","",MAX(0,$G861-$E861)),IF($F861="취소","",MAX(0,TODAY()-$E861))))</f>
        <v/>
      </c>
      <c r="J861" s="50" t="n"/>
      <c r="K861" s="52" t="str">
        <f>IF($A861="","",$A861&amp;"|"&amp;$L861)</f>
        <v/>
      </c>
      <c r="L861" s="52" t="str">
        <f>IF($A861="","",COUNTIFS($A$3:$A861,$A861))</f>
        <v/>
      </c>
    </row>
    <row r="862" ht="15" customHeight="1" s="41">
      <c r="A862" s="50" t="n"/>
      <c r="B862" s="52" t="str">
        <f>IF($A862="","",IFERROR(INDEX(회의록!$C$3:$C$302,MATCH($A862,회의록!$A$3:$A$302,0)),"회의번호없음"))</f>
        <v/>
      </c>
      <c r="C862" s="50" t="n"/>
      <c r="D862" s="49" t="n"/>
      <c r="E862" s="53" t="n"/>
      <c r="F862" s="49" t="n"/>
      <c r="G862" s="53" t="n"/>
      <c r="H862" s="56" t="str">
        <f>IF(OR($C862="",$E862="",$F862="완료",$F862="취소"),"",$E862-TODAY())</f>
        <v/>
      </c>
      <c r="I862" s="56" t="str">
        <f>IF(OR($C862="",$E862=""),"",IF($F862="완료",IF($G862="","",MAX(0,$G862-$E862)),IF($F862="취소","",MAX(0,TODAY()-$E862))))</f>
        <v/>
      </c>
      <c r="J862" s="50" t="n"/>
      <c r="K862" s="52" t="str">
        <f>IF($A862="","",$A862&amp;"|"&amp;$L862)</f>
        <v/>
      </c>
      <c r="L862" s="52" t="str">
        <f>IF($A862="","",COUNTIFS($A$3:$A862,$A862))</f>
        <v/>
      </c>
    </row>
    <row r="863" ht="15" customHeight="1" s="41">
      <c r="A863" s="50" t="n"/>
      <c r="B863" s="52" t="str">
        <f>IF($A863="","",IFERROR(INDEX(회의록!$C$3:$C$302,MATCH($A863,회의록!$A$3:$A$302,0)),"회의번호없음"))</f>
        <v/>
      </c>
      <c r="C863" s="50" t="n"/>
      <c r="D863" s="49" t="n"/>
      <c r="E863" s="53" t="n"/>
      <c r="F863" s="49" t="n"/>
      <c r="G863" s="53" t="n"/>
      <c r="H863" s="56" t="str">
        <f>IF(OR($C863="",$E863="",$F863="완료",$F863="취소"),"",$E863-TODAY())</f>
        <v/>
      </c>
      <c r="I863" s="56" t="str">
        <f>IF(OR($C863="",$E863=""),"",IF($F863="완료",IF($G863="","",MAX(0,$G863-$E863)),IF($F863="취소","",MAX(0,TODAY()-$E863))))</f>
        <v/>
      </c>
      <c r="J863" s="50" t="n"/>
      <c r="K863" s="52" t="str">
        <f>IF($A863="","",$A863&amp;"|"&amp;$L863)</f>
        <v/>
      </c>
      <c r="L863" s="52" t="str">
        <f>IF($A863="","",COUNTIFS($A$3:$A863,$A863))</f>
        <v/>
      </c>
    </row>
    <row r="864" ht="15" customHeight="1" s="41">
      <c r="A864" s="50" t="n"/>
      <c r="B864" s="52" t="str">
        <f>IF($A864="","",IFERROR(INDEX(회의록!$C$3:$C$302,MATCH($A864,회의록!$A$3:$A$302,0)),"회의번호없음"))</f>
        <v/>
      </c>
      <c r="C864" s="50" t="n"/>
      <c r="D864" s="49" t="n"/>
      <c r="E864" s="53" t="n"/>
      <c r="F864" s="49" t="n"/>
      <c r="G864" s="53" t="n"/>
      <c r="H864" s="56" t="str">
        <f>IF(OR($C864="",$E864="",$F864="완료",$F864="취소"),"",$E864-TODAY())</f>
        <v/>
      </c>
      <c r="I864" s="56" t="str">
        <f>IF(OR($C864="",$E864=""),"",IF($F864="완료",IF($G864="","",MAX(0,$G864-$E864)),IF($F864="취소","",MAX(0,TODAY()-$E864))))</f>
        <v/>
      </c>
      <c r="J864" s="50" t="n"/>
      <c r="K864" s="52" t="str">
        <f>IF($A864="","",$A864&amp;"|"&amp;$L864)</f>
        <v/>
      </c>
      <c r="L864" s="52" t="str">
        <f>IF($A864="","",COUNTIFS($A$3:$A864,$A864))</f>
        <v/>
      </c>
    </row>
    <row r="865" ht="15" customHeight="1" s="41">
      <c r="A865" s="50" t="n"/>
      <c r="B865" s="52" t="str">
        <f>IF($A865="","",IFERROR(INDEX(회의록!$C$3:$C$302,MATCH($A865,회의록!$A$3:$A$302,0)),"회의번호없음"))</f>
        <v/>
      </c>
      <c r="C865" s="50" t="n"/>
      <c r="D865" s="49" t="n"/>
      <c r="E865" s="53" t="n"/>
      <c r="F865" s="49" t="n"/>
      <c r="G865" s="53" t="n"/>
      <c r="H865" s="56" t="str">
        <f>IF(OR($C865="",$E865="",$F865="완료",$F865="취소"),"",$E865-TODAY())</f>
        <v/>
      </c>
      <c r="I865" s="56" t="str">
        <f>IF(OR($C865="",$E865=""),"",IF($F865="완료",IF($G865="","",MAX(0,$G865-$E865)),IF($F865="취소","",MAX(0,TODAY()-$E865))))</f>
        <v/>
      </c>
      <c r="J865" s="50" t="n"/>
      <c r="K865" s="52" t="str">
        <f>IF($A865="","",$A865&amp;"|"&amp;$L865)</f>
        <v/>
      </c>
      <c r="L865" s="52" t="str">
        <f>IF($A865="","",COUNTIFS($A$3:$A865,$A865))</f>
        <v/>
      </c>
    </row>
    <row r="866" ht="15" customHeight="1" s="41">
      <c r="A866" s="50" t="n"/>
      <c r="B866" s="52" t="str">
        <f>IF($A866="","",IFERROR(INDEX(회의록!$C$3:$C$302,MATCH($A866,회의록!$A$3:$A$302,0)),"회의번호없음"))</f>
        <v/>
      </c>
      <c r="C866" s="50" t="n"/>
      <c r="D866" s="49" t="n"/>
      <c r="E866" s="53" t="n"/>
      <c r="F866" s="49" t="n"/>
      <c r="G866" s="53" t="n"/>
      <c r="H866" s="56" t="str">
        <f>IF(OR($C866="",$E866="",$F866="완료",$F866="취소"),"",$E866-TODAY())</f>
        <v/>
      </c>
      <c r="I866" s="56" t="str">
        <f>IF(OR($C866="",$E866=""),"",IF($F866="완료",IF($G866="","",MAX(0,$G866-$E866)),IF($F866="취소","",MAX(0,TODAY()-$E866))))</f>
        <v/>
      </c>
      <c r="J866" s="50" t="n"/>
      <c r="K866" s="52" t="str">
        <f>IF($A866="","",$A866&amp;"|"&amp;$L866)</f>
        <v/>
      </c>
      <c r="L866" s="52" t="str">
        <f>IF($A866="","",COUNTIFS($A$3:$A866,$A866))</f>
        <v/>
      </c>
    </row>
    <row r="867" ht="15" customHeight="1" s="41">
      <c r="A867" s="50" t="n"/>
      <c r="B867" s="52" t="str">
        <f>IF($A867="","",IFERROR(INDEX(회의록!$C$3:$C$302,MATCH($A867,회의록!$A$3:$A$302,0)),"회의번호없음"))</f>
        <v/>
      </c>
      <c r="C867" s="50" t="n"/>
      <c r="D867" s="49" t="n"/>
      <c r="E867" s="53" t="n"/>
      <c r="F867" s="49" t="n"/>
      <c r="G867" s="53" t="n"/>
      <c r="H867" s="56" t="str">
        <f>IF(OR($C867="",$E867="",$F867="완료",$F867="취소"),"",$E867-TODAY())</f>
        <v/>
      </c>
      <c r="I867" s="56" t="str">
        <f>IF(OR($C867="",$E867=""),"",IF($F867="완료",IF($G867="","",MAX(0,$G867-$E867)),IF($F867="취소","",MAX(0,TODAY()-$E867))))</f>
        <v/>
      </c>
      <c r="J867" s="50" t="n"/>
      <c r="K867" s="52" t="str">
        <f>IF($A867="","",$A867&amp;"|"&amp;$L867)</f>
        <v/>
      </c>
      <c r="L867" s="52" t="str">
        <f>IF($A867="","",COUNTIFS($A$3:$A867,$A867))</f>
        <v/>
      </c>
    </row>
    <row r="868" ht="15" customHeight="1" s="41">
      <c r="A868" s="50" t="n"/>
      <c r="B868" s="52" t="str">
        <f>IF($A868="","",IFERROR(INDEX(회의록!$C$3:$C$302,MATCH($A868,회의록!$A$3:$A$302,0)),"회의번호없음"))</f>
        <v/>
      </c>
      <c r="C868" s="50" t="n"/>
      <c r="D868" s="49" t="n"/>
      <c r="E868" s="53" t="n"/>
      <c r="F868" s="49" t="n"/>
      <c r="G868" s="53" t="n"/>
      <c r="H868" s="56" t="str">
        <f>IF(OR($C868="",$E868="",$F868="완료",$F868="취소"),"",$E868-TODAY())</f>
        <v/>
      </c>
      <c r="I868" s="56" t="str">
        <f>IF(OR($C868="",$E868=""),"",IF($F868="완료",IF($G868="","",MAX(0,$G868-$E868)),IF($F868="취소","",MAX(0,TODAY()-$E868))))</f>
        <v/>
      </c>
      <c r="J868" s="50" t="n"/>
      <c r="K868" s="52" t="str">
        <f>IF($A868="","",$A868&amp;"|"&amp;$L868)</f>
        <v/>
      </c>
      <c r="L868" s="52" t="str">
        <f>IF($A868="","",COUNTIFS($A$3:$A868,$A868))</f>
        <v/>
      </c>
    </row>
    <row r="869" ht="15" customHeight="1" s="41">
      <c r="A869" s="50" t="n"/>
      <c r="B869" s="52" t="str">
        <f>IF($A869="","",IFERROR(INDEX(회의록!$C$3:$C$302,MATCH($A869,회의록!$A$3:$A$302,0)),"회의번호없음"))</f>
        <v/>
      </c>
      <c r="C869" s="50" t="n"/>
      <c r="D869" s="49" t="n"/>
      <c r="E869" s="53" t="n"/>
      <c r="F869" s="49" t="n"/>
      <c r="G869" s="53" t="n"/>
      <c r="H869" s="56" t="str">
        <f>IF(OR($C869="",$E869="",$F869="완료",$F869="취소"),"",$E869-TODAY())</f>
        <v/>
      </c>
      <c r="I869" s="56" t="str">
        <f>IF(OR($C869="",$E869=""),"",IF($F869="완료",IF($G869="","",MAX(0,$G869-$E869)),IF($F869="취소","",MAX(0,TODAY()-$E869))))</f>
        <v/>
      </c>
      <c r="J869" s="50" t="n"/>
      <c r="K869" s="52" t="str">
        <f>IF($A869="","",$A869&amp;"|"&amp;$L869)</f>
        <v/>
      </c>
      <c r="L869" s="52" t="str">
        <f>IF($A869="","",COUNTIFS($A$3:$A869,$A869))</f>
        <v/>
      </c>
    </row>
    <row r="870" ht="15" customHeight="1" s="41">
      <c r="A870" s="50" t="n"/>
      <c r="B870" s="52" t="str">
        <f>IF($A870="","",IFERROR(INDEX(회의록!$C$3:$C$302,MATCH($A870,회의록!$A$3:$A$302,0)),"회의번호없음"))</f>
        <v/>
      </c>
      <c r="C870" s="50" t="n"/>
      <c r="D870" s="49" t="n"/>
      <c r="E870" s="53" t="n"/>
      <c r="F870" s="49" t="n"/>
      <c r="G870" s="53" t="n"/>
      <c r="H870" s="56" t="str">
        <f>IF(OR($C870="",$E870="",$F870="완료",$F870="취소"),"",$E870-TODAY())</f>
        <v/>
      </c>
      <c r="I870" s="56" t="str">
        <f>IF(OR($C870="",$E870=""),"",IF($F870="완료",IF($G870="","",MAX(0,$G870-$E870)),IF($F870="취소","",MAX(0,TODAY()-$E870))))</f>
        <v/>
      </c>
      <c r="J870" s="50" t="n"/>
      <c r="K870" s="52" t="str">
        <f>IF($A870="","",$A870&amp;"|"&amp;$L870)</f>
        <v/>
      </c>
      <c r="L870" s="52" t="str">
        <f>IF($A870="","",COUNTIFS($A$3:$A870,$A870))</f>
        <v/>
      </c>
    </row>
    <row r="871" ht="15" customHeight="1" s="41">
      <c r="A871" s="50" t="n"/>
      <c r="B871" s="52" t="str">
        <f>IF($A871="","",IFERROR(INDEX(회의록!$C$3:$C$302,MATCH($A871,회의록!$A$3:$A$302,0)),"회의번호없음"))</f>
        <v/>
      </c>
      <c r="C871" s="50" t="n"/>
      <c r="D871" s="49" t="n"/>
      <c r="E871" s="53" t="n"/>
      <c r="F871" s="49" t="n"/>
      <c r="G871" s="53" t="n"/>
      <c r="H871" s="56" t="str">
        <f>IF(OR($C871="",$E871="",$F871="완료",$F871="취소"),"",$E871-TODAY())</f>
        <v/>
      </c>
      <c r="I871" s="56" t="str">
        <f>IF(OR($C871="",$E871=""),"",IF($F871="완료",IF($G871="","",MAX(0,$G871-$E871)),IF($F871="취소","",MAX(0,TODAY()-$E871))))</f>
        <v/>
      </c>
      <c r="J871" s="50" t="n"/>
      <c r="K871" s="52" t="str">
        <f>IF($A871="","",$A871&amp;"|"&amp;$L871)</f>
        <v/>
      </c>
      <c r="L871" s="52" t="str">
        <f>IF($A871="","",COUNTIFS($A$3:$A871,$A871))</f>
        <v/>
      </c>
    </row>
    <row r="872" ht="15" customHeight="1" s="41">
      <c r="A872" s="50" t="n"/>
      <c r="B872" s="52" t="str">
        <f>IF($A872="","",IFERROR(INDEX(회의록!$C$3:$C$302,MATCH($A872,회의록!$A$3:$A$302,0)),"회의번호없음"))</f>
        <v/>
      </c>
      <c r="C872" s="50" t="n"/>
      <c r="D872" s="49" t="n"/>
      <c r="E872" s="53" t="n"/>
      <c r="F872" s="49" t="n"/>
      <c r="G872" s="53" t="n"/>
      <c r="H872" s="56" t="str">
        <f>IF(OR($C872="",$E872="",$F872="완료",$F872="취소"),"",$E872-TODAY())</f>
        <v/>
      </c>
      <c r="I872" s="56" t="str">
        <f>IF(OR($C872="",$E872=""),"",IF($F872="완료",IF($G872="","",MAX(0,$G872-$E872)),IF($F872="취소","",MAX(0,TODAY()-$E872))))</f>
        <v/>
      </c>
      <c r="J872" s="50" t="n"/>
      <c r="K872" s="52" t="str">
        <f>IF($A872="","",$A872&amp;"|"&amp;$L872)</f>
        <v/>
      </c>
      <c r="L872" s="52" t="str">
        <f>IF($A872="","",COUNTIFS($A$3:$A872,$A872))</f>
        <v/>
      </c>
    </row>
    <row r="873" ht="15" customHeight="1" s="41">
      <c r="A873" s="50" t="n"/>
      <c r="B873" s="52" t="str">
        <f>IF($A873="","",IFERROR(INDEX(회의록!$C$3:$C$302,MATCH($A873,회의록!$A$3:$A$302,0)),"회의번호없음"))</f>
        <v/>
      </c>
      <c r="C873" s="50" t="n"/>
      <c r="D873" s="49" t="n"/>
      <c r="E873" s="53" t="n"/>
      <c r="F873" s="49" t="n"/>
      <c r="G873" s="53" t="n"/>
      <c r="H873" s="56" t="str">
        <f>IF(OR($C873="",$E873="",$F873="완료",$F873="취소"),"",$E873-TODAY())</f>
        <v/>
      </c>
      <c r="I873" s="56" t="str">
        <f>IF(OR($C873="",$E873=""),"",IF($F873="완료",IF($G873="","",MAX(0,$G873-$E873)),IF($F873="취소","",MAX(0,TODAY()-$E873))))</f>
        <v/>
      </c>
      <c r="J873" s="50" t="n"/>
      <c r="K873" s="52" t="str">
        <f>IF($A873="","",$A873&amp;"|"&amp;$L873)</f>
        <v/>
      </c>
      <c r="L873" s="52" t="str">
        <f>IF($A873="","",COUNTIFS($A$3:$A873,$A873))</f>
        <v/>
      </c>
    </row>
    <row r="874" ht="15" customHeight="1" s="41">
      <c r="A874" s="50" t="n"/>
      <c r="B874" s="52" t="str">
        <f>IF($A874="","",IFERROR(INDEX(회의록!$C$3:$C$302,MATCH($A874,회의록!$A$3:$A$302,0)),"회의번호없음"))</f>
        <v/>
      </c>
      <c r="C874" s="50" t="n"/>
      <c r="D874" s="49" t="n"/>
      <c r="E874" s="53" t="n"/>
      <c r="F874" s="49" t="n"/>
      <c r="G874" s="53" t="n"/>
      <c r="H874" s="56" t="str">
        <f>IF(OR($C874="",$E874="",$F874="완료",$F874="취소"),"",$E874-TODAY())</f>
        <v/>
      </c>
      <c r="I874" s="56" t="str">
        <f>IF(OR($C874="",$E874=""),"",IF($F874="완료",IF($G874="","",MAX(0,$G874-$E874)),IF($F874="취소","",MAX(0,TODAY()-$E874))))</f>
        <v/>
      </c>
      <c r="J874" s="50" t="n"/>
      <c r="K874" s="52" t="str">
        <f>IF($A874="","",$A874&amp;"|"&amp;$L874)</f>
        <v/>
      </c>
      <c r="L874" s="52" t="str">
        <f>IF($A874="","",COUNTIFS($A$3:$A874,$A874))</f>
        <v/>
      </c>
    </row>
    <row r="875" ht="15" customHeight="1" s="41">
      <c r="A875" s="50" t="n"/>
      <c r="B875" s="52" t="str">
        <f>IF($A875="","",IFERROR(INDEX(회의록!$C$3:$C$302,MATCH($A875,회의록!$A$3:$A$302,0)),"회의번호없음"))</f>
        <v/>
      </c>
      <c r="C875" s="50" t="n"/>
      <c r="D875" s="49" t="n"/>
      <c r="E875" s="53" t="n"/>
      <c r="F875" s="49" t="n"/>
      <c r="G875" s="53" t="n"/>
      <c r="H875" s="56" t="str">
        <f>IF(OR($C875="",$E875="",$F875="완료",$F875="취소"),"",$E875-TODAY())</f>
        <v/>
      </c>
      <c r="I875" s="56" t="str">
        <f>IF(OR($C875="",$E875=""),"",IF($F875="완료",IF($G875="","",MAX(0,$G875-$E875)),IF($F875="취소","",MAX(0,TODAY()-$E875))))</f>
        <v/>
      </c>
      <c r="J875" s="50" t="n"/>
      <c r="K875" s="52" t="str">
        <f>IF($A875="","",$A875&amp;"|"&amp;$L875)</f>
        <v/>
      </c>
      <c r="L875" s="52" t="str">
        <f>IF($A875="","",COUNTIFS($A$3:$A875,$A875))</f>
        <v/>
      </c>
    </row>
    <row r="876" ht="15" customHeight="1" s="41">
      <c r="A876" s="50" t="n"/>
      <c r="B876" s="52" t="str">
        <f>IF($A876="","",IFERROR(INDEX(회의록!$C$3:$C$302,MATCH($A876,회의록!$A$3:$A$302,0)),"회의번호없음"))</f>
        <v/>
      </c>
      <c r="C876" s="50" t="n"/>
      <c r="D876" s="49" t="n"/>
      <c r="E876" s="53" t="n"/>
      <c r="F876" s="49" t="n"/>
      <c r="G876" s="53" t="n"/>
      <c r="H876" s="56" t="str">
        <f>IF(OR($C876="",$E876="",$F876="완료",$F876="취소"),"",$E876-TODAY())</f>
        <v/>
      </c>
      <c r="I876" s="56" t="str">
        <f>IF(OR($C876="",$E876=""),"",IF($F876="완료",IF($G876="","",MAX(0,$G876-$E876)),IF($F876="취소","",MAX(0,TODAY()-$E876))))</f>
        <v/>
      </c>
      <c r="J876" s="50" t="n"/>
      <c r="K876" s="52" t="str">
        <f>IF($A876="","",$A876&amp;"|"&amp;$L876)</f>
        <v/>
      </c>
      <c r="L876" s="52" t="str">
        <f>IF($A876="","",COUNTIFS($A$3:$A876,$A876))</f>
        <v/>
      </c>
    </row>
    <row r="877" ht="15" customHeight="1" s="41">
      <c r="A877" s="50" t="n"/>
      <c r="B877" s="52" t="str">
        <f>IF($A877="","",IFERROR(INDEX(회의록!$C$3:$C$302,MATCH($A877,회의록!$A$3:$A$302,0)),"회의번호없음"))</f>
        <v/>
      </c>
      <c r="C877" s="50" t="n"/>
      <c r="D877" s="49" t="n"/>
      <c r="E877" s="53" t="n"/>
      <c r="F877" s="49" t="n"/>
      <c r="G877" s="53" t="n"/>
      <c r="H877" s="56" t="str">
        <f>IF(OR($C877="",$E877="",$F877="완료",$F877="취소"),"",$E877-TODAY())</f>
        <v/>
      </c>
      <c r="I877" s="56" t="str">
        <f>IF(OR($C877="",$E877=""),"",IF($F877="완료",IF($G877="","",MAX(0,$G877-$E877)),IF($F877="취소","",MAX(0,TODAY()-$E877))))</f>
        <v/>
      </c>
      <c r="J877" s="50" t="n"/>
      <c r="K877" s="52" t="str">
        <f>IF($A877="","",$A877&amp;"|"&amp;$L877)</f>
        <v/>
      </c>
      <c r="L877" s="52" t="str">
        <f>IF($A877="","",COUNTIFS($A$3:$A877,$A877))</f>
        <v/>
      </c>
    </row>
    <row r="878" ht="15" customHeight="1" s="41">
      <c r="A878" s="50" t="n"/>
      <c r="B878" s="52" t="str">
        <f>IF($A878="","",IFERROR(INDEX(회의록!$C$3:$C$302,MATCH($A878,회의록!$A$3:$A$302,0)),"회의번호없음"))</f>
        <v/>
      </c>
      <c r="C878" s="50" t="n"/>
      <c r="D878" s="49" t="n"/>
      <c r="E878" s="53" t="n"/>
      <c r="F878" s="49" t="n"/>
      <c r="G878" s="53" t="n"/>
      <c r="H878" s="56" t="str">
        <f>IF(OR($C878="",$E878="",$F878="완료",$F878="취소"),"",$E878-TODAY())</f>
        <v/>
      </c>
      <c r="I878" s="56" t="str">
        <f>IF(OR($C878="",$E878=""),"",IF($F878="완료",IF($G878="","",MAX(0,$G878-$E878)),IF($F878="취소","",MAX(0,TODAY()-$E878))))</f>
        <v/>
      </c>
      <c r="J878" s="50" t="n"/>
      <c r="K878" s="52" t="str">
        <f>IF($A878="","",$A878&amp;"|"&amp;$L878)</f>
        <v/>
      </c>
      <c r="L878" s="52" t="str">
        <f>IF($A878="","",COUNTIFS($A$3:$A878,$A878))</f>
        <v/>
      </c>
    </row>
    <row r="879" ht="15" customHeight="1" s="41">
      <c r="A879" s="50" t="n"/>
      <c r="B879" s="52" t="str">
        <f>IF($A879="","",IFERROR(INDEX(회의록!$C$3:$C$302,MATCH($A879,회의록!$A$3:$A$302,0)),"회의번호없음"))</f>
        <v/>
      </c>
      <c r="C879" s="50" t="n"/>
      <c r="D879" s="49" t="n"/>
      <c r="E879" s="53" t="n"/>
      <c r="F879" s="49" t="n"/>
      <c r="G879" s="53" t="n"/>
      <c r="H879" s="56" t="str">
        <f>IF(OR($C879="",$E879="",$F879="완료",$F879="취소"),"",$E879-TODAY())</f>
        <v/>
      </c>
      <c r="I879" s="56" t="str">
        <f>IF(OR($C879="",$E879=""),"",IF($F879="완료",IF($G879="","",MAX(0,$G879-$E879)),IF($F879="취소","",MAX(0,TODAY()-$E879))))</f>
        <v/>
      </c>
      <c r="J879" s="50" t="n"/>
      <c r="K879" s="52" t="str">
        <f>IF($A879="","",$A879&amp;"|"&amp;$L879)</f>
        <v/>
      </c>
      <c r="L879" s="52" t="str">
        <f>IF($A879="","",COUNTIFS($A$3:$A879,$A879))</f>
        <v/>
      </c>
    </row>
    <row r="880" ht="15" customHeight="1" s="41">
      <c r="A880" s="50" t="n"/>
      <c r="B880" s="52" t="str">
        <f>IF($A880="","",IFERROR(INDEX(회의록!$C$3:$C$302,MATCH($A880,회의록!$A$3:$A$302,0)),"회의번호없음"))</f>
        <v/>
      </c>
      <c r="C880" s="50" t="n"/>
      <c r="D880" s="49" t="n"/>
      <c r="E880" s="53" t="n"/>
      <c r="F880" s="49" t="n"/>
      <c r="G880" s="53" t="n"/>
      <c r="H880" s="56" t="str">
        <f>IF(OR($C880="",$E880="",$F880="완료",$F880="취소"),"",$E880-TODAY())</f>
        <v/>
      </c>
      <c r="I880" s="56" t="str">
        <f>IF(OR($C880="",$E880=""),"",IF($F880="완료",IF($G880="","",MAX(0,$G880-$E880)),IF($F880="취소","",MAX(0,TODAY()-$E880))))</f>
        <v/>
      </c>
      <c r="J880" s="50" t="n"/>
      <c r="K880" s="52" t="str">
        <f>IF($A880="","",$A880&amp;"|"&amp;$L880)</f>
        <v/>
      </c>
      <c r="L880" s="52" t="str">
        <f>IF($A880="","",COUNTIFS($A$3:$A880,$A880))</f>
        <v/>
      </c>
    </row>
    <row r="881" ht="15" customHeight="1" s="41">
      <c r="A881" s="50" t="n"/>
      <c r="B881" s="52" t="str">
        <f>IF($A881="","",IFERROR(INDEX(회의록!$C$3:$C$302,MATCH($A881,회의록!$A$3:$A$302,0)),"회의번호없음"))</f>
        <v/>
      </c>
      <c r="C881" s="50" t="n"/>
      <c r="D881" s="49" t="n"/>
      <c r="E881" s="53" t="n"/>
      <c r="F881" s="49" t="n"/>
      <c r="G881" s="53" t="n"/>
      <c r="H881" s="56" t="str">
        <f>IF(OR($C881="",$E881="",$F881="완료",$F881="취소"),"",$E881-TODAY())</f>
        <v/>
      </c>
      <c r="I881" s="56" t="str">
        <f>IF(OR($C881="",$E881=""),"",IF($F881="완료",IF($G881="","",MAX(0,$G881-$E881)),IF($F881="취소","",MAX(0,TODAY()-$E881))))</f>
        <v/>
      </c>
      <c r="J881" s="50" t="n"/>
      <c r="K881" s="52" t="str">
        <f>IF($A881="","",$A881&amp;"|"&amp;$L881)</f>
        <v/>
      </c>
      <c r="L881" s="52" t="str">
        <f>IF($A881="","",COUNTIFS($A$3:$A881,$A881))</f>
        <v/>
      </c>
    </row>
    <row r="882" ht="15" customHeight="1" s="41">
      <c r="A882" s="50" t="n"/>
      <c r="B882" s="52" t="str">
        <f>IF($A882="","",IFERROR(INDEX(회의록!$C$3:$C$302,MATCH($A882,회의록!$A$3:$A$302,0)),"회의번호없음"))</f>
        <v/>
      </c>
      <c r="C882" s="50" t="n"/>
      <c r="D882" s="49" t="n"/>
      <c r="E882" s="53" t="n"/>
      <c r="F882" s="49" t="n"/>
      <c r="G882" s="53" t="n"/>
      <c r="H882" s="56" t="str">
        <f>IF(OR($C882="",$E882="",$F882="완료",$F882="취소"),"",$E882-TODAY())</f>
        <v/>
      </c>
      <c r="I882" s="56" t="str">
        <f>IF(OR($C882="",$E882=""),"",IF($F882="완료",IF($G882="","",MAX(0,$G882-$E882)),IF($F882="취소","",MAX(0,TODAY()-$E882))))</f>
        <v/>
      </c>
      <c r="J882" s="50" t="n"/>
      <c r="K882" s="52" t="str">
        <f>IF($A882="","",$A882&amp;"|"&amp;$L882)</f>
        <v/>
      </c>
      <c r="L882" s="52" t="str">
        <f>IF($A882="","",COUNTIFS($A$3:$A882,$A882))</f>
        <v/>
      </c>
    </row>
    <row r="883" ht="15" customHeight="1" s="41">
      <c r="A883" s="50" t="n"/>
      <c r="B883" s="52" t="str">
        <f>IF($A883="","",IFERROR(INDEX(회의록!$C$3:$C$302,MATCH($A883,회의록!$A$3:$A$302,0)),"회의번호없음"))</f>
        <v/>
      </c>
      <c r="C883" s="50" t="n"/>
      <c r="D883" s="49" t="n"/>
      <c r="E883" s="53" t="n"/>
      <c r="F883" s="49" t="n"/>
      <c r="G883" s="53" t="n"/>
      <c r="H883" s="56" t="str">
        <f>IF(OR($C883="",$E883="",$F883="완료",$F883="취소"),"",$E883-TODAY())</f>
        <v/>
      </c>
      <c r="I883" s="56" t="str">
        <f>IF(OR($C883="",$E883=""),"",IF($F883="완료",IF($G883="","",MAX(0,$G883-$E883)),IF($F883="취소","",MAX(0,TODAY()-$E883))))</f>
        <v/>
      </c>
      <c r="J883" s="50" t="n"/>
      <c r="K883" s="52" t="str">
        <f>IF($A883="","",$A883&amp;"|"&amp;$L883)</f>
        <v/>
      </c>
      <c r="L883" s="52" t="str">
        <f>IF($A883="","",COUNTIFS($A$3:$A883,$A883))</f>
        <v/>
      </c>
    </row>
    <row r="884" ht="15" customHeight="1" s="41">
      <c r="A884" s="50" t="n"/>
      <c r="B884" s="52" t="str">
        <f>IF($A884="","",IFERROR(INDEX(회의록!$C$3:$C$302,MATCH($A884,회의록!$A$3:$A$302,0)),"회의번호없음"))</f>
        <v/>
      </c>
      <c r="C884" s="50" t="n"/>
      <c r="D884" s="49" t="n"/>
      <c r="E884" s="53" t="n"/>
      <c r="F884" s="49" t="n"/>
      <c r="G884" s="53" t="n"/>
      <c r="H884" s="56" t="str">
        <f>IF(OR($C884="",$E884="",$F884="완료",$F884="취소"),"",$E884-TODAY())</f>
        <v/>
      </c>
      <c r="I884" s="56" t="str">
        <f>IF(OR($C884="",$E884=""),"",IF($F884="완료",IF($G884="","",MAX(0,$G884-$E884)),IF($F884="취소","",MAX(0,TODAY()-$E884))))</f>
        <v/>
      </c>
      <c r="J884" s="50" t="n"/>
      <c r="K884" s="52" t="str">
        <f>IF($A884="","",$A884&amp;"|"&amp;$L884)</f>
        <v/>
      </c>
      <c r="L884" s="52" t="str">
        <f>IF($A884="","",COUNTIFS($A$3:$A884,$A884))</f>
        <v/>
      </c>
    </row>
    <row r="885" ht="15" customHeight="1" s="41">
      <c r="A885" s="50" t="n"/>
      <c r="B885" s="52" t="str">
        <f>IF($A885="","",IFERROR(INDEX(회의록!$C$3:$C$302,MATCH($A885,회의록!$A$3:$A$302,0)),"회의번호없음"))</f>
        <v/>
      </c>
      <c r="C885" s="50" t="n"/>
      <c r="D885" s="49" t="n"/>
      <c r="E885" s="53" t="n"/>
      <c r="F885" s="49" t="n"/>
      <c r="G885" s="53" t="n"/>
      <c r="H885" s="56" t="str">
        <f>IF(OR($C885="",$E885="",$F885="완료",$F885="취소"),"",$E885-TODAY())</f>
        <v/>
      </c>
      <c r="I885" s="56" t="str">
        <f>IF(OR($C885="",$E885=""),"",IF($F885="완료",IF($G885="","",MAX(0,$G885-$E885)),IF($F885="취소","",MAX(0,TODAY()-$E885))))</f>
        <v/>
      </c>
      <c r="J885" s="50" t="n"/>
      <c r="K885" s="52" t="str">
        <f>IF($A885="","",$A885&amp;"|"&amp;$L885)</f>
        <v/>
      </c>
      <c r="L885" s="52" t="str">
        <f>IF($A885="","",COUNTIFS($A$3:$A885,$A885))</f>
        <v/>
      </c>
    </row>
    <row r="886" ht="15" customHeight="1" s="41">
      <c r="A886" s="50" t="n"/>
      <c r="B886" s="52" t="str">
        <f>IF($A886="","",IFERROR(INDEX(회의록!$C$3:$C$302,MATCH($A886,회의록!$A$3:$A$302,0)),"회의번호없음"))</f>
        <v/>
      </c>
      <c r="C886" s="50" t="n"/>
      <c r="D886" s="49" t="n"/>
      <c r="E886" s="53" t="n"/>
      <c r="F886" s="49" t="n"/>
      <c r="G886" s="53" t="n"/>
      <c r="H886" s="56" t="str">
        <f>IF(OR($C886="",$E886="",$F886="완료",$F886="취소"),"",$E886-TODAY())</f>
        <v/>
      </c>
      <c r="I886" s="56" t="str">
        <f>IF(OR($C886="",$E886=""),"",IF($F886="완료",IF($G886="","",MAX(0,$G886-$E886)),IF($F886="취소","",MAX(0,TODAY()-$E886))))</f>
        <v/>
      </c>
      <c r="J886" s="50" t="n"/>
      <c r="K886" s="52" t="str">
        <f>IF($A886="","",$A886&amp;"|"&amp;$L886)</f>
        <v/>
      </c>
      <c r="L886" s="52" t="str">
        <f>IF($A886="","",COUNTIFS($A$3:$A886,$A886))</f>
        <v/>
      </c>
    </row>
    <row r="887" ht="15" customHeight="1" s="41">
      <c r="A887" s="50" t="n"/>
      <c r="B887" s="52" t="str">
        <f>IF($A887="","",IFERROR(INDEX(회의록!$C$3:$C$302,MATCH($A887,회의록!$A$3:$A$302,0)),"회의번호없음"))</f>
        <v/>
      </c>
      <c r="C887" s="50" t="n"/>
      <c r="D887" s="49" t="n"/>
      <c r="E887" s="53" t="n"/>
      <c r="F887" s="49" t="n"/>
      <c r="G887" s="53" t="n"/>
      <c r="H887" s="56" t="str">
        <f>IF(OR($C887="",$E887="",$F887="완료",$F887="취소"),"",$E887-TODAY())</f>
        <v/>
      </c>
      <c r="I887" s="56" t="str">
        <f>IF(OR($C887="",$E887=""),"",IF($F887="완료",IF($G887="","",MAX(0,$G887-$E887)),IF($F887="취소","",MAX(0,TODAY()-$E887))))</f>
        <v/>
      </c>
      <c r="J887" s="50" t="n"/>
      <c r="K887" s="52" t="str">
        <f>IF($A887="","",$A887&amp;"|"&amp;$L887)</f>
        <v/>
      </c>
      <c r="L887" s="52" t="str">
        <f>IF($A887="","",COUNTIFS($A$3:$A887,$A887))</f>
        <v/>
      </c>
    </row>
    <row r="888" ht="15" customHeight="1" s="41">
      <c r="A888" s="50" t="n"/>
      <c r="B888" s="52" t="str">
        <f>IF($A888="","",IFERROR(INDEX(회의록!$C$3:$C$302,MATCH($A888,회의록!$A$3:$A$302,0)),"회의번호없음"))</f>
        <v/>
      </c>
      <c r="C888" s="50" t="n"/>
      <c r="D888" s="49" t="n"/>
      <c r="E888" s="53" t="n"/>
      <c r="F888" s="49" t="n"/>
      <c r="G888" s="53" t="n"/>
      <c r="H888" s="56" t="str">
        <f>IF(OR($C888="",$E888="",$F888="완료",$F888="취소"),"",$E888-TODAY())</f>
        <v/>
      </c>
      <c r="I888" s="56" t="str">
        <f>IF(OR($C888="",$E888=""),"",IF($F888="완료",IF($G888="","",MAX(0,$G888-$E888)),IF($F888="취소","",MAX(0,TODAY()-$E888))))</f>
        <v/>
      </c>
      <c r="J888" s="50" t="n"/>
      <c r="K888" s="52" t="str">
        <f>IF($A888="","",$A888&amp;"|"&amp;$L888)</f>
        <v/>
      </c>
      <c r="L888" s="52" t="str">
        <f>IF($A888="","",COUNTIFS($A$3:$A888,$A888))</f>
        <v/>
      </c>
    </row>
    <row r="889" ht="15" customHeight="1" s="41">
      <c r="A889" s="50" t="n"/>
      <c r="B889" s="52" t="str">
        <f>IF($A889="","",IFERROR(INDEX(회의록!$C$3:$C$302,MATCH($A889,회의록!$A$3:$A$302,0)),"회의번호없음"))</f>
        <v/>
      </c>
      <c r="C889" s="50" t="n"/>
      <c r="D889" s="49" t="n"/>
      <c r="E889" s="53" t="n"/>
      <c r="F889" s="49" t="n"/>
      <c r="G889" s="53" t="n"/>
      <c r="H889" s="56" t="str">
        <f>IF(OR($C889="",$E889="",$F889="완료",$F889="취소"),"",$E889-TODAY())</f>
        <v/>
      </c>
      <c r="I889" s="56" t="str">
        <f>IF(OR($C889="",$E889=""),"",IF($F889="완료",IF($G889="","",MAX(0,$G889-$E889)),IF($F889="취소","",MAX(0,TODAY()-$E889))))</f>
        <v/>
      </c>
      <c r="J889" s="50" t="n"/>
      <c r="K889" s="52" t="str">
        <f>IF($A889="","",$A889&amp;"|"&amp;$L889)</f>
        <v/>
      </c>
      <c r="L889" s="52" t="str">
        <f>IF($A889="","",COUNTIFS($A$3:$A889,$A889))</f>
        <v/>
      </c>
    </row>
    <row r="890" ht="15" customHeight="1" s="41">
      <c r="A890" s="50" t="n"/>
      <c r="B890" s="52" t="str">
        <f>IF($A890="","",IFERROR(INDEX(회의록!$C$3:$C$302,MATCH($A890,회의록!$A$3:$A$302,0)),"회의번호없음"))</f>
        <v/>
      </c>
      <c r="C890" s="50" t="n"/>
      <c r="D890" s="49" t="n"/>
      <c r="E890" s="53" t="n"/>
      <c r="F890" s="49" t="n"/>
      <c r="G890" s="53" t="n"/>
      <c r="H890" s="56" t="str">
        <f>IF(OR($C890="",$E890="",$F890="완료",$F890="취소"),"",$E890-TODAY())</f>
        <v/>
      </c>
      <c r="I890" s="56" t="str">
        <f>IF(OR($C890="",$E890=""),"",IF($F890="완료",IF($G890="","",MAX(0,$G890-$E890)),IF($F890="취소","",MAX(0,TODAY()-$E890))))</f>
        <v/>
      </c>
      <c r="J890" s="50" t="n"/>
      <c r="K890" s="52" t="str">
        <f>IF($A890="","",$A890&amp;"|"&amp;$L890)</f>
        <v/>
      </c>
      <c r="L890" s="52" t="str">
        <f>IF($A890="","",COUNTIFS($A$3:$A890,$A890))</f>
        <v/>
      </c>
    </row>
    <row r="891" ht="15" customHeight="1" s="41">
      <c r="A891" s="50" t="n"/>
      <c r="B891" s="52" t="str">
        <f>IF($A891="","",IFERROR(INDEX(회의록!$C$3:$C$302,MATCH($A891,회의록!$A$3:$A$302,0)),"회의번호없음"))</f>
        <v/>
      </c>
      <c r="C891" s="50" t="n"/>
      <c r="D891" s="49" t="n"/>
      <c r="E891" s="53" t="n"/>
      <c r="F891" s="49" t="n"/>
      <c r="G891" s="53" t="n"/>
      <c r="H891" s="56" t="str">
        <f>IF(OR($C891="",$E891="",$F891="완료",$F891="취소"),"",$E891-TODAY())</f>
        <v/>
      </c>
      <c r="I891" s="56" t="str">
        <f>IF(OR($C891="",$E891=""),"",IF($F891="완료",IF($G891="","",MAX(0,$G891-$E891)),IF($F891="취소","",MAX(0,TODAY()-$E891))))</f>
        <v/>
      </c>
      <c r="J891" s="50" t="n"/>
      <c r="K891" s="52" t="str">
        <f>IF($A891="","",$A891&amp;"|"&amp;$L891)</f>
        <v/>
      </c>
      <c r="L891" s="52" t="str">
        <f>IF($A891="","",COUNTIFS($A$3:$A891,$A891))</f>
        <v/>
      </c>
    </row>
    <row r="892" ht="15" customHeight="1" s="41">
      <c r="A892" s="50" t="n"/>
      <c r="B892" s="52" t="str">
        <f>IF($A892="","",IFERROR(INDEX(회의록!$C$3:$C$302,MATCH($A892,회의록!$A$3:$A$302,0)),"회의번호없음"))</f>
        <v/>
      </c>
      <c r="C892" s="50" t="n"/>
      <c r="D892" s="49" t="n"/>
      <c r="E892" s="53" t="n"/>
      <c r="F892" s="49" t="n"/>
      <c r="G892" s="53" t="n"/>
      <c r="H892" s="56" t="str">
        <f>IF(OR($C892="",$E892="",$F892="완료",$F892="취소"),"",$E892-TODAY())</f>
        <v/>
      </c>
      <c r="I892" s="56" t="str">
        <f>IF(OR($C892="",$E892=""),"",IF($F892="완료",IF($G892="","",MAX(0,$G892-$E892)),IF($F892="취소","",MAX(0,TODAY()-$E892))))</f>
        <v/>
      </c>
      <c r="J892" s="50" t="n"/>
      <c r="K892" s="52" t="str">
        <f>IF($A892="","",$A892&amp;"|"&amp;$L892)</f>
        <v/>
      </c>
      <c r="L892" s="52" t="str">
        <f>IF($A892="","",COUNTIFS($A$3:$A892,$A892))</f>
        <v/>
      </c>
    </row>
    <row r="893" ht="15" customHeight="1" s="41">
      <c r="A893" s="50" t="n"/>
      <c r="B893" s="52" t="str">
        <f>IF($A893="","",IFERROR(INDEX(회의록!$C$3:$C$302,MATCH($A893,회의록!$A$3:$A$302,0)),"회의번호없음"))</f>
        <v/>
      </c>
      <c r="C893" s="50" t="n"/>
      <c r="D893" s="49" t="n"/>
      <c r="E893" s="53" t="n"/>
      <c r="F893" s="49" t="n"/>
      <c r="G893" s="53" t="n"/>
      <c r="H893" s="56" t="str">
        <f>IF(OR($C893="",$E893="",$F893="완료",$F893="취소"),"",$E893-TODAY())</f>
        <v/>
      </c>
      <c r="I893" s="56" t="str">
        <f>IF(OR($C893="",$E893=""),"",IF($F893="완료",IF($G893="","",MAX(0,$G893-$E893)),IF($F893="취소","",MAX(0,TODAY()-$E893))))</f>
        <v/>
      </c>
      <c r="J893" s="50" t="n"/>
      <c r="K893" s="52" t="str">
        <f>IF($A893="","",$A893&amp;"|"&amp;$L893)</f>
        <v/>
      </c>
      <c r="L893" s="52" t="str">
        <f>IF($A893="","",COUNTIFS($A$3:$A893,$A893))</f>
        <v/>
      </c>
    </row>
    <row r="894" ht="15" customHeight="1" s="41">
      <c r="A894" s="50" t="n"/>
      <c r="B894" s="52" t="str">
        <f>IF($A894="","",IFERROR(INDEX(회의록!$C$3:$C$302,MATCH($A894,회의록!$A$3:$A$302,0)),"회의번호없음"))</f>
        <v/>
      </c>
      <c r="C894" s="50" t="n"/>
      <c r="D894" s="49" t="n"/>
      <c r="E894" s="53" t="n"/>
      <c r="F894" s="49" t="n"/>
      <c r="G894" s="53" t="n"/>
      <c r="H894" s="56" t="str">
        <f>IF(OR($C894="",$E894="",$F894="완료",$F894="취소"),"",$E894-TODAY())</f>
        <v/>
      </c>
      <c r="I894" s="56" t="str">
        <f>IF(OR($C894="",$E894=""),"",IF($F894="완료",IF($G894="","",MAX(0,$G894-$E894)),IF($F894="취소","",MAX(0,TODAY()-$E894))))</f>
        <v/>
      </c>
      <c r="J894" s="50" t="n"/>
      <c r="K894" s="52" t="str">
        <f>IF($A894="","",$A894&amp;"|"&amp;$L894)</f>
        <v/>
      </c>
      <c r="L894" s="52" t="str">
        <f>IF($A894="","",COUNTIFS($A$3:$A894,$A894))</f>
        <v/>
      </c>
    </row>
    <row r="895" ht="15" customHeight="1" s="41">
      <c r="A895" s="50" t="n"/>
      <c r="B895" s="52" t="str">
        <f>IF($A895="","",IFERROR(INDEX(회의록!$C$3:$C$302,MATCH($A895,회의록!$A$3:$A$302,0)),"회의번호없음"))</f>
        <v/>
      </c>
      <c r="C895" s="50" t="n"/>
      <c r="D895" s="49" t="n"/>
      <c r="E895" s="53" t="n"/>
      <c r="F895" s="49" t="n"/>
      <c r="G895" s="53" t="n"/>
      <c r="H895" s="56" t="str">
        <f>IF(OR($C895="",$E895="",$F895="완료",$F895="취소"),"",$E895-TODAY())</f>
        <v/>
      </c>
      <c r="I895" s="56" t="str">
        <f>IF(OR($C895="",$E895=""),"",IF($F895="완료",IF($G895="","",MAX(0,$G895-$E895)),IF($F895="취소","",MAX(0,TODAY()-$E895))))</f>
        <v/>
      </c>
      <c r="J895" s="50" t="n"/>
      <c r="K895" s="52" t="str">
        <f>IF($A895="","",$A895&amp;"|"&amp;$L895)</f>
        <v/>
      </c>
      <c r="L895" s="52" t="str">
        <f>IF($A895="","",COUNTIFS($A$3:$A895,$A895))</f>
        <v/>
      </c>
    </row>
    <row r="896" ht="15" customHeight="1" s="41">
      <c r="A896" s="50" t="n"/>
      <c r="B896" s="52" t="str">
        <f>IF($A896="","",IFERROR(INDEX(회의록!$C$3:$C$302,MATCH($A896,회의록!$A$3:$A$302,0)),"회의번호없음"))</f>
        <v/>
      </c>
      <c r="C896" s="50" t="n"/>
      <c r="D896" s="49" t="n"/>
      <c r="E896" s="53" t="n"/>
      <c r="F896" s="49" t="n"/>
      <c r="G896" s="53" t="n"/>
      <c r="H896" s="56" t="str">
        <f>IF(OR($C896="",$E896="",$F896="완료",$F896="취소"),"",$E896-TODAY())</f>
        <v/>
      </c>
      <c r="I896" s="56" t="str">
        <f>IF(OR($C896="",$E896=""),"",IF($F896="완료",IF($G896="","",MAX(0,$G896-$E896)),IF($F896="취소","",MAX(0,TODAY()-$E896))))</f>
        <v/>
      </c>
      <c r="J896" s="50" t="n"/>
      <c r="K896" s="52" t="str">
        <f>IF($A896="","",$A896&amp;"|"&amp;$L896)</f>
        <v/>
      </c>
      <c r="L896" s="52" t="str">
        <f>IF($A896="","",COUNTIFS($A$3:$A896,$A896))</f>
        <v/>
      </c>
    </row>
    <row r="897" ht="15" customHeight="1" s="41">
      <c r="A897" s="50" t="n"/>
      <c r="B897" s="52" t="str">
        <f>IF($A897="","",IFERROR(INDEX(회의록!$C$3:$C$302,MATCH($A897,회의록!$A$3:$A$302,0)),"회의번호없음"))</f>
        <v/>
      </c>
      <c r="C897" s="50" t="n"/>
      <c r="D897" s="49" t="n"/>
      <c r="E897" s="53" t="n"/>
      <c r="F897" s="49" t="n"/>
      <c r="G897" s="53" t="n"/>
      <c r="H897" s="56" t="str">
        <f>IF(OR($C897="",$E897="",$F897="완료",$F897="취소"),"",$E897-TODAY())</f>
        <v/>
      </c>
      <c r="I897" s="56" t="str">
        <f>IF(OR($C897="",$E897=""),"",IF($F897="완료",IF($G897="","",MAX(0,$G897-$E897)),IF($F897="취소","",MAX(0,TODAY()-$E897))))</f>
        <v/>
      </c>
      <c r="J897" s="50" t="n"/>
      <c r="K897" s="52" t="str">
        <f>IF($A897="","",$A897&amp;"|"&amp;$L897)</f>
        <v/>
      </c>
      <c r="L897" s="52" t="str">
        <f>IF($A897="","",COUNTIFS($A$3:$A897,$A897))</f>
        <v/>
      </c>
    </row>
    <row r="898" ht="15" customHeight="1" s="41">
      <c r="A898" s="50" t="n"/>
      <c r="B898" s="52" t="str">
        <f>IF($A898="","",IFERROR(INDEX(회의록!$C$3:$C$302,MATCH($A898,회의록!$A$3:$A$302,0)),"회의번호없음"))</f>
        <v/>
      </c>
      <c r="C898" s="50" t="n"/>
      <c r="D898" s="49" t="n"/>
      <c r="E898" s="53" t="n"/>
      <c r="F898" s="49" t="n"/>
      <c r="G898" s="53" t="n"/>
      <c r="H898" s="56" t="str">
        <f>IF(OR($C898="",$E898="",$F898="완료",$F898="취소"),"",$E898-TODAY())</f>
        <v/>
      </c>
      <c r="I898" s="56" t="str">
        <f>IF(OR($C898="",$E898=""),"",IF($F898="완료",IF($G898="","",MAX(0,$G898-$E898)),IF($F898="취소","",MAX(0,TODAY()-$E898))))</f>
        <v/>
      </c>
      <c r="J898" s="50" t="n"/>
      <c r="K898" s="52" t="str">
        <f>IF($A898="","",$A898&amp;"|"&amp;$L898)</f>
        <v/>
      </c>
      <c r="L898" s="52" t="str">
        <f>IF($A898="","",COUNTIFS($A$3:$A898,$A898))</f>
        <v/>
      </c>
    </row>
    <row r="899" ht="15" customHeight="1" s="41">
      <c r="A899" s="50" t="n"/>
      <c r="B899" s="52" t="str">
        <f>IF($A899="","",IFERROR(INDEX(회의록!$C$3:$C$302,MATCH($A899,회의록!$A$3:$A$302,0)),"회의번호없음"))</f>
        <v/>
      </c>
      <c r="C899" s="50" t="n"/>
      <c r="D899" s="49" t="n"/>
      <c r="E899" s="53" t="n"/>
      <c r="F899" s="49" t="n"/>
      <c r="G899" s="53" t="n"/>
      <c r="H899" s="56" t="str">
        <f>IF(OR($C899="",$E899="",$F899="완료",$F899="취소"),"",$E899-TODAY())</f>
        <v/>
      </c>
      <c r="I899" s="56" t="str">
        <f>IF(OR($C899="",$E899=""),"",IF($F899="완료",IF($G899="","",MAX(0,$G899-$E899)),IF($F899="취소","",MAX(0,TODAY()-$E899))))</f>
        <v/>
      </c>
      <c r="J899" s="50" t="n"/>
      <c r="K899" s="52" t="str">
        <f>IF($A899="","",$A899&amp;"|"&amp;$L899)</f>
        <v/>
      </c>
      <c r="L899" s="52" t="str">
        <f>IF($A899="","",COUNTIFS($A$3:$A899,$A899))</f>
        <v/>
      </c>
    </row>
    <row r="900" ht="15" customHeight="1" s="41">
      <c r="A900" s="50" t="n"/>
      <c r="B900" s="52" t="str">
        <f>IF($A900="","",IFERROR(INDEX(회의록!$C$3:$C$302,MATCH($A900,회의록!$A$3:$A$302,0)),"회의번호없음"))</f>
        <v/>
      </c>
      <c r="C900" s="50" t="n"/>
      <c r="D900" s="49" t="n"/>
      <c r="E900" s="53" t="n"/>
      <c r="F900" s="49" t="n"/>
      <c r="G900" s="53" t="n"/>
      <c r="H900" s="56" t="str">
        <f>IF(OR($C900="",$E900="",$F900="완료",$F900="취소"),"",$E900-TODAY())</f>
        <v/>
      </c>
      <c r="I900" s="56" t="str">
        <f>IF(OR($C900="",$E900=""),"",IF($F900="완료",IF($G900="","",MAX(0,$G900-$E900)),IF($F900="취소","",MAX(0,TODAY()-$E900))))</f>
        <v/>
      </c>
      <c r="J900" s="50" t="n"/>
      <c r="K900" s="52" t="str">
        <f>IF($A900="","",$A900&amp;"|"&amp;$L900)</f>
        <v/>
      </c>
      <c r="L900" s="52" t="str">
        <f>IF($A900="","",COUNTIFS($A$3:$A900,$A900))</f>
        <v/>
      </c>
    </row>
    <row r="901" ht="15" customHeight="1" s="41">
      <c r="A901" s="50" t="n"/>
      <c r="B901" s="52" t="str">
        <f>IF($A901="","",IFERROR(INDEX(회의록!$C$3:$C$302,MATCH($A901,회의록!$A$3:$A$302,0)),"회의번호없음"))</f>
        <v/>
      </c>
      <c r="C901" s="50" t="n"/>
      <c r="D901" s="49" t="n"/>
      <c r="E901" s="53" t="n"/>
      <c r="F901" s="49" t="n"/>
      <c r="G901" s="53" t="n"/>
      <c r="H901" s="56" t="str">
        <f>IF(OR($C901="",$E901="",$F901="완료",$F901="취소"),"",$E901-TODAY())</f>
        <v/>
      </c>
      <c r="I901" s="56" t="str">
        <f>IF(OR($C901="",$E901=""),"",IF($F901="완료",IF($G901="","",MAX(0,$G901-$E901)),IF($F901="취소","",MAX(0,TODAY()-$E901))))</f>
        <v/>
      </c>
      <c r="J901" s="50" t="n"/>
      <c r="K901" s="52" t="str">
        <f>IF($A901="","",$A901&amp;"|"&amp;$L901)</f>
        <v/>
      </c>
      <c r="L901" s="52" t="str">
        <f>IF($A901="","",COUNTIFS($A$3:$A901,$A901))</f>
        <v/>
      </c>
    </row>
    <row r="902" ht="15" customHeight="1" s="41">
      <c r="A902" s="50" t="n"/>
      <c r="B902" s="52" t="str">
        <f>IF($A902="","",IFERROR(INDEX(회의록!$C$3:$C$302,MATCH($A902,회의록!$A$3:$A$302,0)),"회의번호없음"))</f>
        <v/>
      </c>
      <c r="C902" s="50" t="n"/>
      <c r="D902" s="49" t="n"/>
      <c r="E902" s="53" t="n"/>
      <c r="F902" s="49" t="n"/>
      <c r="G902" s="53" t="n"/>
      <c r="H902" s="56" t="str">
        <f>IF(OR($C902="",$E902="",$F902="완료",$F902="취소"),"",$E902-TODAY())</f>
        <v/>
      </c>
      <c r="I902" s="56" t="str">
        <f>IF(OR($C902="",$E902=""),"",IF($F902="완료",IF($G902="","",MAX(0,$G902-$E902)),IF($F902="취소","",MAX(0,TODAY()-$E902))))</f>
        <v/>
      </c>
      <c r="J902" s="50" t="n"/>
      <c r="K902" s="52" t="str">
        <f>IF($A902="","",$A902&amp;"|"&amp;$L902)</f>
        <v/>
      </c>
      <c r="L902" s="52" t="str">
        <f>IF($A902="","",COUNTIFS($A$3:$A902,$A902))</f>
        <v/>
      </c>
    </row>
    <row r="903" ht="15" customHeight="1" s="41">
      <c r="A903" s="50" t="n"/>
      <c r="B903" s="52" t="str">
        <f>IF($A903="","",IFERROR(INDEX(회의록!$C$3:$C$302,MATCH($A903,회의록!$A$3:$A$302,0)),"회의번호없음"))</f>
        <v/>
      </c>
      <c r="C903" s="50" t="n"/>
      <c r="D903" s="49" t="n"/>
      <c r="E903" s="53" t="n"/>
      <c r="F903" s="49" t="n"/>
      <c r="G903" s="53" t="n"/>
      <c r="H903" s="56" t="str">
        <f>IF(OR($C903="",$E903="",$F903="완료",$F903="취소"),"",$E903-TODAY())</f>
        <v/>
      </c>
      <c r="I903" s="56" t="str">
        <f>IF(OR($C903="",$E903=""),"",IF($F903="완료",IF($G903="","",MAX(0,$G903-$E903)),IF($F903="취소","",MAX(0,TODAY()-$E903))))</f>
        <v/>
      </c>
      <c r="J903" s="50" t="n"/>
      <c r="K903" s="52" t="str">
        <f>IF($A903="","",$A903&amp;"|"&amp;$L903)</f>
        <v/>
      </c>
      <c r="L903" s="52" t="str">
        <f>IF($A903="","",COUNTIFS($A$3:$A903,$A903))</f>
        <v/>
      </c>
    </row>
    <row r="904" ht="15" customHeight="1" s="41">
      <c r="A904" s="50" t="n"/>
      <c r="B904" s="52" t="str">
        <f>IF($A904="","",IFERROR(INDEX(회의록!$C$3:$C$302,MATCH($A904,회의록!$A$3:$A$302,0)),"회의번호없음"))</f>
        <v/>
      </c>
      <c r="C904" s="50" t="n"/>
      <c r="D904" s="49" t="n"/>
      <c r="E904" s="53" t="n"/>
      <c r="F904" s="49" t="n"/>
      <c r="G904" s="53" t="n"/>
      <c r="H904" s="56" t="str">
        <f>IF(OR($C904="",$E904="",$F904="완료",$F904="취소"),"",$E904-TODAY())</f>
        <v/>
      </c>
      <c r="I904" s="56" t="str">
        <f>IF(OR($C904="",$E904=""),"",IF($F904="완료",IF($G904="","",MAX(0,$G904-$E904)),IF($F904="취소","",MAX(0,TODAY()-$E904))))</f>
        <v/>
      </c>
      <c r="J904" s="50" t="n"/>
      <c r="K904" s="52" t="str">
        <f>IF($A904="","",$A904&amp;"|"&amp;$L904)</f>
        <v/>
      </c>
      <c r="L904" s="52" t="str">
        <f>IF($A904="","",COUNTIFS($A$3:$A904,$A904))</f>
        <v/>
      </c>
    </row>
    <row r="905" ht="15" customHeight="1" s="41">
      <c r="A905" s="50" t="n"/>
      <c r="B905" s="52" t="str">
        <f>IF($A905="","",IFERROR(INDEX(회의록!$C$3:$C$302,MATCH($A905,회의록!$A$3:$A$302,0)),"회의번호없음"))</f>
        <v/>
      </c>
      <c r="C905" s="50" t="n"/>
      <c r="D905" s="49" t="n"/>
      <c r="E905" s="53" t="n"/>
      <c r="F905" s="49" t="n"/>
      <c r="G905" s="53" t="n"/>
      <c r="H905" s="56" t="str">
        <f>IF(OR($C905="",$E905="",$F905="완료",$F905="취소"),"",$E905-TODAY())</f>
        <v/>
      </c>
      <c r="I905" s="56" t="str">
        <f>IF(OR($C905="",$E905=""),"",IF($F905="완료",IF($G905="","",MAX(0,$G905-$E905)),IF($F905="취소","",MAX(0,TODAY()-$E905))))</f>
        <v/>
      </c>
      <c r="J905" s="50" t="n"/>
      <c r="K905" s="52" t="str">
        <f>IF($A905="","",$A905&amp;"|"&amp;$L905)</f>
        <v/>
      </c>
      <c r="L905" s="52" t="str">
        <f>IF($A905="","",COUNTIFS($A$3:$A905,$A905))</f>
        <v/>
      </c>
    </row>
    <row r="906" ht="15" customHeight="1" s="41">
      <c r="A906" s="50" t="n"/>
      <c r="B906" s="52" t="str">
        <f>IF($A906="","",IFERROR(INDEX(회의록!$C$3:$C$302,MATCH($A906,회의록!$A$3:$A$302,0)),"회의번호없음"))</f>
        <v/>
      </c>
      <c r="C906" s="50" t="n"/>
      <c r="D906" s="49" t="n"/>
      <c r="E906" s="53" t="n"/>
      <c r="F906" s="49" t="n"/>
      <c r="G906" s="53" t="n"/>
      <c r="H906" s="56" t="str">
        <f>IF(OR($C906="",$E906="",$F906="완료",$F906="취소"),"",$E906-TODAY())</f>
        <v/>
      </c>
      <c r="I906" s="56" t="str">
        <f>IF(OR($C906="",$E906=""),"",IF($F906="완료",IF($G906="","",MAX(0,$G906-$E906)),IF($F906="취소","",MAX(0,TODAY()-$E906))))</f>
        <v/>
      </c>
      <c r="J906" s="50" t="n"/>
      <c r="K906" s="52" t="str">
        <f>IF($A906="","",$A906&amp;"|"&amp;$L906)</f>
        <v/>
      </c>
      <c r="L906" s="52" t="str">
        <f>IF($A906="","",COUNTIFS($A$3:$A906,$A906))</f>
        <v/>
      </c>
    </row>
    <row r="907" ht="15" customHeight="1" s="41">
      <c r="A907" s="50" t="n"/>
      <c r="B907" s="52" t="str">
        <f>IF($A907="","",IFERROR(INDEX(회의록!$C$3:$C$302,MATCH($A907,회의록!$A$3:$A$302,0)),"회의번호없음"))</f>
        <v/>
      </c>
      <c r="C907" s="50" t="n"/>
      <c r="D907" s="49" t="n"/>
      <c r="E907" s="53" t="n"/>
      <c r="F907" s="49" t="n"/>
      <c r="G907" s="53" t="n"/>
      <c r="H907" s="56" t="str">
        <f>IF(OR($C907="",$E907="",$F907="완료",$F907="취소"),"",$E907-TODAY())</f>
        <v/>
      </c>
      <c r="I907" s="56" t="str">
        <f>IF(OR($C907="",$E907=""),"",IF($F907="완료",IF($G907="","",MAX(0,$G907-$E907)),IF($F907="취소","",MAX(0,TODAY()-$E907))))</f>
        <v/>
      </c>
      <c r="J907" s="50" t="n"/>
      <c r="K907" s="52" t="str">
        <f>IF($A907="","",$A907&amp;"|"&amp;$L907)</f>
        <v/>
      </c>
      <c r="L907" s="52" t="str">
        <f>IF($A907="","",COUNTIFS($A$3:$A907,$A907))</f>
        <v/>
      </c>
    </row>
    <row r="908" ht="15" customHeight="1" s="41">
      <c r="A908" s="50" t="n"/>
      <c r="B908" s="52" t="str">
        <f>IF($A908="","",IFERROR(INDEX(회의록!$C$3:$C$302,MATCH($A908,회의록!$A$3:$A$302,0)),"회의번호없음"))</f>
        <v/>
      </c>
      <c r="C908" s="50" t="n"/>
      <c r="D908" s="49" t="n"/>
      <c r="E908" s="53" t="n"/>
      <c r="F908" s="49" t="n"/>
      <c r="G908" s="53" t="n"/>
      <c r="H908" s="56" t="str">
        <f>IF(OR($C908="",$E908="",$F908="완료",$F908="취소"),"",$E908-TODAY())</f>
        <v/>
      </c>
      <c r="I908" s="56" t="str">
        <f>IF(OR($C908="",$E908=""),"",IF($F908="완료",IF($G908="","",MAX(0,$G908-$E908)),IF($F908="취소","",MAX(0,TODAY()-$E908))))</f>
        <v/>
      </c>
      <c r="J908" s="50" t="n"/>
      <c r="K908" s="52" t="str">
        <f>IF($A908="","",$A908&amp;"|"&amp;$L908)</f>
        <v/>
      </c>
      <c r="L908" s="52" t="str">
        <f>IF($A908="","",COUNTIFS($A$3:$A908,$A908))</f>
        <v/>
      </c>
    </row>
    <row r="909" ht="15" customHeight="1" s="41">
      <c r="A909" s="50" t="n"/>
      <c r="B909" s="52" t="str">
        <f>IF($A909="","",IFERROR(INDEX(회의록!$C$3:$C$302,MATCH($A909,회의록!$A$3:$A$302,0)),"회의번호없음"))</f>
        <v/>
      </c>
      <c r="C909" s="50" t="n"/>
      <c r="D909" s="49" t="n"/>
      <c r="E909" s="53" t="n"/>
      <c r="F909" s="49" t="n"/>
      <c r="G909" s="53" t="n"/>
      <c r="H909" s="56" t="str">
        <f>IF(OR($C909="",$E909="",$F909="완료",$F909="취소"),"",$E909-TODAY())</f>
        <v/>
      </c>
      <c r="I909" s="56" t="str">
        <f>IF(OR($C909="",$E909=""),"",IF($F909="완료",IF($G909="","",MAX(0,$G909-$E909)),IF($F909="취소","",MAX(0,TODAY()-$E909))))</f>
        <v/>
      </c>
      <c r="J909" s="50" t="n"/>
      <c r="K909" s="52" t="str">
        <f>IF($A909="","",$A909&amp;"|"&amp;$L909)</f>
        <v/>
      </c>
      <c r="L909" s="52" t="str">
        <f>IF($A909="","",COUNTIFS($A$3:$A909,$A909))</f>
        <v/>
      </c>
    </row>
    <row r="910" ht="15" customHeight="1" s="41">
      <c r="A910" s="50" t="n"/>
      <c r="B910" s="52" t="str">
        <f>IF($A910="","",IFERROR(INDEX(회의록!$C$3:$C$302,MATCH($A910,회의록!$A$3:$A$302,0)),"회의번호없음"))</f>
        <v/>
      </c>
      <c r="C910" s="50" t="n"/>
      <c r="D910" s="49" t="n"/>
      <c r="E910" s="53" t="n"/>
      <c r="F910" s="49" t="n"/>
      <c r="G910" s="53" t="n"/>
      <c r="H910" s="56" t="str">
        <f>IF(OR($C910="",$E910="",$F910="완료",$F910="취소"),"",$E910-TODAY())</f>
        <v/>
      </c>
      <c r="I910" s="56" t="str">
        <f>IF(OR($C910="",$E910=""),"",IF($F910="완료",IF($G910="","",MAX(0,$G910-$E910)),IF($F910="취소","",MAX(0,TODAY()-$E910))))</f>
        <v/>
      </c>
      <c r="J910" s="50" t="n"/>
      <c r="K910" s="52" t="str">
        <f>IF($A910="","",$A910&amp;"|"&amp;$L910)</f>
        <v/>
      </c>
      <c r="L910" s="52" t="str">
        <f>IF($A910="","",COUNTIFS($A$3:$A910,$A910))</f>
        <v/>
      </c>
    </row>
    <row r="911" ht="15" customHeight="1" s="41">
      <c r="A911" s="50" t="n"/>
      <c r="B911" s="52" t="str">
        <f>IF($A911="","",IFERROR(INDEX(회의록!$C$3:$C$302,MATCH($A911,회의록!$A$3:$A$302,0)),"회의번호없음"))</f>
        <v/>
      </c>
      <c r="C911" s="50" t="n"/>
      <c r="D911" s="49" t="n"/>
      <c r="E911" s="53" t="n"/>
      <c r="F911" s="49" t="n"/>
      <c r="G911" s="53" t="n"/>
      <c r="H911" s="56" t="str">
        <f>IF(OR($C911="",$E911="",$F911="완료",$F911="취소"),"",$E911-TODAY())</f>
        <v/>
      </c>
      <c r="I911" s="56" t="str">
        <f>IF(OR($C911="",$E911=""),"",IF($F911="완료",IF($G911="","",MAX(0,$G911-$E911)),IF($F911="취소","",MAX(0,TODAY()-$E911))))</f>
        <v/>
      </c>
      <c r="J911" s="50" t="n"/>
      <c r="K911" s="52" t="str">
        <f>IF($A911="","",$A911&amp;"|"&amp;$L911)</f>
        <v/>
      </c>
      <c r="L911" s="52" t="str">
        <f>IF($A911="","",COUNTIFS($A$3:$A911,$A911))</f>
        <v/>
      </c>
    </row>
    <row r="912" ht="15" customHeight="1" s="41">
      <c r="A912" s="50" t="n"/>
      <c r="B912" s="52" t="str">
        <f>IF($A912="","",IFERROR(INDEX(회의록!$C$3:$C$302,MATCH($A912,회의록!$A$3:$A$302,0)),"회의번호없음"))</f>
        <v/>
      </c>
      <c r="C912" s="50" t="n"/>
      <c r="D912" s="49" t="n"/>
      <c r="E912" s="53" t="n"/>
      <c r="F912" s="49" t="n"/>
      <c r="G912" s="53" t="n"/>
      <c r="H912" s="56" t="str">
        <f>IF(OR($C912="",$E912="",$F912="완료",$F912="취소"),"",$E912-TODAY())</f>
        <v/>
      </c>
      <c r="I912" s="56" t="str">
        <f>IF(OR($C912="",$E912=""),"",IF($F912="완료",IF($G912="","",MAX(0,$G912-$E912)),IF($F912="취소","",MAX(0,TODAY()-$E912))))</f>
        <v/>
      </c>
      <c r="J912" s="50" t="n"/>
      <c r="K912" s="52" t="str">
        <f>IF($A912="","",$A912&amp;"|"&amp;$L912)</f>
        <v/>
      </c>
      <c r="L912" s="52" t="str">
        <f>IF($A912="","",COUNTIFS($A$3:$A912,$A912))</f>
        <v/>
      </c>
    </row>
    <row r="913" ht="15" customHeight="1" s="41">
      <c r="A913" s="50" t="n"/>
      <c r="B913" s="52" t="str">
        <f>IF($A913="","",IFERROR(INDEX(회의록!$C$3:$C$302,MATCH($A913,회의록!$A$3:$A$302,0)),"회의번호없음"))</f>
        <v/>
      </c>
      <c r="C913" s="50" t="n"/>
      <c r="D913" s="49" t="n"/>
      <c r="E913" s="53" t="n"/>
      <c r="F913" s="49" t="n"/>
      <c r="G913" s="53" t="n"/>
      <c r="H913" s="56" t="str">
        <f>IF(OR($C913="",$E913="",$F913="완료",$F913="취소"),"",$E913-TODAY())</f>
        <v/>
      </c>
      <c r="I913" s="56" t="str">
        <f>IF(OR($C913="",$E913=""),"",IF($F913="완료",IF($G913="","",MAX(0,$G913-$E913)),IF($F913="취소","",MAX(0,TODAY()-$E913))))</f>
        <v/>
      </c>
      <c r="J913" s="50" t="n"/>
      <c r="K913" s="52" t="str">
        <f>IF($A913="","",$A913&amp;"|"&amp;$L913)</f>
        <v/>
      </c>
      <c r="L913" s="52" t="str">
        <f>IF($A913="","",COUNTIFS($A$3:$A913,$A913))</f>
        <v/>
      </c>
    </row>
    <row r="914" ht="15" customHeight="1" s="41">
      <c r="A914" s="50" t="n"/>
      <c r="B914" s="52" t="str">
        <f>IF($A914="","",IFERROR(INDEX(회의록!$C$3:$C$302,MATCH($A914,회의록!$A$3:$A$302,0)),"회의번호없음"))</f>
        <v/>
      </c>
      <c r="C914" s="50" t="n"/>
      <c r="D914" s="49" t="n"/>
      <c r="E914" s="53" t="n"/>
      <c r="F914" s="49" t="n"/>
      <c r="G914" s="53" t="n"/>
      <c r="H914" s="56" t="str">
        <f>IF(OR($C914="",$E914="",$F914="완료",$F914="취소"),"",$E914-TODAY())</f>
        <v/>
      </c>
      <c r="I914" s="56" t="str">
        <f>IF(OR($C914="",$E914=""),"",IF($F914="완료",IF($G914="","",MAX(0,$G914-$E914)),IF($F914="취소","",MAX(0,TODAY()-$E914))))</f>
        <v/>
      </c>
      <c r="J914" s="50" t="n"/>
      <c r="K914" s="52" t="str">
        <f>IF($A914="","",$A914&amp;"|"&amp;$L914)</f>
        <v/>
      </c>
      <c r="L914" s="52" t="str">
        <f>IF($A914="","",COUNTIFS($A$3:$A914,$A914))</f>
        <v/>
      </c>
    </row>
    <row r="915" ht="15" customHeight="1" s="41">
      <c r="A915" s="50" t="n"/>
      <c r="B915" s="52" t="str">
        <f>IF($A915="","",IFERROR(INDEX(회의록!$C$3:$C$302,MATCH($A915,회의록!$A$3:$A$302,0)),"회의번호없음"))</f>
        <v/>
      </c>
      <c r="C915" s="50" t="n"/>
      <c r="D915" s="49" t="n"/>
      <c r="E915" s="53" t="n"/>
      <c r="F915" s="49" t="n"/>
      <c r="G915" s="53" t="n"/>
      <c r="H915" s="56" t="str">
        <f>IF(OR($C915="",$E915="",$F915="완료",$F915="취소"),"",$E915-TODAY())</f>
        <v/>
      </c>
      <c r="I915" s="56" t="str">
        <f>IF(OR($C915="",$E915=""),"",IF($F915="완료",IF($G915="","",MAX(0,$G915-$E915)),IF($F915="취소","",MAX(0,TODAY()-$E915))))</f>
        <v/>
      </c>
      <c r="J915" s="50" t="n"/>
      <c r="K915" s="52" t="str">
        <f>IF($A915="","",$A915&amp;"|"&amp;$L915)</f>
        <v/>
      </c>
      <c r="L915" s="52" t="str">
        <f>IF($A915="","",COUNTIFS($A$3:$A915,$A915))</f>
        <v/>
      </c>
    </row>
    <row r="916" ht="15" customHeight="1" s="41">
      <c r="A916" s="50" t="n"/>
      <c r="B916" s="52" t="str">
        <f>IF($A916="","",IFERROR(INDEX(회의록!$C$3:$C$302,MATCH($A916,회의록!$A$3:$A$302,0)),"회의번호없음"))</f>
        <v/>
      </c>
      <c r="C916" s="50" t="n"/>
      <c r="D916" s="49" t="n"/>
      <c r="E916" s="53" t="n"/>
      <c r="F916" s="49" t="n"/>
      <c r="G916" s="53" t="n"/>
      <c r="H916" s="56" t="str">
        <f>IF(OR($C916="",$E916="",$F916="완료",$F916="취소"),"",$E916-TODAY())</f>
        <v/>
      </c>
      <c r="I916" s="56" t="str">
        <f>IF(OR($C916="",$E916=""),"",IF($F916="완료",IF($G916="","",MAX(0,$G916-$E916)),IF($F916="취소","",MAX(0,TODAY()-$E916))))</f>
        <v/>
      </c>
      <c r="J916" s="50" t="n"/>
      <c r="K916" s="52" t="str">
        <f>IF($A916="","",$A916&amp;"|"&amp;$L916)</f>
        <v/>
      </c>
      <c r="L916" s="52" t="str">
        <f>IF($A916="","",COUNTIFS($A$3:$A916,$A916))</f>
        <v/>
      </c>
    </row>
    <row r="917" ht="15" customHeight="1" s="41">
      <c r="A917" s="50" t="n"/>
      <c r="B917" s="52" t="str">
        <f>IF($A917="","",IFERROR(INDEX(회의록!$C$3:$C$302,MATCH($A917,회의록!$A$3:$A$302,0)),"회의번호없음"))</f>
        <v/>
      </c>
      <c r="C917" s="50" t="n"/>
      <c r="D917" s="49" t="n"/>
      <c r="E917" s="53" t="n"/>
      <c r="F917" s="49" t="n"/>
      <c r="G917" s="53" t="n"/>
      <c r="H917" s="56" t="str">
        <f>IF(OR($C917="",$E917="",$F917="완료",$F917="취소"),"",$E917-TODAY())</f>
        <v/>
      </c>
      <c r="I917" s="56" t="str">
        <f>IF(OR($C917="",$E917=""),"",IF($F917="완료",IF($G917="","",MAX(0,$G917-$E917)),IF($F917="취소","",MAX(0,TODAY()-$E917))))</f>
        <v/>
      </c>
      <c r="J917" s="50" t="n"/>
      <c r="K917" s="52" t="str">
        <f>IF($A917="","",$A917&amp;"|"&amp;$L917)</f>
        <v/>
      </c>
      <c r="L917" s="52" t="str">
        <f>IF($A917="","",COUNTIFS($A$3:$A917,$A917))</f>
        <v/>
      </c>
    </row>
    <row r="918" ht="15" customHeight="1" s="41">
      <c r="A918" s="50" t="n"/>
      <c r="B918" s="52" t="str">
        <f>IF($A918="","",IFERROR(INDEX(회의록!$C$3:$C$302,MATCH($A918,회의록!$A$3:$A$302,0)),"회의번호없음"))</f>
        <v/>
      </c>
      <c r="C918" s="50" t="n"/>
      <c r="D918" s="49" t="n"/>
      <c r="E918" s="53" t="n"/>
      <c r="F918" s="49" t="n"/>
      <c r="G918" s="53" t="n"/>
      <c r="H918" s="56" t="str">
        <f>IF(OR($C918="",$E918="",$F918="완료",$F918="취소"),"",$E918-TODAY())</f>
        <v/>
      </c>
      <c r="I918" s="56" t="str">
        <f>IF(OR($C918="",$E918=""),"",IF($F918="완료",IF($G918="","",MAX(0,$G918-$E918)),IF($F918="취소","",MAX(0,TODAY()-$E918))))</f>
        <v/>
      </c>
      <c r="J918" s="50" t="n"/>
      <c r="K918" s="52" t="str">
        <f>IF($A918="","",$A918&amp;"|"&amp;$L918)</f>
        <v/>
      </c>
      <c r="L918" s="52" t="str">
        <f>IF($A918="","",COUNTIFS($A$3:$A918,$A918))</f>
        <v/>
      </c>
    </row>
    <row r="919" ht="15" customHeight="1" s="41">
      <c r="A919" s="50" t="n"/>
      <c r="B919" s="52" t="str">
        <f>IF($A919="","",IFERROR(INDEX(회의록!$C$3:$C$302,MATCH($A919,회의록!$A$3:$A$302,0)),"회의번호없음"))</f>
        <v/>
      </c>
      <c r="C919" s="50" t="n"/>
      <c r="D919" s="49" t="n"/>
      <c r="E919" s="53" t="n"/>
      <c r="F919" s="49" t="n"/>
      <c r="G919" s="53" t="n"/>
      <c r="H919" s="56" t="str">
        <f>IF(OR($C919="",$E919="",$F919="완료",$F919="취소"),"",$E919-TODAY())</f>
        <v/>
      </c>
      <c r="I919" s="56" t="str">
        <f>IF(OR($C919="",$E919=""),"",IF($F919="완료",IF($G919="","",MAX(0,$G919-$E919)),IF($F919="취소","",MAX(0,TODAY()-$E919))))</f>
        <v/>
      </c>
      <c r="J919" s="50" t="n"/>
      <c r="K919" s="52" t="str">
        <f>IF($A919="","",$A919&amp;"|"&amp;$L919)</f>
        <v/>
      </c>
      <c r="L919" s="52" t="str">
        <f>IF($A919="","",COUNTIFS($A$3:$A919,$A919))</f>
        <v/>
      </c>
    </row>
    <row r="920" ht="15" customHeight="1" s="41">
      <c r="A920" s="50" t="n"/>
      <c r="B920" s="52" t="str">
        <f>IF($A920="","",IFERROR(INDEX(회의록!$C$3:$C$302,MATCH($A920,회의록!$A$3:$A$302,0)),"회의번호없음"))</f>
        <v/>
      </c>
      <c r="C920" s="50" t="n"/>
      <c r="D920" s="49" t="n"/>
      <c r="E920" s="53" t="n"/>
      <c r="F920" s="49" t="n"/>
      <c r="G920" s="53" t="n"/>
      <c r="H920" s="56" t="str">
        <f>IF(OR($C920="",$E920="",$F920="완료",$F920="취소"),"",$E920-TODAY())</f>
        <v/>
      </c>
      <c r="I920" s="56" t="str">
        <f>IF(OR($C920="",$E920=""),"",IF($F920="완료",IF($G920="","",MAX(0,$G920-$E920)),IF($F920="취소","",MAX(0,TODAY()-$E920))))</f>
        <v/>
      </c>
      <c r="J920" s="50" t="n"/>
      <c r="K920" s="52" t="str">
        <f>IF($A920="","",$A920&amp;"|"&amp;$L920)</f>
        <v/>
      </c>
      <c r="L920" s="52" t="str">
        <f>IF($A920="","",COUNTIFS($A$3:$A920,$A920))</f>
        <v/>
      </c>
    </row>
    <row r="921" ht="15" customHeight="1" s="41">
      <c r="A921" s="50" t="n"/>
      <c r="B921" s="52" t="str">
        <f>IF($A921="","",IFERROR(INDEX(회의록!$C$3:$C$302,MATCH($A921,회의록!$A$3:$A$302,0)),"회의번호없음"))</f>
        <v/>
      </c>
      <c r="C921" s="50" t="n"/>
      <c r="D921" s="49" t="n"/>
      <c r="E921" s="53" t="n"/>
      <c r="F921" s="49" t="n"/>
      <c r="G921" s="53" t="n"/>
      <c r="H921" s="56" t="str">
        <f>IF(OR($C921="",$E921="",$F921="완료",$F921="취소"),"",$E921-TODAY())</f>
        <v/>
      </c>
      <c r="I921" s="56" t="str">
        <f>IF(OR($C921="",$E921=""),"",IF($F921="완료",IF($G921="","",MAX(0,$G921-$E921)),IF($F921="취소","",MAX(0,TODAY()-$E921))))</f>
        <v/>
      </c>
      <c r="J921" s="50" t="n"/>
      <c r="K921" s="52" t="str">
        <f>IF($A921="","",$A921&amp;"|"&amp;$L921)</f>
        <v/>
      </c>
      <c r="L921" s="52" t="str">
        <f>IF($A921="","",COUNTIFS($A$3:$A921,$A921))</f>
        <v/>
      </c>
    </row>
    <row r="922" ht="15" customHeight="1" s="41">
      <c r="A922" s="50" t="n"/>
      <c r="B922" s="52" t="str">
        <f>IF($A922="","",IFERROR(INDEX(회의록!$C$3:$C$302,MATCH($A922,회의록!$A$3:$A$302,0)),"회의번호없음"))</f>
        <v/>
      </c>
      <c r="C922" s="50" t="n"/>
      <c r="D922" s="49" t="n"/>
      <c r="E922" s="53" t="n"/>
      <c r="F922" s="49" t="n"/>
      <c r="G922" s="53" t="n"/>
      <c r="H922" s="56" t="str">
        <f>IF(OR($C922="",$E922="",$F922="완료",$F922="취소"),"",$E922-TODAY())</f>
        <v/>
      </c>
      <c r="I922" s="56" t="str">
        <f>IF(OR($C922="",$E922=""),"",IF($F922="완료",IF($G922="","",MAX(0,$G922-$E922)),IF($F922="취소","",MAX(0,TODAY()-$E922))))</f>
        <v/>
      </c>
      <c r="J922" s="50" t="n"/>
      <c r="K922" s="52" t="str">
        <f>IF($A922="","",$A922&amp;"|"&amp;$L922)</f>
        <v/>
      </c>
      <c r="L922" s="52" t="str">
        <f>IF($A922="","",COUNTIFS($A$3:$A922,$A922))</f>
        <v/>
      </c>
    </row>
    <row r="923" ht="15" customHeight="1" s="41">
      <c r="A923" s="50" t="n"/>
      <c r="B923" s="52" t="str">
        <f>IF($A923="","",IFERROR(INDEX(회의록!$C$3:$C$302,MATCH($A923,회의록!$A$3:$A$302,0)),"회의번호없음"))</f>
        <v/>
      </c>
      <c r="C923" s="50" t="n"/>
      <c r="D923" s="49" t="n"/>
      <c r="E923" s="53" t="n"/>
      <c r="F923" s="49" t="n"/>
      <c r="G923" s="53" t="n"/>
      <c r="H923" s="56" t="str">
        <f>IF(OR($C923="",$E923="",$F923="완료",$F923="취소"),"",$E923-TODAY())</f>
        <v/>
      </c>
      <c r="I923" s="56" t="str">
        <f>IF(OR($C923="",$E923=""),"",IF($F923="완료",IF($G923="","",MAX(0,$G923-$E923)),IF($F923="취소","",MAX(0,TODAY()-$E923))))</f>
        <v/>
      </c>
      <c r="J923" s="50" t="n"/>
      <c r="K923" s="52" t="str">
        <f>IF($A923="","",$A923&amp;"|"&amp;$L923)</f>
        <v/>
      </c>
      <c r="L923" s="52" t="str">
        <f>IF($A923="","",COUNTIFS($A$3:$A923,$A923))</f>
        <v/>
      </c>
    </row>
    <row r="924" ht="15" customHeight="1" s="41">
      <c r="A924" s="50" t="n"/>
      <c r="B924" s="52" t="str">
        <f>IF($A924="","",IFERROR(INDEX(회의록!$C$3:$C$302,MATCH($A924,회의록!$A$3:$A$302,0)),"회의번호없음"))</f>
        <v/>
      </c>
      <c r="C924" s="50" t="n"/>
      <c r="D924" s="49" t="n"/>
      <c r="E924" s="53" t="n"/>
      <c r="F924" s="49" t="n"/>
      <c r="G924" s="53" t="n"/>
      <c r="H924" s="56" t="str">
        <f>IF(OR($C924="",$E924="",$F924="완료",$F924="취소"),"",$E924-TODAY())</f>
        <v/>
      </c>
      <c r="I924" s="56" t="str">
        <f>IF(OR($C924="",$E924=""),"",IF($F924="완료",IF($G924="","",MAX(0,$G924-$E924)),IF($F924="취소","",MAX(0,TODAY()-$E924))))</f>
        <v/>
      </c>
      <c r="J924" s="50" t="n"/>
      <c r="K924" s="52" t="str">
        <f>IF($A924="","",$A924&amp;"|"&amp;$L924)</f>
        <v/>
      </c>
      <c r="L924" s="52" t="str">
        <f>IF($A924="","",COUNTIFS($A$3:$A924,$A924))</f>
        <v/>
      </c>
    </row>
    <row r="925" ht="15" customHeight="1" s="41">
      <c r="A925" s="50" t="n"/>
      <c r="B925" s="52" t="str">
        <f>IF($A925="","",IFERROR(INDEX(회의록!$C$3:$C$302,MATCH($A925,회의록!$A$3:$A$302,0)),"회의번호없음"))</f>
        <v/>
      </c>
      <c r="C925" s="50" t="n"/>
      <c r="D925" s="49" t="n"/>
      <c r="E925" s="53" t="n"/>
      <c r="F925" s="49" t="n"/>
      <c r="G925" s="53" t="n"/>
      <c r="H925" s="56" t="str">
        <f>IF(OR($C925="",$E925="",$F925="완료",$F925="취소"),"",$E925-TODAY())</f>
        <v/>
      </c>
      <c r="I925" s="56" t="str">
        <f>IF(OR($C925="",$E925=""),"",IF($F925="완료",IF($G925="","",MAX(0,$G925-$E925)),IF($F925="취소","",MAX(0,TODAY()-$E925))))</f>
        <v/>
      </c>
      <c r="J925" s="50" t="n"/>
      <c r="K925" s="52" t="str">
        <f>IF($A925="","",$A925&amp;"|"&amp;$L925)</f>
        <v/>
      </c>
      <c r="L925" s="52" t="str">
        <f>IF($A925="","",COUNTIFS($A$3:$A925,$A925))</f>
        <v/>
      </c>
    </row>
    <row r="926" ht="15" customHeight="1" s="41">
      <c r="A926" s="50" t="n"/>
      <c r="B926" s="52" t="str">
        <f>IF($A926="","",IFERROR(INDEX(회의록!$C$3:$C$302,MATCH($A926,회의록!$A$3:$A$302,0)),"회의번호없음"))</f>
        <v/>
      </c>
      <c r="C926" s="50" t="n"/>
      <c r="D926" s="49" t="n"/>
      <c r="E926" s="53" t="n"/>
      <c r="F926" s="49" t="n"/>
      <c r="G926" s="53" t="n"/>
      <c r="H926" s="56" t="str">
        <f>IF(OR($C926="",$E926="",$F926="완료",$F926="취소"),"",$E926-TODAY())</f>
        <v/>
      </c>
      <c r="I926" s="56" t="str">
        <f>IF(OR($C926="",$E926=""),"",IF($F926="완료",IF($G926="","",MAX(0,$G926-$E926)),IF($F926="취소","",MAX(0,TODAY()-$E926))))</f>
        <v/>
      </c>
      <c r="J926" s="50" t="n"/>
      <c r="K926" s="52" t="str">
        <f>IF($A926="","",$A926&amp;"|"&amp;$L926)</f>
        <v/>
      </c>
      <c r="L926" s="52" t="str">
        <f>IF($A926="","",COUNTIFS($A$3:$A926,$A926))</f>
        <v/>
      </c>
    </row>
    <row r="927" ht="15" customHeight="1" s="41">
      <c r="A927" s="50" t="n"/>
      <c r="B927" s="52" t="str">
        <f>IF($A927="","",IFERROR(INDEX(회의록!$C$3:$C$302,MATCH($A927,회의록!$A$3:$A$302,0)),"회의번호없음"))</f>
        <v/>
      </c>
      <c r="C927" s="50" t="n"/>
      <c r="D927" s="49" t="n"/>
      <c r="E927" s="53" t="n"/>
      <c r="F927" s="49" t="n"/>
      <c r="G927" s="53" t="n"/>
      <c r="H927" s="56" t="str">
        <f>IF(OR($C927="",$E927="",$F927="완료",$F927="취소"),"",$E927-TODAY())</f>
        <v/>
      </c>
      <c r="I927" s="56" t="str">
        <f>IF(OR($C927="",$E927=""),"",IF($F927="완료",IF($G927="","",MAX(0,$G927-$E927)),IF($F927="취소","",MAX(0,TODAY()-$E927))))</f>
        <v/>
      </c>
      <c r="J927" s="50" t="n"/>
      <c r="K927" s="52" t="str">
        <f>IF($A927="","",$A927&amp;"|"&amp;$L927)</f>
        <v/>
      </c>
      <c r="L927" s="52" t="str">
        <f>IF($A927="","",COUNTIFS($A$3:$A927,$A927))</f>
        <v/>
      </c>
    </row>
    <row r="928" ht="15" customHeight="1" s="41">
      <c r="A928" s="50" t="n"/>
      <c r="B928" s="52" t="str">
        <f>IF($A928="","",IFERROR(INDEX(회의록!$C$3:$C$302,MATCH($A928,회의록!$A$3:$A$302,0)),"회의번호없음"))</f>
        <v/>
      </c>
      <c r="C928" s="50" t="n"/>
      <c r="D928" s="49" t="n"/>
      <c r="E928" s="53" t="n"/>
      <c r="F928" s="49" t="n"/>
      <c r="G928" s="53" t="n"/>
      <c r="H928" s="56" t="str">
        <f>IF(OR($C928="",$E928="",$F928="완료",$F928="취소"),"",$E928-TODAY())</f>
        <v/>
      </c>
      <c r="I928" s="56" t="str">
        <f>IF(OR($C928="",$E928=""),"",IF($F928="완료",IF($G928="","",MAX(0,$G928-$E928)),IF($F928="취소","",MAX(0,TODAY()-$E928))))</f>
        <v/>
      </c>
      <c r="J928" s="50" t="n"/>
      <c r="K928" s="52" t="str">
        <f>IF($A928="","",$A928&amp;"|"&amp;$L928)</f>
        <v/>
      </c>
      <c r="L928" s="52" t="str">
        <f>IF($A928="","",COUNTIFS($A$3:$A928,$A928))</f>
        <v/>
      </c>
    </row>
    <row r="929" ht="15" customHeight="1" s="41">
      <c r="A929" s="50" t="n"/>
      <c r="B929" s="52" t="str">
        <f>IF($A929="","",IFERROR(INDEX(회의록!$C$3:$C$302,MATCH($A929,회의록!$A$3:$A$302,0)),"회의번호없음"))</f>
        <v/>
      </c>
      <c r="C929" s="50" t="n"/>
      <c r="D929" s="49" t="n"/>
      <c r="E929" s="53" t="n"/>
      <c r="F929" s="49" t="n"/>
      <c r="G929" s="53" t="n"/>
      <c r="H929" s="56" t="str">
        <f>IF(OR($C929="",$E929="",$F929="완료",$F929="취소"),"",$E929-TODAY())</f>
        <v/>
      </c>
      <c r="I929" s="56" t="str">
        <f>IF(OR($C929="",$E929=""),"",IF($F929="완료",IF($G929="","",MAX(0,$G929-$E929)),IF($F929="취소","",MAX(0,TODAY()-$E929))))</f>
        <v/>
      </c>
      <c r="J929" s="50" t="n"/>
      <c r="K929" s="52" t="str">
        <f>IF($A929="","",$A929&amp;"|"&amp;$L929)</f>
        <v/>
      </c>
      <c r="L929" s="52" t="str">
        <f>IF($A929="","",COUNTIFS($A$3:$A929,$A929))</f>
        <v/>
      </c>
    </row>
    <row r="930" ht="15" customHeight="1" s="41">
      <c r="A930" s="50" t="n"/>
      <c r="B930" s="52" t="str">
        <f>IF($A930="","",IFERROR(INDEX(회의록!$C$3:$C$302,MATCH($A930,회의록!$A$3:$A$302,0)),"회의번호없음"))</f>
        <v/>
      </c>
      <c r="C930" s="50" t="n"/>
      <c r="D930" s="49" t="n"/>
      <c r="E930" s="53" t="n"/>
      <c r="F930" s="49" t="n"/>
      <c r="G930" s="53" t="n"/>
      <c r="H930" s="56" t="str">
        <f>IF(OR($C930="",$E930="",$F930="완료",$F930="취소"),"",$E930-TODAY())</f>
        <v/>
      </c>
      <c r="I930" s="56" t="str">
        <f>IF(OR($C930="",$E930=""),"",IF($F930="완료",IF($G930="","",MAX(0,$G930-$E930)),IF($F930="취소","",MAX(0,TODAY()-$E930))))</f>
        <v/>
      </c>
      <c r="J930" s="50" t="n"/>
      <c r="K930" s="52" t="str">
        <f>IF($A930="","",$A930&amp;"|"&amp;$L930)</f>
        <v/>
      </c>
      <c r="L930" s="52" t="str">
        <f>IF($A930="","",COUNTIFS($A$3:$A930,$A930))</f>
        <v/>
      </c>
    </row>
    <row r="931" ht="15" customHeight="1" s="41">
      <c r="A931" s="50" t="n"/>
      <c r="B931" s="52" t="str">
        <f>IF($A931="","",IFERROR(INDEX(회의록!$C$3:$C$302,MATCH($A931,회의록!$A$3:$A$302,0)),"회의번호없음"))</f>
        <v/>
      </c>
      <c r="C931" s="50" t="n"/>
      <c r="D931" s="49" t="n"/>
      <c r="E931" s="53" t="n"/>
      <c r="F931" s="49" t="n"/>
      <c r="G931" s="53" t="n"/>
      <c r="H931" s="56" t="str">
        <f>IF(OR($C931="",$E931="",$F931="완료",$F931="취소"),"",$E931-TODAY())</f>
        <v/>
      </c>
      <c r="I931" s="56" t="str">
        <f>IF(OR($C931="",$E931=""),"",IF($F931="완료",IF($G931="","",MAX(0,$G931-$E931)),IF($F931="취소","",MAX(0,TODAY()-$E931))))</f>
        <v/>
      </c>
      <c r="J931" s="50" t="n"/>
      <c r="K931" s="52" t="str">
        <f>IF($A931="","",$A931&amp;"|"&amp;$L931)</f>
        <v/>
      </c>
      <c r="L931" s="52" t="str">
        <f>IF($A931="","",COUNTIFS($A$3:$A931,$A931))</f>
        <v/>
      </c>
    </row>
    <row r="932" ht="15" customHeight="1" s="41">
      <c r="A932" s="50" t="n"/>
      <c r="B932" s="52" t="str">
        <f>IF($A932="","",IFERROR(INDEX(회의록!$C$3:$C$302,MATCH($A932,회의록!$A$3:$A$302,0)),"회의번호없음"))</f>
        <v/>
      </c>
      <c r="C932" s="50" t="n"/>
      <c r="D932" s="49" t="n"/>
      <c r="E932" s="53" t="n"/>
      <c r="F932" s="49" t="n"/>
      <c r="G932" s="53" t="n"/>
      <c r="H932" s="56" t="str">
        <f>IF(OR($C932="",$E932="",$F932="완료",$F932="취소"),"",$E932-TODAY())</f>
        <v/>
      </c>
      <c r="I932" s="56" t="str">
        <f>IF(OR($C932="",$E932=""),"",IF($F932="완료",IF($G932="","",MAX(0,$G932-$E932)),IF($F932="취소","",MAX(0,TODAY()-$E932))))</f>
        <v/>
      </c>
      <c r="J932" s="50" t="n"/>
      <c r="K932" s="52" t="str">
        <f>IF($A932="","",$A932&amp;"|"&amp;$L932)</f>
        <v/>
      </c>
      <c r="L932" s="52" t="str">
        <f>IF($A932="","",COUNTIFS($A$3:$A932,$A932))</f>
        <v/>
      </c>
    </row>
    <row r="933" ht="15" customHeight="1" s="41">
      <c r="A933" s="50" t="n"/>
      <c r="B933" s="52" t="str">
        <f>IF($A933="","",IFERROR(INDEX(회의록!$C$3:$C$302,MATCH($A933,회의록!$A$3:$A$302,0)),"회의번호없음"))</f>
        <v/>
      </c>
      <c r="C933" s="50" t="n"/>
      <c r="D933" s="49" t="n"/>
      <c r="E933" s="53" t="n"/>
      <c r="F933" s="49" t="n"/>
      <c r="G933" s="53" t="n"/>
      <c r="H933" s="56" t="str">
        <f>IF(OR($C933="",$E933="",$F933="완료",$F933="취소"),"",$E933-TODAY())</f>
        <v/>
      </c>
      <c r="I933" s="56" t="str">
        <f>IF(OR($C933="",$E933=""),"",IF($F933="완료",IF($G933="","",MAX(0,$G933-$E933)),IF($F933="취소","",MAX(0,TODAY()-$E933))))</f>
        <v/>
      </c>
      <c r="J933" s="50" t="n"/>
      <c r="K933" s="52" t="str">
        <f>IF($A933="","",$A933&amp;"|"&amp;$L933)</f>
        <v/>
      </c>
      <c r="L933" s="52" t="str">
        <f>IF($A933="","",COUNTIFS($A$3:$A933,$A933))</f>
        <v/>
      </c>
    </row>
    <row r="934" ht="15" customHeight="1" s="41">
      <c r="A934" s="50" t="n"/>
      <c r="B934" s="52" t="str">
        <f>IF($A934="","",IFERROR(INDEX(회의록!$C$3:$C$302,MATCH($A934,회의록!$A$3:$A$302,0)),"회의번호없음"))</f>
        <v/>
      </c>
      <c r="C934" s="50" t="n"/>
      <c r="D934" s="49" t="n"/>
      <c r="E934" s="53" t="n"/>
      <c r="F934" s="49" t="n"/>
      <c r="G934" s="53" t="n"/>
      <c r="H934" s="56" t="str">
        <f>IF(OR($C934="",$E934="",$F934="완료",$F934="취소"),"",$E934-TODAY())</f>
        <v/>
      </c>
      <c r="I934" s="56" t="str">
        <f>IF(OR($C934="",$E934=""),"",IF($F934="완료",IF($G934="","",MAX(0,$G934-$E934)),IF($F934="취소","",MAX(0,TODAY()-$E934))))</f>
        <v/>
      </c>
      <c r="J934" s="50" t="n"/>
      <c r="K934" s="52" t="str">
        <f>IF($A934="","",$A934&amp;"|"&amp;$L934)</f>
        <v/>
      </c>
      <c r="L934" s="52" t="str">
        <f>IF($A934="","",COUNTIFS($A$3:$A934,$A934))</f>
        <v/>
      </c>
    </row>
    <row r="935" ht="15" customHeight="1" s="41">
      <c r="A935" s="50" t="n"/>
      <c r="B935" s="52" t="str">
        <f>IF($A935="","",IFERROR(INDEX(회의록!$C$3:$C$302,MATCH($A935,회의록!$A$3:$A$302,0)),"회의번호없음"))</f>
        <v/>
      </c>
      <c r="C935" s="50" t="n"/>
      <c r="D935" s="49" t="n"/>
      <c r="E935" s="53" t="n"/>
      <c r="F935" s="49" t="n"/>
      <c r="G935" s="53" t="n"/>
      <c r="H935" s="56" t="str">
        <f>IF(OR($C935="",$E935="",$F935="완료",$F935="취소"),"",$E935-TODAY())</f>
        <v/>
      </c>
      <c r="I935" s="56" t="str">
        <f>IF(OR($C935="",$E935=""),"",IF($F935="완료",IF($G935="","",MAX(0,$G935-$E935)),IF($F935="취소","",MAX(0,TODAY()-$E935))))</f>
        <v/>
      </c>
      <c r="J935" s="50" t="n"/>
      <c r="K935" s="52" t="str">
        <f>IF($A935="","",$A935&amp;"|"&amp;$L935)</f>
        <v/>
      </c>
      <c r="L935" s="52" t="str">
        <f>IF($A935="","",COUNTIFS($A$3:$A935,$A935))</f>
        <v/>
      </c>
    </row>
    <row r="936" ht="15" customHeight="1" s="41">
      <c r="A936" s="50" t="n"/>
      <c r="B936" s="52" t="str">
        <f>IF($A936="","",IFERROR(INDEX(회의록!$C$3:$C$302,MATCH($A936,회의록!$A$3:$A$302,0)),"회의번호없음"))</f>
        <v/>
      </c>
      <c r="C936" s="50" t="n"/>
      <c r="D936" s="49" t="n"/>
      <c r="E936" s="53" t="n"/>
      <c r="F936" s="49" t="n"/>
      <c r="G936" s="53" t="n"/>
      <c r="H936" s="56" t="str">
        <f>IF(OR($C936="",$E936="",$F936="완료",$F936="취소"),"",$E936-TODAY())</f>
        <v/>
      </c>
      <c r="I936" s="56" t="str">
        <f>IF(OR($C936="",$E936=""),"",IF($F936="완료",IF($G936="","",MAX(0,$G936-$E936)),IF($F936="취소","",MAX(0,TODAY()-$E936))))</f>
        <v/>
      </c>
      <c r="J936" s="50" t="n"/>
      <c r="K936" s="52" t="str">
        <f>IF($A936="","",$A936&amp;"|"&amp;$L936)</f>
        <v/>
      </c>
      <c r="L936" s="52" t="str">
        <f>IF($A936="","",COUNTIFS($A$3:$A936,$A936))</f>
        <v/>
      </c>
    </row>
    <row r="937" ht="15" customHeight="1" s="41">
      <c r="A937" s="50" t="n"/>
      <c r="B937" s="52" t="str">
        <f>IF($A937="","",IFERROR(INDEX(회의록!$C$3:$C$302,MATCH($A937,회의록!$A$3:$A$302,0)),"회의번호없음"))</f>
        <v/>
      </c>
      <c r="C937" s="50" t="n"/>
      <c r="D937" s="49" t="n"/>
      <c r="E937" s="53" t="n"/>
      <c r="F937" s="49" t="n"/>
      <c r="G937" s="53" t="n"/>
      <c r="H937" s="56" t="str">
        <f>IF(OR($C937="",$E937="",$F937="완료",$F937="취소"),"",$E937-TODAY())</f>
        <v/>
      </c>
      <c r="I937" s="56" t="str">
        <f>IF(OR($C937="",$E937=""),"",IF($F937="완료",IF($G937="","",MAX(0,$G937-$E937)),IF($F937="취소","",MAX(0,TODAY()-$E937))))</f>
        <v/>
      </c>
      <c r="J937" s="50" t="n"/>
      <c r="K937" s="52" t="str">
        <f>IF($A937="","",$A937&amp;"|"&amp;$L937)</f>
        <v/>
      </c>
      <c r="L937" s="52" t="str">
        <f>IF($A937="","",COUNTIFS($A$3:$A937,$A937))</f>
        <v/>
      </c>
    </row>
    <row r="938" ht="15" customHeight="1" s="41">
      <c r="A938" s="50" t="n"/>
      <c r="B938" s="52" t="str">
        <f>IF($A938="","",IFERROR(INDEX(회의록!$C$3:$C$302,MATCH($A938,회의록!$A$3:$A$302,0)),"회의번호없음"))</f>
        <v/>
      </c>
      <c r="C938" s="50" t="n"/>
      <c r="D938" s="49" t="n"/>
      <c r="E938" s="53" t="n"/>
      <c r="F938" s="49" t="n"/>
      <c r="G938" s="53" t="n"/>
      <c r="H938" s="56" t="str">
        <f>IF(OR($C938="",$E938="",$F938="완료",$F938="취소"),"",$E938-TODAY())</f>
        <v/>
      </c>
      <c r="I938" s="56" t="str">
        <f>IF(OR($C938="",$E938=""),"",IF($F938="완료",IF($G938="","",MAX(0,$G938-$E938)),IF($F938="취소","",MAX(0,TODAY()-$E938))))</f>
        <v/>
      </c>
      <c r="J938" s="50" t="n"/>
      <c r="K938" s="52" t="str">
        <f>IF($A938="","",$A938&amp;"|"&amp;$L938)</f>
        <v/>
      </c>
      <c r="L938" s="52" t="str">
        <f>IF($A938="","",COUNTIFS($A$3:$A938,$A938))</f>
        <v/>
      </c>
    </row>
    <row r="939" ht="15" customHeight="1" s="41">
      <c r="A939" s="50" t="n"/>
      <c r="B939" s="52" t="str">
        <f>IF($A939="","",IFERROR(INDEX(회의록!$C$3:$C$302,MATCH($A939,회의록!$A$3:$A$302,0)),"회의번호없음"))</f>
        <v/>
      </c>
      <c r="C939" s="50" t="n"/>
      <c r="D939" s="49" t="n"/>
      <c r="E939" s="53" t="n"/>
      <c r="F939" s="49" t="n"/>
      <c r="G939" s="53" t="n"/>
      <c r="H939" s="56" t="str">
        <f>IF(OR($C939="",$E939="",$F939="완료",$F939="취소"),"",$E939-TODAY())</f>
        <v/>
      </c>
      <c r="I939" s="56" t="str">
        <f>IF(OR($C939="",$E939=""),"",IF($F939="완료",IF($G939="","",MAX(0,$G939-$E939)),IF($F939="취소","",MAX(0,TODAY()-$E939))))</f>
        <v/>
      </c>
      <c r="J939" s="50" t="n"/>
      <c r="K939" s="52" t="str">
        <f>IF($A939="","",$A939&amp;"|"&amp;$L939)</f>
        <v/>
      </c>
      <c r="L939" s="52" t="str">
        <f>IF($A939="","",COUNTIFS($A$3:$A939,$A939))</f>
        <v/>
      </c>
    </row>
    <row r="940" ht="15" customHeight="1" s="41">
      <c r="A940" s="50" t="n"/>
      <c r="B940" s="52" t="str">
        <f>IF($A940="","",IFERROR(INDEX(회의록!$C$3:$C$302,MATCH($A940,회의록!$A$3:$A$302,0)),"회의번호없음"))</f>
        <v/>
      </c>
      <c r="C940" s="50" t="n"/>
      <c r="D940" s="49" t="n"/>
      <c r="E940" s="53" t="n"/>
      <c r="F940" s="49" t="n"/>
      <c r="G940" s="53" t="n"/>
      <c r="H940" s="56" t="str">
        <f>IF(OR($C940="",$E940="",$F940="완료",$F940="취소"),"",$E940-TODAY())</f>
        <v/>
      </c>
      <c r="I940" s="56" t="str">
        <f>IF(OR($C940="",$E940=""),"",IF($F940="완료",IF($G940="","",MAX(0,$G940-$E940)),IF($F940="취소","",MAX(0,TODAY()-$E940))))</f>
        <v/>
      </c>
      <c r="J940" s="50" t="n"/>
      <c r="K940" s="52" t="str">
        <f>IF($A940="","",$A940&amp;"|"&amp;$L940)</f>
        <v/>
      </c>
      <c r="L940" s="52" t="str">
        <f>IF($A940="","",COUNTIFS($A$3:$A940,$A940))</f>
        <v/>
      </c>
    </row>
    <row r="941" ht="15" customHeight="1" s="41">
      <c r="A941" s="50" t="n"/>
      <c r="B941" s="52" t="str">
        <f>IF($A941="","",IFERROR(INDEX(회의록!$C$3:$C$302,MATCH($A941,회의록!$A$3:$A$302,0)),"회의번호없음"))</f>
        <v/>
      </c>
      <c r="C941" s="50" t="n"/>
      <c r="D941" s="49" t="n"/>
      <c r="E941" s="53" t="n"/>
      <c r="F941" s="49" t="n"/>
      <c r="G941" s="53" t="n"/>
      <c r="H941" s="56" t="str">
        <f>IF(OR($C941="",$E941="",$F941="완료",$F941="취소"),"",$E941-TODAY())</f>
        <v/>
      </c>
      <c r="I941" s="56" t="str">
        <f>IF(OR($C941="",$E941=""),"",IF($F941="완료",IF($G941="","",MAX(0,$G941-$E941)),IF($F941="취소","",MAX(0,TODAY()-$E941))))</f>
        <v/>
      </c>
      <c r="J941" s="50" t="n"/>
      <c r="K941" s="52" t="str">
        <f>IF($A941="","",$A941&amp;"|"&amp;$L941)</f>
        <v/>
      </c>
      <c r="L941" s="52" t="str">
        <f>IF($A941="","",COUNTIFS($A$3:$A941,$A941))</f>
        <v/>
      </c>
    </row>
    <row r="942" ht="15" customHeight="1" s="41">
      <c r="A942" s="50" t="n"/>
      <c r="B942" s="52" t="str">
        <f>IF($A942="","",IFERROR(INDEX(회의록!$C$3:$C$302,MATCH($A942,회의록!$A$3:$A$302,0)),"회의번호없음"))</f>
        <v/>
      </c>
      <c r="C942" s="50" t="n"/>
      <c r="D942" s="49" t="n"/>
      <c r="E942" s="53" t="n"/>
      <c r="F942" s="49" t="n"/>
      <c r="G942" s="53" t="n"/>
      <c r="H942" s="56" t="str">
        <f>IF(OR($C942="",$E942="",$F942="완료",$F942="취소"),"",$E942-TODAY())</f>
        <v/>
      </c>
      <c r="I942" s="56" t="str">
        <f>IF(OR($C942="",$E942=""),"",IF($F942="완료",IF($G942="","",MAX(0,$G942-$E942)),IF($F942="취소","",MAX(0,TODAY()-$E942))))</f>
        <v/>
      </c>
      <c r="J942" s="50" t="n"/>
      <c r="K942" s="52" t="str">
        <f>IF($A942="","",$A942&amp;"|"&amp;$L942)</f>
        <v/>
      </c>
      <c r="L942" s="52" t="str">
        <f>IF($A942="","",COUNTIFS($A$3:$A942,$A942))</f>
        <v/>
      </c>
    </row>
    <row r="943" ht="15" customHeight="1" s="41">
      <c r="A943" s="50" t="n"/>
      <c r="B943" s="52" t="str">
        <f>IF($A943="","",IFERROR(INDEX(회의록!$C$3:$C$302,MATCH($A943,회의록!$A$3:$A$302,0)),"회의번호없음"))</f>
        <v/>
      </c>
      <c r="C943" s="50" t="n"/>
      <c r="D943" s="49" t="n"/>
      <c r="E943" s="53" t="n"/>
      <c r="F943" s="49" t="n"/>
      <c r="G943" s="53" t="n"/>
      <c r="H943" s="56" t="str">
        <f>IF(OR($C943="",$E943="",$F943="완료",$F943="취소"),"",$E943-TODAY())</f>
        <v/>
      </c>
      <c r="I943" s="56" t="str">
        <f>IF(OR($C943="",$E943=""),"",IF($F943="완료",IF($G943="","",MAX(0,$G943-$E943)),IF($F943="취소","",MAX(0,TODAY()-$E943))))</f>
        <v/>
      </c>
      <c r="J943" s="50" t="n"/>
      <c r="K943" s="52" t="str">
        <f>IF($A943="","",$A943&amp;"|"&amp;$L943)</f>
        <v/>
      </c>
      <c r="L943" s="52" t="str">
        <f>IF($A943="","",COUNTIFS($A$3:$A943,$A943))</f>
        <v/>
      </c>
    </row>
    <row r="944" ht="15" customHeight="1" s="41">
      <c r="A944" s="50" t="n"/>
      <c r="B944" s="52" t="str">
        <f>IF($A944="","",IFERROR(INDEX(회의록!$C$3:$C$302,MATCH($A944,회의록!$A$3:$A$302,0)),"회의번호없음"))</f>
        <v/>
      </c>
      <c r="C944" s="50" t="n"/>
      <c r="D944" s="49" t="n"/>
      <c r="E944" s="53" t="n"/>
      <c r="F944" s="49" t="n"/>
      <c r="G944" s="53" t="n"/>
      <c r="H944" s="56" t="str">
        <f>IF(OR($C944="",$E944="",$F944="완료",$F944="취소"),"",$E944-TODAY())</f>
        <v/>
      </c>
      <c r="I944" s="56" t="str">
        <f>IF(OR($C944="",$E944=""),"",IF($F944="완료",IF($G944="","",MAX(0,$G944-$E944)),IF($F944="취소","",MAX(0,TODAY()-$E944))))</f>
        <v/>
      </c>
      <c r="J944" s="50" t="n"/>
      <c r="K944" s="52" t="str">
        <f>IF($A944="","",$A944&amp;"|"&amp;$L944)</f>
        <v/>
      </c>
      <c r="L944" s="52" t="str">
        <f>IF($A944="","",COUNTIFS($A$3:$A944,$A944))</f>
        <v/>
      </c>
    </row>
    <row r="945" ht="15" customHeight="1" s="41">
      <c r="A945" s="50" t="n"/>
      <c r="B945" s="52" t="str">
        <f>IF($A945="","",IFERROR(INDEX(회의록!$C$3:$C$302,MATCH($A945,회의록!$A$3:$A$302,0)),"회의번호없음"))</f>
        <v/>
      </c>
      <c r="C945" s="50" t="n"/>
      <c r="D945" s="49" t="n"/>
      <c r="E945" s="53" t="n"/>
      <c r="F945" s="49" t="n"/>
      <c r="G945" s="53" t="n"/>
      <c r="H945" s="56" t="str">
        <f>IF(OR($C945="",$E945="",$F945="완료",$F945="취소"),"",$E945-TODAY())</f>
        <v/>
      </c>
      <c r="I945" s="56" t="str">
        <f>IF(OR($C945="",$E945=""),"",IF($F945="완료",IF($G945="","",MAX(0,$G945-$E945)),IF($F945="취소","",MAX(0,TODAY()-$E945))))</f>
        <v/>
      </c>
      <c r="J945" s="50" t="n"/>
      <c r="K945" s="52" t="str">
        <f>IF($A945="","",$A945&amp;"|"&amp;$L945)</f>
        <v/>
      </c>
      <c r="L945" s="52" t="str">
        <f>IF($A945="","",COUNTIFS($A$3:$A945,$A945))</f>
        <v/>
      </c>
    </row>
    <row r="946" ht="15" customHeight="1" s="41">
      <c r="A946" s="50" t="n"/>
      <c r="B946" s="52" t="str">
        <f>IF($A946="","",IFERROR(INDEX(회의록!$C$3:$C$302,MATCH($A946,회의록!$A$3:$A$302,0)),"회의번호없음"))</f>
        <v/>
      </c>
      <c r="C946" s="50" t="n"/>
      <c r="D946" s="49" t="n"/>
      <c r="E946" s="53" t="n"/>
      <c r="F946" s="49" t="n"/>
      <c r="G946" s="53" t="n"/>
      <c r="H946" s="56" t="str">
        <f>IF(OR($C946="",$E946="",$F946="완료",$F946="취소"),"",$E946-TODAY())</f>
        <v/>
      </c>
      <c r="I946" s="56" t="str">
        <f>IF(OR($C946="",$E946=""),"",IF($F946="완료",IF($G946="","",MAX(0,$G946-$E946)),IF($F946="취소","",MAX(0,TODAY()-$E946))))</f>
        <v/>
      </c>
      <c r="J946" s="50" t="n"/>
      <c r="K946" s="52" t="str">
        <f>IF($A946="","",$A946&amp;"|"&amp;$L946)</f>
        <v/>
      </c>
      <c r="L946" s="52" t="str">
        <f>IF($A946="","",COUNTIFS($A$3:$A946,$A946))</f>
        <v/>
      </c>
    </row>
    <row r="947" ht="15" customHeight="1" s="41">
      <c r="A947" s="50" t="n"/>
      <c r="B947" s="52" t="str">
        <f>IF($A947="","",IFERROR(INDEX(회의록!$C$3:$C$302,MATCH($A947,회의록!$A$3:$A$302,0)),"회의번호없음"))</f>
        <v/>
      </c>
      <c r="C947" s="50" t="n"/>
      <c r="D947" s="49" t="n"/>
      <c r="E947" s="53" t="n"/>
      <c r="F947" s="49" t="n"/>
      <c r="G947" s="53" t="n"/>
      <c r="H947" s="56" t="str">
        <f>IF(OR($C947="",$E947="",$F947="완료",$F947="취소"),"",$E947-TODAY())</f>
        <v/>
      </c>
      <c r="I947" s="56" t="str">
        <f>IF(OR($C947="",$E947=""),"",IF($F947="완료",IF($G947="","",MAX(0,$G947-$E947)),IF($F947="취소","",MAX(0,TODAY()-$E947))))</f>
        <v/>
      </c>
      <c r="J947" s="50" t="n"/>
      <c r="K947" s="52" t="str">
        <f>IF($A947="","",$A947&amp;"|"&amp;$L947)</f>
        <v/>
      </c>
      <c r="L947" s="52" t="str">
        <f>IF($A947="","",COUNTIFS($A$3:$A947,$A947))</f>
        <v/>
      </c>
    </row>
    <row r="948" ht="15" customHeight="1" s="41">
      <c r="A948" s="50" t="n"/>
      <c r="B948" s="52" t="str">
        <f>IF($A948="","",IFERROR(INDEX(회의록!$C$3:$C$302,MATCH($A948,회의록!$A$3:$A$302,0)),"회의번호없음"))</f>
        <v/>
      </c>
      <c r="C948" s="50" t="n"/>
      <c r="D948" s="49" t="n"/>
      <c r="E948" s="53" t="n"/>
      <c r="F948" s="49" t="n"/>
      <c r="G948" s="53" t="n"/>
      <c r="H948" s="56" t="str">
        <f>IF(OR($C948="",$E948="",$F948="완료",$F948="취소"),"",$E948-TODAY())</f>
        <v/>
      </c>
      <c r="I948" s="56" t="str">
        <f>IF(OR($C948="",$E948=""),"",IF($F948="완료",IF($G948="","",MAX(0,$G948-$E948)),IF($F948="취소","",MAX(0,TODAY()-$E948))))</f>
        <v/>
      </c>
      <c r="J948" s="50" t="n"/>
      <c r="K948" s="52" t="str">
        <f>IF($A948="","",$A948&amp;"|"&amp;$L948)</f>
        <v/>
      </c>
      <c r="L948" s="52" t="str">
        <f>IF($A948="","",COUNTIFS($A$3:$A948,$A948))</f>
        <v/>
      </c>
    </row>
    <row r="949" ht="15" customHeight="1" s="41">
      <c r="A949" s="50" t="n"/>
      <c r="B949" s="52" t="str">
        <f>IF($A949="","",IFERROR(INDEX(회의록!$C$3:$C$302,MATCH($A949,회의록!$A$3:$A$302,0)),"회의번호없음"))</f>
        <v/>
      </c>
      <c r="C949" s="50" t="n"/>
      <c r="D949" s="49" t="n"/>
      <c r="E949" s="53" t="n"/>
      <c r="F949" s="49" t="n"/>
      <c r="G949" s="53" t="n"/>
      <c r="H949" s="56" t="str">
        <f>IF(OR($C949="",$E949="",$F949="완료",$F949="취소"),"",$E949-TODAY())</f>
        <v/>
      </c>
      <c r="I949" s="56" t="str">
        <f>IF(OR($C949="",$E949=""),"",IF($F949="완료",IF($G949="","",MAX(0,$G949-$E949)),IF($F949="취소","",MAX(0,TODAY()-$E949))))</f>
        <v/>
      </c>
      <c r="J949" s="50" t="n"/>
      <c r="K949" s="52" t="str">
        <f>IF($A949="","",$A949&amp;"|"&amp;$L949)</f>
        <v/>
      </c>
      <c r="L949" s="52" t="str">
        <f>IF($A949="","",COUNTIFS($A$3:$A949,$A949))</f>
        <v/>
      </c>
    </row>
    <row r="950" ht="15" customHeight="1" s="41">
      <c r="A950" s="50" t="n"/>
      <c r="B950" s="52" t="str">
        <f>IF($A950="","",IFERROR(INDEX(회의록!$C$3:$C$302,MATCH($A950,회의록!$A$3:$A$302,0)),"회의번호없음"))</f>
        <v/>
      </c>
      <c r="C950" s="50" t="n"/>
      <c r="D950" s="49" t="n"/>
      <c r="E950" s="53" t="n"/>
      <c r="F950" s="49" t="n"/>
      <c r="G950" s="53" t="n"/>
      <c r="H950" s="56" t="str">
        <f>IF(OR($C950="",$E950="",$F950="완료",$F950="취소"),"",$E950-TODAY())</f>
        <v/>
      </c>
      <c r="I950" s="56" t="str">
        <f>IF(OR($C950="",$E950=""),"",IF($F950="완료",IF($G950="","",MAX(0,$G950-$E950)),IF($F950="취소","",MAX(0,TODAY()-$E950))))</f>
        <v/>
      </c>
      <c r="J950" s="50" t="n"/>
      <c r="K950" s="52" t="str">
        <f>IF($A950="","",$A950&amp;"|"&amp;$L950)</f>
        <v/>
      </c>
      <c r="L950" s="52" t="str">
        <f>IF($A950="","",COUNTIFS($A$3:$A950,$A950))</f>
        <v/>
      </c>
    </row>
    <row r="951" ht="15" customHeight="1" s="41">
      <c r="A951" s="50" t="n"/>
      <c r="B951" s="52" t="str">
        <f>IF($A951="","",IFERROR(INDEX(회의록!$C$3:$C$302,MATCH($A951,회의록!$A$3:$A$302,0)),"회의번호없음"))</f>
        <v/>
      </c>
      <c r="C951" s="50" t="n"/>
      <c r="D951" s="49" t="n"/>
      <c r="E951" s="53" t="n"/>
      <c r="F951" s="49" t="n"/>
      <c r="G951" s="53" t="n"/>
      <c r="H951" s="56" t="str">
        <f>IF(OR($C951="",$E951="",$F951="완료",$F951="취소"),"",$E951-TODAY())</f>
        <v/>
      </c>
      <c r="I951" s="56" t="str">
        <f>IF(OR($C951="",$E951=""),"",IF($F951="완료",IF($G951="","",MAX(0,$G951-$E951)),IF($F951="취소","",MAX(0,TODAY()-$E951))))</f>
        <v/>
      </c>
      <c r="J951" s="50" t="n"/>
      <c r="K951" s="52" t="str">
        <f>IF($A951="","",$A951&amp;"|"&amp;$L951)</f>
        <v/>
      </c>
      <c r="L951" s="52" t="str">
        <f>IF($A951="","",COUNTIFS($A$3:$A951,$A951))</f>
        <v/>
      </c>
    </row>
    <row r="952" ht="15" customHeight="1" s="41">
      <c r="A952" s="50" t="n"/>
      <c r="B952" s="52" t="str">
        <f>IF($A952="","",IFERROR(INDEX(회의록!$C$3:$C$302,MATCH($A952,회의록!$A$3:$A$302,0)),"회의번호없음"))</f>
        <v/>
      </c>
      <c r="C952" s="50" t="n"/>
      <c r="D952" s="49" t="n"/>
      <c r="E952" s="53" t="n"/>
      <c r="F952" s="49" t="n"/>
      <c r="G952" s="53" t="n"/>
      <c r="H952" s="56" t="str">
        <f>IF(OR($C952="",$E952="",$F952="완료",$F952="취소"),"",$E952-TODAY())</f>
        <v/>
      </c>
      <c r="I952" s="56" t="str">
        <f>IF(OR($C952="",$E952=""),"",IF($F952="완료",IF($G952="","",MAX(0,$G952-$E952)),IF($F952="취소","",MAX(0,TODAY()-$E952))))</f>
        <v/>
      </c>
      <c r="J952" s="50" t="n"/>
      <c r="K952" s="52" t="str">
        <f>IF($A952="","",$A952&amp;"|"&amp;$L952)</f>
        <v/>
      </c>
      <c r="L952" s="52" t="str">
        <f>IF($A952="","",COUNTIFS($A$3:$A952,$A952))</f>
        <v/>
      </c>
    </row>
    <row r="953" ht="15" customHeight="1" s="41">
      <c r="A953" s="50" t="n"/>
      <c r="B953" s="52" t="str">
        <f>IF($A953="","",IFERROR(INDEX(회의록!$C$3:$C$302,MATCH($A953,회의록!$A$3:$A$302,0)),"회의번호없음"))</f>
        <v/>
      </c>
      <c r="C953" s="50" t="n"/>
      <c r="D953" s="49" t="n"/>
      <c r="E953" s="53" t="n"/>
      <c r="F953" s="49" t="n"/>
      <c r="G953" s="53" t="n"/>
      <c r="H953" s="56" t="str">
        <f>IF(OR($C953="",$E953="",$F953="완료",$F953="취소"),"",$E953-TODAY())</f>
        <v/>
      </c>
      <c r="I953" s="56" t="str">
        <f>IF(OR($C953="",$E953=""),"",IF($F953="완료",IF($G953="","",MAX(0,$G953-$E953)),IF($F953="취소","",MAX(0,TODAY()-$E953))))</f>
        <v/>
      </c>
      <c r="J953" s="50" t="n"/>
      <c r="K953" s="52" t="str">
        <f>IF($A953="","",$A953&amp;"|"&amp;$L953)</f>
        <v/>
      </c>
      <c r="L953" s="52" t="str">
        <f>IF($A953="","",COUNTIFS($A$3:$A953,$A953))</f>
        <v/>
      </c>
    </row>
    <row r="954" ht="15" customHeight="1" s="41">
      <c r="A954" s="50" t="n"/>
      <c r="B954" s="52" t="str">
        <f>IF($A954="","",IFERROR(INDEX(회의록!$C$3:$C$302,MATCH($A954,회의록!$A$3:$A$302,0)),"회의번호없음"))</f>
        <v/>
      </c>
      <c r="C954" s="50" t="n"/>
      <c r="D954" s="49" t="n"/>
      <c r="E954" s="53" t="n"/>
      <c r="F954" s="49" t="n"/>
      <c r="G954" s="53" t="n"/>
      <c r="H954" s="56" t="str">
        <f>IF(OR($C954="",$E954="",$F954="완료",$F954="취소"),"",$E954-TODAY())</f>
        <v/>
      </c>
      <c r="I954" s="56" t="str">
        <f>IF(OR($C954="",$E954=""),"",IF($F954="완료",IF($G954="","",MAX(0,$G954-$E954)),IF($F954="취소","",MAX(0,TODAY()-$E954))))</f>
        <v/>
      </c>
      <c r="J954" s="50" t="n"/>
      <c r="K954" s="52" t="str">
        <f>IF($A954="","",$A954&amp;"|"&amp;$L954)</f>
        <v/>
      </c>
      <c r="L954" s="52" t="str">
        <f>IF($A954="","",COUNTIFS($A$3:$A954,$A954))</f>
        <v/>
      </c>
    </row>
    <row r="955" ht="15" customHeight="1" s="41">
      <c r="A955" s="50" t="n"/>
      <c r="B955" s="52" t="str">
        <f>IF($A955="","",IFERROR(INDEX(회의록!$C$3:$C$302,MATCH($A955,회의록!$A$3:$A$302,0)),"회의번호없음"))</f>
        <v/>
      </c>
      <c r="C955" s="50" t="n"/>
      <c r="D955" s="49" t="n"/>
      <c r="E955" s="53" t="n"/>
      <c r="F955" s="49" t="n"/>
      <c r="G955" s="53" t="n"/>
      <c r="H955" s="56" t="str">
        <f>IF(OR($C955="",$E955="",$F955="완료",$F955="취소"),"",$E955-TODAY())</f>
        <v/>
      </c>
      <c r="I955" s="56" t="str">
        <f>IF(OR($C955="",$E955=""),"",IF($F955="완료",IF($G955="","",MAX(0,$G955-$E955)),IF($F955="취소","",MAX(0,TODAY()-$E955))))</f>
        <v/>
      </c>
      <c r="J955" s="50" t="n"/>
      <c r="K955" s="52" t="str">
        <f>IF($A955="","",$A955&amp;"|"&amp;$L955)</f>
        <v/>
      </c>
      <c r="L955" s="52" t="str">
        <f>IF($A955="","",COUNTIFS($A$3:$A955,$A955))</f>
        <v/>
      </c>
    </row>
    <row r="956" ht="15" customHeight="1" s="41">
      <c r="A956" s="50" t="n"/>
      <c r="B956" s="52" t="str">
        <f>IF($A956="","",IFERROR(INDEX(회의록!$C$3:$C$302,MATCH($A956,회의록!$A$3:$A$302,0)),"회의번호없음"))</f>
        <v/>
      </c>
      <c r="C956" s="50" t="n"/>
      <c r="D956" s="49" t="n"/>
      <c r="E956" s="53" t="n"/>
      <c r="F956" s="49" t="n"/>
      <c r="G956" s="53" t="n"/>
      <c r="H956" s="56" t="str">
        <f>IF(OR($C956="",$E956="",$F956="완료",$F956="취소"),"",$E956-TODAY())</f>
        <v/>
      </c>
      <c r="I956" s="56" t="str">
        <f>IF(OR($C956="",$E956=""),"",IF($F956="완료",IF($G956="","",MAX(0,$G956-$E956)),IF($F956="취소","",MAX(0,TODAY()-$E956))))</f>
        <v/>
      </c>
      <c r="J956" s="50" t="n"/>
      <c r="K956" s="52" t="str">
        <f>IF($A956="","",$A956&amp;"|"&amp;$L956)</f>
        <v/>
      </c>
      <c r="L956" s="52" t="str">
        <f>IF($A956="","",COUNTIFS($A$3:$A956,$A956))</f>
        <v/>
      </c>
    </row>
    <row r="957" ht="15" customHeight="1" s="41">
      <c r="A957" s="50" t="n"/>
      <c r="B957" s="52" t="str">
        <f>IF($A957="","",IFERROR(INDEX(회의록!$C$3:$C$302,MATCH($A957,회의록!$A$3:$A$302,0)),"회의번호없음"))</f>
        <v/>
      </c>
      <c r="C957" s="50" t="n"/>
      <c r="D957" s="49" t="n"/>
      <c r="E957" s="53" t="n"/>
      <c r="F957" s="49" t="n"/>
      <c r="G957" s="53" t="n"/>
      <c r="H957" s="56" t="str">
        <f>IF(OR($C957="",$E957="",$F957="완료",$F957="취소"),"",$E957-TODAY())</f>
        <v/>
      </c>
      <c r="I957" s="56" t="str">
        <f>IF(OR($C957="",$E957=""),"",IF($F957="완료",IF($G957="","",MAX(0,$G957-$E957)),IF($F957="취소","",MAX(0,TODAY()-$E957))))</f>
        <v/>
      </c>
      <c r="J957" s="50" t="n"/>
      <c r="K957" s="52" t="str">
        <f>IF($A957="","",$A957&amp;"|"&amp;$L957)</f>
        <v/>
      </c>
      <c r="L957" s="52" t="str">
        <f>IF($A957="","",COUNTIFS($A$3:$A957,$A957))</f>
        <v/>
      </c>
    </row>
    <row r="958" ht="15" customHeight="1" s="41">
      <c r="A958" s="50" t="n"/>
      <c r="B958" s="52" t="str">
        <f>IF($A958="","",IFERROR(INDEX(회의록!$C$3:$C$302,MATCH($A958,회의록!$A$3:$A$302,0)),"회의번호없음"))</f>
        <v/>
      </c>
      <c r="C958" s="50" t="n"/>
      <c r="D958" s="49" t="n"/>
      <c r="E958" s="53" t="n"/>
      <c r="F958" s="49" t="n"/>
      <c r="G958" s="53" t="n"/>
      <c r="H958" s="56" t="str">
        <f>IF(OR($C958="",$E958="",$F958="완료",$F958="취소"),"",$E958-TODAY())</f>
        <v/>
      </c>
      <c r="I958" s="56" t="str">
        <f>IF(OR($C958="",$E958=""),"",IF($F958="완료",IF($G958="","",MAX(0,$G958-$E958)),IF($F958="취소","",MAX(0,TODAY()-$E958))))</f>
        <v/>
      </c>
      <c r="J958" s="50" t="n"/>
      <c r="K958" s="52" t="str">
        <f>IF($A958="","",$A958&amp;"|"&amp;$L958)</f>
        <v/>
      </c>
      <c r="L958" s="52" t="str">
        <f>IF($A958="","",COUNTIFS($A$3:$A958,$A958))</f>
        <v/>
      </c>
    </row>
    <row r="959" ht="15" customHeight="1" s="41">
      <c r="A959" s="50" t="n"/>
      <c r="B959" s="52" t="str">
        <f>IF($A959="","",IFERROR(INDEX(회의록!$C$3:$C$302,MATCH($A959,회의록!$A$3:$A$302,0)),"회의번호없음"))</f>
        <v/>
      </c>
      <c r="C959" s="50" t="n"/>
      <c r="D959" s="49" t="n"/>
      <c r="E959" s="53" t="n"/>
      <c r="F959" s="49" t="n"/>
      <c r="G959" s="53" t="n"/>
      <c r="H959" s="56" t="str">
        <f>IF(OR($C959="",$E959="",$F959="완료",$F959="취소"),"",$E959-TODAY())</f>
        <v/>
      </c>
      <c r="I959" s="56" t="str">
        <f>IF(OR($C959="",$E959=""),"",IF($F959="완료",IF($G959="","",MAX(0,$G959-$E959)),IF($F959="취소","",MAX(0,TODAY()-$E959))))</f>
        <v/>
      </c>
      <c r="J959" s="50" t="n"/>
      <c r="K959" s="52" t="str">
        <f>IF($A959="","",$A959&amp;"|"&amp;$L959)</f>
        <v/>
      </c>
      <c r="L959" s="52" t="str">
        <f>IF($A959="","",COUNTIFS($A$3:$A959,$A959))</f>
        <v/>
      </c>
    </row>
    <row r="960" ht="15" customHeight="1" s="41">
      <c r="A960" s="50" t="n"/>
      <c r="B960" s="52" t="str">
        <f>IF($A960="","",IFERROR(INDEX(회의록!$C$3:$C$302,MATCH($A960,회의록!$A$3:$A$302,0)),"회의번호없음"))</f>
        <v/>
      </c>
      <c r="C960" s="50" t="n"/>
      <c r="D960" s="49" t="n"/>
      <c r="E960" s="53" t="n"/>
      <c r="F960" s="49" t="n"/>
      <c r="G960" s="53" t="n"/>
      <c r="H960" s="56" t="str">
        <f>IF(OR($C960="",$E960="",$F960="완료",$F960="취소"),"",$E960-TODAY())</f>
        <v/>
      </c>
      <c r="I960" s="56" t="str">
        <f>IF(OR($C960="",$E960=""),"",IF($F960="완료",IF($G960="","",MAX(0,$G960-$E960)),IF($F960="취소","",MAX(0,TODAY()-$E960))))</f>
        <v/>
      </c>
      <c r="J960" s="50" t="n"/>
      <c r="K960" s="52" t="str">
        <f>IF($A960="","",$A960&amp;"|"&amp;$L960)</f>
        <v/>
      </c>
      <c r="L960" s="52" t="str">
        <f>IF($A960="","",COUNTIFS($A$3:$A960,$A960))</f>
        <v/>
      </c>
    </row>
    <row r="961" ht="15" customHeight="1" s="41">
      <c r="A961" s="50" t="n"/>
      <c r="B961" s="52" t="str">
        <f>IF($A961="","",IFERROR(INDEX(회의록!$C$3:$C$302,MATCH($A961,회의록!$A$3:$A$302,0)),"회의번호없음"))</f>
        <v/>
      </c>
      <c r="C961" s="50" t="n"/>
      <c r="D961" s="49" t="n"/>
      <c r="E961" s="53" t="n"/>
      <c r="F961" s="49" t="n"/>
      <c r="G961" s="53" t="n"/>
      <c r="H961" s="56" t="str">
        <f>IF(OR($C961="",$E961="",$F961="완료",$F961="취소"),"",$E961-TODAY())</f>
        <v/>
      </c>
      <c r="I961" s="56" t="str">
        <f>IF(OR($C961="",$E961=""),"",IF($F961="완료",IF($G961="","",MAX(0,$G961-$E961)),IF($F961="취소","",MAX(0,TODAY()-$E961))))</f>
        <v/>
      </c>
      <c r="J961" s="50" t="n"/>
      <c r="K961" s="52" t="str">
        <f>IF($A961="","",$A961&amp;"|"&amp;$L961)</f>
        <v/>
      </c>
      <c r="L961" s="52" t="str">
        <f>IF($A961="","",COUNTIFS($A$3:$A961,$A961))</f>
        <v/>
      </c>
    </row>
    <row r="962" ht="15" customHeight="1" s="41">
      <c r="A962" s="50" t="n"/>
      <c r="B962" s="52" t="str">
        <f>IF($A962="","",IFERROR(INDEX(회의록!$C$3:$C$302,MATCH($A962,회의록!$A$3:$A$302,0)),"회의번호없음"))</f>
        <v/>
      </c>
      <c r="C962" s="50" t="n"/>
      <c r="D962" s="49" t="n"/>
      <c r="E962" s="53" t="n"/>
      <c r="F962" s="49" t="n"/>
      <c r="G962" s="53" t="n"/>
      <c r="H962" s="56" t="str">
        <f>IF(OR($C962="",$E962="",$F962="완료",$F962="취소"),"",$E962-TODAY())</f>
        <v/>
      </c>
      <c r="I962" s="56" t="str">
        <f>IF(OR($C962="",$E962=""),"",IF($F962="완료",IF($G962="","",MAX(0,$G962-$E962)),IF($F962="취소","",MAX(0,TODAY()-$E962))))</f>
        <v/>
      </c>
      <c r="J962" s="50" t="n"/>
      <c r="K962" s="52" t="str">
        <f>IF($A962="","",$A962&amp;"|"&amp;$L962)</f>
        <v/>
      </c>
      <c r="L962" s="52" t="str">
        <f>IF($A962="","",COUNTIFS($A$3:$A962,$A962))</f>
        <v/>
      </c>
    </row>
    <row r="963" ht="15" customHeight="1" s="41">
      <c r="A963" s="50" t="n"/>
      <c r="B963" s="52" t="str">
        <f>IF($A963="","",IFERROR(INDEX(회의록!$C$3:$C$302,MATCH($A963,회의록!$A$3:$A$302,0)),"회의번호없음"))</f>
        <v/>
      </c>
      <c r="C963" s="50" t="n"/>
      <c r="D963" s="49" t="n"/>
      <c r="E963" s="53" t="n"/>
      <c r="F963" s="49" t="n"/>
      <c r="G963" s="53" t="n"/>
      <c r="H963" s="56" t="str">
        <f>IF(OR($C963="",$E963="",$F963="완료",$F963="취소"),"",$E963-TODAY())</f>
        <v/>
      </c>
      <c r="I963" s="56" t="str">
        <f>IF(OR($C963="",$E963=""),"",IF($F963="완료",IF($G963="","",MAX(0,$G963-$E963)),IF($F963="취소","",MAX(0,TODAY()-$E963))))</f>
        <v/>
      </c>
      <c r="J963" s="50" t="n"/>
      <c r="K963" s="52" t="str">
        <f>IF($A963="","",$A963&amp;"|"&amp;$L963)</f>
        <v/>
      </c>
      <c r="L963" s="52" t="str">
        <f>IF($A963="","",COUNTIFS($A$3:$A963,$A963))</f>
        <v/>
      </c>
    </row>
    <row r="964" ht="15" customHeight="1" s="41">
      <c r="A964" s="50" t="n"/>
      <c r="B964" s="52" t="str">
        <f>IF($A964="","",IFERROR(INDEX(회의록!$C$3:$C$302,MATCH($A964,회의록!$A$3:$A$302,0)),"회의번호없음"))</f>
        <v/>
      </c>
      <c r="C964" s="50" t="n"/>
      <c r="D964" s="49" t="n"/>
      <c r="E964" s="53" t="n"/>
      <c r="F964" s="49" t="n"/>
      <c r="G964" s="53" t="n"/>
      <c r="H964" s="56" t="str">
        <f>IF(OR($C964="",$E964="",$F964="완료",$F964="취소"),"",$E964-TODAY())</f>
        <v/>
      </c>
      <c r="I964" s="56" t="str">
        <f>IF(OR($C964="",$E964=""),"",IF($F964="완료",IF($G964="","",MAX(0,$G964-$E964)),IF($F964="취소","",MAX(0,TODAY()-$E964))))</f>
        <v/>
      </c>
      <c r="J964" s="50" t="n"/>
      <c r="K964" s="52" t="str">
        <f>IF($A964="","",$A964&amp;"|"&amp;$L964)</f>
        <v/>
      </c>
      <c r="L964" s="52" t="str">
        <f>IF($A964="","",COUNTIFS($A$3:$A964,$A964))</f>
        <v/>
      </c>
    </row>
    <row r="965" ht="15" customHeight="1" s="41">
      <c r="A965" s="50" t="n"/>
      <c r="B965" s="52" t="str">
        <f>IF($A965="","",IFERROR(INDEX(회의록!$C$3:$C$302,MATCH($A965,회의록!$A$3:$A$302,0)),"회의번호없음"))</f>
        <v/>
      </c>
      <c r="C965" s="50" t="n"/>
      <c r="D965" s="49" t="n"/>
      <c r="E965" s="53" t="n"/>
      <c r="F965" s="49" t="n"/>
      <c r="G965" s="53" t="n"/>
      <c r="H965" s="56" t="str">
        <f>IF(OR($C965="",$E965="",$F965="완료",$F965="취소"),"",$E965-TODAY())</f>
        <v/>
      </c>
      <c r="I965" s="56" t="str">
        <f>IF(OR($C965="",$E965=""),"",IF($F965="완료",IF($G965="","",MAX(0,$G965-$E965)),IF($F965="취소","",MAX(0,TODAY()-$E965))))</f>
        <v/>
      </c>
      <c r="J965" s="50" t="n"/>
      <c r="K965" s="52" t="str">
        <f>IF($A965="","",$A965&amp;"|"&amp;$L965)</f>
        <v/>
      </c>
      <c r="L965" s="52" t="str">
        <f>IF($A965="","",COUNTIFS($A$3:$A965,$A965))</f>
        <v/>
      </c>
    </row>
    <row r="966" ht="15" customHeight="1" s="41">
      <c r="A966" s="50" t="n"/>
      <c r="B966" s="52" t="str">
        <f>IF($A966="","",IFERROR(INDEX(회의록!$C$3:$C$302,MATCH($A966,회의록!$A$3:$A$302,0)),"회의번호없음"))</f>
        <v/>
      </c>
      <c r="C966" s="50" t="n"/>
      <c r="D966" s="49" t="n"/>
      <c r="E966" s="53" t="n"/>
      <c r="F966" s="49" t="n"/>
      <c r="G966" s="53" t="n"/>
      <c r="H966" s="56" t="str">
        <f>IF(OR($C966="",$E966="",$F966="완료",$F966="취소"),"",$E966-TODAY())</f>
        <v/>
      </c>
      <c r="I966" s="56" t="str">
        <f>IF(OR($C966="",$E966=""),"",IF($F966="완료",IF($G966="","",MAX(0,$G966-$E966)),IF($F966="취소","",MAX(0,TODAY()-$E966))))</f>
        <v/>
      </c>
      <c r="J966" s="50" t="n"/>
      <c r="K966" s="52" t="str">
        <f>IF($A966="","",$A966&amp;"|"&amp;$L966)</f>
        <v/>
      </c>
      <c r="L966" s="52" t="str">
        <f>IF($A966="","",COUNTIFS($A$3:$A966,$A966))</f>
        <v/>
      </c>
    </row>
    <row r="967" ht="15" customHeight="1" s="41">
      <c r="A967" s="50" t="n"/>
      <c r="B967" s="52" t="str">
        <f>IF($A967="","",IFERROR(INDEX(회의록!$C$3:$C$302,MATCH($A967,회의록!$A$3:$A$302,0)),"회의번호없음"))</f>
        <v/>
      </c>
      <c r="C967" s="50" t="n"/>
      <c r="D967" s="49" t="n"/>
      <c r="E967" s="53" t="n"/>
      <c r="F967" s="49" t="n"/>
      <c r="G967" s="53" t="n"/>
      <c r="H967" s="56" t="str">
        <f>IF(OR($C967="",$E967="",$F967="완료",$F967="취소"),"",$E967-TODAY())</f>
        <v/>
      </c>
      <c r="I967" s="56" t="str">
        <f>IF(OR($C967="",$E967=""),"",IF($F967="완료",IF($G967="","",MAX(0,$G967-$E967)),IF($F967="취소","",MAX(0,TODAY()-$E967))))</f>
        <v/>
      </c>
      <c r="J967" s="50" t="n"/>
      <c r="K967" s="52" t="str">
        <f>IF($A967="","",$A967&amp;"|"&amp;$L967)</f>
        <v/>
      </c>
      <c r="L967" s="52" t="str">
        <f>IF($A967="","",COUNTIFS($A$3:$A967,$A967))</f>
        <v/>
      </c>
    </row>
    <row r="968" ht="15" customHeight="1" s="41">
      <c r="A968" s="50" t="n"/>
      <c r="B968" s="52" t="str">
        <f>IF($A968="","",IFERROR(INDEX(회의록!$C$3:$C$302,MATCH($A968,회의록!$A$3:$A$302,0)),"회의번호없음"))</f>
        <v/>
      </c>
      <c r="C968" s="50" t="n"/>
      <c r="D968" s="49" t="n"/>
      <c r="E968" s="53" t="n"/>
      <c r="F968" s="49" t="n"/>
      <c r="G968" s="53" t="n"/>
      <c r="H968" s="56" t="str">
        <f>IF(OR($C968="",$E968="",$F968="완료",$F968="취소"),"",$E968-TODAY())</f>
        <v/>
      </c>
      <c r="I968" s="56" t="str">
        <f>IF(OR($C968="",$E968=""),"",IF($F968="완료",IF($G968="","",MAX(0,$G968-$E968)),IF($F968="취소","",MAX(0,TODAY()-$E968))))</f>
        <v/>
      </c>
      <c r="J968" s="50" t="n"/>
      <c r="K968" s="52" t="str">
        <f>IF($A968="","",$A968&amp;"|"&amp;$L968)</f>
        <v/>
      </c>
      <c r="L968" s="52" t="str">
        <f>IF($A968="","",COUNTIFS($A$3:$A968,$A968))</f>
        <v/>
      </c>
    </row>
    <row r="969" ht="15" customHeight="1" s="41">
      <c r="A969" s="50" t="n"/>
      <c r="B969" s="52" t="str">
        <f>IF($A969="","",IFERROR(INDEX(회의록!$C$3:$C$302,MATCH($A969,회의록!$A$3:$A$302,0)),"회의번호없음"))</f>
        <v/>
      </c>
      <c r="C969" s="50" t="n"/>
      <c r="D969" s="49" t="n"/>
      <c r="E969" s="53" t="n"/>
      <c r="F969" s="49" t="n"/>
      <c r="G969" s="53" t="n"/>
      <c r="H969" s="56" t="str">
        <f>IF(OR($C969="",$E969="",$F969="완료",$F969="취소"),"",$E969-TODAY())</f>
        <v/>
      </c>
      <c r="I969" s="56" t="str">
        <f>IF(OR($C969="",$E969=""),"",IF($F969="완료",IF($G969="","",MAX(0,$G969-$E969)),IF($F969="취소","",MAX(0,TODAY()-$E969))))</f>
        <v/>
      </c>
      <c r="J969" s="50" t="n"/>
      <c r="K969" s="52" t="str">
        <f>IF($A969="","",$A969&amp;"|"&amp;$L969)</f>
        <v/>
      </c>
      <c r="L969" s="52" t="str">
        <f>IF($A969="","",COUNTIFS($A$3:$A969,$A969))</f>
        <v/>
      </c>
    </row>
    <row r="970" ht="15" customHeight="1" s="41">
      <c r="A970" s="50" t="n"/>
      <c r="B970" s="52" t="str">
        <f>IF($A970="","",IFERROR(INDEX(회의록!$C$3:$C$302,MATCH($A970,회의록!$A$3:$A$302,0)),"회의번호없음"))</f>
        <v/>
      </c>
      <c r="C970" s="50" t="n"/>
      <c r="D970" s="49" t="n"/>
      <c r="E970" s="53" t="n"/>
      <c r="F970" s="49" t="n"/>
      <c r="G970" s="53" t="n"/>
      <c r="H970" s="56" t="str">
        <f>IF(OR($C970="",$E970="",$F970="완료",$F970="취소"),"",$E970-TODAY())</f>
        <v/>
      </c>
      <c r="I970" s="56" t="str">
        <f>IF(OR($C970="",$E970=""),"",IF($F970="완료",IF($G970="","",MAX(0,$G970-$E970)),IF($F970="취소","",MAX(0,TODAY()-$E970))))</f>
        <v/>
      </c>
      <c r="J970" s="50" t="n"/>
      <c r="K970" s="52" t="str">
        <f>IF($A970="","",$A970&amp;"|"&amp;$L970)</f>
        <v/>
      </c>
      <c r="L970" s="52" t="str">
        <f>IF($A970="","",COUNTIFS($A$3:$A970,$A970))</f>
        <v/>
      </c>
    </row>
    <row r="971" ht="15" customHeight="1" s="41">
      <c r="A971" s="50" t="n"/>
      <c r="B971" s="52" t="str">
        <f>IF($A971="","",IFERROR(INDEX(회의록!$C$3:$C$302,MATCH($A971,회의록!$A$3:$A$302,0)),"회의번호없음"))</f>
        <v/>
      </c>
      <c r="C971" s="50" t="n"/>
      <c r="D971" s="49" t="n"/>
      <c r="E971" s="53" t="n"/>
      <c r="F971" s="49" t="n"/>
      <c r="G971" s="53" t="n"/>
      <c r="H971" s="56" t="str">
        <f>IF(OR($C971="",$E971="",$F971="완료",$F971="취소"),"",$E971-TODAY())</f>
        <v/>
      </c>
      <c r="I971" s="56" t="str">
        <f>IF(OR($C971="",$E971=""),"",IF($F971="완료",IF($G971="","",MAX(0,$G971-$E971)),IF($F971="취소","",MAX(0,TODAY()-$E971))))</f>
        <v/>
      </c>
      <c r="J971" s="50" t="n"/>
      <c r="K971" s="52" t="str">
        <f>IF($A971="","",$A971&amp;"|"&amp;$L971)</f>
        <v/>
      </c>
      <c r="L971" s="52" t="str">
        <f>IF($A971="","",COUNTIFS($A$3:$A971,$A971))</f>
        <v/>
      </c>
    </row>
    <row r="972" ht="15" customHeight="1" s="41">
      <c r="A972" s="50" t="n"/>
      <c r="B972" s="52" t="str">
        <f>IF($A972="","",IFERROR(INDEX(회의록!$C$3:$C$302,MATCH($A972,회의록!$A$3:$A$302,0)),"회의번호없음"))</f>
        <v/>
      </c>
      <c r="C972" s="50" t="n"/>
      <c r="D972" s="49" t="n"/>
      <c r="E972" s="53" t="n"/>
      <c r="F972" s="49" t="n"/>
      <c r="G972" s="53" t="n"/>
      <c r="H972" s="56" t="str">
        <f>IF(OR($C972="",$E972="",$F972="완료",$F972="취소"),"",$E972-TODAY())</f>
        <v/>
      </c>
      <c r="I972" s="56" t="str">
        <f>IF(OR($C972="",$E972=""),"",IF($F972="완료",IF($G972="","",MAX(0,$G972-$E972)),IF($F972="취소","",MAX(0,TODAY()-$E972))))</f>
        <v/>
      </c>
      <c r="J972" s="50" t="n"/>
      <c r="K972" s="52" t="str">
        <f>IF($A972="","",$A972&amp;"|"&amp;$L972)</f>
        <v/>
      </c>
      <c r="L972" s="52" t="str">
        <f>IF($A972="","",COUNTIFS($A$3:$A972,$A972))</f>
        <v/>
      </c>
    </row>
    <row r="973" ht="15" customHeight="1" s="41">
      <c r="A973" s="50" t="n"/>
      <c r="B973" s="52" t="str">
        <f>IF($A973="","",IFERROR(INDEX(회의록!$C$3:$C$302,MATCH($A973,회의록!$A$3:$A$302,0)),"회의번호없음"))</f>
        <v/>
      </c>
      <c r="C973" s="50" t="n"/>
      <c r="D973" s="49" t="n"/>
      <c r="E973" s="53" t="n"/>
      <c r="F973" s="49" t="n"/>
      <c r="G973" s="53" t="n"/>
      <c r="H973" s="56" t="str">
        <f>IF(OR($C973="",$E973="",$F973="완료",$F973="취소"),"",$E973-TODAY())</f>
        <v/>
      </c>
      <c r="I973" s="56" t="str">
        <f>IF(OR($C973="",$E973=""),"",IF($F973="완료",IF($G973="","",MAX(0,$G973-$E973)),IF($F973="취소","",MAX(0,TODAY()-$E973))))</f>
        <v/>
      </c>
      <c r="J973" s="50" t="n"/>
      <c r="K973" s="52" t="str">
        <f>IF($A973="","",$A973&amp;"|"&amp;$L973)</f>
        <v/>
      </c>
      <c r="L973" s="52" t="str">
        <f>IF($A973="","",COUNTIFS($A$3:$A973,$A973))</f>
        <v/>
      </c>
    </row>
    <row r="974" ht="15" customHeight="1" s="41">
      <c r="A974" s="50" t="n"/>
      <c r="B974" s="52" t="str">
        <f>IF($A974="","",IFERROR(INDEX(회의록!$C$3:$C$302,MATCH($A974,회의록!$A$3:$A$302,0)),"회의번호없음"))</f>
        <v/>
      </c>
      <c r="C974" s="50" t="n"/>
      <c r="D974" s="49" t="n"/>
      <c r="E974" s="53" t="n"/>
      <c r="F974" s="49" t="n"/>
      <c r="G974" s="53" t="n"/>
      <c r="H974" s="56" t="str">
        <f>IF(OR($C974="",$E974="",$F974="완료",$F974="취소"),"",$E974-TODAY())</f>
        <v/>
      </c>
      <c r="I974" s="56" t="str">
        <f>IF(OR($C974="",$E974=""),"",IF($F974="완료",IF($G974="","",MAX(0,$G974-$E974)),IF($F974="취소","",MAX(0,TODAY()-$E974))))</f>
        <v/>
      </c>
      <c r="J974" s="50" t="n"/>
      <c r="K974" s="52" t="str">
        <f>IF($A974="","",$A974&amp;"|"&amp;$L974)</f>
        <v/>
      </c>
      <c r="L974" s="52" t="str">
        <f>IF($A974="","",COUNTIFS($A$3:$A974,$A974))</f>
        <v/>
      </c>
    </row>
    <row r="975" ht="15" customHeight="1" s="41">
      <c r="A975" s="50" t="n"/>
      <c r="B975" s="52" t="str">
        <f>IF($A975="","",IFERROR(INDEX(회의록!$C$3:$C$302,MATCH($A975,회의록!$A$3:$A$302,0)),"회의번호없음"))</f>
        <v/>
      </c>
      <c r="C975" s="50" t="n"/>
      <c r="D975" s="49" t="n"/>
      <c r="E975" s="53" t="n"/>
      <c r="F975" s="49" t="n"/>
      <c r="G975" s="53" t="n"/>
      <c r="H975" s="56" t="str">
        <f>IF(OR($C975="",$E975="",$F975="완료",$F975="취소"),"",$E975-TODAY())</f>
        <v/>
      </c>
      <c r="I975" s="56" t="str">
        <f>IF(OR($C975="",$E975=""),"",IF($F975="완료",IF($G975="","",MAX(0,$G975-$E975)),IF($F975="취소","",MAX(0,TODAY()-$E975))))</f>
        <v/>
      </c>
      <c r="J975" s="50" t="n"/>
      <c r="K975" s="52" t="str">
        <f>IF($A975="","",$A975&amp;"|"&amp;$L975)</f>
        <v/>
      </c>
      <c r="L975" s="52" t="str">
        <f>IF($A975="","",COUNTIFS($A$3:$A975,$A975))</f>
        <v/>
      </c>
    </row>
    <row r="976" ht="15" customHeight="1" s="41">
      <c r="A976" s="50" t="n"/>
      <c r="B976" s="52" t="str">
        <f>IF($A976="","",IFERROR(INDEX(회의록!$C$3:$C$302,MATCH($A976,회의록!$A$3:$A$302,0)),"회의번호없음"))</f>
        <v/>
      </c>
      <c r="C976" s="50" t="n"/>
      <c r="D976" s="49" t="n"/>
      <c r="E976" s="53" t="n"/>
      <c r="F976" s="49" t="n"/>
      <c r="G976" s="53" t="n"/>
      <c r="H976" s="56" t="str">
        <f>IF(OR($C976="",$E976="",$F976="완료",$F976="취소"),"",$E976-TODAY())</f>
        <v/>
      </c>
      <c r="I976" s="56" t="str">
        <f>IF(OR($C976="",$E976=""),"",IF($F976="완료",IF($G976="","",MAX(0,$G976-$E976)),IF($F976="취소","",MAX(0,TODAY()-$E976))))</f>
        <v/>
      </c>
      <c r="J976" s="50" t="n"/>
      <c r="K976" s="52" t="str">
        <f>IF($A976="","",$A976&amp;"|"&amp;$L976)</f>
        <v/>
      </c>
      <c r="L976" s="52" t="str">
        <f>IF($A976="","",COUNTIFS($A$3:$A976,$A976))</f>
        <v/>
      </c>
    </row>
    <row r="977" ht="15" customHeight="1" s="41">
      <c r="A977" s="50" t="n"/>
      <c r="B977" s="52" t="str">
        <f>IF($A977="","",IFERROR(INDEX(회의록!$C$3:$C$302,MATCH($A977,회의록!$A$3:$A$302,0)),"회의번호없음"))</f>
        <v/>
      </c>
      <c r="C977" s="50" t="n"/>
      <c r="D977" s="49" t="n"/>
      <c r="E977" s="53" t="n"/>
      <c r="F977" s="49" t="n"/>
      <c r="G977" s="53" t="n"/>
      <c r="H977" s="56" t="str">
        <f>IF(OR($C977="",$E977="",$F977="완료",$F977="취소"),"",$E977-TODAY())</f>
        <v/>
      </c>
      <c r="I977" s="56" t="str">
        <f>IF(OR($C977="",$E977=""),"",IF($F977="완료",IF($G977="","",MAX(0,$G977-$E977)),IF($F977="취소","",MAX(0,TODAY()-$E977))))</f>
        <v/>
      </c>
      <c r="J977" s="50" t="n"/>
      <c r="K977" s="52" t="str">
        <f>IF($A977="","",$A977&amp;"|"&amp;$L977)</f>
        <v/>
      </c>
      <c r="L977" s="52" t="str">
        <f>IF($A977="","",COUNTIFS($A$3:$A977,$A977))</f>
        <v/>
      </c>
    </row>
    <row r="978" ht="15" customHeight="1" s="41">
      <c r="A978" s="50" t="n"/>
      <c r="B978" s="52" t="str">
        <f>IF($A978="","",IFERROR(INDEX(회의록!$C$3:$C$302,MATCH($A978,회의록!$A$3:$A$302,0)),"회의번호없음"))</f>
        <v/>
      </c>
      <c r="C978" s="50" t="n"/>
      <c r="D978" s="49" t="n"/>
      <c r="E978" s="53" t="n"/>
      <c r="F978" s="49" t="n"/>
      <c r="G978" s="53" t="n"/>
      <c r="H978" s="56" t="str">
        <f>IF(OR($C978="",$E978="",$F978="완료",$F978="취소"),"",$E978-TODAY())</f>
        <v/>
      </c>
      <c r="I978" s="56" t="str">
        <f>IF(OR($C978="",$E978=""),"",IF($F978="완료",IF($G978="","",MAX(0,$G978-$E978)),IF($F978="취소","",MAX(0,TODAY()-$E978))))</f>
        <v/>
      </c>
      <c r="J978" s="50" t="n"/>
      <c r="K978" s="52" t="str">
        <f>IF($A978="","",$A978&amp;"|"&amp;$L978)</f>
        <v/>
      </c>
      <c r="L978" s="52" t="str">
        <f>IF($A978="","",COUNTIFS($A$3:$A978,$A978))</f>
        <v/>
      </c>
    </row>
    <row r="979" ht="15" customHeight="1" s="41">
      <c r="A979" s="50" t="n"/>
      <c r="B979" s="52" t="str">
        <f>IF($A979="","",IFERROR(INDEX(회의록!$C$3:$C$302,MATCH($A979,회의록!$A$3:$A$302,0)),"회의번호없음"))</f>
        <v/>
      </c>
      <c r="C979" s="50" t="n"/>
      <c r="D979" s="49" t="n"/>
      <c r="E979" s="53" t="n"/>
      <c r="F979" s="49" t="n"/>
      <c r="G979" s="53" t="n"/>
      <c r="H979" s="56" t="str">
        <f>IF(OR($C979="",$E979="",$F979="완료",$F979="취소"),"",$E979-TODAY())</f>
        <v/>
      </c>
      <c r="I979" s="56" t="str">
        <f>IF(OR($C979="",$E979=""),"",IF($F979="완료",IF($G979="","",MAX(0,$G979-$E979)),IF($F979="취소","",MAX(0,TODAY()-$E979))))</f>
        <v/>
      </c>
      <c r="J979" s="50" t="n"/>
      <c r="K979" s="52" t="str">
        <f>IF($A979="","",$A979&amp;"|"&amp;$L979)</f>
        <v/>
      </c>
      <c r="L979" s="52" t="str">
        <f>IF($A979="","",COUNTIFS($A$3:$A979,$A979))</f>
        <v/>
      </c>
    </row>
    <row r="980" ht="15" customHeight="1" s="41">
      <c r="A980" s="50" t="n"/>
      <c r="B980" s="52" t="str">
        <f>IF($A980="","",IFERROR(INDEX(회의록!$C$3:$C$302,MATCH($A980,회의록!$A$3:$A$302,0)),"회의번호없음"))</f>
        <v/>
      </c>
      <c r="C980" s="50" t="n"/>
      <c r="D980" s="49" t="n"/>
      <c r="E980" s="53" t="n"/>
      <c r="F980" s="49" t="n"/>
      <c r="G980" s="53" t="n"/>
      <c r="H980" s="56" t="str">
        <f>IF(OR($C980="",$E980="",$F980="완료",$F980="취소"),"",$E980-TODAY())</f>
        <v/>
      </c>
      <c r="I980" s="56" t="str">
        <f>IF(OR($C980="",$E980=""),"",IF($F980="완료",IF($G980="","",MAX(0,$G980-$E980)),IF($F980="취소","",MAX(0,TODAY()-$E980))))</f>
        <v/>
      </c>
      <c r="J980" s="50" t="n"/>
      <c r="K980" s="52" t="str">
        <f>IF($A980="","",$A980&amp;"|"&amp;$L980)</f>
        <v/>
      </c>
      <c r="L980" s="52" t="str">
        <f>IF($A980="","",COUNTIFS($A$3:$A980,$A980))</f>
        <v/>
      </c>
    </row>
    <row r="981" ht="15" customHeight="1" s="41">
      <c r="A981" s="50" t="n"/>
      <c r="B981" s="52" t="str">
        <f>IF($A981="","",IFERROR(INDEX(회의록!$C$3:$C$302,MATCH($A981,회의록!$A$3:$A$302,0)),"회의번호없음"))</f>
        <v/>
      </c>
      <c r="C981" s="50" t="n"/>
      <c r="D981" s="49" t="n"/>
      <c r="E981" s="53" t="n"/>
      <c r="F981" s="49" t="n"/>
      <c r="G981" s="53" t="n"/>
      <c r="H981" s="56" t="str">
        <f>IF(OR($C981="",$E981="",$F981="완료",$F981="취소"),"",$E981-TODAY())</f>
        <v/>
      </c>
      <c r="I981" s="56" t="str">
        <f>IF(OR($C981="",$E981=""),"",IF($F981="완료",IF($G981="","",MAX(0,$G981-$E981)),IF($F981="취소","",MAX(0,TODAY()-$E981))))</f>
        <v/>
      </c>
      <c r="J981" s="50" t="n"/>
      <c r="K981" s="52" t="str">
        <f>IF($A981="","",$A981&amp;"|"&amp;$L981)</f>
        <v/>
      </c>
      <c r="L981" s="52" t="str">
        <f>IF($A981="","",COUNTIFS($A$3:$A981,$A981))</f>
        <v/>
      </c>
    </row>
    <row r="982" ht="15" customHeight="1" s="41">
      <c r="A982" s="50" t="n"/>
      <c r="B982" s="52" t="str">
        <f>IF($A982="","",IFERROR(INDEX(회의록!$C$3:$C$302,MATCH($A982,회의록!$A$3:$A$302,0)),"회의번호없음"))</f>
        <v/>
      </c>
      <c r="C982" s="50" t="n"/>
      <c r="D982" s="49" t="n"/>
      <c r="E982" s="53" t="n"/>
      <c r="F982" s="49" t="n"/>
      <c r="G982" s="53" t="n"/>
      <c r="H982" s="56" t="str">
        <f>IF(OR($C982="",$E982="",$F982="완료",$F982="취소"),"",$E982-TODAY())</f>
        <v/>
      </c>
      <c r="I982" s="56" t="str">
        <f>IF(OR($C982="",$E982=""),"",IF($F982="완료",IF($G982="","",MAX(0,$G982-$E982)),IF($F982="취소","",MAX(0,TODAY()-$E982))))</f>
        <v/>
      </c>
      <c r="J982" s="50" t="n"/>
      <c r="K982" s="52" t="str">
        <f>IF($A982="","",$A982&amp;"|"&amp;$L982)</f>
        <v/>
      </c>
      <c r="L982" s="52" t="str">
        <f>IF($A982="","",COUNTIFS($A$3:$A982,$A982))</f>
        <v/>
      </c>
    </row>
    <row r="983" ht="15" customHeight="1" s="41">
      <c r="A983" s="50" t="n"/>
      <c r="B983" s="52" t="str">
        <f>IF($A983="","",IFERROR(INDEX(회의록!$C$3:$C$302,MATCH($A983,회의록!$A$3:$A$302,0)),"회의번호없음"))</f>
        <v/>
      </c>
      <c r="C983" s="50" t="n"/>
      <c r="D983" s="49" t="n"/>
      <c r="E983" s="53" t="n"/>
      <c r="F983" s="49" t="n"/>
      <c r="G983" s="53" t="n"/>
      <c r="H983" s="56" t="str">
        <f>IF(OR($C983="",$E983="",$F983="완료",$F983="취소"),"",$E983-TODAY())</f>
        <v/>
      </c>
      <c r="I983" s="56" t="str">
        <f>IF(OR($C983="",$E983=""),"",IF($F983="완료",IF($G983="","",MAX(0,$G983-$E983)),IF($F983="취소","",MAX(0,TODAY()-$E983))))</f>
        <v/>
      </c>
      <c r="J983" s="50" t="n"/>
      <c r="K983" s="52" t="str">
        <f>IF($A983="","",$A983&amp;"|"&amp;$L983)</f>
        <v/>
      </c>
      <c r="L983" s="52" t="str">
        <f>IF($A983="","",COUNTIFS($A$3:$A983,$A983))</f>
        <v/>
      </c>
    </row>
    <row r="984" ht="15" customHeight="1" s="41">
      <c r="A984" s="50" t="n"/>
      <c r="B984" s="52" t="str">
        <f>IF($A984="","",IFERROR(INDEX(회의록!$C$3:$C$302,MATCH($A984,회의록!$A$3:$A$302,0)),"회의번호없음"))</f>
        <v/>
      </c>
      <c r="C984" s="50" t="n"/>
      <c r="D984" s="49" t="n"/>
      <c r="E984" s="53" t="n"/>
      <c r="F984" s="49" t="n"/>
      <c r="G984" s="53" t="n"/>
      <c r="H984" s="56" t="str">
        <f>IF(OR($C984="",$E984="",$F984="완료",$F984="취소"),"",$E984-TODAY())</f>
        <v/>
      </c>
      <c r="I984" s="56" t="str">
        <f>IF(OR($C984="",$E984=""),"",IF($F984="완료",IF($G984="","",MAX(0,$G984-$E984)),IF($F984="취소","",MAX(0,TODAY()-$E984))))</f>
        <v/>
      </c>
      <c r="J984" s="50" t="n"/>
      <c r="K984" s="52" t="str">
        <f>IF($A984="","",$A984&amp;"|"&amp;$L984)</f>
        <v/>
      </c>
      <c r="L984" s="52" t="str">
        <f>IF($A984="","",COUNTIFS($A$3:$A984,$A984))</f>
        <v/>
      </c>
    </row>
    <row r="985" ht="15" customHeight="1" s="41">
      <c r="A985" s="50" t="n"/>
      <c r="B985" s="52" t="str">
        <f>IF($A985="","",IFERROR(INDEX(회의록!$C$3:$C$302,MATCH($A985,회의록!$A$3:$A$302,0)),"회의번호없음"))</f>
        <v/>
      </c>
      <c r="C985" s="50" t="n"/>
      <c r="D985" s="49" t="n"/>
      <c r="E985" s="53" t="n"/>
      <c r="F985" s="49" t="n"/>
      <c r="G985" s="53" t="n"/>
      <c r="H985" s="56" t="str">
        <f>IF(OR($C985="",$E985="",$F985="완료",$F985="취소"),"",$E985-TODAY())</f>
        <v/>
      </c>
      <c r="I985" s="56" t="str">
        <f>IF(OR($C985="",$E985=""),"",IF($F985="완료",IF($G985="","",MAX(0,$G985-$E985)),IF($F985="취소","",MAX(0,TODAY()-$E985))))</f>
        <v/>
      </c>
      <c r="J985" s="50" t="n"/>
      <c r="K985" s="52" t="str">
        <f>IF($A985="","",$A985&amp;"|"&amp;$L985)</f>
        <v/>
      </c>
      <c r="L985" s="52" t="str">
        <f>IF($A985="","",COUNTIFS($A$3:$A985,$A985))</f>
        <v/>
      </c>
    </row>
    <row r="986" ht="15" customHeight="1" s="41">
      <c r="A986" s="50" t="n"/>
      <c r="B986" s="52" t="str">
        <f>IF($A986="","",IFERROR(INDEX(회의록!$C$3:$C$302,MATCH($A986,회의록!$A$3:$A$302,0)),"회의번호없음"))</f>
        <v/>
      </c>
      <c r="C986" s="50" t="n"/>
      <c r="D986" s="49" t="n"/>
      <c r="E986" s="53" t="n"/>
      <c r="F986" s="49" t="n"/>
      <c r="G986" s="53" t="n"/>
      <c r="H986" s="56" t="str">
        <f>IF(OR($C986="",$E986="",$F986="완료",$F986="취소"),"",$E986-TODAY())</f>
        <v/>
      </c>
      <c r="I986" s="56" t="str">
        <f>IF(OR($C986="",$E986=""),"",IF($F986="완료",IF($G986="","",MAX(0,$G986-$E986)),IF($F986="취소","",MAX(0,TODAY()-$E986))))</f>
        <v/>
      </c>
      <c r="J986" s="50" t="n"/>
      <c r="K986" s="52" t="str">
        <f>IF($A986="","",$A986&amp;"|"&amp;$L986)</f>
        <v/>
      </c>
      <c r="L986" s="52" t="str">
        <f>IF($A986="","",COUNTIFS($A$3:$A986,$A986))</f>
        <v/>
      </c>
    </row>
    <row r="987" ht="15" customHeight="1" s="41">
      <c r="A987" s="50" t="n"/>
      <c r="B987" s="52" t="str">
        <f>IF($A987="","",IFERROR(INDEX(회의록!$C$3:$C$302,MATCH($A987,회의록!$A$3:$A$302,0)),"회의번호없음"))</f>
        <v/>
      </c>
      <c r="C987" s="50" t="n"/>
      <c r="D987" s="49" t="n"/>
      <c r="E987" s="53" t="n"/>
      <c r="F987" s="49" t="n"/>
      <c r="G987" s="53" t="n"/>
      <c r="H987" s="56" t="str">
        <f>IF(OR($C987="",$E987="",$F987="완료",$F987="취소"),"",$E987-TODAY())</f>
        <v/>
      </c>
      <c r="I987" s="56" t="str">
        <f>IF(OR($C987="",$E987=""),"",IF($F987="완료",IF($G987="","",MAX(0,$G987-$E987)),IF($F987="취소","",MAX(0,TODAY()-$E987))))</f>
        <v/>
      </c>
      <c r="J987" s="50" t="n"/>
      <c r="K987" s="52" t="str">
        <f>IF($A987="","",$A987&amp;"|"&amp;$L987)</f>
        <v/>
      </c>
      <c r="L987" s="52" t="str">
        <f>IF($A987="","",COUNTIFS($A$3:$A987,$A987))</f>
        <v/>
      </c>
    </row>
    <row r="988" ht="15" customHeight="1" s="41">
      <c r="A988" s="50" t="n"/>
      <c r="B988" s="52" t="str">
        <f>IF($A988="","",IFERROR(INDEX(회의록!$C$3:$C$302,MATCH($A988,회의록!$A$3:$A$302,0)),"회의번호없음"))</f>
        <v/>
      </c>
      <c r="C988" s="50" t="n"/>
      <c r="D988" s="49" t="n"/>
      <c r="E988" s="53" t="n"/>
      <c r="F988" s="49" t="n"/>
      <c r="G988" s="53" t="n"/>
      <c r="H988" s="56" t="str">
        <f>IF(OR($C988="",$E988="",$F988="완료",$F988="취소"),"",$E988-TODAY())</f>
        <v/>
      </c>
      <c r="I988" s="56" t="str">
        <f>IF(OR($C988="",$E988=""),"",IF($F988="완료",IF($G988="","",MAX(0,$G988-$E988)),IF($F988="취소","",MAX(0,TODAY()-$E988))))</f>
        <v/>
      </c>
      <c r="J988" s="50" t="n"/>
      <c r="K988" s="52" t="str">
        <f>IF($A988="","",$A988&amp;"|"&amp;$L988)</f>
        <v/>
      </c>
      <c r="L988" s="52" t="str">
        <f>IF($A988="","",COUNTIFS($A$3:$A988,$A988))</f>
        <v/>
      </c>
    </row>
    <row r="989" ht="15" customHeight="1" s="41">
      <c r="A989" s="50" t="n"/>
      <c r="B989" s="52" t="str">
        <f>IF($A989="","",IFERROR(INDEX(회의록!$C$3:$C$302,MATCH($A989,회의록!$A$3:$A$302,0)),"회의번호없음"))</f>
        <v/>
      </c>
      <c r="C989" s="50" t="n"/>
      <c r="D989" s="49" t="n"/>
      <c r="E989" s="53" t="n"/>
      <c r="F989" s="49" t="n"/>
      <c r="G989" s="53" t="n"/>
      <c r="H989" s="56" t="str">
        <f>IF(OR($C989="",$E989="",$F989="완료",$F989="취소"),"",$E989-TODAY())</f>
        <v/>
      </c>
      <c r="I989" s="56" t="str">
        <f>IF(OR($C989="",$E989=""),"",IF($F989="완료",IF($G989="","",MAX(0,$G989-$E989)),IF($F989="취소","",MAX(0,TODAY()-$E989))))</f>
        <v/>
      </c>
      <c r="J989" s="50" t="n"/>
      <c r="K989" s="52" t="str">
        <f>IF($A989="","",$A989&amp;"|"&amp;$L989)</f>
        <v/>
      </c>
      <c r="L989" s="52" t="str">
        <f>IF($A989="","",COUNTIFS($A$3:$A989,$A989))</f>
        <v/>
      </c>
    </row>
    <row r="990" ht="15" customHeight="1" s="41">
      <c r="A990" s="50" t="n"/>
      <c r="B990" s="52" t="str">
        <f>IF($A990="","",IFERROR(INDEX(회의록!$C$3:$C$302,MATCH($A990,회의록!$A$3:$A$302,0)),"회의번호없음"))</f>
        <v/>
      </c>
      <c r="C990" s="50" t="n"/>
      <c r="D990" s="49" t="n"/>
      <c r="E990" s="53" t="n"/>
      <c r="F990" s="49" t="n"/>
      <c r="G990" s="53" t="n"/>
      <c r="H990" s="56" t="str">
        <f>IF(OR($C990="",$E990="",$F990="완료",$F990="취소"),"",$E990-TODAY())</f>
        <v/>
      </c>
      <c r="I990" s="56" t="str">
        <f>IF(OR($C990="",$E990=""),"",IF($F990="완료",IF($G990="","",MAX(0,$G990-$E990)),IF($F990="취소","",MAX(0,TODAY()-$E990))))</f>
        <v/>
      </c>
      <c r="J990" s="50" t="n"/>
      <c r="K990" s="52" t="str">
        <f>IF($A990="","",$A990&amp;"|"&amp;$L990)</f>
        <v/>
      </c>
      <c r="L990" s="52" t="str">
        <f>IF($A990="","",COUNTIFS($A$3:$A990,$A990))</f>
        <v/>
      </c>
    </row>
    <row r="991" ht="15" customHeight="1" s="41">
      <c r="A991" s="50" t="n"/>
      <c r="B991" s="52" t="str">
        <f>IF($A991="","",IFERROR(INDEX(회의록!$C$3:$C$302,MATCH($A991,회의록!$A$3:$A$302,0)),"회의번호없음"))</f>
        <v/>
      </c>
      <c r="C991" s="50" t="n"/>
      <c r="D991" s="49" t="n"/>
      <c r="E991" s="53" t="n"/>
      <c r="F991" s="49" t="n"/>
      <c r="G991" s="53" t="n"/>
      <c r="H991" s="56" t="str">
        <f>IF(OR($C991="",$E991="",$F991="완료",$F991="취소"),"",$E991-TODAY())</f>
        <v/>
      </c>
      <c r="I991" s="56" t="str">
        <f>IF(OR($C991="",$E991=""),"",IF($F991="완료",IF($G991="","",MAX(0,$G991-$E991)),IF($F991="취소","",MAX(0,TODAY()-$E991))))</f>
        <v/>
      </c>
      <c r="J991" s="50" t="n"/>
      <c r="K991" s="52" t="str">
        <f>IF($A991="","",$A991&amp;"|"&amp;$L991)</f>
        <v/>
      </c>
      <c r="L991" s="52" t="str">
        <f>IF($A991="","",COUNTIFS($A$3:$A991,$A991))</f>
        <v/>
      </c>
    </row>
    <row r="992" ht="15" customHeight="1" s="41">
      <c r="A992" s="50" t="n"/>
      <c r="B992" s="52" t="str">
        <f>IF($A992="","",IFERROR(INDEX(회의록!$C$3:$C$302,MATCH($A992,회의록!$A$3:$A$302,0)),"회의번호없음"))</f>
        <v/>
      </c>
      <c r="C992" s="50" t="n"/>
      <c r="D992" s="49" t="n"/>
      <c r="E992" s="53" t="n"/>
      <c r="F992" s="49" t="n"/>
      <c r="G992" s="53" t="n"/>
      <c r="H992" s="56" t="str">
        <f>IF(OR($C992="",$E992="",$F992="완료",$F992="취소"),"",$E992-TODAY())</f>
        <v/>
      </c>
      <c r="I992" s="56" t="str">
        <f>IF(OR($C992="",$E992=""),"",IF($F992="완료",IF($G992="","",MAX(0,$G992-$E992)),IF($F992="취소","",MAX(0,TODAY()-$E992))))</f>
        <v/>
      </c>
      <c r="J992" s="50" t="n"/>
      <c r="K992" s="52" t="str">
        <f>IF($A992="","",$A992&amp;"|"&amp;$L992)</f>
        <v/>
      </c>
      <c r="L992" s="52" t="str">
        <f>IF($A992="","",COUNTIFS($A$3:$A992,$A992))</f>
        <v/>
      </c>
    </row>
    <row r="993" ht="15" customHeight="1" s="41">
      <c r="A993" s="50" t="n"/>
      <c r="B993" s="52" t="str">
        <f>IF($A993="","",IFERROR(INDEX(회의록!$C$3:$C$302,MATCH($A993,회의록!$A$3:$A$302,0)),"회의번호없음"))</f>
        <v/>
      </c>
      <c r="C993" s="50" t="n"/>
      <c r="D993" s="49" t="n"/>
      <c r="E993" s="53" t="n"/>
      <c r="F993" s="49" t="n"/>
      <c r="G993" s="53" t="n"/>
      <c r="H993" s="56" t="str">
        <f>IF(OR($C993="",$E993="",$F993="완료",$F993="취소"),"",$E993-TODAY())</f>
        <v/>
      </c>
      <c r="I993" s="56" t="str">
        <f>IF(OR($C993="",$E993=""),"",IF($F993="완료",IF($G993="","",MAX(0,$G993-$E993)),IF($F993="취소","",MAX(0,TODAY()-$E993))))</f>
        <v/>
      </c>
      <c r="J993" s="50" t="n"/>
      <c r="K993" s="52" t="str">
        <f>IF($A993="","",$A993&amp;"|"&amp;$L993)</f>
        <v/>
      </c>
      <c r="L993" s="52" t="str">
        <f>IF($A993="","",COUNTIFS($A$3:$A993,$A993))</f>
        <v/>
      </c>
    </row>
    <row r="994" ht="15" customHeight="1" s="41">
      <c r="A994" s="50" t="n"/>
      <c r="B994" s="52" t="str">
        <f>IF($A994="","",IFERROR(INDEX(회의록!$C$3:$C$302,MATCH($A994,회의록!$A$3:$A$302,0)),"회의번호없음"))</f>
        <v/>
      </c>
      <c r="C994" s="50" t="n"/>
      <c r="D994" s="49" t="n"/>
      <c r="E994" s="53" t="n"/>
      <c r="F994" s="49" t="n"/>
      <c r="G994" s="53" t="n"/>
      <c r="H994" s="56" t="str">
        <f>IF(OR($C994="",$E994="",$F994="완료",$F994="취소"),"",$E994-TODAY())</f>
        <v/>
      </c>
      <c r="I994" s="56" t="str">
        <f>IF(OR($C994="",$E994=""),"",IF($F994="완료",IF($G994="","",MAX(0,$G994-$E994)),IF($F994="취소","",MAX(0,TODAY()-$E994))))</f>
        <v/>
      </c>
      <c r="J994" s="50" t="n"/>
      <c r="K994" s="52" t="str">
        <f>IF($A994="","",$A994&amp;"|"&amp;$L994)</f>
        <v/>
      </c>
      <c r="L994" s="52" t="str">
        <f>IF($A994="","",COUNTIFS($A$3:$A994,$A994))</f>
        <v/>
      </c>
    </row>
    <row r="995" ht="15" customHeight="1" s="41">
      <c r="A995" s="50" t="n"/>
      <c r="B995" s="52" t="str">
        <f>IF($A995="","",IFERROR(INDEX(회의록!$C$3:$C$302,MATCH($A995,회의록!$A$3:$A$302,0)),"회의번호없음"))</f>
        <v/>
      </c>
      <c r="C995" s="50" t="n"/>
      <c r="D995" s="49" t="n"/>
      <c r="E995" s="53" t="n"/>
      <c r="F995" s="49" t="n"/>
      <c r="G995" s="53" t="n"/>
      <c r="H995" s="56" t="str">
        <f>IF(OR($C995="",$E995="",$F995="완료",$F995="취소"),"",$E995-TODAY())</f>
        <v/>
      </c>
      <c r="I995" s="56" t="str">
        <f>IF(OR($C995="",$E995=""),"",IF($F995="완료",IF($G995="","",MAX(0,$G995-$E995)),IF($F995="취소","",MAX(0,TODAY()-$E995))))</f>
        <v/>
      </c>
      <c r="J995" s="50" t="n"/>
      <c r="K995" s="52" t="str">
        <f>IF($A995="","",$A995&amp;"|"&amp;$L995)</f>
        <v/>
      </c>
      <c r="L995" s="52" t="str">
        <f>IF($A995="","",COUNTIFS($A$3:$A995,$A995))</f>
        <v/>
      </c>
    </row>
    <row r="996" ht="15" customHeight="1" s="41">
      <c r="A996" s="50" t="n"/>
      <c r="B996" s="52" t="str">
        <f>IF($A996="","",IFERROR(INDEX(회의록!$C$3:$C$302,MATCH($A996,회의록!$A$3:$A$302,0)),"회의번호없음"))</f>
        <v/>
      </c>
      <c r="C996" s="50" t="n"/>
      <c r="D996" s="49" t="n"/>
      <c r="E996" s="53" t="n"/>
      <c r="F996" s="49" t="n"/>
      <c r="G996" s="53" t="n"/>
      <c r="H996" s="56" t="str">
        <f>IF(OR($C996="",$E996="",$F996="완료",$F996="취소"),"",$E996-TODAY())</f>
        <v/>
      </c>
      <c r="I996" s="56" t="str">
        <f>IF(OR($C996="",$E996=""),"",IF($F996="완료",IF($G996="","",MAX(0,$G996-$E996)),IF($F996="취소","",MAX(0,TODAY()-$E996))))</f>
        <v/>
      </c>
      <c r="J996" s="50" t="n"/>
      <c r="K996" s="52" t="str">
        <f>IF($A996="","",$A996&amp;"|"&amp;$L996)</f>
        <v/>
      </c>
      <c r="L996" s="52" t="str">
        <f>IF($A996="","",COUNTIFS($A$3:$A996,$A996))</f>
        <v/>
      </c>
    </row>
    <row r="997" ht="15" customHeight="1" s="41">
      <c r="A997" s="50" t="n"/>
      <c r="B997" s="52" t="str">
        <f>IF($A997="","",IFERROR(INDEX(회의록!$C$3:$C$302,MATCH($A997,회의록!$A$3:$A$302,0)),"회의번호없음"))</f>
        <v/>
      </c>
      <c r="C997" s="50" t="n"/>
      <c r="D997" s="49" t="n"/>
      <c r="E997" s="53" t="n"/>
      <c r="F997" s="49" t="n"/>
      <c r="G997" s="53" t="n"/>
      <c r="H997" s="56" t="str">
        <f>IF(OR($C997="",$E997="",$F997="완료",$F997="취소"),"",$E997-TODAY())</f>
        <v/>
      </c>
      <c r="I997" s="56" t="str">
        <f>IF(OR($C997="",$E997=""),"",IF($F997="완료",IF($G997="","",MAX(0,$G997-$E997)),IF($F997="취소","",MAX(0,TODAY()-$E997))))</f>
        <v/>
      </c>
      <c r="J997" s="50" t="n"/>
      <c r="K997" s="52" t="str">
        <f>IF($A997="","",$A997&amp;"|"&amp;$L997)</f>
        <v/>
      </c>
      <c r="L997" s="52" t="str">
        <f>IF($A997="","",COUNTIFS($A$3:$A997,$A997))</f>
        <v/>
      </c>
    </row>
    <row r="998" ht="15" customHeight="1" s="41">
      <c r="A998" s="50" t="n"/>
      <c r="B998" s="52" t="str">
        <f>IF($A998="","",IFERROR(INDEX(회의록!$C$3:$C$302,MATCH($A998,회의록!$A$3:$A$302,0)),"회의번호없음"))</f>
        <v/>
      </c>
      <c r="C998" s="50" t="n"/>
      <c r="D998" s="49" t="n"/>
      <c r="E998" s="53" t="n"/>
      <c r="F998" s="49" t="n"/>
      <c r="G998" s="53" t="n"/>
      <c r="H998" s="56" t="str">
        <f>IF(OR($C998="",$E998="",$F998="완료",$F998="취소"),"",$E998-TODAY())</f>
        <v/>
      </c>
      <c r="I998" s="56" t="str">
        <f>IF(OR($C998="",$E998=""),"",IF($F998="완료",IF($G998="","",MAX(0,$G998-$E998)),IF($F998="취소","",MAX(0,TODAY()-$E998))))</f>
        <v/>
      </c>
      <c r="J998" s="50" t="n"/>
      <c r="K998" s="52" t="str">
        <f>IF($A998="","",$A998&amp;"|"&amp;$L998)</f>
        <v/>
      </c>
      <c r="L998" s="52" t="str">
        <f>IF($A998="","",COUNTIFS($A$3:$A998,$A998))</f>
        <v/>
      </c>
    </row>
    <row r="999" ht="15" customHeight="1" s="41">
      <c r="A999" s="50" t="n"/>
      <c r="B999" s="52" t="str">
        <f>IF($A999="","",IFERROR(INDEX(회의록!$C$3:$C$302,MATCH($A999,회의록!$A$3:$A$302,0)),"회의번호없음"))</f>
        <v/>
      </c>
      <c r="C999" s="50" t="n"/>
      <c r="D999" s="49" t="n"/>
      <c r="E999" s="53" t="n"/>
      <c r="F999" s="49" t="n"/>
      <c r="G999" s="53" t="n"/>
      <c r="H999" s="56" t="str">
        <f>IF(OR($C999="",$E999="",$F999="완료",$F999="취소"),"",$E999-TODAY())</f>
        <v/>
      </c>
      <c r="I999" s="56" t="str">
        <f>IF(OR($C999="",$E999=""),"",IF($F999="완료",IF($G999="","",MAX(0,$G999-$E999)),IF($F999="취소","",MAX(0,TODAY()-$E999))))</f>
        <v/>
      </c>
      <c r="J999" s="50" t="n"/>
      <c r="K999" s="52" t="str">
        <f>IF($A999="","",$A999&amp;"|"&amp;$L999)</f>
        <v/>
      </c>
      <c r="L999" s="52" t="str">
        <f>IF($A999="","",COUNTIFS($A$3:$A999,$A999))</f>
        <v/>
      </c>
    </row>
    <row r="1000" ht="15" customHeight="1" s="41">
      <c r="A1000" s="50" t="n"/>
      <c r="B1000" s="52" t="str">
        <f>IF($A1000="","",IFERROR(INDEX(회의록!$C$3:$C$302,MATCH($A1000,회의록!$A$3:$A$302,0)),"회의번호없음"))</f>
        <v/>
      </c>
      <c r="C1000" s="50" t="n"/>
      <c r="D1000" s="49" t="n"/>
      <c r="E1000" s="53" t="n"/>
      <c r="F1000" s="49" t="n"/>
      <c r="G1000" s="53" t="n"/>
      <c r="H1000" s="56" t="str">
        <f>IF(OR($C1000="",$E1000="",$F1000="완료",$F1000="취소"),"",$E1000-TODAY())</f>
        <v/>
      </c>
      <c r="I1000" s="56" t="str">
        <f>IF(OR($C1000="",$E1000=""),"",IF($F1000="완료",IF($G1000="","",MAX(0,$G1000-$E1000)),IF($F1000="취소","",MAX(0,TODAY()-$E1000))))</f>
        <v/>
      </c>
      <c r="J1000" s="50" t="n"/>
      <c r="K1000" s="52" t="str">
        <f>IF($A1000="","",$A1000&amp;"|"&amp;$L1000)</f>
        <v/>
      </c>
      <c r="L1000" s="52" t="str">
        <f>IF($A1000="","",COUNTIFS($A$3:$A1000,$A1000))</f>
        <v/>
      </c>
    </row>
    <row r="1001" ht="15" customHeight="1" s="41">
      <c r="A1001" s="50" t="n"/>
      <c r="B1001" s="52" t="str">
        <f>IF($A1001="","",IFERROR(INDEX(회의록!$C$3:$C$302,MATCH($A1001,회의록!$A$3:$A$302,0)),"회의번호없음"))</f>
        <v/>
      </c>
      <c r="C1001" s="50" t="n"/>
      <c r="D1001" s="49" t="n"/>
      <c r="E1001" s="53" t="n"/>
      <c r="F1001" s="49" t="n"/>
      <c r="G1001" s="53" t="n"/>
      <c r="H1001" s="56" t="str">
        <f>IF(OR($C1001="",$E1001="",$F1001="완료",$F1001="취소"),"",$E1001-TODAY())</f>
        <v/>
      </c>
      <c r="I1001" s="56" t="str">
        <f>IF(OR($C1001="",$E1001=""),"",IF($F1001="완료",IF($G1001="","",MAX(0,$G1001-$E1001)),IF($F1001="취소","",MAX(0,TODAY()-$E1001))))</f>
        <v/>
      </c>
      <c r="J1001" s="50" t="n"/>
      <c r="K1001" s="52" t="str">
        <f>IF($A1001="","",$A1001&amp;"|"&amp;$L1001)</f>
        <v/>
      </c>
      <c r="L1001" s="52" t="str">
        <f>IF($A1001="","",COUNTIFS($A$3:$A1001,$A1001))</f>
        <v/>
      </c>
    </row>
    <row r="1002" ht="15" customHeight="1" s="41">
      <c r="A1002" s="50" t="n"/>
      <c r="B1002" s="52" t="str">
        <f>IF($A1002="","",IFERROR(INDEX(회의록!$C$3:$C$302,MATCH($A1002,회의록!$A$3:$A$302,0)),"회의번호없음"))</f>
        <v/>
      </c>
      <c r="C1002" s="50" t="n"/>
      <c r="D1002" s="49" t="n"/>
      <c r="E1002" s="53" t="n"/>
      <c r="F1002" s="49" t="n"/>
      <c r="G1002" s="53" t="n"/>
      <c r="H1002" s="56" t="str">
        <f>IF(OR($C1002="",$E1002="",$F1002="완료",$F1002="취소"),"",$E1002-TODAY())</f>
        <v/>
      </c>
      <c r="I1002" s="56" t="str">
        <f>IF(OR($C1002="",$E1002=""),"",IF($F1002="완료",IF($G1002="","",MAX(0,$G1002-$E1002)),IF($F1002="취소","",MAX(0,TODAY()-$E1002))))</f>
        <v/>
      </c>
      <c r="J1002" s="50" t="n"/>
      <c r="K1002" s="52" t="str">
        <f>IF($A1002="","",$A1002&amp;"|"&amp;$L1002)</f>
        <v/>
      </c>
      <c r="L1002" s="52" t="str">
        <f>IF($A1002="","",COUNTIFS($A$3:$A1002,$A1002))</f>
        <v/>
      </c>
    </row>
    <row r="1004" ht="15" customHeight="1" s="41">
      <c r="A1004" s="57" t="inlineStr">
        <is>
          <t>※ D-Day가 음수면 기한이 지난 것입니다. 완료·취소 건은 계산하지 않습니다.</t>
        </is>
      </c>
    </row>
  </sheetData>
  <mergeCells count="1">
    <mergeCell ref="A1:J1"/>
  </mergeCells>
  <conditionalFormatting sqref="A3:J1002">
    <cfRule type="expression" rank="0" priority="2" equalAverage="0" aboveAverage="0" dxfId="0" text="" percent="0" bottom="0">
      <formula>AND($H3&lt;&gt;"",$H3&lt;0)</formula>
    </cfRule>
    <cfRule type="expression" rank="0" priority="3" equalAverage="0" aboveAverage="0" dxfId="1" text="" percent="0" bottom="0">
      <formula>AND($H3&lt;&gt;"",$H3&gt;=0,$H3&lt;=사용안내!$C$16)</formula>
    </cfRule>
    <cfRule type="expression" rank="0" priority="4" equalAverage="0" aboveAverage="0" dxfId="2" text="" percent="0" bottom="0">
      <formula>$F3="완료"</formula>
    </cfRule>
  </conditionalFormatting>
  <dataValidations count="3">
    <dataValidation sqref="A3:A1002" showDropDown="0" showInputMessage="0" showErrorMessage="0" allowBlank="1" type="list" errorStyle="stop" operator="between">
      <formula1>회의록!$A$3:$A$302</formula1>
      <formula2>0</formula2>
    </dataValidation>
    <dataValidation sqref="D3:D1002" showDropDown="0" showInputMessage="0" showErrorMessage="0" allowBlank="1" type="list" errorStyle="stop" operator="between">
      <formula1>구성원목록!$A$3:$A$202</formula1>
      <formula2>0</formula2>
    </dataValidation>
    <dataValidation sqref="F3:F1002" showDropDown="0" showInputMessage="0" showErrorMessage="0" allowBlank="1" type="list" errorStyle="stop" operator="between">
      <formula1>"진행중,완료,보류,취소"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10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40" min="1" max="1"/>
    <col width="40" customWidth="1" style="40" min="2" max="2"/>
    <col width="16" customWidth="1" style="40" min="3" max="3"/>
    <col width="26" customWidth="1" style="40" min="4" max="4"/>
    <col width="13" customWidth="1" style="40" min="5" max="5"/>
    <col width="12" customWidth="1" style="40" min="6" max="8"/>
    <col width="13" customWidth="1" style="41" min="7" max="7"/>
    <col width="13" customWidth="1" style="41" min="8" max="8"/>
    <col width="12" customWidth="1" style="40" min="10" max="10"/>
    <col width="14" customWidth="1" style="40" min="11" max="12"/>
  </cols>
  <sheetData>
    <row r="1" ht="25.5" customHeight="1" s="41">
      <c r="A1" s="42" t="inlineStr">
        <is>
          <t>미완료현황  (아직 안 끝난 할 일)</t>
        </is>
      </c>
    </row>
    <row r="2"/>
    <row r="3" ht="15" customHeight="1" s="41">
      <c r="A3" s="43" t="inlineStr">
        <is>
          <t>미완료</t>
        </is>
      </c>
      <c r="B3" s="58" t="n">
        <f>COUNTIFS(액션아이템!$F$3:$F$1002,"진행중")+COUNTIFS(액션아이템!$F$3:$F$1002,"보류")</f>
        <v>3</v>
      </c>
      <c r="D3" s="43" t="inlineStr">
        <is>
          <t>기한 초과</t>
        </is>
      </c>
      <c r="E3" s="59" t="n">
        <f>COUNTIFS(액션아이템!$H$3:$H$1002,"&lt;0")</f>
        <v>1</v>
      </c>
      <c r="G3" s="43" t="inlineStr">
        <is>
          <t>임박</t>
        </is>
      </c>
      <c r="H3" s="60" t="n">
        <f>COUNTIFS(액션아이템!$H$3:$H$1002,"&gt;=0",액션아이템!$H$3:$H$1002,"&lt;="&amp;사용안내!$C$16)</f>
        <v>1</v>
      </c>
    </row>
    <row r="4"/>
    <row r="5" ht="15" customHeight="1" s="41">
      <c r="A5" s="48" t="inlineStr">
        <is>
          <t>순위</t>
        </is>
      </c>
      <c r="B5" s="48" t="inlineStr">
        <is>
          <t>할 일</t>
        </is>
      </c>
      <c r="C5" s="48" t="inlineStr">
        <is>
          <t>담당자</t>
        </is>
      </c>
      <c r="D5" s="48" t="inlineStr">
        <is>
          <t>회의명</t>
        </is>
      </c>
      <c r="E5" s="48" t="inlineStr">
        <is>
          <t>기한</t>
        </is>
      </c>
      <c r="F5" s="61" t="inlineStr">
        <is>
          <t>D-Day</t>
        </is>
      </c>
      <c r="G5" s="48" t="inlineStr">
        <is>
          <t>상태</t>
        </is>
      </c>
      <c r="H5" s="48" t="inlineStr">
        <is>
          <t>지연일</t>
        </is>
      </c>
      <c r="J5" s="46" t="inlineStr">
        <is>
          <t>대상(자동)</t>
        </is>
      </c>
      <c r="K5" s="46" t="inlineStr">
        <is>
          <t>정렬키(자동)</t>
        </is>
      </c>
      <c r="L5" s="46" t="inlineStr">
        <is>
          <t>순위(자동)</t>
        </is>
      </c>
    </row>
    <row r="6" ht="15" customHeight="1" s="41">
      <c r="A6" s="62" t="n">
        <f>IF($B6="","",1)</f>
        <v>1</v>
      </c>
      <c r="B6" s="52" t="str">
        <f>IFERROR(INDEX(액션아이템!$C$3:$C$1002,MATCH(1,미완료현황!$L$6:$L$1005,0)),"")</f>
        <v>예산안 재검토</v>
      </c>
      <c r="C6" s="52" t="str">
        <f>IF($B6="","",IFERROR(INDEX(액션아이템!$D$3:$D$1002,MATCH(1,미완료현황!$L$6:$L$1005,0)),""))</f>
        <v>김팀장</v>
      </c>
      <c r="D6" s="52" t="str">
        <f>IF($B6="","",IFERROR(INDEX(액션아이템!$B$3:$B$1002,MATCH(1,미완료현황!$L$6:$L$1005,0)),""))</f>
        <v>9월 정기회의</v>
      </c>
      <c r="E6" s="63" t="n">
        <f>IF($B6="","",IFERROR(INDEX(액션아이템!$E$3:$E$1002,MATCH(1,미완료현황!$L$6:$L$1005,0)),""))</f>
        <v>46275</v>
      </c>
      <c r="F6" s="64" t="n">
        <f>IF($B6="","",IFERROR(INDEX(액션아이템!$H$3:$H$1002,MATCH(1,미완료현황!$L$6:$L$1005,0)),""))</f>
        <v>-4</v>
      </c>
      <c r="G6" s="62" t="str">
        <f>IF($B6="","",IFERROR(INDEX(액션아이템!$F$3:$F$1002,MATCH(1,미완료현황!$L$6:$L$1005,0)),""))</f>
        <v>진행중</v>
      </c>
      <c r="H6" s="64" t="n">
        <f>IF($B6="","",IFERROR(INDEX(액션아이템!$I$3:$I$1002,MATCH(1,미완료현황!$L$6:$L$1005,0)),""))</f>
        <v>4</v>
      </c>
      <c r="J6" s="57" t="b">
        <f>IF(액션아이템!$C3="",FALSE(),OR(액션아이템!$F3="진행중",액션아이템!$F3="보류"))</f>
        <v>1</v>
      </c>
      <c r="K6" s="46" t="n">
        <f>IF($J6=FALSE(),"",IF(액션아이템!$E3="",99999999,액션아이템!$E3)*100+ROW()/1000)</f>
        <v>4628500.006</v>
      </c>
      <c r="L6" s="46" t="n">
        <f>IF($K6="","",RANK($K6,$K$6:$K$1005,1))</f>
        <v>3</v>
      </c>
    </row>
    <row r="7" ht="15" customHeight="1" s="41">
      <c r="A7" s="62" t="n">
        <f>IF($B7="","",2)</f>
        <v>2</v>
      </c>
      <c r="B7" s="52" t="str">
        <f>IFERROR(INDEX(액션아이템!$C$3:$C$1002,MATCH(2,미완료현황!$L$6:$L$1005,0)),"")</f>
        <v>색상 수정본 전달</v>
      </c>
      <c r="C7" s="52" t="str">
        <f>IF($B7="","",IFERROR(INDEX(액션아이템!$D$3:$D$1002,MATCH(2,미완료현황!$L$6:$L$1005,0)),""))</f>
        <v>박주임</v>
      </c>
      <c r="D7" s="52" t="str">
        <f>IF($B7="","",IFERROR(INDEX(액션아이템!$B$3:$B$1002,MATCH(2,미완료현황!$L$6:$L$1005,0)),""))</f>
        <v>디자인 리뷰</v>
      </c>
      <c r="E7" s="63" t="n">
        <f>IF($B7="","",IFERROR(INDEX(액션아이템!$E$3:$E$1002,MATCH(2,미완료현황!$L$6:$L$1005,0)),""))</f>
        <v>46281</v>
      </c>
      <c r="F7" s="64" t="n">
        <f>IF($B7="","",IFERROR(INDEX(액션아이템!$H$3:$H$1002,MATCH(2,미완료현황!$L$6:$L$1005,0)),""))</f>
        <v>2</v>
      </c>
      <c r="G7" s="62" t="str">
        <f>IF($B7="","",IFERROR(INDEX(액션아이템!$F$3:$F$1002,MATCH(2,미완료현황!$L$6:$L$1005,0)),""))</f>
        <v>진행중</v>
      </c>
      <c r="H7" s="64" t="n">
        <f>IF($B7="","",IFERROR(INDEX(액션아이템!$I$3:$I$1002,MATCH(2,미완료현황!$L$6:$L$1005,0)),""))</f>
        <v>0</v>
      </c>
      <c r="J7" s="57" t="b">
        <f>IF(액션아이템!$C4="",FALSE(),OR(액션아이템!$F4="진행중",액션아이템!$F4="보류"))</f>
        <v>1</v>
      </c>
      <c r="K7" s="46" t="n">
        <f>IF($J7=FALSE(),"",IF(액션아이템!$E4="",99999999,액션아이템!$E4)*100+ROW()/1000)</f>
        <v>4627500.007</v>
      </c>
      <c r="L7" s="46" t="n">
        <f>IF($K7="","",RANK($K7,$K$6:$K$1005,1))</f>
        <v>1</v>
      </c>
    </row>
    <row r="8" ht="15" customHeight="1" s="41">
      <c r="A8" s="62" t="n">
        <f>IF($B8="","",3)</f>
        <v>3</v>
      </c>
      <c r="B8" s="52" t="str">
        <f>IFERROR(INDEX(액션아이템!$C$3:$C$1002,MATCH(3,미완료현황!$L$6:$L$1005,0)),"")</f>
        <v>4분기 기능 명세 작성</v>
      </c>
      <c r="C8" s="52" t="str">
        <f>IF($B8="","",IFERROR(INDEX(액션아이템!$D$3:$D$1002,MATCH(3,미완료현황!$L$6:$L$1005,0)),""))</f>
        <v>이대리</v>
      </c>
      <c r="D8" s="52" t="str">
        <f>IF($B8="","",IFERROR(INDEX(액션아이템!$B$3:$B$1002,MATCH(3,미완료현황!$L$6:$L$1005,0)),""))</f>
        <v>9월 정기회의</v>
      </c>
      <c r="E8" s="63" t="n">
        <f>IF($B8="","",IFERROR(INDEX(액션아이템!$E$3:$E$1002,MATCH(3,미완료현황!$L$6:$L$1005,0)),""))</f>
        <v>46285</v>
      </c>
      <c r="F8" s="64" t="n">
        <f>IF($B8="","",IFERROR(INDEX(액션아이템!$H$3:$H$1002,MATCH(3,미완료현황!$L$6:$L$1005,0)),""))</f>
        <v>6</v>
      </c>
      <c r="G8" s="62" t="str">
        <f>IF($B8="","",IFERROR(INDEX(액션아이템!$F$3:$F$1002,MATCH(3,미완료현황!$L$6:$L$1005,0)),""))</f>
        <v>진행중</v>
      </c>
      <c r="H8" s="64" t="n">
        <f>IF($B8="","",IFERROR(INDEX(액션아이템!$I$3:$I$1002,MATCH(3,미완료현황!$L$6:$L$1005,0)),""))</f>
        <v>0</v>
      </c>
      <c r="J8" s="57" t="b">
        <f>IF(액션아이템!$C5="",FALSE(),OR(액션아이템!$F5="진행중",액션아이템!$F5="보류"))</f>
        <v>0</v>
      </c>
      <c r="K8" s="46" t="str">
        <f>IF($J8=FALSE(),"",IF(액션아이템!$E5="",99999999,액션아이템!$E5)*100+ROW()/1000)</f>
        <v/>
      </c>
      <c r="L8" s="46" t="str">
        <f>IF($K8="","",RANK($K8,$K$6:$K$1005,1))</f>
        <v/>
      </c>
    </row>
    <row r="9" ht="15" customHeight="1" s="41">
      <c r="A9" s="62" t="str">
        <f>IF($B9="","",4)</f>
        <v/>
      </c>
      <c r="B9" s="52" t="str">
        <f>IFERROR(INDEX(액션아이템!$C$3:$C$1002,MATCH(4,미완료현황!$L$6:$L$1005,0)),"")</f>
        <v/>
      </c>
      <c r="C9" s="52" t="str">
        <f>IF($B9="","",IFERROR(INDEX(액션아이템!$D$3:$D$1002,MATCH(4,미완료현황!$L$6:$L$1005,0)),""))</f>
        <v/>
      </c>
      <c r="D9" s="52" t="str">
        <f>IF($B9="","",IFERROR(INDEX(액션아이템!$B$3:$B$1002,MATCH(4,미완료현황!$L$6:$L$1005,0)),""))</f>
        <v/>
      </c>
      <c r="E9" s="63" t="str">
        <f>IF($B9="","",IFERROR(INDEX(액션아이템!$E$3:$E$1002,MATCH(4,미완료현황!$L$6:$L$1005,0)),""))</f>
        <v/>
      </c>
      <c r="F9" s="62" t="str">
        <f>IF($B9="","",IFERROR(INDEX(액션아이템!$H$3:$H$1002,MATCH(4,미완료현황!$L$6:$L$1005,0)),""))</f>
        <v/>
      </c>
      <c r="G9" s="62" t="str">
        <f>IF($B9="","",IFERROR(INDEX(액션아이템!$F$3:$F$1002,MATCH(4,미완료현황!$L$6:$L$1005,0)),""))</f>
        <v/>
      </c>
      <c r="H9" s="62" t="str">
        <f>IF($B9="","",IFERROR(INDEX(액션아이템!$I$3:$I$1002,MATCH(4,미완료현황!$L$6:$L$1005,0)),""))</f>
        <v/>
      </c>
      <c r="J9" s="57" t="b">
        <f>IF(액션아이템!$C6="",FALSE(),OR(액션아이템!$F6="진행중",액션아이템!$F6="보류"))</f>
        <v>1</v>
      </c>
      <c r="K9" s="46" t="n">
        <f>IF($J9=FALSE(),"",IF(액션아이템!$E6="",99999999,액션아이템!$E6)*100+ROW()/1000)</f>
        <v>4628100.009</v>
      </c>
      <c r="L9" s="46" t="n">
        <f>IF($K9="","",RANK($K9,$K$6:$K$1005,1))</f>
        <v>2</v>
      </c>
    </row>
    <row r="10" ht="15" customHeight="1" s="41">
      <c r="A10" s="62" t="str">
        <f>IF($B10="","",5)</f>
        <v/>
      </c>
      <c r="B10" s="52" t="str">
        <f>IFERROR(INDEX(액션아이템!$C$3:$C$1002,MATCH(5,미완료현황!$L$6:$L$1005,0)),"")</f>
        <v/>
      </c>
      <c r="C10" s="52" t="str">
        <f>IF($B10="","",IFERROR(INDEX(액션아이템!$D$3:$D$1002,MATCH(5,미완료현황!$L$6:$L$1005,0)),""))</f>
        <v/>
      </c>
      <c r="D10" s="52" t="str">
        <f>IF($B10="","",IFERROR(INDEX(액션아이템!$B$3:$B$1002,MATCH(5,미완료현황!$L$6:$L$1005,0)),""))</f>
        <v/>
      </c>
      <c r="E10" s="63" t="str">
        <f>IF($B10="","",IFERROR(INDEX(액션아이템!$E$3:$E$1002,MATCH(5,미완료현황!$L$6:$L$1005,0)),""))</f>
        <v/>
      </c>
      <c r="F10" s="62" t="str">
        <f>IF($B10="","",IFERROR(INDEX(액션아이템!$H$3:$H$1002,MATCH(5,미완료현황!$L$6:$L$1005,0)),""))</f>
        <v/>
      </c>
      <c r="G10" s="62" t="str">
        <f>IF($B10="","",IFERROR(INDEX(액션아이템!$F$3:$F$1002,MATCH(5,미완료현황!$L$6:$L$1005,0)),""))</f>
        <v/>
      </c>
      <c r="H10" s="62" t="str">
        <f>IF($B10="","",IFERROR(INDEX(액션아이템!$I$3:$I$1002,MATCH(5,미완료현황!$L$6:$L$1005,0)),""))</f>
        <v/>
      </c>
      <c r="J10" s="57" t="b">
        <f>IF(액션아이템!$C7="",FALSE(),OR(액션아이템!$F7="진행중",액션아이템!$F7="보류"))</f>
        <v>0</v>
      </c>
      <c r="K10" s="46" t="str">
        <f>IF($J10=FALSE(),"",IF(액션아이템!$E7="",99999999,액션아이템!$E7)*100+ROW()/1000)</f>
        <v/>
      </c>
      <c r="L10" s="46" t="str">
        <f>IF($K10="","",RANK($K10,$K$6:$K$1005,1))</f>
        <v/>
      </c>
    </row>
    <row r="11" ht="15" customHeight="1" s="41">
      <c r="A11" s="62" t="str">
        <f>IF($B11="","",6)</f>
        <v/>
      </c>
      <c r="B11" s="52" t="str">
        <f>IFERROR(INDEX(액션아이템!$C$3:$C$1002,MATCH(6,미완료현황!$L$6:$L$1005,0)),"")</f>
        <v/>
      </c>
      <c r="C11" s="52" t="str">
        <f>IF($B11="","",IFERROR(INDEX(액션아이템!$D$3:$D$1002,MATCH(6,미완료현황!$L$6:$L$1005,0)),""))</f>
        <v/>
      </c>
      <c r="D11" s="52" t="str">
        <f>IF($B11="","",IFERROR(INDEX(액션아이템!$B$3:$B$1002,MATCH(6,미완료현황!$L$6:$L$1005,0)),""))</f>
        <v/>
      </c>
      <c r="E11" s="63" t="str">
        <f>IF($B11="","",IFERROR(INDEX(액션아이템!$E$3:$E$1002,MATCH(6,미완료현황!$L$6:$L$1005,0)),""))</f>
        <v/>
      </c>
      <c r="F11" s="62" t="str">
        <f>IF($B11="","",IFERROR(INDEX(액션아이템!$H$3:$H$1002,MATCH(6,미완료현황!$L$6:$L$1005,0)),""))</f>
        <v/>
      </c>
      <c r="G11" s="62" t="str">
        <f>IF($B11="","",IFERROR(INDEX(액션아이템!$F$3:$F$1002,MATCH(6,미완료현황!$L$6:$L$1005,0)),""))</f>
        <v/>
      </c>
      <c r="H11" s="62" t="str">
        <f>IF($B11="","",IFERROR(INDEX(액션아이템!$I$3:$I$1002,MATCH(6,미완료현황!$L$6:$L$1005,0)),""))</f>
        <v/>
      </c>
      <c r="J11" s="57" t="b">
        <f>IF(액션아이템!$C8="",FALSE(),OR(액션아이템!$F8="진행중",액션아이템!$F8="보류"))</f>
        <v>0</v>
      </c>
      <c r="K11" s="46" t="str">
        <f>IF($J11=FALSE(),"",IF(액션아이템!$E8="",99999999,액션아이템!$E8)*100+ROW()/1000)</f>
        <v/>
      </c>
      <c r="L11" s="46" t="str">
        <f>IF($K11="","",RANK($K11,$K$6:$K$1005,1))</f>
        <v/>
      </c>
    </row>
    <row r="12" ht="15" customHeight="1" s="41">
      <c r="A12" s="62" t="str">
        <f>IF($B12="","",7)</f>
        <v/>
      </c>
      <c r="B12" s="52" t="str">
        <f>IFERROR(INDEX(액션아이템!$C$3:$C$1002,MATCH(7,미완료현황!$L$6:$L$1005,0)),"")</f>
        <v/>
      </c>
      <c r="C12" s="52" t="str">
        <f>IF($B12="","",IFERROR(INDEX(액션아이템!$D$3:$D$1002,MATCH(7,미완료현황!$L$6:$L$1005,0)),""))</f>
        <v/>
      </c>
      <c r="D12" s="52" t="str">
        <f>IF($B12="","",IFERROR(INDEX(액션아이템!$B$3:$B$1002,MATCH(7,미완료현황!$L$6:$L$1005,0)),""))</f>
        <v/>
      </c>
      <c r="E12" s="63" t="str">
        <f>IF($B12="","",IFERROR(INDEX(액션아이템!$E$3:$E$1002,MATCH(7,미완료현황!$L$6:$L$1005,0)),""))</f>
        <v/>
      </c>
      <c r="F12" s="62" t="str">
        <f>IF($B12="","",IFERROR(INDEX(액션아이템!$H$3:$H$1002,MATCH(7,미완료현황!$L$6:$L$1005,0)),""))</f>
        <v/>
      </c>
      <c r="G12" s="62" t="str">
        <f>IF($B12="","",IFERROR(INDEX(액션아이템!$F$3:$F$1002,MATCH(7,미완료현황!$L$6:$L$1005,0)),""))</f>
        <v/>
      </c>
      <c r="H12" s="62" t="str">
        <f>IF($B12="","",IFERROR(INDEX(액션아이템!$I$3:$I$1002,MATCH(7,미완료현황!$L$6:$L$1005,0)),""))</f>
        <v/>
      </c>
      <c r="J12" s="57" t="b">
        <f>IF(액션아이템!$C9="",FALSE(),OR(액션아이템!$F9="진행중",액션아이템!$F9="보류"))</f>
        <v>0</v>
      </c>
      <c r="K12" s="46" t="str">
        <f>IF($J12=FALSE(),"",IF(액션아이템!$E9="",99999999,액션아이템!$E9)*100+ROW()/1000)</f>
        <v/>
      </c>
      <c r="L12" s="46" t="str">
        <f>IF($K12="","",RANK($K12,$K$6:$K$1005,1))</f>
        <v/>
      </c>
    </row>
    <row r="13" ht="15" customHeight="1" s="41">
      <c r="A13" s="62" t="str">
        <f>IF($B13="","",8)</f>
        <v/>
      </c>
      <c r="B13" s="52" t="str">
        <f>IFERROR(INDEX(액션아이템!$C$3:$C$1002,MATCH(8,미완료현황!$L$6:$L$1005,0)),"")</f>
        <v/>
      </c>
      <c r="C13" s="52" t="str">
        <f>IF($B13="","",IFERROR(INDEX(액션아이템!$D$3:$D$1002,MATCH(8,미완료현황!$L$6:$L$1005,0)),""))</f>
        <v/>
      </c>
      <c r="D13" s="52" t="str">
        <f>IF($B13="","",IFERROR(INDEX(액션아이템!$B$3:$B$1002,MATCH(8,미완료현황!$L$6:$L$1005,0)),""))</f>
        <v/>
      </c>
      <c r="E13" s="63" t="str">
        <f>IF($B13="","",IFERROR(INDEX(액션아이템!$E$3:$E$1002,MATCH(8,미완료현황!$L$6:$L$1005,0)),""))</f>
        <v/>
      </c>
      <c r="F13" s="62" t="str">
        <f>IF($B13="","",IFERROR(INDEX(액션아이템!$H$3:$H$1002,MATCH(8,미완료현황!$L$6:$L$1005,0)),""))</f>
        <v/>
      </c>
      <c r="G13" s="62" t="str">
        <f>IF($B13="","",IFERROR(INDEX(액션아이템!$F$3:$F$1002,MATCH(8,미완료현황!$L$6:$L$1005,0)),""))</f>
        <v/>
      </c>
      <c r="H13" s="62" t="str">
        <f>IF($B13="","",IFERROR(INDEX(액션아이템!$I$3:$I$1002,MATCH(8,미완료현황!$L$6:$L$1005,0)),""))</f>
        <v/>
      </c>
      <c r="J13" s="57" t="b">
        <f>IF(액션아이템!$C10="",FALSE(),OR(액션아이템!$F10="진행중",액션아이템!$F10="보류"))</f>
        <v>0</v>
      </c>
      <c r="K13" s="46" t="str">
        <f>IF($J13=FALSE(),"",IF(액션아이템!$E10="",99999999,액션아이템!$E10)*100+ROW()/1000)</f>
        <v/>
      </c>
      <c r="L13" s="46" t="str">
        <f>IF($K13="","",RANK($K13,$K$6:$K$1005,1))</f>
        <v/>
      </c>
    </row>
    <row r="14" ht="15" customHeight="1" s="41">
      <c r="A14" s="62" t="str">
        <f>IF($B14="","",9)</f>
        <v/>
      </c>
      <c r="B14" s="52" t="str">
        <f>IFERROR(INDEX(액션아이템!$C$3:$C$1002,MATCH(9,미완료현황!$L$6:$L$1005,0)),"")</f>
        <v/>
      </c>
      <c r="C14" s="52" t="str">
        <f>IF($B14="","",IFERROR(INDEX(액션아이템!$D$3:$D$1002,MATCH(9,미완료현황!$L$6:$L$1005,0)),""))</f>
        <v/>
      </c>
      <c r="D14" s="52" t="str">
        <f>IF($B14="","",IFERROR(INDEX(액션아이템!$B$3:$B$1002,MATCH(9,미완료현황!$L$6:$L$1005,0)),""))</f>
        <v/>
      </c>
      <c r="E14" s="63" t="str">
        <f>IF($B14="","",IFERROR(INDEX(액션아이템!$E$3:$E$1002,MATCH(9,미완료현황!$L$6:$L$1005,0)),""))</f>
        <v/>
      </c>
      <c r="F14" s="62" t="str">
        <f>IF($B14="","",IFERROR(INDEX(액션아이템!$H$3:$H$1002,MATCH(9,미완료현황!$L$6:$L$1005,0)),""))</f>
        <v/>
      </c>
      <c r="G14" s="62" t="str">
        <f>IF($B14="","",IFERROR(INDEX(액션아이템!$F$3:$F$1002,MATCH(9,미완료현황!$L$6:$L$1005,0)),""))</f>
        <v/>
      </c>
      <c r="H14" s="62" t="str">
        <f>IF($B14="","",IFERROR(INDEX(액션아이템!$I$3:$I$1002,MATCH(9,미완료현황!$L$6:$L$1005,0)),""))</f>
        <v/>
      </c>
      <c r="J14" s="57" t="b">
        <f>IF(액션아이템!$C11="",FALSE(),OR(액션아이템!$F11="진행중",액션아이템!$F11="보류"))</f>
        <v>0</v>
      </c>
      <c r="K14" s="46" t="str">
        <f>IF($J14=FALSE(),"",IF(액션아이템!$E11="",99999999,액션아이템!$E11)*100+ROW()/1000)</f>
        <v/>
      </c>
      <c r="L14" s="46" t="str">
        <f>IF($K14="","",RANK($K14,$K$6:$K$1005,1))</f>
        <v/>
      </c>
    </row>
    <row r="15" ht="15" customHeight="1" s="41">
      <c r="A15" s="62" t="str">
        <f>IF($B15="","",10)</f>
        <v/>
      </c>
      <c r="B15" s="52" t="str">
        <f>IFERROR(INDEX(액션아이템!$C$3:$C$1002,MATCH(10,미완료현황!$L$6:$L$1005,0)),"")</f>
        <v/>
      </c>
      <c r="C15" s="52" t="str">
        <f>IF($B15="","",IFERROR(INDEX(액션아이템!$D$3:$D$1002,MATCH(10,미완료현황!$L$6:$L$1005,0)),""))</f>
        <v/>
      </c>
      <c r="D15" s="52" t="str">
        <f>IF($B15="","",IFERROR(INDEX(액션아이템!$B$3:$B$1002,MATCH(10,미완료현황!$L$6:$L$1005,0)),""))</f>
        <v/>
      </c>
      <c r="E15" s="63" t="str">
        <f>IF($B15="","",IFERROR(INDEX(액션아이템!$E$3:$E$1002,MATCH(10,미완료현황!$L$6:$L$1005,0)),""))</f>
        <v/>
      </c>
      <c r="F15" s="62" t="str">
        <f>IF($B15="","",IFERROR(INDEX(액션아이템!$H$3:$H$1002,MATCH(10,미완료현황!$L$6:$L$1005,0)),""))</f>
        <v/>
      </c>
      <c r="G15" s="62" t="str">
        <f>IF($B15="","",IFERROR(INDEX(액션아이템!$F$3:$F$1002,MATCH(10,미완료현황!$L$6:$L$1005,0)),""))</f>
        <v/>
      </c>
      <c r="H15" s="62" t="str">
        <f>IF($B15="","",IFERROR(INDEX(액션아이템!$I$3:$I$1002,MATCH(10,미완료현황!$L$6:$L$1005,0)),""))</f>
        <v/>
      </c>
      <c r="J15" s="57" t="b">
        <f>IF(액션아이템!$C12="",FALSE(),OR(액션아이템!$F12="진행중",액션아이템!$F12="보류"))</f>
        <v>0</v>
      </c>
      <c r="K15" s="46" t="str">
        <f>IF($J15=FALSE(),"",IF(액션아이템!$E12="",99999999,액션아이템!$E12)*100+ROW()/1000)</f>
        <v/>
      </c>
      <c r="L15" s="46" t="str">
        <f>IF($K15="","",RANK($K15,$K$6:$K$1005,1))</f>
        <v/>
      </c>
    </row>
    <row r="16" ht="15" customHeight="1" s="41">
      <c r="A16" s="62" t="str">
        <f>IF($B16="","",11)</f>
        <v/>
      </c>
      <c r="B16" s="52" t="str">
        <f>IFERROR(INDEX(액션아이템!$C$3:$C$1002,MATCH(11,미완료현황!$L$6:$L$1005,0)),"")</f>
        <v/>
      </c>
      <c r="C16" s="52" t="str">
        <f>IF($B16="","",IFERROR(INDEX(액션아이템!$D$3:$D$1002,MATCH(11,미완료현황!$L$6:$L$1005,0)),""))</f>
        <v/>
      </c>
      <c r="D16" s="52" t="str">
        <f>IF($B16="","",IFERROR(INDEX(액션아이템!$B$3:$B$1002,MATCH(11,미완료현황!$L$6:$L$1005,0)),""))</f>
        <v/>
      </c>
      <c r="E16" s="63" t="str">
        <f>IF($B16="","",IFERROR(INDEX(액션아이템!$E$3:$E$1002,MATCH(11,미완료현황!$L$6:$L$1005,0)),""))</f>
        <v/>
      </c>
      <c r="F16" s="62" t="str">
        <f>IF($B16="","",IFERROR(INDEX(액션아이템!$H$3:$H$1002,MATCH(11,미완료현황!$L$6:$L$1005,0)),""))</f>
        <v/>
      </c>
      <c r="G16" s="62" t="str">
        <f>IF($B16="","",IFERROR(INDEX(액션아이템!$F$3:$F$1002,MATCH(11,미완료현황!$L$6:$L$1005,0)),""))</f>
        <v/>
      </c>
      <c r="H16" s="62" t="str">
        <f>IF($B16="","",IFERROR(INDEX(액션아이템!$I$3:$I$1002,MATCH(11,미완료현황!$L$6:$L$1005,0)),""))</f>
        <v/>
      </c>
      <c r="J16" s="57" t="b">
        <f>IF(액션아이템!$C13="",FALSE(),OR(액션아이템!$F13="진행중",액션아이템!$F13="보류"))</f>
        <v>0</v>
      </c>
      <c r="K16" s="46" t="str">
        <f>IF($J16=FALSE(),"",IF(액션아이템!$E13="",99999999,액션아이템!$E13)*100+ROW()/1000)</f>
        <v/>
      </c>
      <c r="L16" s="46" t="str">
        <f>IF($K16="","",RANK($K16,$K$6:$K$1005,1))</f>
        <v/>
      </c>
    </row>
    <row r="17" ht="15" customHeight="1" s="41">
      <c r="A17" s="62" t="str">
        <f>IF($B17="","",12)</f>
        <v/>
      </c>
      <c r="B17" s="52" t="str">
        <f>IFERROR(INDEX(액션아이템!$C$3:$C$1002,MATCH(12,미완료현황!$L$6:$L$1005,0)),"")</f>
        <v/>
      </c>
      <c r="C17" s="52" t="str">
        <f>IF($B17="","",IFERROR(INDEX(액션아이템!$D$3:$D$1002,MATCH(12,미완료현황!$L$6:$L$1005,0)),""))</f>
        <v/>
      </c>
      <c r="D17" s="52" t="str">
        <f>IF($B17="","",IFERROR(INDEX(액션아이템!$B$3:$B$1002,MATCH(12,미완료현황!$L$6:$L$1005,0)),""))</f>
        <v/>
      </c>
      <c r="E17" s="63" t="str">
        <f>IF($B17="","",IFERROR(INDEX(액션아이템!$E$3:$E$1002,MATCH(12,미완료현황!$L$6:$L$1005,0)),""))</f>
        <v/>
      </c>
      <c r="F17" s="62" t="str">
        <f>IF($B17="","",IFERROR(INDEX(액션아이템!$H$3:$H$1002,MATCH(12,미완료현황!$L$6:$L$1005,0)),""))</f>
        <v/>
      </c>
      <c r="G17" s="62" t="str">
        <f>IF($B17="","",IFERROR(INDEX(액션아이템!$F$3:$F$1002,MATCH(12,미완료현황!$L$6:$L$1005,0)),""))</f>
        <v/>
      </c>
      <c r="H17" s="62" t="str">
        <f>IF($B17="","",IFERROR(INDEX(액션아이템!$I$3:$I$1002,MATCH(12,미완료현황!$L$6:$L$1005,0)),""))</f>
        <v/>
      </c>
      <c r="J17" s="57" t="b">
        <f>IF(액션아이템!$C14="",FALSE(),OR(액션아이템!$F14="진행중",액션아이템!$F14="보류"))</f>
        <v>0</v>
      </c>
      <c r="K17" s="46" t="str">
        <f>IF($J17=FALSE(),"",IF(액션아이템!$E14="",99999999,액션아이템!$E14)*100+ROW()/1000)</f>
        <v/>
      </c>
      <c r="L17" s="46" t="str">
        <f>IF($K17="","",RANK($K17,$K$6:$K$1005,1))</f>
        <v/>
      </c>
    </row>
    <row r="18" ht="15" customHeight="1" s="41">
      <c r="A18" s="62" t="str">
        <f>IF($B18="","",13)</f>
        <v/>
      </c>
      <c r="B18" s="52" t="str">
        <f>IFERROR(INDEX(액션아이템!$C$3:$C$1002,MATCH(13,미완료현황!$L$6:$L$1005,0)),"")</f>
        <v/>
      </c>
      <c r="C18" s="52" t="str">
        <f>IF($B18="","",IFERROR(INDEX(액션아이템!$D$3:$D$1002,MATCH(13,미완료현황!$L$6:$L$1005,0)),""))</f>
        <v/>
      </c>
      <c r="D18" s="52" t="str">
        <f>IF($B18="","",IFERROR(INDEX(액션아이템!$B$3:$B$1002,MATCH(13,미완료현황!$L$6:$L$1005,0)),""))</f>
        <v/>
      </c>
      <c r="E18" s="63" t="str">
        <f>IF($B18="","",IFERROR(INDEX(액션아이템!$E$3:$E$1002,MATCH(13,미완료현황!$L$6:$L$1005,0)),""))</f>
        <v/>
      </c>
      <c r="F18" s="62" t="str">
        <f>IF($B18="","",IFERROR(INDEX(액션아이템!$H$3:$H$1002,MATCH(13,미완료현황!$L$6:$L$1005,0)),""))</f>
        <v/>
      </c>
      <c r="G18" s="62" t="str">
        <f>IF($B18="","",IFERROR(INDEX(액션아이템!$F$3:$F$1002,MATCH(13,미완료현황!$L$6:$L$1005,0)),""))</f>
        <v/>
      </c>
      <c r="H18" s="62" t="str">
        <f>IF($B18="","",IFERROR(INDEX(액션아이템!$I$3:$I$1002,MATCH(13,미완료현황!$L$6:$L$1005,0)),""))</f>
        <v/>
      </c>
      <c r="J18" s="57" t="b">
        <f>IF(액션아이템!$C15="",FALSE(),OR(액션아이템!$F15="진행중",액션아이템!$F15="보류"))</f>
        <v>0</v>
      </c>
      <c r="K18" s="46" t="str">
        <f>IF($J18=FALSE(),"",IF(액션아이템!$E15="",99999999,액션아이템!$E15)*100+ROW()/1000)</f>
        <v/>
      </c>
      <c r="L18" s="46" t="str">
        <f>IF($K18="","",RANK($K18,$K$6:$K$1005,1))</f>
        <v/>
      </c>
    </row>
    <row r="19" ht="15" customHeight="1" s="41">
      <c r="A19" s="62" t="str">
        <f>IF($B19="","",14)</f>
        <v/>
      </c>
      <c r="B19" s="52" t="str">
        <f>IFERROR(INDEX(액션아이템!$C$3:$C$1002,MATCH(14,미완료현황!$L$6:$L$1005,0)),"")</f>
        <v/>
      </c>
      <c r="C19" s="52" t="str">
        <f>IF($B19="","",IFERROR(INDEX(액션아이템!$D$3:$D$1002,MATCH(14,미완료현황!$L$6:$L$1005,0)),""))</f>
        <v/>
      </c>
      <c r="D19" s="52" t="str">
        <f>IF($B19="","",IFERROR(INDEX(액션아이템!$B$3:$B$1002,MATCH(14,미완료현황!$L$6:$L$1005,0)),""))</f>
        <v/>
      </c>
      <c r="E19" s="63" t="str">
        <f>IF($B19="","",IFERROR(INDEX(액션아이템!$E$3:$E$1002,MATCH(14,미완료현황!$L$6:$L$1005,0)),""))</f>
        <v/>
      </c>
      <c r="F19" s="62" t="str">
        <f>IF($B19="","",IFERROR(INDEX(액션아이템!$H$3:$H$1002,MATCH(14,미완료현황!$L$6:$L$1005,0)),""))</f>
        <v/>
      </c>
      <c r="G19" s="62" t="str">
        <f>IF($B19="","",IFERROR(INDEX(액션아이템!$F$3:$F$1002,MATCH(14,미완료현황!$L$6:$L$1005,0)),""))</f>
        <v/>
      </c>
      <c r="H19" s="62" t="str">
        <f>IF($B19="","",IFERROR(INDEX(액션아이템!$I$3:$I$1002,MATCH(14,미완료현황!$L$6:$L$1005,0)),""))</f>
        <v/>
      </c>
      <c r="J19" s="57" t="b">
        <f>IF(액션아이템!$C16="",FALSE(),OR(액션아이템!$F16="진행중",액션아이템!$F16="보류"))</f>
        <v>0</v>
      </c>
      <c r="K19" s="46" t="str">
        <f>IF($J19=FALSE(),"",IF(액션아이템!$E16="",99999999,액션아이템!$E16)*100+ROW()/1000)</f>
        <v/>
      </c>
      <c r="L19" s="46" t="str">
        <f>IF($K19="","",RANK($K19,$K$6:$K$1005,1))</f>
        <v/>
      </c>
    </row>
    <row r="20" ht="15" customHeight="1" s="41">
      <c r="A20" s="62" t="str">
        <f>IF($B20="","",15)</f>
        <v/>
      </c>
      <c r="B20" s="52" t="str">
        <f>IFERROR(INDEX(액션아이템!$C$3:$C$1002,MATCH(15,미완료현황!$L$6:$L$1005,0)),"")</f>
        <v/>
      </c>
      <c r="C20" s="52" t="str">
        <f>IF($B20="","",IFERROR(INDEX(액션아이템!$D$3:$D$1002,MATCH(15,미완료현황!$L$6:$L$1005,0)),""))</f>
        <v/>
      </c>
      <c r="D20" s="52" t="str">
        <f>IF($B20="","",IFERROR(INDEX(액션아이템!$B$3:$B$1002,MATCH(15,미완료현황!$L$6:$L$1005,0)),""))</f>
        <v/>
      </c>
      <c r="E20" s="63" t="str">
        <f>IF($B20="","",IFERROR(INDEX(액션아이템!$E$3:$E$1002,MATCH(15,미완료현황!$L$6:$L$1005,0)),""))</f>
        <v/>
      </c>
      <c r="F20" s="62" t="str">
        <f>IF($B20="","",IFERROR(INDEX(액션아이템!$H$3:$H$1002,MATCH(15,미완료현황!$L$6:$L$1005,0)),""))</f>
        <v/>
      </c>
      <c r="G20" s="62" t="str">
        <f>IF($B20="","",IFERROR(INDEX(액션아이템!$F$3:$F$1002,MATCH(15,미완료현황!$L$6:$L$1005,0)),""))</f>
        <v/>
      </c>
      <c r="H20" s="62" t="str">
        <f>IF($B20="","",IFERROR(INDEX(액션아이템!$I$3:$I$1002,MATCH(15,미완료현황!$L$6:$L$1005,0)),""))</f>
        <v/>
      </c>
      <c r="J20" s="57" t="b">
        <f>IF(액션아이템!$C17="",FALSE(),OR(액션아이템!$F17="진행중",액션아이템!$F17="보류"))</f>
        <v>0</v>
      </c>
      <c r="K20" s="46" t="str">
        <f>IF($J20=FALSE(),"",IF(액션아이템!$E17="",99999999,액션아이템!$E17)*100+ROW()/1000)</f>
        <v/>
      </c>
      <c r="L20" s="46" t="str">
        <f>IF($K20="","",RANK($K20,$K$6:$K$1005,1))</f>
        <v/>
      </c>
    </row>
    <row r="21" ht="15" customHeight="1" s="41">
      <c r="A21" s="62" t="str">
        <f>IF($B21="","",16)</f>
        <v/>
      </c>
      <c r="B21" s="52" t="str">
        <f>IFERROR(INDEX(액션아이템!$C$3:$C$1002,MATCH(16,미완료현황!$L$6:$L$1005,0)),"")</f>
        <v/>
      </c>
      <c r="C21" s="52" t="str">
        <f>IF($B21="","",IFERROR(INDEX(액션아이템!$D$3:$D$1002,MATCH(16,미완료현황!$L$6:$L$1005,0)),""))</f>
        <v/>
      </c>
      <c r="D21" s="52" t="str">
        <f>IF($B21="","",IFERROR(INDEX(액션아이템!$B$3:$B$1002,MATCH(16,미완료현황!$L$6:$L$1005,0)),""))</f>
        <v/>
      </c>
      <c r="E21" s="63" t="str">
        <f>IF($B21="","",IFERROR(INDEX(액션아이템!$E$3:$E$1002,MATCH(16,미완료현황!$L$6:$L$1005,0)),""))</f>
        <v/>
      </c>
      <c r="F21" s="62" t="str">
        <f>IF($B21="","",IFERROR(INDEX(액션아이템!$H$3:$H$1002,MATCH(16,미완료현황!$L$6:$L$1005,0)),""))</f>
        <v/>
      </c>
      <c r="G21" s="62" t="str">
        <f>IF($B21="","",IFERROR(INDEX(액션아이템!$F$3:$F$1002,MATCH(16,미완료현황!$L$6:$L$1005,0)),""))</f>
        <v/>
      </c>
      <c r="H21" s="62" t="str">
        <f>IF($B21="","",IFERROR(INDEX(액션아이템!$I$3:$I$1002,MATCH(16,미완료현황!$L$6:$L$1005,0)),""))</f>
        <v/>
      </c>
      <c r="J21" s="57" t="b">
        <f>IF(액션아이템!$C18="",FALSE(),OR(액션아이템!$F18="진행중",액션아이템!$F18="보류"))</f>
        <v>0</v>
      </c>
      <c r="K21" s="46" t="str">
        <f>IF($J21=FALSE(),"",IF(액션아이템!$E18="",99999999,액션아이템!$E18)*100+ROW()/1000)</f>
        <v/>
      </c>
      <c r="L21" s="46" t="str">
        <f>IF($K21="","",RANK($K21,$K$6:$K$1005,1))</f>
        <v/>
      </c>
    </row>
    <row r="22" ht="15" customHeight="1" s="41">
      <c r="A22" s="62" t="str">
        <f>IF($B22="","",17)</f>
        <v/>
      </c>
      <c r="B22" s="52" t="str">
        <f>IFERROR(INDEX(액션아이템!$C$3:$C$1002,MATCH(17,미완료현황!$L$6:$L$1005,0)),"")</f>
        <v/>
      </c>
      <c r="C22" s="52" t="str">
        <f>IF($B22="","",IFERROR(INDEX(액션아이템!$D$3:$D$1002,MATCH(17,미완료현황!$L$6:$L$1005,0)),""))</f>
        <v/>
      </c>
      <c r="D22" s="52" t="str">
        <f>IF($B22="","",IFERROR(INDEX(액션아이템!$B$3:$B$1002,MATCH(17,미완료현황!$L$6:$L$1005,0)),""))</f>
        <v/>
      </c>
      <c r="E22" s="63" t="str">
        <f>IF($B22="","",IFERROR(INDEX(액션아이템!$E$3:$E$1002,MATCH(17,미완료현황!$L$6:$L$1005,0)),""))</f>
        <v/>
      </c>
      <c r="F22" s="62" t="str">
        <f>IF($B22="","",IFERROR(INDEX(액션아이템!$H$3:$H$1002,MATCH(17,미완료현황!$L$6:$L$1005,0)),""))</f>
        <v/>
      </c>
      <c r="G22" s="62" t="str">
        <f>IF($B22="","",IFERROR(INDEX(액션아이템!$F$3:$F$1002,MATCH(17,미완료현황!$L$6:$L$1005,0)),""))</f>
        <v/>
      </c>
      <c r="H22" s="62" t="str">
        <f>IF($B22="","",IFERROR(INDEX(액션아이템!$I$3:$I$1002,MATCH(17,미완료현황!$L$6:$L$1005,0)),""))</f>
        <v/>
      </c>
      <c r="J22" s="57" t="b">
        <f>IF(액션아이템!$C19="",FALSE(),OR(액션아이템!$F19="진행중",액션아이템!$F19="보류"))</f>
        <v>0</v>
      </c>
      <c r="K22" s="46" t="str">
        <f>IF($J22=FALSE(),"",IF(액션아이템!$E19="",99999999,액션아이템!$E19)*100+ROW()/1000)</f>
        <v/>
      </c>
      <c r="L22" s="46" t="str">
        <f>IF($K22="","",RANK($K22,$K$6:$K$1005,1))</f>
        <v/>
      </c>
    </row>
    <row r="23" ht="15" customHeight="1" s="41">
      <c r="A23" s="62" t="str">
        <f>IF($B23="","",18)</f>
        <v/>
      </c>
      <c r="B23" s="52" t="str">
        <f>IFERROR(INDEX(액션아이템!$C$3:$C$1002,MATCH(18,미완료현황!$L$6:$L$1005,0)),"")</f>
        <v/>
      </c>
      <c r="C23" s="52" t="str">
        <f>IF($B23="","",IFERROR(INDEX(액션아이템!$D$3:$D$1002,MATCH(18,미완료현황!$L$6:$L$1005,0)),""))</f>
        <v/>
      </c>
      <c r="D23" s="52" t="str">
        <f>IF($B23="","",IFERROR(INDEX(액션아이템!$B$3:$B$1002,MATCH(18,미완료현황!$L$6:$L$1005,0)),""))</f>
        <v/>
      </c>
      <c r="E23" s="63" t="str">
        <f>IF($B23="","",IFERROR(INDEX(액션아이템!$E$3:$E$1002,MATCH(18,미완료현황!$L$6:$L$1005,0)),""))</f>
        <v/>
      </c>
      <c r="F23" s="62" t="str">
        <f>IF($B23="","",IFERROR(INDEX(액션아이템!$H$3:$H$1002,MATCH(18,미완료현황!$L$6:$L$1005,0)),""))</f>
        <v/>
      </c>
      <c r="G23" s="62" t="str">
        <f>IF($B23="","",IFERROR(INDEX(액션아이템!$F$3:$F$1002,MATCH(18,미완료현황!$L$6:$L$1005,0)),""))</f>
        <v/>
      </c>
      <c r="H23" s="62" t="str">
        <f>IF($B23="","",IFERROR(INDEX(액션아이템!$I$3:$I$1002,MATCH(18,미완료현황!$L$6:$L$1005,0)),""))</f>
        <v/>
      </c>
      <c r="J23" s="57" t="b">
        <f>IF(액션아이템!$C20="",FALSE(),OR(액션아이템!$F20="진행중",액션아이템!$F20="보류"))</f>
        <v>0</v>
      </c>
      <c r="K23" s="46" t="str">
        <f>IF($J23=FALSE(),"",IF(액션아이템!$E20="",99999999,액션아이템!$E20)*100+ROW()/1000)</f>
        <v/>
      </c>
      <c r="L23" s="46" t="str">
        <f>IF($K23="","",RANK($K23,$K$6:$K$1005,1))</f>
        <v/>
      </c>
    </row>
    <row r="24" ht="15" customHeight="1" s="41">
      <c r="A24" s="62" t="str">
        <f>IF($B24="","",19)</f>
        <v/>
      </c>
      <c r="B24" s="52" t="str">
        <f>IFERROR(INDEX(액션아이템!$C$3:$C$1002,MATCH(19,미완료현황!$L$6:$L$1005,0)),"")</f>
        <v/>
      </c>
      <c r="C24" s="52" t="str">
        <f>IF($B24="","",IFERROR(INDEX(액션아이템!$D$3:$D$1002,MATCH(19,미완료현황!$L$6:$L$1005,0)),""))</f>
        <v/>
      </c>
      <c r="D24" s="52" t="str">
        <f>IF($B24="","",IFERROR(INDEX(액션아이템!$B$3:$B$1002,MATCH(19,미완료현황!$L$6:$L$1005,0)),""))</f>
        <v/>
      </c>
      <c r="E24" s="63" t="str">
        <f>IF($B24="","",IFERROR(INDEX(액션아이템!$E$3:$E$1002,MATCH(19,미완료현황!$L$6:$L$1005,0)),""))</f>
        <v/>
      </c>
      <c r="F24" s="62" t="str">
        <f>IF($B24="","",IFERROR(INDEX(액션아이템!$H$3:$H$1002,MATCH(19,미완료현황!$L$6:$L$1005,0)),""))</f>
        <v/>
      </c>
      <c r="G24" s="62" t="str">
        <f>IF($B24="","",IFERROR(INDEX(액션아이템!$F$3:$F$1002,MATCH(19,미완료현황!$L$6:$L$1005,0)),""))</f>
        <v/>
      </c>
      <c r="H24" s="62" t="str">
        <f>IF($B24="","",IFERROR(INDEX(액션아이템!$I$3:$I$1002,MATCH(19,미완료현황!$L$6:$L$1005,0)),""))</f>
        <v/>
      </c>
      <c r="J24" s="57" t="b">
        <f>IF(액션아이템!$C21="",FALSE(),OR(액션아이템!$F21="진행중",액션아이템!$F21="보류"))</f>
        <v>0</v>
      </c>
      <c r="K24" s="46" t="str">
        <f>IF($J24=FALSE(),"",IF(액션아이템!$E21="",99999999,액션아이템!$E21)*100+ROW()/1000)</f>
        <v/>
      </c>
      <c r="L24" s="46" t="str">
        <f>IF($K24="","",RANK($K24,$K$6:$K$1005,1))</f>
        <v/>
      </c>
    </row>
    <row r="25" ht="15" customHeight="1" s="41">
      <c r="A25" s="62" t="str">
        <f>IF($B25="","",20)</f>
        <v/>
      </c>
      <c r="B25" s="52" t="str">
        <f>IFERROR(INDEX(액션아이템!$C$3:$C$1002,MATCH(20,미완료현황!$L$6:$L$1005,0)),"")</f>
        <v/>
      </c>
      <c r="C25" s="52" t="str">
        <f>IF($B25="","",IFERROR(INDEX(액션아이템!$D$3:$D$1002,MATCH(20,미완료현황!$L$6:$L$1005,0)),""))</f>
        <v/>
      </c>
      <c r="D25" s="52" t="str">
        <f>IF($B25="","",IFERROR(INDEX(액션아이템!$B$3:$B$1002,MATCH(20,미완료현황!$L$6:$L$1005,0)),""))</f>
        <v/>
      </c>
      <c r="E25" s="63" t="str">
        <f>IF($B25="","",IFERROR(INDEX(액션아이템!$E$3:$E$1002,MATCH(20,미완료현황!$L$6:$L$1005,0)),""))</f>
        <v/>
      </c>
      <c r="F25" s="62" t="str">
        <f>IF($B25="","",IFERROR(INDEX(액션아이템!$H$3:$H$1002,MATCH(20,미완료현황!$L$6:$L$1005,0)),""))</f>
        <v/>
      </c>
      <c r="G25" s="62" t="str">
        <f>IF($B25="","",IFERROR(INDEX(액션아이템!$F$3:$F$1002,MATCH(20,미완료현황!$L$6:$L$1005,0)),""))</f>
        <v/>
      </c>
      <c r="H25" s="62" t="str">
        <f>IF($B25="","",IFERROR(INDEX(액션아이템!$I$3:$I$1002,MATCH(20,미완료현황!$L$6:$L$1005,0)),""))</f>
        <v/>
      </c>
      <c r="J25" s="57" t="b">
        <f>IF(액션아이템!$C22="",FALSE(),OR(액션아이템!$F22="진행중",액션아이템!$F22="보류"))</f>
        <v>0</v>
      </c>
      <c r="K25" s="46" t="str">
        <f>IF($J25=FALSE(),"",IF(액션아이템!$E22="",99999999,액션아이템!$E22)*100+ROW()/1000)</f>
        <v/>
      </c>
      <c r="L25" s="46" t="str">
        <f>IF($K25="","",RANK($K25,$K$6:$K$1005,1))</f>
        <v/>
      </c>
    </row>
    <row r="26" ht="15" customHeight="1" s="41">
      <c r="A26" s="62" t="str">
        <f>IF($B26="","",21)</f>
        <v/>
      </c>
      <c r="B26" s="52" t="str">
        <f>IFERROR(INDEX(액션아이템!$C$3:$C$1002,MATCH(21,미완료현황!$L$6:$L$1005,0)),"")</f>
        <v/>
      </c>
      <c r="C26" s="52" t="str">
        <f>IF($B26="","",IFERROR(INDEX(액션아이템!$D$3:$D$1002,MATCH(21,미완료현황!$L$6:$L$1005,0)),""))</f>
        <v/>
      </c>
      <c r="D26" s="52" t="str">
        <f>IF($B26="","",IFERROR(INDEX(액션아이템!$B$3:$B$1002,MATCH(21,미완료현황!$L$6:$L$1005,0)),""))</f>
        <v/>
      </c>
      <c r="E26" s="63" t="str">
        <f>IF($B26="","",IFERROR(INDEX(액션아이템!$E$3:$E$1002,MATCH(21,미완료현황!$L$6:$L$1005,0)),""))</f>
        <v/>
      </c>
      <c r="F26" s="62" t="str">
        <f>IF($B26="","",IFERROR(INDEX(액션아이템!$H$3:$H$1002,MATCH(21,미완료현황!$L$6:$L$1005,0)),""))</f>
        <v/>
      </c>
      <c r="G26" s="62" t="str">
        <f>IF($B26="","",IFERROR(INDEX(액션아이템!$F$3:$F$1002,MATCH(21,미완료현황!$L$6:$L$1005,0)),""))</f>
        <v/>
      </c>
      <c r="H26" s="62" t="str">
        <f>IF($B26="","",IFERROR(INDEX(액션아이템!$I$3:$I$1002,MATCH(21,미완료현황!$L$6:$L$1005,0)),""))</f>
        <v/>
      </c>
      <c r="J26" s="57" t="b">
        <f>IF(액션아이템!$C23="",FALSE(),OR(액션아이템!$F23="진행중",액션아이템!$F23="보류"))</f>
        <v>0</v>
      </c>
      <c r="K26" s="46" t="str">
        <f>IF($J26=FALSE(),"",IF(액션아이템!$E23="",99999999,액션아이템!$E23)*100+ROW()/1000)</f>
        <v/>
      </c>
      <c r="L26" s="46" t="str">
        <f>IF($K26="","",RANK($K26,$K$6:$K$1005,1))</f>
        <v/>
      </c>
    </row>
    <row r="27" ht="15" customHeight="1" s="41">
      <c r="A27" s="62" t="str">
        <f>IF($B27="","",22)</f>
        <v/>
      </c>
      <c r="B27" s="52" t="str">
        <f>IFERROR(INDEX(액션아이템!$C$3:$C$1002,MATCH(22,미완료현황!$L$6:$L$1005,0)),"")</f>
        <v/>
      </c>
      <c r="C27" s="52" t="str">
        <f>IF($B27="","",IFERROR(INDEX(액션아이템!$D$3:$D$1002,MATCH(22,미완료현황!$L$6:$L$1005,0)),""))</f>
        <v/>
      </c>
      <c r="D27" s="52" t="str">
        <f>IF($B27="","",IFERROR(INDEX(액션아이템!$B$3:$B$1002,MATCH(22,미완료현황!$L$6:$L$1005,0)),""))</f>
        <v/>
      </c>
      <c r="E27" s="63" t="str">
        <f>IF($B27="","",IFERROR(INDEX(액션아이템!$E$3:$E$1002,MATCH(22,미완료현황!$L$6:$L$1005,0)),""))</f>
        <v/>
      </c>
      <c r="F27" s="62" t="str">
        <f>IF($B27="","",IFERROR(INDEX(액션아이템!$H$3:$H$1002,MATCH(22,미완료현황!$L$6:$L$1005,0)),""))</f>
        <v/>
      </c>
      <c r="G27" s="62" t="str">
        <f>IF($B27="","",IFERROR(INDEX(액션아이템!$F$3:$F$1002,MATCH(22,미완료현황!$L$6:$L$1005,0)),""))</f>
        <v/>
      </c>
      <c r="H27" s="62" t="str">
        <f>IF($B27="","",IFERROR(INDEX(액션아이템!$I$3:$I$1002,MATCH(22,미완료현황!$L$6:$L$1005,0)),""))</f>
        <v/>
      </c>
      <c r="J27" s="57" t="b">
        <f>IF(액션아이템!$C24="",FALSE(),OR(액션아이템!$F24="진행중",액션아이템!$F24="보류"))</f>
        <v>0</v>
      </c>
      <c r="K27" s="46" t="str">
        <f>IF($J27=FALSE(),"",IF(액션아이템!$E24="",99999999,액션아이템!$E24)*100+ROW()/1000)</f>
        <v/>
      </c>
      <c r="L27" s="46" t="str">
        <f>IF($K27="","",RANK($K27,$K$6:$K$1005,1))</f>
        <v/>
      </c>
    </row>
    <row r="28" ht="15" customHeight="1" s="41">
      <c r="A28" s="62" t="str">
        <f>IF($B28="","",23)</f>
        <v/>
      </c>
      <c r="B28" s="52" t="str">
        <f>IFERROR(INDEX(액션아이템!$C$3:$C$1002,MATCH(23,미완료현황!$L$6:$L$1005,0)),"")</f>
        <v/>
      </c>
      <c r="C28" s="52" t="str">
        <f>IF($B28="","",IFERROR(INDEX(액션아이템!$D$3:$D$1002,MATCH(23,미완료현황!$L$6:$L$1005,0)),""))</f>
        <v/>
      </c>
      <c r="D28" s="52" t="str">
        <f>IF($B28="","",IFERROR(INDEX(액션아이템!$B$3:$B$1002,MATCH(23,미완료현황!$L$6:$L$1005,0)),""))</f>
        <v/>
      </c>
      <c r="E28" s="63" t="str">
        <f>IF($B28="","",IFERROR(INDEX(액션아이템!$E$3:$E$1002,MATCH(23,미완료현황!$L$6:$L$1005,0)),""))</f>
        <v/>
      </c>
      <c r="F28" s="62" t="str">
        <f>IF($B28="","",IFERROR(INDEX(액션아이템!$H$3:$H$1002,MATCH(23,미완료현황!$L$6:$L$1005,0)),""))</f>
        <v/>
      </c>
      <c r="G28" s="62" t="str">
        <f>IF($B28="","",IFERROR(INDEX(액션아이템!$F$3:$F$1002,MATCH(23,미완료현황!$L$6:$L$1005,0)),""))</f>
        <v/>
      </c>
      <c r="H28" s="62" t="str">
        <f>IF($B28="","",IFERROR(INDEX(액션아이템!$I$3:$I$1002,MATCH(23,미완료현황!$L$6:$L$1005,0)),""))</f>
        <v/>
      </c>
      <c r="J28" s="57" t="b">
        <f>IF(액션아이템!$C25="",FALSE(),OR(액션아이템!$F25="진행중",액션아이템!$F25="보류"))</f>
        <v>0</v>
      </c>
      <c r="K28" s="46" t="str">
        <f>IF($J28=FALSE(),"",IF(액션아이템!$E25="",99999999,액션아이템!$E25)*100+ROW()/1000)</f>
        <v/>
      </c>
      <c r="L28" s="46" t="str">
        <f>IF($K28="","",RANK($K28,$K$6:$K$1005,1))</f>
        <v/>
      </c>
    </row>
    <row r="29" ht="15" customHeight="1" s="41">
      <c r="A29" s="62" t="str">
        <f>IF($B29="","",24)</f>
        <v/>
      </c>
      <c r="B29" s="52" t="str">
        <f>IFERROR(INDEX(액션아이템!$C$3:$C$1002,MATCH(24,미완료현황!$L$6:$L$1005,0)),"")</f>
        <v/>
      </c>
      <c r="C29" s="52" t="str">
        <f>IF($B29="","",IFERROR(INDEX(액션아이템!$D$3:$D$1002,MATCH(24,미완료현황!$L$6:$L$1005,0)),""))</f>
        <v/>
      </c>
      <c r="D29" s="52" t="str">
        <f>IF($B29="","",IFERROR(INDEX(액션아이템!$B$3:$B$1002,MATCH(24,미완료현황!$L$6:$L$1005,0)),""))</f>
        <v/>
      </c>
      <c r="E29" s="63" t="str">
        <f>IF($B29="","",IFERROR(INDEX(액션아이템!$E$3:$E$1002,MATCH(24,미완료현황!$L$6:$L$1005,0)),""))</f>
        <v/>
      </c>
      <c r="F29" s="62" t="str">
        <f>IF($B29="","",IFERROR(INDEX(액션아이템!$H$3:$H$1002,MATCH(24,미완료현황!$L$6:$L$1005,0)),""))</f>
        <v/>
      </c>
      <c r="G29" s="62" t="str">
        <f>IF($B29="","",IFERROR(INDEX(액션아이템!$F$3:$F$1002,MATCH(24,미완료현황!$L$6:$L$1005,0)),""))</f>
        <v/>
      </c>
      <c r="H29" s="62" t="str">
        <f>IF($B29="","",IFERROR(INDEX(액션아이템!$I$3:$I$1002,MATCH(24,미완료현황!$L$6:$L$1005,0)),""))</f>
        <v/>
      </c>
      <c r="J29" s="57" t="b">
        <f>IF(액션아이템!$C26="",FALSE(),OR(액션아이템!$F26="진행중",액션아이템!$F26="보류"))</f>
        <v>0</v>
      </c>
      <c r="K29" s="46" t="str">
        <f>IF($J29=FALSE(),"",IF(액션아이템!$E26="",99999999,액션아이템!$E26)*100+ROW()/1000)</f>
        <v/>
      </c>
      <c r="L29" s="46" t="str">
        <f>IF($K29="","",RANK($K29,$K$6:$K$1005,1))</f>
        <v/>
      </c>
    </row>
    <row r="30" ht="15" customHeight="1" s="41">
      <c r="A30" s="62" t="str">
        <f>IF($B30="","",25)</f>
        <v/>
      </c>
      <c r="B30" s="52" t="str">
        <f>IFERROR(INDEX(액션아이템!$C$3:$C$1002,MATCH(25,미완료현황!$L$6:$L$1005,0)),"")</f>
        <v/>
      </c>
      <c r="C30" s="52" t="str">
        <f>IF($B30="","",IFERROR(INDEX(액션아이템!$D$3:$D$1002,MATCH(25,미완료현황!$L$6:$L$1005,0)),""))</f>
        <v/>
      </c>
      <c r="D30" s="52" t="str">
        <f>IF($B30="","",IFERROR(INDEX(액션아이템!$B$3:$B$1002,MATCH(25,미완료현황!$L$6:$L$1005,0)),""))</f>
        <v/>
      </c>
      <c r="E30" s="63" t="str">
        <f>IF($B30="","",IFERROR(INDEX(액션아이템!$E$3:$E$1002,MATCH(25,미완료현황!$L$6:$L$1005,0)),""))</f>
        <v/>
      </c>
      <c r="F30" s="62" t="str">
        <f>IF($B30="","",IFERROR(INDEX(액션아이템!$H$3:$H$1002,MATCH(25,미완료현황!$L$6:$L$1005,0)),""))</f>
        <v/>
      </c>
      <c r="G30" s="62" t="str">
        <f>IF($B30="","",IFERROR(INDEX(액션아이템!$F$3:$F$1002,MATCH(25,미완료현황!$L$6:$L$1005,0)),""))</f>
        <v/>
      </c>
      <c r="H30" s="62" t="str">
        <f>IF($B30="","",IFERROR(INDEX(액션아이템!$I$3:$I$1002,MATCH(25,미완료현황!$L$6:$L$1005,0)),""))</f>
        <v/>
      </c>
      <c r="J30" s="57" t="b">
        <f>IF(액션아이템!$C27="",FALSE(),OR(액션아이템!$F27="진행중",액션아이템!$F27="보류"))</f>
        <v>0</v>
      </c>
      <c r="K30" s="46" t="str">
        <f>IF($J30=FALSE(),"",IF(액션아이템!$E27="",99999999,액션아이템!$E27)*100+ROW()/1000)</f>
        <v/>
      </c>
      <c r="L30" s="46" t="str">
        <f>IF($K30="","",RANK($K30,$K$6:$K$1005,1))</f>
        <v/>
      </c>
    </row>
    <row r="31" ht="15" customHeight="1" s="41">
      <c r="A31" s="62" t="str">
        <f>IF($B31="","",26)</f>
        <v/>
      </c>
      <c r="B31" s="52" t="str">
        <f>IFERROR(INDEX(액션아이템!$C$3:$C$1002,MATCH(26,미완료현황!$L$6:$L$1005,0)),"")</f>
        <v/>
      </c>
      <c r="C31" s="52" t="str">
        <f>IF($B31="","",IFERROR(INDEX(액션아이템!$D$3:$D$1002,MATCH(26,미완료현황!$L$6:$L$1005,0)),""))</f>
        <v/>
      </c>
      <c r="D31" s="52" t="str">
        <f>IF($B31="","",IFERROR(INDEX(액션아이템!$B$3:$B$1002,MATCH(26,미완료현황!$L$6:$L$1005,0)),""))</f>
        <v/>
      </c>
      <c r="E31" s="63" t="str">
        <f>IF($B31="","",IFERROR(INDEX(액션아이템!$E$3:$E$1002,MATCH(26,미완료현황!$L$6:$L$1005,0)),""))</f>
        <v/>
      </c>
      <c r="F31" s="62" t="str">
        <f>IF($B31="","",IFERROR(INDEX(액션아이템!$H$3:$H$1002,MATCH(26,미완료현황!$L$6:$L$1005,0)),""))</f>
        <v/>
      </c>
      <c r="G31" s="62" t="str">
        <f>IF($B31="","",IFERROR(INDEX(액션아이템!$F$3:$F$1002,MATCH(26,미완료현황!$L$6:$L$1005,0)),""))</f>
        <v/>
      </c>
      <c r="H31" s="62" t="str">
        <f>IF($B31="","",IFERROR(INDEX(액션아이템!$I$3:$I$1002,MATCH(26,미완료현황!$L$6:$L$1005,0)),""))</f>
        <v/>
      </c>
      <c r="J31" s="57" t="b">
        <f>IF(액션아이템!$C28="",FALSE(),OR(액션아이템!$F28="진행중",액션아이템!$F28="보류"))</f>
        <v>0</v>
      </c>
      <c r="K31" s="46" t="str">
        <f>IF($J31=FALSE(),"",IF(액션아이템!$E28="",99999999,액션아이템!$E28)*100+ROW()/1000)</f>
        <v/>
      </c>
      <c r="L31" s="46" t="str">
        <f>IF($K31="","",RANK($K31,$K$6:$K$1005,1))</f>
        <v/>
      </c>
    </row>
    <row r="32" ht="15" customHeight="1" s="41">
      <c r="A32" s="62" t="str">
        <f>IF($B32="","",27)</f>
        <v/>
      </c>
      <c r="B32" s="52" t="str">
        <f>IFERROR(INDEX(액션아이템!$C$3:$C$1002,MATCH(27,미완료현황!$L$6:$L$1005,0)),"")</f>
        <v/>
      </c>
      <c r="C32" s="52" t="str">
        <f>IF($B32="","",IFERROR(INDEX(액션아이템!$D$3:$D$1002,MATCH(27,미완료현황!$L$6:$L$1005,0)),""))</f>
        <v/>
      </c>
      <c r="D32" s="52" t="str">
        <f>IF($B32="","",IFERROR(INDEX(액션아이템!$B$3:$B$1002,MATCH(27,미완료현황!$L$6:$L$1005,0)),""))</f>
        <v/>
      </c>
      <c r="E32" s="63" t="str">
        <f>IF($B32="","",IFERROR(INDEX(액션아이템!$E$3:$E$1002,MATCH(27,미완료현황!$L$6:$L$1005,0)),""))</f>
        <v/>
      </c>
      <c r="F32" s="62" t="str">
        <f>IF($B32="","",IFERROR(INDEX(액션아이템!$H$3:$H$1002,MATCH(27,미완료현황!$L$6:$L$1005,0)),""))</f>
        <v/>
      </c>
      <c r="G32" s="62" t="str">
        <f>IF($B32="","",IFERROR(INDEX(액션아이템!$F$3:$F$1002,MATCH(27,미완료현황!$L$6:$L$1005,0)),""))</f>
        <v/>
      </c>
      <c r="H32" s="62" t="str">
        <f>IF($B32="","",IFERROR(INDEX(액션아이템!$I$3:$I$1002,MATCH(27,미완료현황!$L$6:$L$1005,0)),""))</f>
        <v/>
      </c>
      <c r="J32" s="57" t="b">
        <f>IF(액션아이템!$C29="",FALSE(),OR(액션아이템!$F29="진행중",액션아이템!$F29="보류"))</f>
        <v>0</v>
      </c>
      <c r="K32" s="46" t="str">
        <f>IF($J32=FALSE(),"",IF(액션아이템!$E29="",99999999,액션아이템!$E29)*100+ROW()/1000)</f>
        <v/>
      </c>
      <c r="L32" s="46" t="str">
        <f>IF($K32="","",RANK($K32,$K$6:$K$1005,1))</f>
        <v/>
      </c>
    </row>
    <row r="33" ht="15" customHeight="1" s="41">
      <c r="A33" s="62" t="str">
        <f>IF($B33="","",28)</f>
        <v/>
      </c>
      <c r="B33" s="52" t="str">
        <f>IFERROR(INDEX(액션아이템!$C$3:$C$1002,MATCH(28,미완료현황!$L$6:$L$1005,0)),"")</f>
        <v/>
      </c>
      <c r="C33" s="52" t="str">
        <f>IF($B33="","",IFERROR(INDEX(액션아이템!$D$3:$D$1002,MATCH(28,미완료현황!$L$6:$L$1005,0)),""))</f>
        <v/>
      </c>
      <c r="D33" s="52" t="str">
        <f>IF($B33="","",IFERROR(INDEX(액션아이템!$B$3:$B$1002,MATCH(28,미완료현황!$L$6:$L$1005,0)),""))</f>
        <v/>
      </c>
      <c r="E33" s="63" t="str">
        <f>IF($B33="","",IFERROR(INDEX(액션아이템!$E$3:$E$1002,MATCH(28,미완료현황!$L$6:$L$1005,0)),""))</f>
        <v/>
      </c>
      <c r="F33" s="62" t="str">
        <f>IF($B33="","",IFERROR(INDEX(액션아이템!$H$3:$H$1002,MATCH(28,미완료현황!$L$6:$L$1005,0)),""))</f>
        <v/>
      </c>
      <c r="G33" s="62" t="str">
        <f>IF($B33="","",IFERROR(INDEX(액션아이템!$F$3:$F$1002,MATCH(28,미완료현황!$L$6:$L$1005,0)),""))</f>
        <v/>
      </c>
      <c r="H33" s="62" t="str">
        <f>IF($B33="","",IFERROR(INDEX(액션아이템!$I$3:$I$1002,MATCH(28,미완료현황!$L$6:$L$1005,0)),""))</f>
        <v/>
      </c>
      <c r="J33" s="57" t="b">
        <f>IF(액션아이템!$C30="",FALSE(),OR(액션아이템!$F30="진행중",액션아이템!$F30="보류"))</f>
        <v>0</v>
      </c>
      <c r="K33" s="46" t="str">
        <f>IF($J33=FALSE(),"",IF(액션아이템!$E30="",99999999,액션아이템!$E30)*100+ROW()/1000)</f>
        <v/>
      </c>
      <c r="L33" s="46" t="str">
        <f>IF($K33="","",RANK($K33,$K$6:$K$1005,1))</f>
        <v/>
      </c>
    </row>
    <row r="34" ht="15" customHeight="1" s="41">
      <c r="A34" s="62" t="str">
        <f>IF($B34="","",29)</f>
        <v/>
      </c>
      <c r="B34" s="52" t="str">
        <f>IFERROR(INDEX(액션아이템!$C$3:$C$1002,MATCH(29,미완료현황!$L$6:$L$1005,0)),"")</f>
        <v/>
      </c>
      <c r="C34" s="52" t="str">
        <f>IF($B34="","",IFERROR(INDEX(액션아이템!$D$3:$D$1002,MATCH(29,미완료현황!$L$6:$L$1005,0)),""))</f>
        <v/>
      </c>
      <c r="D34" s="52" t="str">
        <f>IF($B34="","",IFERROR(INDEX(액션아이템!$B$3:$B$1002,MATCH(29,미완료현황!$L$6:$L$1005,0)),""))</f>
        <v/>
      </c>
      <c r="E34" s="63" t="str">
        <f>IF($B34="","",IFERROR(INDEX(액션아이템!$E$3:$E$1002,MATCH(29,미완료현황!$L$6:$L$1005,0)),""))</f>
        <v/>
      </c>
      <c r="F34" s="62" t="str">
        <f>IF($B34="","",IFERROR(INDEX(액션아이템!$H$3:$H$1002,MATCH(29,미완료현황!$L$6:$L$1005,0)),""))</f>
        <v/>
      </c>
      <c r="G34" s="62" t="str">
        <f>IF($B34="","",IFERROR(INDEX(액션아이템!$F$3:$F$1002,MATCH(29,미완료현황!$L$6:$L$1005,0)),""))</f>
        <v/>
      </c>
      <c r="H34" s="62" t="str">
        <f>IF($B34="","",IFERROR(INDEX(액션아이템!$I$3:$I$1002,MATCH(29,미완료현황!$L$6:$L$1005,0)),""))</f>
        <v/>
      </c>
      <c r="J34" s="57" t="b">
        <f>IF(액션아이템!$C31="",FALSE(),OR(액션아이템!$F31="진행중",액션아이템!$F31="보류"))</f>
        <v>0</v>
      </c>
      <c r="K34" s="46" t="str">
        <f>IF($J34=FALSE(),"",IF(액션아이템!$E31="",99999999,액션아이템!$E31)*100+ROW()/1000)</f>
        <v/>
      </c>
      <c r="L34" s="46" t="str">
        <f>IF($K34="","",RANK($K34,$K$6:$K$1005,1))</f>
        <v/>
      </c>
    </row>
    <row r="35" ht="15" customHeight="1" s="41">
      <c r="A35" s="62" t="str">
        <f>IF($B35="","",30)</f>
        <v/>
      </c>
      <c r="B35" s="52" t="str">
        <f>IFERROR(INDEX(액션아이템!$C$3:$C$1002,MATCH(30,미완료현황!$L$6:$L$1005,0)),"")</f>
        <v/>
      </c>
      <c r="C35" s="52" t="str">
        <f>IF($B35="","",IFERROR(INDEX(액션아이템!$D$3:$D$1002,MATCH(30,미완료현황!$L$6:$L$1005,0)),""))</f>
        <v/>
      </c>
      <c r="D35" s="52" t="str">
        <f>IF($B35="","",IFERROR(INDEX(액션아이템!$B$3:$B$1002,MATCH(30,미완료현황!$L$6:$L$1005,0)),""))</f>
        <v/>
      </c>
      <c r="E35" s="63" t="str">
        <f>IF($B35="","",IFERROR(INDEX(액션아이템!$E$3:$E$1002,MATCH(30,미완료현황!$L$6:$L$1005,0)),""))</f>
        <v/>
      </c>
      <c r="F35" s="62" t="str">
        <f>IF($B35="","",IFERROR(INDEX(액션아이템!$H$3:$H$1002,MATCH(30,미완료현황!$L$6:$L$1005,0)),""))</f>
        <v/>
      </c>
      <c r="G35" s="62" t="str">
        <f>IF($B35="","",IFERROR(INDEX(액션아이템!$F$3:$F$1002,MATCH(30,미완료현황!$L$6:$L$1005,0)),""))</f>
        <v/>
      </c>
      <c r="H35" s="62" t="str">
        <f>IF($B35="","",IFERROR(INDEX(액션아이템!$I$3:$I$1002,MATCH(30,미완료현황!$L$6:$L$1005,0)),""))</f>
        <v/>
      </c>
      <c r="J35" s="57" t="b">
        <f>IF(액션아이템!$C32="",FALSE(),OR(액션아이템!$F32="진행중",액션아이템!$F32="보류"))</f>
        <v>0</v>
      </c>
      <c r="K35" s="46" t="str">
        <f>IF($J35=FALSE(),"",IF(액션아이템!$E32="",99999999,액션아이템!$E32)*100+ROW()/1000)</f>
        <v/>
      </c>
      <c r="L35" s="46" t="str">
        <f>IF($K35="","",RANK($K35,$K$6:$K$1005,1))</f>
        <v/>
      </c>
    </row>
    <row r="36" ht="15" customHeight="1" s="41">
      <c r="A36" s="62" t="str">
        <f>IF($B36="","",31)</f>
        <v/>
      </c>
      <c r="B36" s="52" t="str">
        <f>IFERROR(INDEX(액션아이템!$C$3:$C$1002,MATCH(31,미완료현황!$L$6:$L$1005,0)),"")</f>
        <v/>
      </c>
      <c r="C36" s="52" t="str">
        <f>IF($B36="","",IFERROR(INDEX(액션아이템!$D$3:$D$1002,MATCH(31,미완료현황!$L$6:$L$1005,0)),""))</f>
        <v/>
      </c>
      <c r="D36" s="52" t="str">
        <f>IF($B36="","",IFERROR(INDEX(액션아이템!$B$3:$B$1002,MATCH(31,미완료현황!$L$6:$L$1005,0)),""))</f>
        <v/>
      </c>
      <c r="E36" s="63" t="str">
        <f>IF($B36="","",IFERROR(INDEX(액션아이템!$E$3:$E$1002,MATCH(31,미완료현황!$L$6:$L$1005,0)),""))</f>
        <v/>
      </c>
      <c r="F36" s="62" t="str">
        <f>IF($B36="","",IFERROR(INDEX(액션아이템!$H$3:$H$1002,MATCH(31,미완료현황!$L$6:$L$1005,0)),""))</f>
        <v/>
      </c>
      <c r="G36" s="62" t="str">
        <f>IF($B36="","",IFERROR(INDEX(액션아이템!$F$3:$F$1002,MATCH(31,미완료현황!$L$6:$L$1005,0)),""))</f>
        <v/>
      </c>
      <c r="H36" s="62" t="str">
        <f>IF($B36="","",IFERROR(INDEX(액션아이템!$I$3:$I$1002,MATCH(31,미완료현황!$L$6:$L$1005,0)),""))</f>
        <v/>
      </c>
      <c r="J36" s="57" t="b">
        <f>IF(액션아이템!$C33="",FALSE(),OR(액션아이템!$F33="진행중",액션아이템!$F33="보류"))</f>
        <v>0</v>
      </c>
      <c r="K36" s="46" t="str">
        <f>IF($J36=FALSE(),"",IF(액션아이템!$E33="",99999999,액션아이템!$E33)*100+ROW()/1000)</f>
        <v/>
      </c>
      <c r="L36" s="46" t="str">
        <f>IF($K36="","",RANK($K36,$K$6:$K$1005,1))</f>
        <v/>
      </c>
    </row>
    <row r="37" ht="15" customHeight="1" s="41">
      <c r="A37" s="62" t="str">
        <f>IF($B37="","",32)</f>
        <v/>
      </c>
      <c r="B37" s="52" t="str">
        <f>IFERROR(INDEX(액션아이템!$C$3:$C$1002,MATCH(32,미완료현황!$L$6:$L$1005,0)),"")</f>
        <v/>
      </c>
      <c r="C37" s="52" t="str">
        <f>IF($B37="","",IFERROR(INDEX(액션아이템!$D$3:$D$1002,MATCH(32,미완료현황!$L$6:$L$1005,0)),""))</f>
        <v/>
      </c>
      <c r="D37" s="52" t="str">
        <f>IF($B37="","",IFERROR(INDEX(액션아이템!$B$3:$B$1002,MATCH(32,미완료현황!$L$6:$L$1005,0)),""))</f>
        <v/>
      </c>
      <c r="E37" s="63" t="str">
        <f>IF($B37="","",IFERROR(INDEX(액션아이템!$E$3:$E$1002,MATCH(32,미완료현황!$L$6:$L$1005,0)),""))</f>
        <v/>
      </c>
      <c r="F37" s="62" t="str">
        <f>IF($B37="","",IFERROR(INDEX(액션아이템!$H$3:$H$1002,MATCH(32,미완료현황!$L$6:$L$1005,0)),""))</f>
        <v/>
      </c>
      <c r="G37" s="62" t="str">
        <f>IF($B37="","",IFERROR(INDEX(액션아이템!$F$3:$F$1002,MATCH(32,미완료현황!$L$6:$L$1005,0)),""))</f>
        <v/>
      </c>
      <c r="H37" s="62" t="str">
        <f>IF($B37="","",IFERROR(INDEX(액션아이템!$I$3:$I$1002,MATCH(32,미완료현황!$L$6:$L$1005,0)),""))</f>
        <v/>
      </c>
      <c r="J37" s="57" t="b">
        <f>IF(액션아이템!$C34="",FALSE(),OR(액션아이템!$F34="진행중",액션아이템!$F34="보류"))</f>
        <v>0</v>
      </c>
      <c r="K37" s="46" t="str">
        <f>IF($J37=FALSE(),"",IF(액션아이템!$E34="",99999999,액션아이템!$E34)*100+ROW()/1000)</f>
        <v/>
      </c>
      <c r="L37" s="46" t="str">
        <f>IF($K37="","",RANK($K37,$K$6:$K$1005,1))</f>
        <v/>
      </c>
    </row>
    <row r="38" ht="15" customHeight="1" s="41">
      <c r="A38" s="62" t="str">
        <f>IF($B38="","",33)</f>
        <v/>
      </c>
      <c r="B38" s="52" t="str">
        <f>IFERROR(INDEX(액션아이템!$C$3:$C$1002,MATCH(33,미완료현황!$L$6:$L$1005,0)),"")</f>
        <v/>
      </c>
      <c r="C38" s="52" t="str">
        <f>IF($B38="","",IFERROR(INDEX(액션아이템!$D$3:$D$1002,MATCH(33,미완료현황!$L$6:$L$1005,0)),""))</f>
        <v/>
      </c>
      <c r="D38" s="52" t="str">
        <f>IF($B38="","",IFERROR(INDEX(액션아이템!$B$3:$B$1002,MATCH(33,미완료현황!$L$6:$L$1005,0)),""))</f>
        <v/>
      </c>
      <c r="E38" s="63" t="str">
        <f>IF($B38="","",IFERROR(INDEX(액션아이템!$E$3:$E$1002,MATCH(33,미완료현황!$L$6:$L$1005,0)),""))</f>
        <v/>
      </c>
      <c r="F38" s="62" t="str">
        <f>IF($B38="","",IFERROR(INDEX(액션아이템!$H$3:$H$1002,MATCH(33,미완료현황!$L$6:$L$1005,0)),""))</f>
        <v/>
      </c>
      <c r="G38" s="62" t="str">
        <f>IF($B38="","",IFERROR(INDEX(액션아이템!$F$3:$F$1002,MATCH(33,미완료현황!$L$6:$L$1005,0)),""))</f>
        <v/>
      </c>
      <c r="H38" s="62" t="str">
        <f>IF($B38="","",IFERROR(INDEX(액션아이템!$I$3:$I$1002,MATCH(33,미완료현황!$L$6:$L$1005,0)),""))</f>
        <v/>
      </c>
      <c r="J38" s="57" t="b">
        <f>IF(액션아이템!$C35="",FALSE(),OR(액션아이템!$F35="진행중",액션아이템!$F35="보류"))</f>
        <v>0</v>
      </c>
      <c r="K38" s="46" t="str">
        <f>IF($J38=FALSE(),"",IF(액션아이템!$E35="",99999999,액션아이템!$E35)*100+ROW()/1000)</f>
        <v/>
      </c>
      <c r="L38" s="46" t="str">
        <f>IF($K38="","",RANK($K38,$K$6:$K$1005,1))</f>
        <v/>
      </c>
    </row>
    <row r="39" ht="15" customHeight="1" s="41">
      <c r="A39" s="62" t="str">
        <f>IF($B39="","",34)</f>
        <v/>
      </c>
      <c r="B39" s="52" t="str">
        <f>IFERROR(INDEX(액션아이템!$C$3:$C$1002,MATCH(34,미완료현황!$L$6:$L$1005,0)),"")</f>
        <v/>
      </c>
      <c r="C39" s="52" t="str">
        <f>IF($B39="","",IFERROR(INDEX(액션아이템!$D$3:$D$1002,MATCH(34,미완료현황!$L$6:$L$1005,0)),""))</f>
        <v/>
      </c>
      <c r="D39" s="52" t="str">
        <f>IF($B39="","",IFERROR(INDEX(액션아이템!$B$3:$B$1002,MATCH(34,미완료현황!$L$6:$L$1005,0)),""))</f>
        <v/>
      </c>
      <c r="E39" s="63" t="str">
        <f>IF($B39="","",IFERROR(INDEX(액션아이템!$E$3:$E$1002,MATCH(34,미완료현황!$L$6:$L$1005,0)),""))</f>
        <v/>
      </c>
      <c r="F39" s="62" t="str">
        <f>IF($B39="","",IFERROR(INDEX(액션아이템!$H$3:$H$1002,MATCH(34,미완료현황!$L$6:$L$1005,0)),""))</f>
        <v/>
      </c>
      <c r="G39" s="62" t="str">
        <f>IF($B39="","",IFERROR(INDEX(액션아이템!$F$3:$F$1002,MATCH(34,미완료현황!$L$6:$L$1005,0)),""))</f>
        <v/>
      </c>
      <c r="H39" s="62" t="str">
        <f>IF($B39="","",IFERROR(INDEX(액션아이템!$I$3:$I$1002,MATCH(34,미완료현황!$L$6:$L$1005,0)),""))</f>
        <v/>
      </c>
      <c r="J39" s="57" t="b">
        <f>IF(액션아이템!$C36="",FALSE(),OR(액션아이템!$F36="진행중",액션아이템!$F36="보류"))</f>
        <v>0</v>
      </c>
      <c r="K39" s="46" t="str">
        <f>IF($J39=FALSE(),"",IF(액션아이템!$E36="",99999999,액션아이템!$E36)*100+ROW()/1000)</f>
        <v/>
      </c>
      <c r="L39" s="46" t="str">
        <f>IF($K39="","",RANK($K39,$K$6:$K$1005,1))</f>
        <v/>
      </c>
    </row>
    <row r="40" ht="15" customHeight="1" s="41">
      <c r="A40" s="62" t="str">
        <f>IF($B40="","",35)</f>
        <v/>
      </c>
      <c r="B40" s="52" t="str">
        <f>IFERROR(INDEX(액션아이템!$C$3:$C$1002,MATCH(35,미완료현황!$L$6:$L$1005,0)),"")</f>
        <v/>
      </c>
      <c r="C40" s="52" t="str">
        <f>IF($B40="","",IFERROR(INDEX(액션아이템!$D$3:$D$1002,MATCH(35,미완료현황!$L$6:$L$1005,0)),""))</f>
        <v/>
      </c>
      <c r="D40" s="52" t="str">
        <f>IF($B40="","",IFERROR(INDEX(액션아이템!$B$3:$B$1002,MATCH(35,미완료현황!$L$6:$L$1005,0)),""))</f>
        <v/>
      </c>
      <c r="E40" s="63" t="str">
        <f>IF($B40="","",IFERROR(INDEX(액션아이템!$E$3:$E$1002,MATCH(35,미완료현황!$L$6:$L$1005,0)),""))</f>
        <v/>
      </c>
      <c r="F40" s="62" t="str">
        <f>IF($B40="","",IFERROR(INDEX(액션아이템!$H$3:$H$1002,MATCH(35,미완료현황!$L$6:$L$1005,0)),""))</f>
        <v/>
      </c>
      <c r="G40" s="62" t="str">
        <f>IF($B40="","",IFERROR(INDEX(액션아이템!$F$3:$F$1002,MATCH(35,미완료현황!$L$6:$L$1005,0)),""))</f>
        <v/>
      </c>
      <c r="H40" s="62" t="str">
        <f>IF($B40="","",IFERROR(INDEX(액션아이템!$I$3:$I$1002,MATCH(35,미완료현황!$L$6:$L$1005,0)),""))</f>
        <v/>
      </c>
      <c r="J40" s="57" t="b">
        <f>IF(액션아이템!$C37="",FALSE(),OR(액션아이템!$F37="진행중",액션아이템!$F37="보류"))</f>
        <v>0</v>
      </c>
      <c r="K40" s="46" t="str">
        <f>IF($J40=FALSE(),"",IF(액션아이템!$E37="",99999999,액션아이템!$E37)*100+ROW()/1000)</f>
        <v/>
      </c>
      <c r="L40" s="46" t="str">
        <f>IF($K40="","",RANK($K40,$K$6:$K$1005,1))</f>
        <v/>
      </c>
    </row>
    <row r="41" ht="15" customHeight="1" s="41">
      <c r="A41" s="62" t="str">
        <f>IF($B41="","",36)</f>
        <v/>
      </c>
      <c r="B41" s="52" t="str">
        <f>IFERROR(INDEX(액션아이템!$C$3:$C$1002,MATCH(36,미완료현황!$L$6:$L$1005,0)),"")</f>
        <v/>
      </c>
      <c r="C41" s="52" t="str">
        <f>IF($B41="","",IFERROR(INDEX(액션아이템!$D$3:$D$1002,MATCH(36,미완료현황!$L$6:$L$1005,0)),""))</f>
        <v/>
      </c>
      <c r="D41" s="52" t="str">
        <f>IF($B41="","",IFERROR(INDEX(액션아이템!$B$3:$B$1002,MATCH(36,미완료현황!$L$6:$L$1005,0)),""))</f>
        <v/>
      </c>
      <c r="E41" s="63" t="str">
        <f>IF($B41="","",IFERROR(INDEX(액션아이템!$E$3:$E$1002,MATCH(36,미완료현황!$L$6:$L$1005,0)),""))</f>
        <v/>
      </c>
      <c r="F41" s="62" t="str">
        <f>IF($B41="","",IFERROR(INDEX(액션아이템!$H$3:$H$1002,MATCH(36,미완료현황!$L$6:$L$1005,0)),""))</f>
        <v/>
      </c>
      <c r="G41" s="62" t="str">
        <f>IF($B41="","",IFERROR(INDEX(액션아이템!$F$3:$F$1002,MATCH(36,미완료현황!$L$6:$L$1005,0)),""))</f>
        <v/>
      </c>
      <c r="H41" s="62" t="str">
        <f>IF($B41="","",IFERROR(INDEX(액션아이템!$I$3:$I$1002,MATCH(36,미완료현황!$L$6:$L$1005,0)),""))</f>
        <v/>
      </c>
      <c r="J41" s="57" t="b">
        <f>IF(액션아이템!$C38="",FALSE(),OR(액션아이템!$F38="진행중",액션아이템!$F38="보류"))</f>
        <v>0</v>
      </c>
      <c r="K41" s="46" t="str">
        <f>IF($J41=FALSE(),"",IF(액션아이템!$E38="",99999999,액션아이템!$E38)*100+ROW()/1000)</f>
        <v/>
      </c>
      <c r="L41" s="46" t="str">
        <f>IF($K41="","",RANK($K41,$K$6:$K$1005,1))</f>
        <v/>
      </c>
    </row>
    <row r="42" ht="15" customHeight="1" s="41">
      <c r="A42" s="62" t="str">
        <f>IF($B42="","",37)</f>
        <v/>
      </c>
      <c r="B42" s="52" t="str">
        <f>IFERROR(INDEX(액션아이템!$C$3:$C$1002,MATCH(37,미완료현황!$L$6:$L$1005,0)),"")</f>
        <v/>
      </c>
      <c r="C42" s="52" t="str">
        <f>IF($B42="","",IFERROR(INDEX(액션아이템!$D$3:$D$1002,MATCH(37,미완료현황!$L$6:$L$1005,0)),""))</f>
        <v/>
      </c>
      <c r="D42" s="52" t="str">
        <f>IF($B42="","",IFERROR(INDEX(액션아이템!$B$3:$B$1002,MATCH(37,미완료현황!$L$6:$L$1005,0)),""))</f>
        <v/>
      </c>
      <c r="E42" s="63" t="str">
        <f>IF($B42="","",IFERROR(INDEX(액션아이템!$E$3:$E$1002,MATCH(37,미완료현황!$L$6:$L$1005,0)),""))</f>
        <v/>
      </c>
      <c r="F42" s="62" t="str">
        <f>IF($B42="","",IFERROR(INDEX(액션아이템!$H$3:$H$1002,MATCH(37,미완료현황!$L$6:$L$1005,0)),""))</f>
        <v/>
      </c>
      <c r="G42" s="62" t="str">
        <f>IF($B42="","",IFERROR(INDEX(액션아이템!$F$3:$F$1002,MATCH(37,미완료현황!$L$6:$L$1005,0)),""))</f>
        <v/>
      </c>
      <c r="H42" s="62" t="str">
        <f>IF($B42="","",IFERROR(INDEX(액션아이템!$I$3:$I$1002,MATCH(37,미완료현황!$L$6:$L$1005,0)),""))</f>
        <v/>
      </c>
      <c r="J42" s="57" t="b">
        <f>IF(액션아이템!$C39="",FALSE(),OR(액션아이템!$F39="진행중",액션아이템!$F39="보류"))</f>
        <v>0</v>
      </c>
      <c r="K42" s="46" t="str">
        <f>IF($J42=FALSE(),"",IF(액션아이템!$E39="",99999999,액션아이템!$E39)*100+ROW()/1000)</f>
        <v/>
      </c>
      <c r="L42" s="46" t="str">
        <f>IF($K42="","",RANK($K42,$K$6:$K$1005,1))</f>
        <v/>
      </c>
    </row>
    <row r="43" ht="15" customHeight="1" s="41">
      <c r="A43" s="62" t="str">
        <f>IF($B43="","",38)</f>
        <v/>
      </c>
      <c r="B43" s="52" t="str">
        <f>IFERROR(INDEX(액션아이템!$C$3:$C$1002,MATCH(38,미완료현황!$L$6:$L$1005,0)),"")</f>
        <v/>
      </c>
      <c r="C43" s="52" t="str">
        <f>IF($B43="","",IFERROR(INDEX(액션아이템!$D$3:$D$1002,MATCH(38,미완료현황!$L$6:$L$1005,0)),""))</f>
        <v/>
      </c>
      <c r="D43" s="52" t="str">
        <f>IF($B43="","",IFERROR(INDEX(액션아이템!$B$3:$B$1002,MATCH(38,미완료현황!$L$6:$L$1005,0)),""))</f>
        <v/>
      </c>
      <c r="E43" s="63" t="str">
        <f>IF($B43="","",IFERROR(INDEX(액션아이템!$E$3:$E$1002,MATCH(38,미완료현황!$L$6:$L$1005,0)),""))</f>
        <v/>
      </c>
      <c r="F43" s="62" t="str">
        <f>IF($B43="","",IFERROR(INDEX(액션아이템!$H$3:$H$1002,MATCH(38,미완료현황!$L$6:$L$1005,0)),""))</f>
        <v/>
      </c>
      <c r="G43" s="62" t="str">
        <f>IF($B43="","",IFERROR(INDEX(액션아이템!$F$3:$F$1002,MATCH(38,미완료현황!$L$6:$L$1005,0)),""))</f>
        <v/>
      </c>
      <c r="H43" s="62" t="str">
        <f>IF($B43="","",IFERROR(INDEX(액션아이템!$I$3:$I$1002,MATCH(38,미완료현황!$L$6:$L$1005,0)),""))</f>
        <v/>
      </c>
      <c r="J43" s="57" t="b">
        <f>IF(액션아이템!$C40="",FALSE(),OR(액션아이템!$F40="진행중",액션아이템!$F40="보류"))</f>
        <v>0</v>
      </c>
      <c r="K43" s="46" t="str">
        <f>IF($J43=FALSE(),"",IF(액션아이템!$E40="",99999999,액션아이템!$E40)*100+ROW()/1000)</f>
        <v/>
      </c>
      <c r="L43" s="46" t="str">
        <f>IF($K43="","",RANK($K43,$K$6:$K$1005,1))</f>
        <v/>
      </c>
    </row>
    <row r="44" ht="15" customHeight="1" s="41">
      <c r="A44" s="62" t="str">
        <f>IF($B44="","",39)</f>
        <v/>
      </c>
      <c r="B44" s="52" t="str">
        <f>IFERROR(INDEX(액션아이템!$C$3:$C$1002,MATCH(39,미완료현황!$L$6:$L$1005,0)),"")</f>
        <v/>
      </c>
      <c r="C44" s="52" t="str">
        <f>IF($B44="","",IFERROR(INDEX(액션아이템!$D$3:$D$1002,MATCH(39,미완료현황!$L$6:$L$1005,0)),""))</f>
        <v/>
      </c>
      <c r="D44" s="52" t="str">
        <f>IF($B44="","",IFERROR(INDEX(액션아이템!$B$3:$B$1002,MATCH(39,미완료현황!$L$6:$L$1005,0)),""))</f>
        <v/>
      </c>
      <c r="E44" s="63" t="str">
        <f>IF($B44="","",IFERROR(INDEX(액션아이템!$E$3:$E$1002,MATCH(39,미완료현황!$L$6:$L$1005,0)),""))</f>
        <v/>
      </c>
      <c r="F44" s="62" t="str">
        <f>IF($B44="","",IFERROR(INDEX(액션아이템!$H$3:$H$1002,MATCH(39,미완료현황!$L$6:$L$1005,0)),""))</f>
        <v/>
      </c>
      <c r="G44" s="62" t="str">
        <f>IF($B44="","",IFERROR(INDEX(액션아이템!$F$3:$F$1002,MATCH(39,미완료현황!$L$6:$L$1005,0)),""))</f>
        <v/>
      </c>
      <c r="H44" s="62" t="str">
        <f>IF($B44="","",IFERROR(INDEX(액션아이템!$I$3:$I$1002,MATCH(39,미완료현황!$L$6:$L$1005,0)),""))</f>
        <v/>
      </c>
      <c r="J44" s="57" t="b">
        <f>IF(액션아이템!$C41="",FALSE(),OR(액션아이템!$F41="진행중",액션아이템!$F41="보류"))</f>
        <v>0</v>
      </c>
      <c r="K44" s="46" t="str">
        <f>IF($J44=FALSE(),"",IF(액션아이템!$E41="",99999999,액션아이템!$E41)*100+ROW()/1000)</f>
        <v/>
      </c>
      <c r="L44" s="46" t="str">
        <f>IF($K44="","",RANK($K44,$K$6:$K$1005,1))</f>
        <v/>
      </c>
    </row>
    <row r="45" ht="15" customHeight="1" s="41">
      <c r="A45" s="62" t="str">
        <f>IF($B45="","",40)</f>
        <v/>
      </c>
      <c r="B45" s="52" t="str">
        <f>IFERROR(INDEX(액션아이템!$C$3:$C$1002,MATCH(40,미완료현황!$L$6:$L$1005,0)),"")</f>
        <v/>
      </c>
      <c r="C45" s="52" t="str">
        <f>IF($B45="","",IFERROR(INDEX(액션아이템!$D$3:$D$1002,MATCH(40,미완료현황!$L$6:$L$1005,0)),""))</f>
        <v/>
      </c>
      <c r="D45" s="52" t="str">
        <f>IF($B45="","",IFERROR(INDEX(액션아이템!$B$3:$B$1002,MATCH(40,미완료현황!$L$6:$L$1005,0)),""))</f>
        <v/>
      </c>
      <c r="E45" s="63" t="str">
        <f>IF($B45="","",IFERROR(INDEX(액션아이템!$E$3:$E$1002,MATCH(40,미완료현황!$L$6:$L$1005,0)),""))</f>
        <v/>
      </c>
      <c r="F45" s="62" t="str">
        <f>IF($B45="","",IFERROR(INDEX(액션아이템!$H$3:$H$1002,MATCH(40,미완료현황!$L$6:$L$1005,0)),""))</f>
        <v/>
      </c>
      <c r="G45" s="62" t="str">
        <f>IF($B45="","",IFERROR(INDEX(액션아이템!$F$3:$F$1002,MATCH(40,미완료현황!$L$6:$L$1005,0)),""))</f>
        <v/>
      </c>
      <c r="H45" s="62" t="str">
        <f>IF($B45="","",IFERROR(INDEX(액션아이템!$I$3:$I$1002,MATCH(40,미완료현황!$L$6:$L$1005,0)),""))</f>
        <v/>
      </c>
      <c r="J45" s="57" t="b">
        <f>IF(액션아이템!$C42="",FALSE(),OR(액션아이템!$F42="진행중",액션아이템!$F42="보류"))</f>
        <v>0</v>
      </c>
      <c r="K45" s="46" t="str">
        <f>IF($J45=FALSE(),"",IF(액션아이템!$E42="",99999999,액션아이템!$E42)*100+ROW()/1000)</f>
        <v/>
      </c>
      <c r="L45" s="46" t="str">
        <f>IF($K45="","",RANK($K45,$K$6:$K$1005,1))</f>
        <v/>
      </c>
    </row>
    <row r="46" ht="15" customHeight="1" s="41">
      <c r="A46" s="62" t="str">
        <f>IF($B46="","",41)</f>
        <v/>
      </c>
      <c r="B46" s="52" t="str">
        <f>IFERROR(INDEX(액션아이템!$C$3:$C$1002,MATCH(41,미완료현황!$L$6:$L$1005,0)),"")</f>
        <v/>
      </c>
      <c r="C46" s="52" t="str">
        <f>IF($B46="","",IFERROR(INDEX(액션아이템!$D$3:$D$1002,MATCH(41,미완료현황!$L$6:$L$1005,0)),""))</f>
        <v/>
      </c>
      <c r="D46" s="52" t="str">
        <f>IF($B46="","",IFERROR(INDEX(액션아이템!$B$3:$B$1002,MATCH(41,미완료현황!$L$6:$L$1005,0)),""))</f>
        <v/>
      </c>
      <c r="E46" s="63" t="str">
        <f>IF($B46="","",IFERROR(INDEX(액션아이템!$E$3:$E$1002,MATCH(41,미완료현황!$L$6:$L$1005,0)),""))</f>
        <v/>
      </c>
      <c r="F46" s="62" t="str">
        <f>IF($B46="","",IFERROR(INDEX(액션아이템!$H$3:$H$1002,MATCH(41,미완료현황!$L$6:$L$1005,0)),""))</f>
        <v/>
      </c>
      <c r="G46" s="62" t="str">
        <f>IF($B46="","",IFERROR(INDEX(액션아이템!$F$3:$F$1002,MATCH(41,미완료현황!$L$6:$L$1005,0)),""))</f>
        <v/>
      </c>
      <c r="H46" s="62" t="str">
        <f>IF($B46="","",IFERROR(INDEX(액션아이템!$I$3:$I$1002,MATCH(41,미완료현황!$L$6:$L$1005,0)),""))</f>
        <v/>
      </c>
      <c r="J46" s="57" t="b">
        <f>IF(액션아이템!$C43="",FALSE(),OR(액션아이템!$F43="진행중",액션아이템!$F43="보류"))</f>
        <v>0</v>
      </c>
      <c r="K46" s="46" t="str">
        <f>IF($J46=FALSE(),"",IF(액션아이템!$E43="",99999999,액션아이템!$E43)*100+ROW()/1000)</f>
        <v/>
      </c>
      <c r="L46" s="46" t="str">
        <f>IF($K46="","",RANK($K46,$K$6:$K$1005,1))</f>
        <v/>
      </c>
    </row>
    <row r="47" ht="15" customHeight="1" s="41">
      <c r="A47" s="62" t="str">
        <f>IF($B47="","",42)</f>
        <v/>
      </c>
      <c r="B47" s="52" t="str">
        <f>IFERROR(INDEX(액션아이템!$C$3:$C$1002,MATCH(42,미완료현황!$L$6:$L$1005,0)),"")</f>
        <v/>
      </c>
      <c r="C47" s="52" t="str">
        <f>IF($B47="","",IFERROR(INDEX(액션아이템!$D$3:$D$1002,MATCH(42,미완료현황!$L$6:$L$1005,0)),""))</f>
        <v/>
      </c>
      <c r="D47" s="52" t="str">
        <f>IF($B47="","",IFERROR(INDEX(액션아이템!$B$3:$B$1002,MATCH(42,미완료현황!$L$6:$L$1005,0)),""))</f>
        <v/>
      </c>
      <c r="E47" s="63" t="str">
        <f>IF($B47="","",IFERROR(INDEX(액션아이템!$E$3:$E$1002,MATCH(42,미완료현황!$L$6:$L$1005,0)),""))</f>
        <v/>
      </c>
      <c r="F47" s="62" t="str">
        <f>IF($B47="","",IFERROR(INDEX(액션아이템!$H$3:$H$1002,MATCH(42,미완료현황!$L$6:$L$1005,0)),""))</f>
        <v/>
      </c>
      <c r="G47" s="62" t="str">
        <f>IF($B47="","",IFERROR(INDEX(액션아이템!$F$3:$F$1002,MATCH(42,미완료현황!$L$6:$L$1005,0)),""))</f>
        <v/>
      </c>
      <c r="H47" s="62" t="str">
        <f>IF($B47="","",IFERROR(INDEX(액션아이템!$I$3:$I$1002,MATCH(42,미완료현황!$L$6:$L$1005,0)),""))</f>
        <v/>
      </c>
      <c r="J47" s="57" t="b">
        <f>IF(액션아이템!$C44="",FALSE(),OR(액션아이템!$F44="진행중",액션아이템!$F44="보류"))</f>
        <v>0</v>
      </c>
      <c r="K47" s="46" t="str">
        <f>IF($J47=FALSE(),"",IF(액션아이템!$E44="",99999999,액션아이템!$E44)*100+ROW()/1000)</f>
        <v/>
      </c>
      <c r="L47" s="46" t="str">
        <f>IF($K47="","",RANK($K47,$K$6:$K$1005,1))</f>
        <v/>
      </c>
    </row>
    <row r="48" ht="15" customHeight="1" s="41">
      <c r="A48" s="62" t="str">
        <f>IF($B48="","",43)</f>
        <v/>
      </c>
      <c r="B48" s="52" t="str">
        <f>IFERROR(INDEX(액션아이템!$C$3:$C$1002,MATCH(43,미완료현황!$L$6:$L$1005,0)),"")</f>
        <v/>
      </c>
      <c r="C48" s="52" t="str">
        <f>IF($B48="","",IFERROR(INDEX(액션아이템!$D$3:$D$1002,MATCH(43,미완료현황!$L$6:$L$1005,0)),""))</f>
        <v/>
      </c>
      <c r="D48" s="52" t="str">
        <f>IF($B48="","",IFERROR(INDEX(액션아이템!$B$3:$B$1002,MATCH(43,미완료현황!$L$6:$L$1005,0)),""))</f>
        <v/>
      </c>
      <c r="E48" s="63" t="str">
        <f>IF($B48="","",IFERROR(INDEX(액션아이템!$E$3:$E$1002,MATCH(43,미완료현황!$L$6:$L$1005,0)),""))</f>
        <v/>
      </c>
      <c r="F48" s="62" t="str">
        <f>IF($B48="","",IFERROR(INDEX(액션아이템!$H$3:$H$1002,MATCH(43,미완료현황!$L$6:$L$1005,0)),""))</f>
        <v/>
      </c>
      <c r="G48" s="62" t="str">
        <f>IF($B48="","",IFERROR(INDEX(액션아이템!$F$3:$F$1002,MATCH(43,미완료현황!$L$6:$L$1005,0)),""))</f>
        <v/>
      </c>
      <c r="H48" s="62" t="str">
        <f>IF($B48="","",IFERROR(INDEX(액션아이템!$I$3:$I$1002,MATCH(43,미완료현황!$L$6:$L$1005,0)),""))</f>
        <v/>
      </c>
      <c r="J48" s="57" t="b">
        <f>IF(액션아이템!$C45="",FALSE(),OR(액션아이템!$F45="진행중",액션아이템!$F45="보류"))</f>
        <v>0</v>
      </c>
      <c r="K48" s="46" t="str">
        <f>IF($J48=FALSE(),"",IF(액션아이템!$E45="",99999999,액션아이템!$E45)*100+ROW()/1000)</f>
        <v/>
      </c>
      <c r="L48" s="46" t="str">
        <f>IF($K48="","",RANK($K48,$K$6:$K$1005,1))</f>
        <v/>
      </c>
    </row>
    <row r="49" ht="15" customHeight="1" s="41">
      <c r="A49" s="62" t="str">
        <f>IF($B49="","",44)</f>
        <v/>
      </c>
      <c r="B49" s="52" t="str">
        <f>IFERROR(INDEX(액션아이템!$C$3:$C$1002,MATCH(44,미완료현황!$L$6:$L$1005,0)),"")</f>
        <v/>
      </c>
      <c r="C49" s="52" t="str">
        <f>IF($B49="","",IFERROR(INDEX(액션아이템!$D$3:$D$1002,MATCH(44,미완료현황!$L$6:$L$1005,0)),""))</f>
        <v/>
      </c>
      <c r="D49" s="52" t="str">
        <f>IF($B49="","",IFERROR(INDEX(액션아이템!$B$3:$B$1002,MATCH(44,미완료현황!$L$6:$L$1005,0)),""))</f>
        <v/>
      </c>
      <c r="E49" s="63" t="str">
        <f>IF($B49="","",IFERROR(INDEX(액션아이템!$E$3:$E$1002,MATCH(44,미완료현황!$L$6:$L$1005,0)),""))</f>
        <v/>
      </c>
      <c r="F49" s="62" t="str">
        <f>IF($B49="","",IFERROR(INDEX(액션아이템!$H$3:$H$1002,MATCH(44,미완료현황!$L$6:$L$1005,0)),""))</f>
        <v/>
      </c>
      <c r="G49" s="62" t="str">
        <f>IF($B49="","",IFERROR(INDEX(액션아이템!$F$3:$F$1002,MATCH(44,미완료현황!$L$6:$L$1005,0)),""))</f>
        <v/>
      </c>
      <c r="H49" s="62" t="str">
        <f>IF($B49="","",IFERROR(INDEX(액션아이템!$I$3:$I$1002,MATCH(44,미완료현황!$L$6:$L$1005,0)),""))</f>
        <v/>
      </c>
      <c r="J49" s="57" t="b">
        <f>IF(액션아이템!$C46="",FALSE(),OR(액션아이템!$F46="진행중",액션아이템!$F46="보류"))</f>
        <v>0</v>
      </c>
      <c r="K49" s="46" t="str">
        <f>IF($J49=FALSE(),"",IF(액션아이템!$E46="",99999999,액션아이템!$E46)*100+ROW()/1000)</f>
        <v/>
      </c>
      <c r="L49" s="46" t="str">
        <f>IF($K49="","",RANK($K49,$K$6:$K$1005,1))</f>
        <v/>
      </c>
    </row>
    <row r="50" ht="15" customHeight="1" s="41">
      <c r="A50" s="62" t="str">
        <f>IF($B50="","",45)</f>
        <v/>
      </c>
      <c r="B50" s="52" t="str">
        <f>IFERROR(INDEX(액션아이템!$C$3:$C$1002,MATCH(45,미완료현황!$L$6:$L$1005,0)),"")</f>
        <v/>
      </c>
      <c r="C50" s="52" t="str">
        <f>IF($B50="","",IFERROR(INDEX(액션아이템!$D$3:$D$1002,MATCH(45,미완료현황!$L$6:$L$1005,0)),""))</f>
        <v/>
      </c>
      <c r="D50" s="52" t="str">
        <f>IF($B50="","",IFERROR(INDEX(액션아이템!$B$3:$B$1002,MATCH(45,미완료현황!$L$6:$L$1005,0)),""))</f>
        <v/>
      </c>
      <c r="E50" s="63" t="str">
        <f>IF($B50="","",IFERROR(INDEX(액션아이템!$E$3:$E$1002,MATCH(45,미완료현황!$L$6:$L$1005,0)),""))</f>
        <v/>
      </c>
      <c r="F50" s="62" t="str">
        <f>IF($B50="","",IFERROR(INDEX(액션아이템!$H$3:$H$1002,MATCH(45,미완료현황!$L$6:$L$1005,0)),""))</f>
        <v/>
      </c>
      <c r="G50" s="62" t="str">
        <f>IF($B50="","",IFERROR(INDEX(액션아이템!$F$3:$F$1002,MATCH(45,미완료현황!$L$6:$L$1005,0)),""))</f>
        <v/>
      </c>
      <c r="H50" s="62" t="str">
        <f>IF($B50="","",IFERROR(INDEX(액션아이템!$I$3:$I$1002,MATCH(45,미완료현황!$L$6:$L$1005,0)),""))</f>
        <v/>
      </c>
      <c r="J50" s="57" t="b">
        <f>IF(액션아이템!$C47="",FALSE(),OR(액션아이템!$F47="진행중",액션아이템!$F47="보류"))</f>
        <v>0</v>
      </c>
      <c r="K50" s="46" t="str">
        <f>IF($J50=FALSE(),"",IF(액션아이템!$E47="",99999999,액션아이템!$E47)*100+ROW()/1000)</f>
        <v/>
      </c>
      <c r="L50" s="46" t="str">
        <f>IF($K50="","",RANK($K50,$K$6:$K$1005,1))</f>
        <v/>
      </c>
    </row>
    <row r="51" ht="15" customHeight="1" s="41">
      <c r="A51" s="62" t="str">
        <f>IF($B51="","",46)</f>
        <v/>
      </c>
      <c r="B51" s="52" t="str">
        <f>IFERROR(INDEX(액션아이템!$C$3:$C$1002,MATCH(46,미완료현황!$L$6:$L$1005,0)),"")</f>
        <v/>
      </c>
      <c r="C51" s="52" t="str">
        <f>IF($B51="","",IFERROR(INDEX(액션아이템!$D$3:$D$1002,MATCH(46,미완료현황!$L$6:$L$1005,0)),""))</f>
        <v/>
      </c>
      <c r="D51" s="52" t="str">
        <f>IF($B51="","",IFERROR(INDEX(액션아이템!$B$3:$B$1002,MATCH(46,미완료현황!$L$6:$L$1005,0)),""))</f>
        <v/>
      </c>
      <c r="E51" s="63" t="str">
        <f>IF($B51="","",IFERROR(INDEX(액션아이템!$E$3:$E$1002,MATCH(46,미완료현황!$L$6:$L$1005,0)),""))</f>
        <v/>
      </c>
      <c r="F51" s="62" t="str">
        <f>IF($B51="","",IFERROR(INDEX(액션아이템!$H$3:$H$1002,MATCH(46,미완료현황!$L$6:$L$1005,0)),""))</f>
        <v/>
      </c>
      <c r="G51" s="62" t="str">
        <f>IF($B51="","",IFERROR(INDEX(액션아이템!$F$3:$F$1002,MATCH(46,미완료현황!$L$6:$L$1005,0)),""))</f>
        <v/>
      </c>
      <c r="H51" s="62" t="str">
        <f>IF($B51="","",IFERROR(INDEX(액션아이템!$I$3:$I$1002,MATCH(46,미완료현황!$L$6:$L$1005,0)),""))</f>
        <v/>
      </c>
      <c r="J51" s="57" t="b">
        <f>IF(액션아이템!$C48="",FALSE(),OR(액션아이템!$F48="진행중",액션아이템!$F48="보류"))</f>
        <v>0</v>
      </c>
      <c r="K51" s="46" t="str">
        <f>IF($J51=FALSE(),"",IF(액션아이템!$E48="",99999999,액션아이템!$E48)*100+ROW()/1000)</f>
        <v/>
      </c>
      <c r="L51" s="46" t="str">
        <f>IF($K51="","",RANK($K51,$K$6:$K$1005,1))</f>
        <v/>
      </c>
    </row>
    <row r="52" ht="15" customHeight="1" s="41">
      <c r="A52" s="62" t="str">
        <f>IF($B52="","",47)</f>
        <v/>
      </c>
      <c r="B52" s="52" t="str">
        <f>IFERROR(INDEX(액션아이템!$C$3:$C$1002,MATCH(47,미완료현황!$L$6:$L$1005,0)),"")</f>
        <v/>
      </c>
      <c r="C52" s="52" t="str">
        <f>IF($B52="","",IFERROR(INDEX(액션아이템!$D$3:$D$1002,MATCH(47,미완료현황!$L$6:$L$1005,0)),""))</f>
        <v/>
      </c>
      <c r="D52" s="52" t="str">
        <f>IF($B52="","",IFERROR(INDEX(액션아이템!$B$3:$B$1002,MATCH(47,미완료현황!$L$6:$L$1005,0)),""))</f>
        <v/>
      </c>
      <c r="E52" s="63" t="str">
        <f>IF($B52="","",IFERROR(INDEX(액션아이템!$E$3:$E$1002,MATCH(47,미완료현황!$L$6:$L$1005,0)),""))</f>
        <v/>
      </c>
      <c r="F52" s="62" t="str">
        <f>IF($B52="","",IFERROR(INDEX(액션아이템!$H$3:$H$1002,MATCH(47,미완료현황!$L$6:$L$1005,0)),""))</f>
        <v/>
      </c>
      <c r="G52" s="62" t="str">
        <f>IF($B52="","",IFERROR(INDEX(액션아이템!$F$3:$F$1002,MATCH(47,미완료현황!$L$6:$L$1005,0)),""))</f>
        <v/>
      </c>
      <c r="H52" s="62" t="str">
        <f>IF($B52="","",IFERROR(INDEX(액션아이템!$I$3:$I$1002,MATCH(47,미완료현황!$L$6:$L$1005,0)),""))</f>
        <v/>
      </c>
      <c r="J52" s="57" t="b">
        <f>IF(액션아이템!$C49="",FALSE(),OR(액션아이템!$F49="진행중",액션아이템!$F49="보류"))</f>
        <v>0</v>
      </c>
      <c r="K52" s="46" t="str">
        <f>IF($J52=FALSE(),"",IF(액션아이템!$E49="",99999999,액션아이템!$E49)*100+ROW()/1000)</f>
        <v/>
      </c>
      <c r="L52" s="46" t="str">
        <f>IF($K52="","",RANK($K52,$K$6:$K$1005,1))</f>
        <v/>
      </c>
    </row>
    <row r="53" ht="15" customHeight="1" s="41">
      <c r="A53" s="62" t="str">
        <f>IF($B53="","",48)</f>
        <v/>
      </c>
      <c r="B53" s="52" t="str">
        <f>IFERROR(INDEX(액션아이템!$C$3:$C$1002,MATCH(48,미완료현황!$L$6:$L$1005,0)),"")</f>
        <v/>
      </c>
      <c r="C53" s="52" t="str">
        <f>IF($B53="","",IFERROR(INDEX(액션아이템!$D$3:$D$1002,MATCH(48,미완료현황!$L$6:$L$1005,0)),""))</f>
        <v/>
      </c>
      <c r="D53" s="52" t="str">
        <f>IF($B53="","",IFERROR(INDEX(액션아이템!$B$3:$B$1002,MATCH(48,미완료현황!$L$6:$L$1005,0)),""))</f>
        <v/>
      </c>
      <c r="E53" s="63" t="str">
        <f>IF($B53="","",IFERROR(INDEX(액션아이템!$E$3:$E$1002,MATCH(48,미완료현황!$L$6:$L$1005,0)),""))</f>
        <v/>
      </c>
      <c r="F53" s="62" t="str">
        <f>IF($B53="","",IFERROR(INDEX(액션아이템!$H$3:$H$1002,MATCH(48,미완료현황!$L$6:$L$1005,0)),""))</f>
        <v/>
      </c>
      <c r="G53" s="62" t="str">
        <f>IF($B53="","",IFERROR(INDEX(액션아이템!$F$3:$F$1002,MATCH(48,미완료현황!$L$6:$L$1005,0)),""))</f>
        <v/>
      </c>
      <c r="H53" s="62" t="str">
        <f>IF($B53="","",IFERROR(INDEX(액션아이템!$I$3:$I$1002,MATCH(48,미완료현황!$L$6:$L$1005,0)),""))</f>
        <v/>
      </c>
      <c r="J53" s="57" t="b">
        <f>IF(액션아이템!$C50="",FALSE(),OR(액션아이템!$F50="진행중",액션아이템!$F50="보류"))</f>
        <v>0</v>
      </c>
      <c r="K53" s="46" t="str">
        <f>IF($J53=FALSE(),"",IF(액션아이템!$E50="",99999999,액션아이템!$E50)*100+ROW()/1000)</f>
        <v/>
      </c>
      <c r="L53" s="46" t="str">
        <f>IF($K53="","",RANK($K53,$K$6:$K$1005,1))</f>
        <v/>
      </c>
    </row>
    <row r="54" ht="15" customHeight="1" s="41">
      <c r="A54" s="62" t="str">
        <f>IF($B54="","",49)</f>
        <v/>
      </c>
      <c r="B54" s="52" t="str">
        <f>IFERROR(INDEX(액션아이템!$C$3:$C$1002,MATCH(49,미완료현황!$L$6:$L$1005,0)),"")</f>
        <v/>
      </c>
      <c r="C54" s="52" t="str">
        <f>IF($B54="","",IFERROR(INDEX(액션아이템!$D$3:$D$1002,MATCH(49,미완료현황!$L$6:$L$1005,0)),""))</f>
        <v/>
      </c>
      <c r="D54" s="52" t="str">
        <f>IF($B54="","",IFERROR(INDEX(액션아이템!$B$3:$B$1002,MATCH(49,미완료현황!$L$6:$L$1005,0)),""))</f>
        <v/>
      </c>
      <c r="E54" s="63" t="str">
        <f>IF($B54="","",IFERROR(INDEX(액션아이템!$E$3:$E$1002,MATCH(49,미완료현황!$L$6:$L$1005,0)),""))</f>
        <v/>
      </c>
      <c r="F54" s="62" t="str">
        <f>IF($B54="","",IFERROR(INDEX(액션아이템!$H$3:$H$1002,MATCH(49,미완료현황!$L$6:$L$1005,0)),""))</f>
        <v/>
      </c>
      <c r="G54" s="62" t="str">
        <f>IF($B54="","",IFERROR(INDEX(액션아이템!$F$3:$F$1002,MATCH(49,미완료현황!$L$6:$L$1005,0)),""))</f>
        <v/>
      </c>
      <c r="H54" s="62" t="str">
        <f>IF($B54="","",IFERROR(INDEX(액션아이템!$I$3:$I$1002,MATCH(49,미완료현황!$L$6:$L$1005,0)),""))</f>
        <v/>
      </c>
      <c r="J54" s="57" t="b">
        <f>IF(액션아이템!$C51="",FALSE(),OR(액션아이템!$F51="진행중",액션아이템!$F51="보류"))</f>
        <v>0</v>
      </c>
      <c r="K54" s="46" t="str">
        <f>IF($J54=FALSE(),"",IF(액션아이템!$E51="",99999999,액션아이템!$E51)*100+ROW()/1000)</f>
        <v/>
      </c>
      <c r="L54" s="46" t="str">
        <f>IF($K54="","",RANK($K54,$K$6:$K$1005,1))</f>
        <v/>
      </c>
    </row>
    <row r="55" ht="15" customHeight="1" s="41">
      <c r="A55" s="62" t="str">
        <f>IF($B55="","",50)</f>
        <v/>
      </c>
      <c r="B55" s="52" t="str">
        <f>IFERROR(INDEX(액션아이템!$C$3:$C$1002,MATCH(50,미완료현황!$L$6:$L$1005,0)),"")</f>
        <v/>
      </c>
      <c r="C55" s="52" t="str">
        <f>IF($B55="","",IFERROR(INDEX(액션아이템!$D$3:$D$1002,MATCH(50,미완료현황!$L$6:$L$1005,0)),""))</f>
        <v/>
      </c>
      <c r="D55" s="52" t="str">
        <f>IF($B55="","",IFERROR(INDEX(액션아이템!$B$3:$B$1002,MATCH(50,미완료현황!$L$6:$L$1005,0)),""))</f>
        <v/>
      </c>
      <c r="E55" s="63" t="str">
        <f>IF($B55="","",IFERROR(INDEX(액션아이템!$E$3:$E$1002,MATCH(50,미완료현황!$L$6:$L$1005,0)),""))</f>
        <v/>
      </c>
      <c r="F55" s="62" t="str">
        <f>IF($B55="","",IFERROR(INDEX(액션아이템!$H$3:$H$1002,MATCH(50,미완료현황!$L$6:$L$1005,0)),""))</f>
        <v/>
      </c>
      <c r="G55" s="62" t="str">
        <f>IF($B55="","",IFERROR(INDEX(액션아이템!$F$3:$F$1002,MATCH(50,미완료현황!$L$6:$L$1005,0)),""))</f>
        <v/>
      </c>
      <c r="H55" s="62" t="str">
        <f>IF($B55="","",IFERROR(INDEX(액션아이템!$I$3:$I$1002,MATCH(50,미완료현황!$L$6:$L$1005,0)),""))</f>
        <v/>
      </c>
      <c r="J55" s="57" t="b">
        <f>IF(액션아이템!$C52="",FALSE(),OR(액션아이템!$F52="진행중",액션아이템!$F52="보류"))</f>
        <v>0</v>
      </c>
      <c r="K55" s="46" t="str">
        <f>IF($J55=FALSE(),"",IF(액션아이템!$E52="",99999999,액션아이템!$E52)*100+ROW()/1000)</f>
        <v/>
      </c>
      <c r="L55" s="46" t="str">
        <f>IF($K55="","",RANK($K55,$K$6:$K$1005,1))</f>
        <v/>
      </c>
    </row>
    <row r="56" ht="15" customHeight="1" s="41">
      <c r="A56" s="62" t="str">
        <f>IF($B56="","",51)</f>
        <v/>
      </c>
      <c r="B56" s="52" t="str">
        <f>IFERROR(INDEX(액션아이템!$C$3:$C$1002,MATCH(51,미완료현황!$L$6:$L$1005,0)),"")</f>
        <v/>
      </c>
      <c r="C56" s="52" t="str">
        <f>IF($B56="","",IFERROR(INDEX(액션아이템!$D$3:$D$1002,MATCH(51,미완료현황!$L$6:$L$1005,0)),""))</f>
        <v/>
      </c>
      <c r="D56" s="52" t="str">
        <f>IF($B56="","",IFERROR(INDEX(액션아이템!$B$3:$B$1002,MATCH(51,미완료현황!$L$6:$L$1005,0)),""))</f>
        <v/>
      </c>
      <c r="E56" s="63" t="str">
        <f>IF($B56="","",IFERROR(INDEX(액션아이템!$E$3:$E$1002,MATCH(51,미완료현황!$L$6:$L$1005,0)),""))</f>
        <v/>
      </c>
      <c r="F56" s="62" t="str">
        <f>IF($B56="","",IFERROR(INDEX(액션아이템!$H$3:$H$1002,MATCH(51,미완료현황!$L$6:$L$1005,0)),""))</f>
        <v/>
      </c>
      <c r="G56" s="62" t="str">
        <f>IF($B56="","",IFERROR(INDEX(액션아이템!$F$3:$F$1002,MATCH(51,미완료현황!$L$6:$L$1005,0)),""))</f>
        <v/>
      </c>
      <c r="H56" s="62" t="str">
        <f>IF($B56="","",IFERROR(INDEX(액션아이템!$I$3:$I$1002,MATCH(51,미완료현황!$L$6:$L$1005,0)),""))</f>
        <v/>
      </c>
      <c r="J56" s="57" t="b">
        <f>IF(액션아이템!$C53="",FALSE(),OR(액션아이템!$F53="진행중",액션아이템!$F53="보류"))</f>
        <v>0</v>
      </c>
      <c r="K56" s="46" t="str">
        <f>IF($J56=FALSE(),"",IF(액션아이템!$E53="",99999999,액션아이템!$E53)*100+ROW()/1000)</f>
        <v/>
      </c>
      <c r="L56" s="46" t="str">
        <f>IF($K56="","",RANK($K56,$K$6:$K$1005,1))</f>
        <v/>
      </c>
    </row>
    <row r="57" ht="15" customHeight="1" s="41">
      <c r="A57" s="62" t="str">
        <f>IF($B57="","",52)</f>
        <v/>
      </c>
      <c r="B57" s="52" t="str">
        <f>IFERROR(INDEX(액션아이템!$C$3:$C$1002,MATCH(52,미완료현황!$L$6:$L$1005,0)),"")</f>
        <v/>
      </c>
      <c r="C57" s="52" t="str">
        <f>IF($B57="","",IFERROR(INDEX(액션아이템!$D$3:$D$1002,MATCH(52,미완료현황!$L$6:$L$1005,0)),""))</f>
        <v/>
      </c>
      <c r="D57" s="52" t="str">
        <f>IF($B57="","",IFERROR(INDEX(액션아이템!$B$3:$B$1002,MATCH(52,미완료현황!$L$6:$L$1005,0)),""))</f>
        <v/>
      </c>
      <c r="E57" s="63" t="str">
        <f>IF($B57="","",IFERROR(INDEX(액션아이템!$E$3:$E$1002,MATCH(52,미완료현황!$L$6:$L$1005,0)),""))</f>
        <v/>
      </c>
      <c r="F57" s="62" t="str">
        <f>IF($B57="","",IFERROR(INDEX(액션아이템!$H$3:$H$1002,MATCH(52,미완료현황!$L$6:$L$1005,0)),""))</f>
        <v/>
      </c>
      <c r="G57" s="62" t="str">
        <f>IF($B57="","",IFERROR(INDEX(액션아이템!$F$3:$F$1002,MATCH(52,미완료현황!$L$6:$L$1005,0)),""))</f>
        <v/>
      </c>
      <c r="H57" s="62" t="str">
        <f>IF($B57="","",IFERROR(INDEX(액션아이템!$I$3:$I$1002,MATCH(52,미완료현황!$L$6:$L$1005,0)),""))</f>
        <v/>
      </c>
      <c r="J57" s="57" t="b">
        <f>IF(액션아이템!$C54="",FALSE(),OR(액션아이템!$F54="진행중",액션아이템!$F54="보류"))</f>
        <v>0</v>
      </c>
      <c r="K57" s="46" t="str">
        <f>IF($J57=FALSE(),"",IF(액션아이템!$E54="",99999999,액션아이템!$E54)*100+ROW()/1000)</f>
        <v/>
      </c>
      <c r="L57" s="46" t="str">
        <f>IF($K57="","",RANK($K57,$K$6:$K$1005,1))</f>
        <v/>
      </c>
    </row>
    <row r="58" ht="15" customHeight="1" s="41">
      <c r="A58" s="62" t="str">
        <f>IF($B58="","",53)</f>
        <v/>
      </c>
      <c r="B58" s="52" t="str">
        <f>IFERROR(INDEX(액션아이템!$C$3:$C$1002,MATCH(53,미완료현황!$L$6:$L$1005,0)),"")</f>
        <v/>
      </c>
      <c r="C58" s="52" t="str">
        <f>IF($B58="","",IFERROR(INDEX(액션아이템!$D$3:$D$1002,MATCH(53,미완료현황!$L$6:$L$1005,0)),""))</f>
        <v/>
      </c>
      <c r="D58" s="52" t="str">
        <f>IF($B58="","",IFERROR(INDEX(액션아이템!$B$3:$B$1002,MATCH(53,미완료현황!$L$6:$L$1005,0)),""))</f>
        <v/>
      </c>
      <c r="E58" s="63" t="str">
        <f>IF($B58="","",IFERROR(INDEX(액션아이템!$E$3:$E$1002,MATCH(53,미완료현황!$L$6:$L$1005,0)),""))</f>
        <v/>
      </c>
      <c r="F58" s="62" t="str">
        <f>IF($B58="","",IFERROR(INDEX(액션아이템!$H$3:$H$1002,MATCH(53,미완료현황!$L$6:$L$1005,0)),""))</f>
        <v/>
      </c>
      <c r="G58" s="62" t="str">
        <f>IF($B58="","",IFERROR(INDEX(액션아이템!$F$3:$F$1002,MATCH(53,미완료현황!$L$6:$L$1005,0)),""))</f>
        <v/>
      </c>
      <c r="H58" s="62" t="str">
        <f>IF($B58="","",IFERROR(INDEX(액션아이템!$I$3:$I$1002,MATCH(53,미완료현황!$L$6:$L$1005,0)),""))</f>
        <v/>
      </c>
      <c r="J58" s="57" t="b">
        <f>IF(액션아이템!$C55="",FALSE(),OR(액션아이템!$F55="진행중",액션아이템!$F55="보류"))</f>
        <v>0</v>
      </c>
      <c r="K58" s="46" t="str">
        <f>IF($J58=FALSE(),"",IF(액션아이템!$E55="",99999999,액션아이템!$E55)*100+ROW()/1000)</f>
        <v/>
      </c>
      <c r="L58" s="46" t="str">
        <f>IF($K58="","",RANK($K58,$K$6:$K$1005,1))</f>
        <v/>
      </c>
    </row>
    <row r="59" ht="15" customHeight="1" s="41">
      <c r="A59" s="62" t="str">
        <f>IF($B59="","",54)</f>
        <v/>
      </c>
      <c r="B59" s="52" t="str">
        <f>IFERROR(INDEX(액션아이템!$C$3:$C$1002,MATCH(54,미완료현황!$L$6:$L$1005,0)),"")</f>
        <v/>
      </c>
      <c r="C59" s="52" t="str">
        <f>IF($B59="","",IFERROR(INDEX(액션아이템!$D$3:$D$1002,MATCH(54,미완료현황!$L$6:$L$1005,0)),""))</f>
        <v/>
      </c>
      <c r="D59" s="52" t="str">
        <f>IF($B59="","",IFERROR(INDEX(액션아이템!$B$3:$B$1002,MATCH(54,미완료현황!$L$6:$L$1005,0)),""))</f>
        <v/>
      </c>
      <c r="E59" s="63" t="str">
        <f>IF($B59="","",IFERROR(INDEX(액션아이템!$E$3:$E$1002,MATCH(54,미완료현황!$L$6:$L$1005,0)),""))</f>
        <v/>
      </c>
      <c r="F59" s="62" t="str">
        <f>IF($B59="","",IFERROR(INDEX(액션아이템!$H$3:$H$1002,MATCH(54,미완료현황!$L$6:$L$1005,0)),""))</f>
        <v/>
      </c>
      <c r="G59" s="62" t="str">
        <f>IF($B59="","",IFERROR(INDEX(액션아이템!$F$3:$F$1002,MATCH(54,미완료현황!$L$6:$L$1005,0)),""))</f>
        <v/>
      </c>
      <c r="H59" s="62" t="str">
        <f>IF($B59="","",IFERROR(INDEX(액션아이템!$I$3:$I$1002,MATCH(54,미완료현황!$L$6:$L$1005,0)),""))</f>
        <v/>
      </c>
      <c r="J59" s="57" t="b">
        <f>IF(액션아이템!$C56="",FALSE(),OR(액션아이템!$F56="진행중",액션아이템!$F56="보류"))</f>
        <v>0</v>
      </c>
      <c r="K59" s="46" t="str">
        <f>IF($J59=FALSE(),"",IF(액션아이템!$E56="",99999999,액션아이템!$E56)*100+ROW()/1000)</f>
        <v/>
      </c>
      <c r="L59" s="46" t="str">
        <f>IF($K59="","",RANK($K59,$K$6:$K$1005,1))</f>
        <v/>
      </c>
    </row>
    <row r="60" ht="15" customHeight="1" s="41">
      <c r="A60" s="62" t="str">
        <f>IF($B60="","",55)</f>
        <v/>
      </c>
      <c r="B60" s="52" t="str">
        <f>IFERROR(INDEX(액션아이템!$C$3:$C$1002,MATCH(55,미완료현황!$L$6:$L$1005,0)),"")</f>
        <v/>
      </c>
      <c r="C60" s="52" t="str">
        <f>IF($B60="","",IFERROR(INDEX(액션아이템!$D$3:$D$1002,MATCH(55,미완료현황!$L$6:$L$1005,0)),""))</f>
        <v/>
      </c>
      <c r="D60" s="52" t="str">
        <f>IF($B60="","",IFERROR(INDEX(액션아이템!$B$3:$B$1002,MATCH(55,미완료현황!$L$6:$L$1005,0)),""))</f>
        <v/>
      </c>
      <c r="E60" s="63" t="str">
        <f>IF($B60="","",IFERROR(INDEX(액션아이템!$E$3:$E$1002,MATCH(55,미완료현황!$L$6:$L$1005,0)),""))</f>
        <v/>
      </c>
      <c r="F60" s="62" t="str">
        <f>IF($B60="","",IFERROR(INDEX(액션아이템!$H$3:$H$1002,MATCH(55,미완료현황!$L$6:$L$1005,0)),""))</f>
        <v/>
      </c>
      <c r="G60" s="62" t="str">
        <f>IF($B60="","",IFERROR(INDEX(액션아이템!$F$3:$F$1002,MATCH(55,미완료현황!$L$6:$L$1005,0)),""))</f>
        <v/>
      </c>
      <c r="H60" s="62" t="str">
        <f>IF($B60="","",IFERROR(INDEX(액션아이템!$I$3:$I$1002,MATCH(55,미완료현황!$L$6:$L$1005,0)),""))</f>
        <v/>
      </c>
      <c r="J60" s="57" t="b">
        <f>IF(액션아이템!$C57="",FALSE(),OR(액션아이템!$F57="진행중",액션아이템!$F57="보류"))</f>
        <v>0</v>
      </c>
      <c r="K60" s="46" t="str">
        <f>IF($J60=FALSE(),"",IF(액션아이템!$E57="",99999999,액션아이템!$E57)*100+ROW()/1000)</f>
        <v/>
      </c>
      <c r="L60" s="46" t="str">
        <f>IF($K60="","",RANK($K60,$K$6:$K$1005,1))</f>
        <v/>
      </c>
    </row>
    <row r="61" ht="15" customHeight="1" s="41">
      <c r="A61" s="62" t="str">
        <f>IF($B61="","",56)</f>
        <v/>
      </c>
      <c r="B61" s="52" t="str">
        <f>IFERROR(INDEX(액션아이템!$C$3:$C$1002,MATCH(56,미완료현황!$L$6:$L$1005,0)),"")</f>
        <v/>
      </c>
      <c r="C61" s="52" t="str">
        <f>IF($B61="","",IFERROR(INDEX(액션아이템!$D$3:$D$1002,MATCH(56,미완료현황!$L$6:$L$1005,0)),""))</f>
        <v/>
      </c>
      <c r="D61" s="52" t="str">
        <f>IF($B61="","",IFERROR(INDEX(액션아이템!$B$3:$B$1002,MATCH(56,미완료현황!$L$6:$L$1005,0)),""))</f>
        <v/>
      </c>
      <c r="E61" s="63" t="str">
        <f>IF($B61="","",IFERROR(INDEX(액션아이템!$E$3:$E$1002,MATCH(56,미완료현황!$L$6:$L$1005,0)),""))</f>
        <v/>
      </c>
      <c r="F61" s="62" t="str">
        <f>IF($B61="","",IFERROR(INDEX(액션아이템!$H$3:$H$1002,MATCH(56,미완료현황!$L$6:$L$1005,0)),""))</f>
        <v/>
      </c>
      <c r="G61" s="62" t="str">
        <f>IF($B61="","",IFERROR(INDEX(액션아이템!$F$3:$F$1002,MATCH(56,미완료현황!$L$6:$L$1005,0)),""))</f>
        <v/>
      </c>
      <c r="H61" s="62" t="str">
        <f>IF($B61="","",IFERROR(INDEX(액션아이템!$I$3:$I$1002,MATCH(56,미완료현황!$L$6:$L$1005,0)),""))</f>
        <v/>
      </c>
      <c r="J61" s="57" t="b">
        <f>IF(액션아이템!$C58="",FALSE(),OR(액션아이템!$F58="진행중",액션아이템!$F58="보류"))</f>
        <v>0</v>
      </c>
      <c r="K61" s="46" t="str">
        <f>IF($J61=FALSE(),"",IF(액션아이템!$E58="",99999999,액션아이템!$E58)*100+ROW()/1000)</f>
        <v/>
      </c>
      <c r="L61" s="46" t="str">
        <f>IF($K61="","",RANK($K61,$K$6:$K$1005,1))</f>
        <v/>
      </c>
    </row>
    <row r="62" ht="15" customHeight="1" s="41">
      <c r="A62" s="62" t="str">
        <f>IF($B62="","",57)</f>
        <v/>
      </c>
      <c r="B62" s="52" t="str">
        <f>IFERROR(INDEX(액션아이템!$C$3:$C$1002,MATCH(57,미완료현황!$L$6:$L$1005,0)),"")</f>
        <v/>
      </c>
      <c r="C62" s="52" t="str">
        <f>IF($B62="","",IFERROR(INDEX(액션아이템!$D$3:$D$1002,MATCH(57,미완료현황!$L$6:$L$1005,0)),""))</f>
        <v/>
      </c>
      <c r="D62" s="52" t="str">
        <f>IF($B62="","",IFERROR(INDEX(액션아이템!$B$3:$B$1002,MATCH(57,미완료현황!$L$6:$L$1005,0)),""))</f>
        <v/>
      </c>
      <c r="E62" s="63" t="str">
        <f>IF($B62="","",IFERROR(INDEX(액션아이템!$E$3:$E$1002,MATCH(57,미완료현황!$L$6:$L$1005,0)),""))</f>
        <v/>
      </c>
      <c r="F62" s="62" t="str">
        <f>IF($B62="","",IFERROR(INDEX(액션아이템!$H$3:$H$1002,MATCH(57,미완료현황!$L$6:$L$1005,0)),""))</f>
        <v/>
      </c>
      <c r="G62" s="62" t="str">
        <f>IF($B62="","",IFERROR(INDEX(액션아이템!$F$3:$F$1002,MATCH(57,미완료현황!$L$6:$L$1005,0)),""))</f>
        <v/>
      </c>
      <c r="H62" s="62" t="str">
        <f>IF($B62="","",IFERROR(INDEX(액션아이템!$I$3:$I$1002,MATCH(57,미완료현황!$L$6:$L$1005,0)),""))</f>
        <v/>
      </c>
      <c r="J62" s="57" t="b">
        <f>IF(액션아이템!$C59="",FALSE(),OR(액션아이템!$F59="진행중",액션아이템!$F59="보류"))</f>
        <v>0</v>
      </c>
      <c r="K62" s="46" t="str">
        <f>IF($J62=FALSE(),"",IF(액션아이템!$E59="",99999999,액션아이템!$E59)*100+ROW()/1000)</f>
        <v/>
      </c>
      <c r="L62" s="46" t="str">
        <f>IF($K62="","",RANK($K62,$K$6:$K$1005,1))</f>
        <v/>
      </c>
    </row>
    <row r="63" ht="15" customHeight="1" s="41">
      <c r="A63" s="62" t="str">
        <f>IF($B63="","",58)</f>
        <v/>
      </c>
      <c r="B63" s="52" t="str">
        <f>IFERROR(INDEX(액션아이템!$C$3:$C$1002,MATCH(58,미완료현황!$L$6:$L$1005,0)),"")</f>
        <v/>
      </c>
      <c r="C63" s="52" t="str">
        <f>IF($B63="","",IFERROR(INDEX(액션아이템!$D$3:$D$1002,MATCH(58,미완료현황!$L$6:$L$1005,0)),""))</f>
        <v/>
      </c>
      <c r="D63" s="52" t="str">
        <f>IF($B63="","",IFERROR(INDEX(액션아이템!$B$3:$B$1002,MATCH(58,미완료현황!$L$6:$L$1005,0)),""))</f>
        <v/>
      </c>
      <c r="E63" s="63" t="str">
        <f>IF($B63="","",IFERROR(INDEX(액션아이템!$E$3:$E$1002,MATCH(58,미완료현황!$L$6:$L$1005,0)),""))</f>
        <v/>
      </c>
      <c r="F63" s="62" t="str">
        <f>IF($B63="","",IFERROR(INDEX(액션아이템!$H$3:$H$1002,MATCH(58,미완료현황!$L$6:$L$1005,0)),""))</f>
        <v/>
      </c>
      <c r="G63" s="62" t="str">
        <f>IF($B63="","",IFERROR(INDEX(액션아이템!$F$3:$F$1002,MATCH(58,미완료현황!$L$6:$L$1005,0)),""))</f>
        <v/>
      </c>
      <c r="H63" s="62" t="str">
        <f>IF($B63="","",IFERROR(INDEX(액션아이템!$I$3:$I$1002,MATCH(58,미완료현황!$L$6:$L$1005,0)),""))</f>
        <v/>
      </c>
      <c r="J63" s="57" t="b">
        <f>IF(액션아이템!$C60="",FALSE(),OR(액션아이템!$F60="진행중",액션아이템!$F60="보류"))</f>
        <v>0</v>
      </c>
      <c r="K63" s="46" t="str">
        <f>IF($J63=FALSE(),"",IF(액션아이템!$E60="",99999999,액션아이템!$E60)*100+ROW()/1000)</f>
        <v/>
      </c>
      <c r="L63" s="46" t="str">
        <f>IF($K63="","",RANK($K63,$K$6:$K$1005,1))</f>
        <v/>
      </c>
    </row>
    <row r="64" ht="15" customHeight="1" s="41">
      <c r="A64" s="62" t="str">
        <f>IF($B64="","",59)</f>
        <v/>
      </c>
      <c r="B64" s="52" t="str">
        <f>IFERROR(INDEX(액션아이템!$C$3:$C$1002,MATCH(59,미완료현황!$L$6:$L$1005,0)),"")</f>
        <v/>
      </c>
      <c r="C64" s="52" t="str">
        <f>IF($B64="","",IFERROR(INDEX(액션아이템!$D$3:$D$1002,MATCH(59,미완료현황!$L$6:$L$1005,0)),""))</f>
        <v/>
      </c>
      <c r="D64" s="52" t="str">
        <f>IF($B64="","",IFERROR(INDEX(액션아이템!$B$3:$B$1002,MATCH(59,미완료현황!$L$6:$L$1005,0)),""))</f>
        <v/>
      </c>
      <c r="E64" s="63" t="str">
        <f>IF($B64="","",IFERROR(INDEX(액션아이템!$E$3:$E$1002,MATCH(59,미완료현황!$L$6:$L$1005,0)),""))</f>
        <v/>
      </c>
      <c r="F64" s="62" t="str">
        <f>IF($B64="","",IFERROR(INDEX(액션아이템!$H$3:$H$1002,MATCH(59,미완료현황!$L$6:$L$1005,0)),""))</f>
        <v/>
      </c>
      <c r="G64" s="62" t="str">
        <f>IF($B64="","",IFERROR(INDEX(액션아이템!$F$3:$F$1002,MATCH(59,미완료현황!$L$6:$L$1005,0)),""))</f>
        <v/>
      </c>
      <c r="H64" s="62" t="str">
        <f>IF($B64="","",IFERROR(INDEX(액션아이템!$I$3:$I$1002,MATCH(59,미완료현황!$L$6:$L$1005,0)),""))</f>
        <v/>
      </c>
      <c r="J64" s="57" t="b">
        <f>IF(액션아이템!$C61="",FALSE(),OR(액션아이템!$F61="진행중",액션아이템!$F61="보류"))</f>
        <v>0</v>
      </c>
      <c r="K64" s="46" t="str">
        <f>IF($J64=FALSE(),"",IF(액션아이템!$E61="",99999999,액션아이템!$E61)*100+ROW()/1000)</f>
        <v/>
      </c>
      <c r="L64" s="46" t="str">
        <f>IF($K64="","",RANK($K64,$K$6:$K$1005,1))</f>
        <v/>
      </c>
    </row>
    <row r="65" ht="15" customHeight="1" s="41">
      <c r="A65" s="62" t="str">
        <f>IF($B65="","",60)</f>
        <v/>
      </c>
      <c r="B65" s="52" t="str">
        <f>IFERROR(INDEX(액션아이템!$C$3:$C$1002,MATCH(60,미완료현황!$L$6:$L$1005,0)),"")</f>
        <v/>
      </c>
      <c r="C65" s="52" t="str">
        <f>IF($B65="","",IFERROR(INDEX(액션아이템!$D$3:$D$1002,MATCH(60,미완료현황!$L$6:$L$1005,0)),""))</f>
        <v/>
      </c>
      <c r="D65" s="52" t="str">
        <f>IF($B65="","",IFERROR(INDEX(액션아이템!$B$3:$B$1002,MATCH(60,미완료현황!$L$6:$L$1005,0)),""))</f>
        <v/>
      </c>
      <c r="E65" s="63" t="str">
        <f>IF($B65="","",IFERROR(INDEX(액션아이템!$E$3:$E$1002,MATCH(60,미완료현황!$L$6:$L$1005,0)),""))</f>
        <v/>
      </c>
      <c r="F65" s="62" t="str">
        <f>IF($B65="","",IFERROR(INDEX(액션아이템!$H$3:$H$1002,MATCH(60,미완료현황!$L$6:$L$1005,0)),""))</f>
        <v/>
      </c>
      <c r="G65" s="62" t="str">
        <f>IF($B65="","",IFERROR(INDEX(액션아이템!$F$3:$F$1002,MATCH(60,미완료현황!$L$6:$L$1005,0)),""))</f>
        <v/>
      </c>
      <c r="H65" s="62" t="str">
        <f>IF($B65="","",IFERROR(INDEX(액션아이템!$I$3:$I$1002,MATCH(60,미완료현황!$L$6:$L$1005,0)),""))</f>
        <v/>
      </c>
      <c r="J65" s="57" t="b">
        <f>IF(액션아이템!$C62="",FALSE(),OR(액션아이템!$F62="진행중",액션아이템!$F62="보류"))</f>
        <v>0</v>
      </c>
      <c r="K65" s="46" t="str">
        <f>IF($J65=FALSE(),"",IF(액션아이템!$E62="",99999999,액션아이템!$E62)*100+ROW()/1000)</f>
        <v/>
      </c>
      <c r="L65" s="46" t="str">
        <f>IF($K65="","",RANK($K65,$K$6:$K$1005,1))</f>
        <v/>
      </c>
    </row>
    <row r="66" ht="15" customHeight="1" s="41">
      <c r="A66" s="62" t="str">
        <f>IF($B66="","",61)</f>
        <v/>
      </c>
      <c r="B66" s="52" t="str">
        <f>IFERROR(INDEX(액션아이템!$C$3:$C$1002,MATCH(61,미완료현황!$L$6:$L$1005,0)),"")</f>
        <v/>
      </c>
      <c r="C66" s="52" t="str">
        <f>IF($B66="","",IFERROR(INDEX(액션아이템!$D$3:$D$1002,MATCH(61,미완료현황!$L$6:$L$1005,0)),""))</f>
        <v/>
      </c>
      <c r="D66" s="52" t="str">
        <f>IF($B66="","",IFERROR(INDEX(액션아이템!$B$3:$B$1002,MATCH(61,미완료현황!$L$6:$L$1005,0)),""))</f>
        <v/>
      </c>
      <c r="E66" s="63" t="str">
        <f>IF($B66="","",IFERROR(INDEX(액션아이템!$E$3:$E$1002,MATCH(61,미완료현황!$L$6:$L$1005,0)),""))</f>
        <v/>
      </c>
      <c r="F66" s="62" t="str">
        <f>IF($B66="","",IFERROR(INDEX(액션아이템!$H$3:$H$1002,MATCH(61,미완료현황!$L$6:$L$1005,0)),""))</f>
        <v/>
      </c>
      <c r="G66" s="62" t="str">
        <f>IF($B66="","",IFERROR(INDEX(액션아이템!$F$3:$F$1002,MATCH(61,미완료현황!$L$6:$L$1005,0)),""))</f>
        <v/>
      </c>
      <c r="H66" s="62" t="str">
        <f>IF($B66="","",IFERROR(INDEX(액션아이템!$I$3:$I$1002,MATCH(61,미완료현황!$L$6:$L$1005,0)),""))</f>
        <v/>
      </c>
      <c r="J66" s="57" t="b">
        <f>IF(액션아이템!$C63="",FALSE(),OR(액션아이템!$F63="진행중",액션아이템!$F63="보류"))</f>
        <v>0</v>
      </c>
      <c r="K66" s="46" t="str">
        <f>IF($J66=FALSE(),"",IF(액션아이템!$E63="",99999999,액션아이템!$E63)*100+ROW()/1000)</f>
        <v/>
      </c>
      <c r="L66" s="46" t="str">
        <f>IF($K66="","",RANK($K66,$K$6:$K$1005,1))</f>
        <v/>
      </c>
    </row>
    <row r="67" ht="15" customHeight="1" s="41">
      <c r="A67" s="62" t="str">
        <f>IF($B67="","",62)</f>
        <v/>
      </c>
      <c r="B67" s="52" t="str">
        <f>IFERROR(INDEX(액션아이템!$C$3:$C$1002,MATCH(62,미완료현황!$L$6:$L$1005,0)),"")</f>
        <v/>
      </c>
      <c r="C67" s="52" t="str">
        <f>IF($B67="","",IFERROR(INDEX(액션아이템!$D$3:$D$1002,MATCH(62,미완료현황!$L$6:$L$1005,0)),""))</f>
        <v/>
      </c>
      <c r="D67" s="52" t="str">
        <f>IF($B67="","",IFERROR(INDEX(액션아이템!$B$3:$B$1002,MATCH(62,미완료현황!$L$6:$L$1005,0)),""))</f>
        <v/>
      </c>
      <c r="E67" s="63" t="str">
        <f>IF($B67="","",IFERROR(INDEX(액션아이템!$E$3:$E$1002,MATCH(62,미완료현황!$L$6:$L$1005,0)),""))</f>
        <v/>
      </c>
      <c r="F67" s="62" t="str">
        <f>IF($B67="","",IFERROR(INDEX(액션아이템!$H$3:$H$1002,MATCH(62,미완료현황!$L$6:$L$1005,0)),""))</f>
        <v/>
      </c>
      <c r="G67" s="62" t="str">
        <f>IF($B67="","",IFERROR(INDEX(액션아이템!$F$3:$F$1002,MATCH(62,미완료현황!$L$6:$L$1005,0)),""))</f>
        <v/>
      </c>
      <c r="H67" s="62" t="str">
        <f>IF($B67="","",IFERROR(INDEX(액션아이템!$I$3:$I$1002,MATCH(62,미완료현황!$L$6:$L$1005,0)),""))</f>
        <v/>
      </c>
      <c r="J67" s="57" t="b">
        <f>IF(액션아이템!$C64="",FALSE(),OR(액션아이템!$F64="진행중",액션아이템!$F64="보류"))</f>
        <v>0</v>
      </c>
      <c r="K67" s="46" t="str">
        <f>IF($J67=FALSE(),"",IF(액션아이템!$E64="",99999999,액션아이템!$E64)*100+ROW()/1000)</f>
        <v/>
      </c>
      <c r="L67" s="46" t="str">
        <f>IF($K67="","",RANK($K67,$K$6:$K$1005,1))</f>
        <v/>
      </c>
    </row>
    <row r="68" ht="15" customHeight="1" s="41">
      <c r="A68" s="62" t="str">
        <f>IF($B68="","",63)</f>
        <v/>
      </c>
      <c r="B68" s="52" t="str">
        <f>IFERROR(INDEX(액션아이템!$C$3:$C$1002,MATCH(63,미완료현황!$L$6:$L$1005,0)),"")</f>
        <v/>
      </c>
      <c r="C68" s="52" t="str">
        <f>IF($B68="","",IFERROR(INDEX(액션아이템!$D$3:$D$1002,MATCH(63,미완료현황!$L$6:$L$1005,0)),""))</f>
        <v/>
      </c>
      <c r="D68" s="52" t="str">
        <f>IF($B68="","",IFERROR(INDEX(액션아이템!$B$3:$B$1002,MATCH(63,미완료현황!$L$6:$L$1005,0)),""))</f>
        <v/>
      </c>
      <c r="E68" s="63" t="str">
        <f>IF($B68="","",IFERROR(INDEX(액션아이템!$E$3:$E$1002,MATCH(63,미완료현황!$L$6:$L$1005,0)),""))</f>
        <v/>
      </c>
      <c r="F68" s="62" t="str">
        <f>IF($B68="","",IFERROR(INDEX(액션아이템!$H$3:$H$1002,MATCH(63,미완료현황!$L$6:$L$1005,0)),""))</f>
        <v/>
      </c>
      <c r="G68" s="62" t="str">
        <f>IF($B68="","",IFERROR(INDEX(액션아이템!$F$3:$F$1002,MATCH(63,미완료현황!$L$6:$L$1005,0)),""))</f>
        <v/>
      </c>
      <c r="H68" s="62" t="str">
        <f>IF($B68="","",IFERROR(INDEX(액션아이템!$I$3:$I$1002,MATCH(63,미완료현황!$L$6:$L$1005,0)),""))</f>
        <v/>
      </c>
      <c r="J68" s="57" t="b">
        <f>IF(액션아이템!$C65="",FALSE(),OR(액션아이템!$F65="진행중",액션아이템!$F65="보류"))</f>
        <v>0</v>
      </c>
      <c r="K68" s="46" t="str">
        <f>IF($J68=FALSE(),"",IF(액션아이템!$E65="",99999999,액션아이템!$E65)*100+ROW()/1000)</f>
        <v/>
      </c>
      <c r="L68" s="46" t="str">
        <f>IF($K68="","",RANK($K68,$K$6:$K$1005,1))</f>
        <v/>
      </c>
    </row>
    <row r="69" ht="15" customHeight="1" s="41">
      <c r="A69" s="62" t="str">
        <f>IF($B69="","",64)</f>
        <v/>
      </c>
      <c r="B69" s="52" t="str">
        <f>IFERROR(INDEX(액션아이템!$C$3:$C$1002,MATCH(64,미완료현황!$L$6:$L$1005,0)),"")</f>
        <v/>
      </c>
      <c r="C69" s="52" t="str">
        <f>IF($B69="","",IFERROR(INDEX(액션아이템!$D$3:$D$1002,MATCH(64,미완료현황!$L$6:$L$1005,0)),""))</f>
        <v/>
      </c>
      <c r="D69" s="52" t="str">
        <f>IF($B69="","",IFERROR(INDEX(액션아이템!$B$3:$B$1002,MATCH(64,미완료현황!$L$6:$L$1005,0)),""))</f>
        <v/>
      </c>
      <c r="E69" s="63" t="str">
        <f>IF($B69="","",IFERROR(INDEX(액션아이템!$E$3:$E$1002,MATCH(64,미완료현황!$L$6:$L$1005,0)),""))</f>
        <v/>
      </c>
      <c r="F69" s="62" t="str">
        <f>IF($B69="","",IFERROR(INDEX(액션아이템!$H$3:$H$1002,MATCH(64,미완료현황!$L$6:$L$1005,0)),""))</f>
        <v/>
      </c>
      <c r="G69" s="62" t="str">
        <f>IF($B69="","",IFERROR(INDEX(액션아이템!$F$3:$F$1002,MATCH(64,미완료현황!$L$6:$L$1005,0)),""))</f>
        <v/>
      </c>
      <c r="H69" s="62" t="str">
        <f>IF($B69="","",IFERROR(INDEX(액션아이템!$I$3:$I$1002,MATCH(64,미완료현황!$L$6:$L$1005,0)),""))</f>
        <v/>
      </c>
      <c r="J69" s="57" t="b">
        <f>IF(액션아이템!$C66="",FALSE(),OR(액션아이템!$F66="진행중",액션아이템!$F66="보류"))</f>
        <v>0</v>
      </c>
      <c r="K69" s="46" t="str">
        <f>IF($J69=FALSE(),"",IF(액션아이템!$E66="",99999999,액션아이템!$E66)*100+ROW()/1000)</f>
        <v/>
      </c>
      <c r="L69" s="46" t="str">
        <f>IF($K69="","",RANK($K69,$K$6:$K$1005,1))</f>
        <v/>
      </c>
    </row>
    <row r="70" ht="15" customHeight="1" s="41">
      <c r="A70" s="62" t="str">
        <f>IF($B70="","",65)</f>
        <v/>
      </c>
      <c r="B70" s="52" t="str">
        <f>IFERROR(INDEX(액션아이템!$C$3:$C$1002,MATCH(65,미완료현황!$L$6:$L$1005,0)),"")</f>
        <v/>
      </c>
      <c r="C70" s="52" t="str">
        <f>IF($B70="","",IFERROR(INDEX(액션아이템!$D$3:$D$1002,MATCH(65,미완료현황!$L$6:$L$1005,0)),""))</f>
        <v/>
      </c>
      <c r="D70" s="52" t="str">
        <f>IF($B70="","",IFERROR(INDEX(액션아이템!$B$3:$B$1002,MATCH(65,미완료현황!$L$6:$L$1005,0)),""))</f>
        <v/>
      </c>
      <c r="E70" s="63" t="str">
        <f>IF($B70="","",IFERROR(INDEX(액션아이템!$E$3:$E$1002,MATCH(65,미완료현황!$L$6:$L$1005,0)),""))</f>
        <v/>
      </c>
      <c r="F70" s="62" t="str">
        <f>IF($B70="","",IFERROR(INDEX(액션아이템!$H$3:$H$1002,MATCH(65,미완료현황!$L$6:$L$1005,0)),""))</f>
        <v/>
      </c>
      <c r="G70" s="62" t="str">
        <f>IF($B70="","",IFERROR(INDEX(액션아이템!$F$3:$F$1002,MATCH(65,미완료현황!$L$6:$L$1005,0)),""))</f>
        <v/>
      </c>
      <c r="H70" s="62" t="str">
        <f>IF($B70="","",IFERROR(INDEX(액션아이템!$I$3:$I$1002,MATCH(65,미완료현황!$L$6:$L$1005,0)),""))</f>
        <v/>
      </c>
      <c r="J70" s="57" t="b">
        <f>IF(액션아이템!$C67="",FALSE(),OR(액션아이템!$F67="진행중",액션아이템!$F67="보류"))</f>
        <v>0</v>
      </c>
      <c r="K70" s="46" t="str">
        <f>IF($J70=FALSE(),"",IF(액션아이템!$E67="",99999999,액션아이템!$E67)*100+ROW()/1000)</f>
        <v/>
      </c>
      <c r="L70" s="46" t="str">
        <f>IF($K70="","",RANK($K70,$K$6:$K$1005,1))</f>
        <v/>
      </c>
    </row>
    <row r="71" ht="15" customHeight="1" s="41">
      <c r="A71" s="62" t="str">
        <f>IF($B71="","",66)</f>
        <v/>
      </c>
      <c r="B71" s="52" t="str">
        <f>IFERROR(INDEX(액션아이템!$C$3:$C$1002,MATCH(66,미완료현황!$L$6:$L$1005,0)),"")</f>
        <v/>
      </c>
      <c r="C71" s="52" t="str">
        <f>IF($B71="","",IFERROR(INDEX(액션아이템!$D$3:$D$1002,MATCH(66,미완료현황!$L$6:$L$1005,0)),""))</f>
        <v/>
      </c>
      <c r="D71" s="52" t="str">
        <f>IF($B71="","",IFERROR(INDEX(액션아이템!$B$3:$B$1002,MATCH(66,미완료현황!$L$6:$L$1005,0)),""))</f>
        <v/>
      </c>
      <c r="E71" s="63" t="str">
        <f>IF($B71="","",IFERROR(INDEX(액션아이템!$E$3:$E$1002,MATCH(66,미완료현황!$L$6:$L$1005,0)),""))</f>
        <v/>
      </c>
      <c r="F71" s="62" t="str">
        <f>IF($B71="","",IFERROR(INDEX(액션아이템!$H$3:$H$1002,MATCH(66,미완료현황!$L$6:$L$1005,0)),""))</f>
        <v/>
      </c>
      <c r="G71" s="62" t="str">
        <f>IF($B71="","",IFERROR(INDEX(액션아이템!$F$3:$F$1002,MATCH(66,미완료현황!$L$6:$L$1005,0)),""))</f>
        <v/>
      </c>
      <c r="H71" s="62" t="str">
        <f>IF($B71="","",IFERROR(INDEX(액션아이템!$I$3:$I$1002,MATCH(66,미완료현황!$L$6:$L$1005,0)),""))</f>
        <v/>
      </c>
      <c r="J71" s="57" t="b">
        <f>IF(액션아이템!$C68="",FALSE(),OR(액션아이템!$F68="진행중",액션아이템!$F68="보류"))</f>
        <v>0</v>
      </c>
      <c r="K71" s="46" t="str">
        <f>IF($J71=FALSE(),"",IF(액션아이템!$E68="",99999999,액션아이템!$E68)*100+ROW()/1000)</f>
        <v/>
      </c>
      <c r="L71" s="46" t="str">
        <f>IF($K71="","",RANK($K71,$K$6:$K$1005,1))</f>
        <v/>
      </c>
    </row>
    <row r="72" ht="15" customHeight="1" s="41">
      <c r="A72" s="62" t="str">
        <f>IF($B72="","",67)</f>
        <v/>
      </c>
      <c r="B72" s="52" t="str">
        <f>IFERROR(INDEX(액션아이템!$C$3:$C$1002,MATCH(67,미완료현황!$L$6:$L$1005,0)),"")</f>
        <v/>
      </c>
      <c r="C72" s="52" t="str">
        <f>IF($B72="","",IFERROR(INDEX(액션아이템!$D$3:$D$1002,MATCH(67,미완료현황!$L$6:$L$1005,0)),""))</f>
        <v/>
      </c>
      <c r="D72" s="52" t="str">
        <f>IF($B72="","",IFERROR(INDEX(액션아이템!$B$3:$B$1002,MATCH(67,미완료현황!$L$6:$L$1005,0)),""))</f>
        <v/>
      </c>
      <c r="E72" s="63" t="str">
        <f>IF($B72="","",IFERROR(INDEX(액션아이템!$E$3:$E$1002,MATCH(67,미완료현황!$L$6:$L$1005,0)),""))</f>
        <v/>
      </c>
      <c r="F72" s="62" t="str">
        <f>IF($B72="","",IFERROR(INDEX(액션아이템!$H$3:$H$1002,MATCH(67,미완료현황!$L$6:$L$1005,0)),""))</f>
        <v/>
      </c>
      <c r="G72" s="62" t="str">
        <f>IF($B72="","",IFERROR(INDEX(액션아이템!$F$3:$F$1002,MATCH(67,미완료현황!$L$6:$L$1005,0)),""))</f>
        <v/>
      </c>
      <c r="H72" s="62" t="str">
        <f>IF($B72="","",IFERROR(INDEX(액션아이템!$I$3:$I$1002,MATCH(67,미완료현황!$L$6:$L$1005,0)),""))</f>
        <v/>
      </c>
      <c r="J72" s="57" t="b">
        <f>IF(액션아이템!$C69="",FALSE(),OR(액션아이템!$F69="진행중",액션아이템!$F69="보류"))</f>
        <v>0</v>
      </c>
      <c r="K72" s="46" t="str">
        <f>IF($J72=FALSE(),"",IF(액션아이템!$E69="",99999999,액션아이템!$E69)*100+ROW()/1000)</f>
        <v/>
      </c>
      <c r="L72" s="46" t="str">
        <f>IF($K72="","",RANK($K72,$K$6:$K$1005,1))</f>
        <v/>
      </c>
    </row>
    <row r="73" ht="15" customHeight="1" s="41">
      <c r="A73" s="62" t="str">
        <f>IF($B73="","",68)</f>
        <v/>
      </c>
      <c r="B73" s="52" t="str">
        <f>IFERROR(INDEX(액션아이템!$C$3:$C$1002,MATCH(68,미완료현황!$L$6:$L$1005,0)),"")</f>
        <v/>
      </c>
      <c r="C73" s="52" t="str">
        <f>IF($B73="","",IFERROR(INDEX(액션아이템!$D$3:$D$1002,MATCH(68,미완료현황!$L$6:$L$1005,0)),""))</f>
        <v/>
      </c>
      <c r="D73" s="52" t="str">
        <f>IF($B73="","",IFERROR(INDEX(액션아이템!$B$3:$B$1002,MATCH(68,미완료현황!$L$6:$L$1005,0)),""))</f>
        <v/>
      </c>
      <c r="E73" s="63" t="str">
        <f>IF($B73="","",IFERROR(INDEX(액션아이템!$E$3:$E$1002,MATCH(68,미완료현황!$L$6:$L$1005,0)),""))</f>
        <v/>
      </c>
      <c r="F73" s="62" t="str">
        <f>IF($B73="","",IFERROR(INDEX(액션아이템!$H$3:$H$1002,MATCH(68,미완료현황!$L$6:$L$1005,0)),""))</f>
        <v/>
      </c>
      <c r="G73" s="62" t="str">
        <f>IF($B73="","",IFERROR(INDEX(액션아이템!$F$3:$F$1002,MATCH(68,미완료현황!$L$6:$L$1005,0)),""))</f>
        <v/>
      </c>
      <c r="H73" s="62" t="str">
        <f>IF($B73="","",IFERROR(INDEX(액션아이템!$I$3:$I$1002,MATCH(68,미완료현황!$L$6:$L$1005,0)),""))</f>
        <v/>
      </c>
      <c r="J73" s="57" t="b">
        <f>IF(액션아이템!$C70="",FALSE(),OR(액션아이템!$F70="진행중",액션아이템!$F70="보류"))</f>
        <v>0</v>
      </c>
      <c r="K73" s="46" t="str">
        <f>IF($J73=FALSE(),"",IF(액션아이템!$E70="",99999999,액션아이템!$E70)*100+ROW()/1000)</f>
        <v/>
      </c>
      <c r="L73" s="46" t="str">
        <f>IF($K73="","",RANK($K73,$K$6:$K$1005,1))</f>
        <v/>
      </c>
    </row>
    <row r="74" ht="15" customHeight="1" s="41">
      <c r="A74" s="62" t="str">
        <f>IF($B74="","",69)</f>
        <v/>
      </c>
      <c r="B74" s="52" t="str">
        <f>IFERROR(INDEX(액션아이템!$C$3:$C$1002,MATCH(69,미완료현황!$L$6:$L$1005,0)),"")</f>
        <v/>
      </c>
      <c r="C74" s="52" t="str">
        <f>IF($B74="","",IFERROR(INDEX(액션아이템!$D$3:$D$1002,MATCH(69,미완료현황!$L$6:$L$1005,0)),""))</f>
        <v/>
      </c>
      <c r="D74" s="52" t="str">
        <f>IF($B74="","",IFERROR(INDEX(액션아이템!$B$3:$B$1002,MATCH(69,미완료현황!$L$6:$L$1005,0)),""))</f>
        <v/>
      </c>
      <c r="E74" s="63" t="str">
        <f>IF($B74="","",IFERROR(INDEX(액션아이템!$E$3:$E$1002,MATCH(69,미완료현황!$L$6:$L$1005,0)),""))</f>
        <v/>
      </c>
      <c r="F74" s="62" t="str">
        <f>IF($B74="","",IFERROR(INDEX(액션아이템!$H$3:$H$1002,MATCH(69,미완료현황!$L$6:$L$1005,0)),""))</f>
        <v/>
      </c>
      <c r="G74" s="62" t="str">
        <f>IF($B74="","",IFERROR(INDEX(액션아이템!$F$3:$F$1002,MATCH(69,미완료현황!$L$6:$L$1005,0)),""))</f>
        <v/>
      </c>
      <c r="H74" s="62" t="str">
        <f>IF($B74="","",IFERROR(INDEX(액션아이템!$I$3:$I$1002,MATCH(69,미완료현황!$L$6:$L$1005,0)),""))</f>
        <v/>
      </c>
      <c r="J74" s="57" t="b">
        <f>IF(액션아이템!$C71="",FALSE(),OR(액션아이템!$F71="진행중",액션아이템!$F71="보류"))</f>
        <v>0</v>
      </c>
      <c r="K74" s="46" t="str">
        <f>IF($J74=FALSE(),"",IF(액션아이템!$E71="",99999999,액션아이템!$E71)*100+ROW()/1000)</f>
        <v/>
      </c>
      <c r="L74" s="46" t="str">
        <f>IF($K74="","",RANK($K74,$K$6:$K$1005,1))</f>
        <v/>
      </c>
    </row>
    <row r="75" ht="15" customHeight="1" s="41">
      <c r="A75" s="62" t="str">
        <f>IF($B75="","",70)</f>
        <v/>
      </c>
      <c r="B75" s="52" t="str">
        <f>IFERROR(INDEX(액션아이템!$C$3:$C$1002,MATCH(70,미완료현황!$L$6:$L$1005,0)),"")</f>
        <v/>
      </c>
      <c r="C75" s="52" t="str">
        <f>IF($B75="","",IFERROR(INDEX(액션아이템!$D$3:$D$1002,MATCH(70,미완료현황!$L$6:$L$1005,0)),""))</f>
        <v/>
      </c>
      <c r="D75" s="52" t="str">
        <f>IF($B75="","",IFERROR(INDEX(액션아이템!$B$3:$B$1002,MATCH(70,미완료현황!$L$6:$L$1005,0)),""))</f>
        <v/>
      </c>
      <c r="E75" s="63" t="str">
        <f>IF($B75="","",IFERROR(INDEX(액션아이템!$E$3:$E$1002,MATCH(70,미완료현황!$L$6:$L$1005,0)),""))</f>
        <v/>
      </c>
      <c r="F75" s="62" t="str">
        <f>IF($B75="","",IFERROR(INDEX(액션아이템!$H$3:$H$1002,MATCH(70,미완료현황!$L$6:$L$1005,0)),""))</f>
        <v/>
      </c>
      <c r="G75" s="62" t="str">
        <f>IF($B75="","",IFERROR(INDEX(액션아이템!$F$3:$F$1002,MATCH(70,미완료현황!$L$6:$L$1005,0)),""))</f>
        <v/>
      </c>
      <c r="H75" s="62" t="str">
        <f>IF($B75="","",IFERROR(INDEX(액션아이템!$I$3:$I$1002,MATCH(70,미완료현황!$L$6:$L$1005,0)),""))</f>
        <v/>
      </c>
      <c r="J75" s="57" t="b">
        <f>IF(액션아이템!$C72="",FALSE(),OR(액션아이템!$F72="진행중",액션아이템!$F72="보류"))</f>
        <v>0</v>
      </c>
      <c r="K75" s="46" t="str">
        <f>IF($J75=FALSE(),"",IF(액션아이템!$E72="",99999999,액션아이템!$E72)*100+ROW()/1000)</f>
        <v/>
      </c>
      <c r="L75" s="46" t="str">
        <f>IF($K75="","",RANK($K75,$K$6:$K$1005,1))</f>
        <v/>
      </c>
    </row>
    <row r="76" ht="15" customHeight="1" s="41">
      <c r="A76" s="62" t="str">
        <f>IF($B76="","",71)</f>
        <v/>
      </c>
      <c r="B76" s="52" t="str">
        <f>IFERROR(INDEX(액션아이템!$C$3:$C$1002,MATCH(71,미완료현황!$L$6:$L$1005,0)),"")</f>
        <v/>
      </c>
      <c r="C76" s="52" t="str">
        <f>IF($B76="","",IFERROR(INDEX(액션아이템!$D$3:$D$1002,MATCH(71,미완료현황!$L$6:$L$1005,0)),""))</f>
        <v/>
      </c>
      <c r="D76" s="52" t="str">
        <f>IF($B76="","",IFERROR(INDEX(액션아이템!$B$3:$B$1002,MATCH(71,미완료현황!$L$6:$L$1005,0)),""))</f>
        <v/>
      </c>
      <c r="E76" s="63" t="str">
        <f>IF($B76="","",IFERROR(INDEX(액션아이템!$E$3:$E$1002,MATCH(71,미완료현황!$L$6:$L$1005,0)),""))</f>
        <v/>
      </c>
      <c r="F76" s="62" t="str">
        <f>IF($B76="","",IFERROR(INDEX(액션아이템!$H$3:$H$1002,MATCH(71,미완료현황!$L$6:$L$1005,0)),""))</f>
        <v/>
      </c>
      <c r="G76" s="62" t="str">
        <f>IF($B76="","",IFERROR(INDEX(액션아이템!$F$3:$F$1002,MATCH(71,미완료현황!$L$6:$L$1005,0)),""))</f>
        <v/>
      </c>
      <c r="H76" s="62" t="str">
        <f>IF($B76="","",IFERROR(INDEX(액션아이템!$I$3:$I$1002,MATCH(71,미완료현황!$L$6:$L$1005,0)),""))</f>
        <v/>
      </c>
      <c r="J76" s="57" t="b">
        <f>IF(액션아이템!$C73="",FALSE(),OR(액션아이템!$F73="진행중",액션아이템!$F73="보류"))</f>
        <v>0</v>
      </c>
      <c r="K76" s="46" t="str">
        <f>IF($J76=FALSE(),"",IF(액션아이템!$E73="",99999999,액션아이템!$E73)*100+ROW()/1000)</f>
        <v/>
      </c>
      <c r="L76" s="46" t="str">
        <f>IF($K76="","",RANK($K76,$K$6:$K$1005,1))</f>
        <v/>
      </c>
    </row>
    <row r="77" ht="15" customHeight="1" s="41">
      <c r="A77" s="62" t="str">
        <f>IF($B77="","",72)</f>
        <v/>
      </c>
      <c r="B77" s="52" t="str">
        <f>IFERROR(INDEX(액션아이템!$C$3:$C$1002,MATCH(72,미완료현황!$L$6:$L$1005,0)),"")</f>
        <v/>
      </c>
      <c r="C77" s="52" t="str">
        <f>IF($B77="","",IFERROR(INDEX(액션아이템!$D$3:$D$1002,MATCH(72,미완료현황!$L$6:$L$1005,0)),""))</f>
        <v/>
      </c>
      <c r="D77" s="52" t="str">
        <f>IF($B77="","",IFERROR(INDEX(액션아이템!$B$3:$B$1002,MATCH(72,미완료현황!$L$6:$L$1005,0)),""))</f>
        <v/>
      </c>
      <c r="E77" s="63" t="str">
        <f>IF($B77="","",IFERROR(INDEX(액션아이템!$E$3:$E$1002,MATCH(72,미완료현황!$L$6:$L$1005,0)),""))</f>
        <v/>
      </c>
      <c r="F77" s="62" t="str">
        <f>IF($B77="","",IFERROR(INDEX(액션아이템!$H$3:$H$1002,MATCH(72,미완료현황!$L$6:$L$1005,0)),""))</f>
        <v/>
      </c>
      <c r="G77" s="62" t="str">
        <f>IF($B77="","",IFERROR(INDEX(액션아이템!$F$3:$F$1002,MATCH(72,미완료현황!$L$6:$L$1005,0)),""))</f>
        <v/>
      </c>
      <c r="H77" s="62" t="str">
        <f>IF($B77="","",IFERROR(INDEX(액션아이템!$I$3:$I$1002,MATCH(72,미완료현황!$L$6:$L$1005,0)),""))</f>
        <v/>
      </c>
      <c r="J77" s="57" t="b">
        <f>IF(액션아이템!$C74="",FALSE(),OR(액션아이템!$F74="진행중",액션아이템!$F74="보류"))</f>
        <v>0</v>
      </c>
      <c r="K77" s="46" t="str">
        <f>IF($J77=FALSE(),"",IF(액션아이템!$E74="",99999999,액션아이템!$E74)*100+ROW()/1000)</f>
        <v/>
      </c>
      <c r="L77" s="46" t="str">
        <f>IF($K77="","",RANK($K77,$K$6:$K$1005,1))</f>
        <v/>
      </c>
    </row>
    <row r="78" ht="15" customHeight="1" s="41">
      <c r="A78" s="62" t="str">
        <f>IF($B78="","",73)</f>
        <v/>
      </c>
      <c r="B78" s="52" t="str">
        <f>IFERROR(INDEX(액션아이템!$C$3:$C$1002,MATCH(73,미완료현황!$L$6:$L$1005,0)),"")</f>
        <v/>
      </c>
      <c r="C78" s="52" t="str">
        <f>IF($B78="","",IFERROR(INDEX(액션아이템!$D$3:$D$1002,MATCH(73,미완료현황!$L$6:$L$1005,0)),""))</f>
        <v/>
      </c>
      <c r="D78" s="52" t="str">
        <f>IF($B78="","",IFERROR(INDEX(액션아이템!$B$3:$B$1002,MATCH(73,미완료현황!$L$6:$L$1005,0)),""))</f>
        <v/>
      </c>
      <c r="E78" s="63" t="str">
        <f>IF($B78="","",IFERROR(INDEX(액션아이템!$E$3:$E$1002,MATCH(73,미완료현황!$L$6:$L$1005,0)),""))</f>
        <v/>
      </c>
      <c r="F78" s="62" t="str">
        <f>IF($B78="","",IFERROR(INDEX(액션아이템!$H$3:$H$1002,MATCH(73,미완료현황!$L$6:$L$1005,0)),""))</f>
        <v/>
      </c>
      <c r="G78" s="62" t="str">
        <f>IF($B78="","",IFERROR(INDEX(액션아이템!$F$3:$F$1002,MATCH(73,미완료현황!$L$6:$L$1005,0)),""))</f>
        <v/>
      </c>
      <c r="H78" s="62" t="str">
        <f>IF($B78="","",IFERROR(INDEX(액션아이템!$I$3:$I$1002,MATCH(73,미완료현황!$L$6:$L$1005,0)),""))</f>
        <v/>
      </c>
      <c r="J78" s="57" t="b">
        <f>IF(액션아이템!$C75="",FALSE(),OR(액션아이템!$F75="진행중",액션아이템!$F75="보류"))</f>
        <v>0</v>
      </c>
      <c r="K78" s="46" t="str">
        <f>IF($J78=FALSE(),"",IF(액션아이템!$E75="",99999999,액션아이템!$E75)*100+ROW()/1000)</f>
        <v/>
      </c>
      <c r="L78" s="46" t="str">
        <f>IF($K78="","",RANK($K78,$K$6:$K$1005,1))</f>
        <v/>
      </c>
    </row>
    <row r="79" ht="15" customHeight="1" s="41">
      <c r="A79" s="62" t="str">
        <f>IF($B79="","",74)</f>
        <v/>
      </c>
      <c r="B79" s="52" t="str">
        <f>IFERROR(INDEX(액션아이템!$C$3:$C$1002,MATCH(74,미완료현황!$L$6:$L$1005,0)),"")</f>
        <v/>
      </c>
      <c r="C79" s="52" t="str">
        <f>IF($B79="","",IFERROR(INDEX(액션아이템!$D$3:$D$1002,MATCH(74,미완료현황!$L$6:$L$1005,0)),""))</f>
        <v/>
      </c>
      <c r="D79" s="52" t="str">
        <f>IF($B79="","",IFERROR(INDEX(액션아이템!$B$3:$B$1002,MATCH(74,미완료현황!$L$6:$L$1005,0)),""))</f>
        <v/>
      </c>
      <c r="E79" s="63" t="str">
        <f>IF($B79="","",IFERROR(INDEX(액션아이템!$E$3:$E$1002,MATCH(74,미완료현황!$L$6:$L$1005,0)),""))</f>
        <v/>
      </c>
      <c r="F79" s="62" t="str">
        <f>IF($B79="","",IFERROR(INDEX(액션아이템!$H$3:$H$1002,MATCH(74,미완료현황!$L$6:$L$1005,0)),""))</f>
        <v/>
      </c>
      <c r="G79" s="62" t="str">
        <f>IF($B79="","",IFERROR(INDEX(액션아이템!$F$3:$F$1002,MATCH(74,미완료현황!$L$6:$L$1005,0)),""))</f>
        <v/>
      </c>
      <c r="H79" s="62" t="str">
        <f>IF($B79="","",IFERROR(INDEX(액션아이템!$I$3:$I$1002,MATCH(74,미완료현황!$L$6:$L$1005,0)),""))</f>
        <v/>
      </c>
      <c r="J79" s="57" t="b">
        <f>IF(액션아이템!$C76="",FALSE(),OR(액션아이템!$F76="진행중",액션아이템!$F76="보류"))</f>
        <v>0</v>
      </c>
      <c r="K79" s="46" t="str">
        <f>IF($J79=FALSE(),"",IF(액션아이템!$E76="",99999999,액션아이템!$E76)*100+ROW()/1000)</f>
        <v/>
      </c>
      <c r="L79" s="46" t="str">
        <f>IF($K79="","",RANK($K79,$K$6:$K$1005,1))</f>
        <v/>
      </c>
    </row>
    <row r="80" ht="15" customHeight="1" s="41">
      <c r="A80" s="62" t="str">
        <f>IF($B80="","",75)</f>
        <v/>
      </c>
      <c r="B80" s="52" t="str">
        <f>IFERROR(INDEX(액션아이템!$C$3:$C$1002,MATCH(75,미완료현황!$L$6:$L$1005,0)),"")</f>
        <v/>
      </c>
      <c r="C80" s="52" t="str">
        <f>IF($B80="","",IFERROR(INDEX(액션아이템!$D$3:$D$1002,MATCH(75,미완료현황!$L$6:$L$1005,0)),""))</f>
        <v/>
      </c>
      <c r="D80" s="52" t="str">
        <f>IF($B80="","",IFERROR(INDEX(액션아이템!$B$3:$B$1002,MATCH(75,미완료현황!$L$6:$L$1005,0)),""))</f>
        <v/>
      </c>
      <c r="E80" s="63" t="str">
        <f>IF($B80="","",IFERROR(INDEX(액션아이템!$E$3:$E$1002,MATCH(75,미완료현황!$L$6:$L$1005,0)),""))</f>
        <v/>
      </c>
      <c r="F80" s="62" t="str">
        <f>IF($B80="","",IFERROR(INDEX(액션아이템!$H$3:$H$1002,MATCH(75,미완료현황!$L$6:$L$1005,0)),""))</f>
        <v/>
      </c>
      <c r="G80" s="62" t="str">
        <f>IF($B80="","",IFERROR(INDEX(액션아이템!$F$3:$F$1002,MATCH(75,미완료현황!$L$6:$L$1005,0)),""))</f>
        <v/>
      </c>
      <c r="H80" s="62" t="str">
        <f>IF($B80="","",IFERROR(INDEX(액션아이템!$I$3:$I$1002,MATCH(75,미완료현황!$L$6:$L$1005,0)),""))</f>
        <v/>
      </c>
      <c r="J80" s="57" t="b">
        <f>IF(액션아이템!$C77="",FALSE(),OR(액션아이템!$F77="진행중",액션아이템!$F77="보류"))</f>
        <v>0</v>
      </c>
      <c r="K80" s="46" t="str">
        <f>IF($J80=FALSE(),"",IF(액션아이템!$E77="",99999999,액션아이템!$E77)*100+ROW()/1000)</f>
        <v/>
      </c>
      <c r="L80" s="46" t="str">
        <f>IF($K80="","",RANK($K80,$K$6:$K$1005,1))</f>
        <v/>
      </c>
    </row>
    <row r="81" ht="15" customHeight="1" s="41">
      <c r="A81" s="62" t="str">
        <f>IF($B81="","",76)</f>
        <v/>
      </c>
      <c r="B81" s="52" t="str">
        <f>IFERROR(INDEX(액션아이템!$C$3:$C$1002,MATCH(76,미완료현황!$L$6:$L$1005,0)),"")</f>
        <v/>
      </c>
      <c r="C81" s="52" t="str">
        <f>IF($B81="","",IFERROR(INDEX(액션아이템!$D$3:$D$1002,MATCH(76,미완료현황!$L$6:$L$1005,0)),""))</f>
        <v/>
      </c>
      <c r="D81" s="52" t="str">
        <f>IF($B81="","",IFERROR(INDEX(액션아이템!$B$3:$B$1002,MATCH(76,미완료현황!$L$6:$L$1005,0)),""))</f>
        <v/>
      </c>
      <c r="E81" s="63" t="str">
        <f>IF($B81="","",IFERROR(INDEX(액션아이템!$E$3:$E$1002,MATCH(76,미완료현황!$L$6:$L$1005,0)),""))</f>
        <v/>
      </c>
      <c r="F81" s="62" t="str">
        <f>IF($B81="","",IFERROR(INDEX(액션아이템!$H$3:$H$1002,MATCH(76,미완료현황!$L$6:$L$1005,0)),""))</f>
        <v/>
      </c>
      <c r="G81" s="62" t="str">
        <f>IF($B81="","",IFERROR(INDEX(액션아이템!$F$3:$F$1002,MATCH(76,미완료현황!$L$6:$L$1005,0)),""))</f>
        <v/>
      </c>
      <c r="H81" s="62" t="str">
        <f>IF($B81="","",IFERROR(INDEX(액션아이템!$I$3:$I$1002,MATCH(76,미완료현황!$L$6:$L$1005,0)),""))</f>
        <v/>
      </c>
      <c r="J81" s="57" t="b">
        <f>IF(액션아이템!$C78="",FALSE(),OR(액션아이템!$F78="진행중",액션아이템!$F78="보류"))</f>
        <v>0</v>
      </c>
      <c r="K81" s="46" t="str">
        <f>IF($J81=FALSE(),"",IF(액션아이템!$E78="",99999999,액션아이템!$E78)*100+ROW()/1000)</f>
        <v/>
      </c>
      <c r="L81" s="46" t="str">
        <f>IF($K81="","",RANK($K81,$K$6:$K$1005,1))</f>
        <v/>
      </c>
    </row>
    <row r="82" ht="15" customHeight="1" s="41">
      <c r="A82" s="62" t="str">
        <f>IF($B82="","",77)</f>
        <v/>
      </c>
      <c r="B82" s="52" t="str">
        <f>IFERROR(INDEX(액션아이템!$C$3:$C$1002,MATCH(77,미완료현황!$L$6:$L$1005,0)),"")</f>
        <v/>
      </c>
      <c r="C82" s="52" t="str">
        <f>IF($B82="","",IFERROR(INDEX(액션아이템!$D$3:$D$1002,MATCH(77,미완료현황!$L$6:$L$1005,0)),""))</f>
        <v/>
      </c>
      <c r="D82" s="52" t="str">
        <f>IF($B82="","",IFERROR(INDEX(액션아이템!$B$3:$B$1002,MATCH(77,미완료현황!$L$6:$L$1005,0)),""))</f>
        <v/>
      </c>
      <c r="E82" s="63" t="str">
        <f>IF($B82="","",IFERROR(INDEX(액션아이템!$E$3:$E$1002,MATCH(77,미완료현황!$L$6:$L$1005,0)),""))</f>
        <v/>
      </c>
      <c r="F82" s="62" t="str">
        <f>IF($B82="","",IFERROR(INDEX(액션아이템!$H$3:$H$1002,MATCH(77,미완료현황!$L$6:$L$1005,0)),""))</f>
        <v/>
      </c>
      <c r="G82" s="62" t="str">
        <f>IF($B82="","",IFERROR(INDEX(액션아이템!$F$3:$F$1002,MATCH(77,미완료현황!$L$6:$L$1005,0)),""))</f>
        <v/>
      </c>
      <c r="H82" s="62" t="str">
        <f>IF($B82="","",IFERROR(INDEX(액션아이템!$I$3:$I$1002,MATCH(77,미완료현황!$L$6:$L$1005,0)),""))</f>
        <v/>
      </c>
      <c r="J82" s="57" t="b">
        <f>IF(액션아이템!$C79="",FALSE(),OR(액션아이템!$F79="진행중",액션아이템!$F79="보류"))</f>
        <v>0</v>
      </c>
      <c r="K82" s="46" t="str">
        <f>IF($J82=FALSE(),"",IF(액션아이템!$E79="",99999999,액션아이템!$E79)*100+ROW()/1000)</f>
        <v/>
      </c>
      <c r="L82" s="46" t="str">
        <f>IF($K82="","",RANK($K82,$K$6:$K$1005,1))</f>
        <v/>
      </c>
    </row>
    <row r="83" ht="15" customHeight="1" s="41">
      <c r="A83" s="62" t="str">
        <f>IF($B83="","",78)</f>
        <v/>
      </c>
      <c r="B83" s="52" t="str">
        <f>IFERROR(INDEX(액션아이템!$C$3:$C$1002,MATCH(78,미완료현황!$L$6:$L$1005,0)),"")</f>
        <v/>
      </c>
      <c r="C83" s="52" t="str">
        <f>IF($B83="","",IFERROR(INDEX(액션아이템!$D$3:$D$1002,MATCH(78,미완료현황!$L$6:$L$1005,0)),""))</f>
        <v/>
      </c>
      <c r="D83" s="52" t="str">
        <f>IF($B83="","",IFERROR(INDEX(액션아이템!$B$3:$B$1002,MATCH(78,미완료현황!$L$6:$L$1005,0)),""))</f>
        <v/>
      </c>
      <c r="E83" s="63" t="str">
        <f>IF($B83="","",IFERROR(INDEX(액션아이템!$E$3:$E$1002,MATCH(78,미완료현황!$L$6:$L$1005,0)),""))</f>
        <v/>
      </c>
      <c r="F83" s="62" t="str">
        <f>IF($B83="","",IFERROR(INDEX(액션아이템!$H$3:$H$1002,MATCH(78,미완료현황!$L$6:$L$1005,0)),""))</f>
        <v/>
      </c>
      <c r="G83" s="62" t="str">
        <f>IF($B83="","",IFERROR(INDEX(액션아이템!$F$3:$F$1002,MATCH(78,미완료현황!$L$6:$L$1005,0)),""))</f>
        <v/>
      </c>
      <c r="H83" s="62" t="str">
        <f>IF($B83="","",IFERROR(INDEX(액션아이템!$I$3:$I$1002,MATCH(78,미완료현황!$L$6:$L$1005,0)),""))</f>
        <v/>
      </c>
      <c r="J83" s="57" t="b">
        <f>IF(액션아이템!$C80="",FALSE(),OR(액션아이템!$F80="진행중",액션아이템!$F80="보류"))</f>
        <v>0</v>
      </c>
      <c r="K83" s="46" t="str">
        <f>IF($J83=FALSE(),"",IF(액션아이템!$E80="",99999999,액션아이템!$E80)*100+ROW()/1000)</f>
        <v/>
      </c>
      <c r="L83" s="46" t="str">
        <f>IF($K83="","",RANK($K83,$K$6:$K$1005,1))</f>
        <v/>
      </c>
    </row>
    <row r="84" ht="15" customHeight="1" s="41">
      <c r="A84" s="62" t="str">
        <f>IF($B84="","",79)</f>
        <v/>
      </c>
      <c r="B84" s="52" t="str">
        <f>IFERROR(INDEX(액션아이템!$C$3:$C$1002,MATCH(79,미완료현황!$L$6:$L$1005,0)),"")</f>
        <v/>
      </c>
      <c r="C84" s="52" t="str">
        <f>IF($B84="","",IFERROR(INDEX(액션아이템!$D$3:$D$1002,MATCH(79,미완료현황!$L$6:$L$1005,0)),""))</f>
        <v/>
      </c>
      <c r="D84" s="52" t="str">
        <f>IF($B84="","",IFERROR(INDEX(액션아이템!$B$3:$B$1002,MATCH(79,미완료현황!$L$6:$L$1005,0)),""))</f>
        <v/>
      </c>
      <c r="E84" s="63" t="str">
        <f>IF($B84="","",IFERROR(INDEX(액션아이템!$E$3:$E$1002,MATCH(79,미완료현황!$L$6:$L$1005,0)),""))</f>
        <v/>
      </c>
      <c r="F84" s="62" t="str">
        <f>IF($B84="","",IFERROR(INDEX(액션아이템!$H$3:$H$1002,MATCH(79,미완료현황!$L$6:$L$1005,0)),""))</f>
        <v/>
      </c>
      <c r="G84" s="62" t="str">
        <f>IF($B84="","",IFERROR(INDEX(액션아이템!$F$3:$F$1002,MATCH(79,미완료현황!$L$6:$L$1005,0)),""))</f>
        <v/>
      </c>
      <c r="H84" s="62" t="str">
        <f>IF($B84="","",IFERROR(INDEX(액션아이템!$I$3:$I$1002,MATCH(79,미완료현황!$L$6:$L$1005,0)),""))</f>
        <v/>
      </c>
      <c r="J84" s="57" t="b">
        <f>IF(액션아이템!$C81="",FALSE(),OR(액션아이템!$F81="진행중",액션아이템!$F81="보류"))</f>
        <v>0</v>
      </c>
      <c r="K84" s="46" t="str">
        <f>IF($J84=FALSE(),"",IF(액션아이템!$E81="",99999999,액션아이템!$E81)*100+ROW()/1000)</f>
        <v/>
      </c>
      <c r="L84" s="46" t="str">
        <f>IF($K84="","",RANK($K84,$K$6:$K$1005,1))</f>
        <v/>
      </c>
    </row>
    <row r="85" ht="15" customHeight="1" s="41">
      <c r="A85" s="62" t="str">
        <f>IF($B85="","",80)</f>
        <v/>
      </c>
      <c r="B85" s="52" t="str">
        <f>IFERROR(INDEX(액션아이템!$C$3:$C$1002,MATCH(80,미완료현황!$L$6:$L$1005,0)),"")</f>
        <v/>
      </c>
      <c r="C85" s="52" t="str">
        <f>IF($B85="","",IFERROR(INDEX(액션아이템!$D$3:$D$1002,MATCH(80,미완료현황!$L$6:$L$1005,0)),""))</f>
        <v/>
      </c>
      <c r="D85" s="52" t="str">
        <f>IF($B85="","",IFERROR(INDEX(액션아이템!$B$3:$B$1002,MATCH(80,미완료현황!$L$6:$L$1005,0)),""))</f>
        <v/>
      </c>
      <c r="E85" s="63" t="str">
        <f>IF($B85="","",IFERROR(INDEX(액션아이템!$E$3:$E$1002,MATCH(80,미완료현황!$L$6:$L$1005,0)),""))</f>
        <v/>
      </c>
      <c r="F85" s="62" t="str">
        <f>IF($B85="","",IFERROR(INDEX(액션아이템!$H$3:$H$1002,MATCH(80,미완료현황!$L$6:$L$1005,0)),""))</f>
        <v/>
      </c>
      <c r="G85" s="62" t="str">
        <f>IF($B85="","",IFERROR(INDEX(액션아이템!$F$3:$F$1002,MATCH(80,미완료현황!$L$6:$L$1005,0)),""))</f>
        <v/>
      </c>
      <c r="H85" s="62" t="str">
        <f>IF($B85="","",IFERROR(INDEX(액션아이템!$I$3:$I$1002,MATCH(80,미완료현황!$L$6:$L$1005,0)),""))</f>
        <v/>
      </c>
      <c r="J85" s="57" t="b">
        <f>IF(액션아이템!$C82="",FALSE(),OR(액션아이템!$F82="진행중",액션아이템!$F82="보류"))</f>
        <v>0</v>
      </c>
      <c r="K85" s="46" t="str">
        <f>IF($J85=FALSE(),"",IF(액션아이템!$E82="",99999999,액션아이템!$E82)*100+ROW()/1000)</f>
        <v/>
      </c>
      <c r="L85" s="46" t="str">
        <f>IF($K85="","",RANK($K85,$K$6:$K$1005,1))</f>
        <v/>
      </c>
    </row>
    <row r="86" ht="15" customHeight="1" s="41">
      <c r="J86" s="57" t="b">
        <f>IF(액션아이템!$C83="",FALSE(),OR(액션아이템!$F83="진행중",액션아이템!$F83="보류"))</f>
        <v>0</v>
      </c>
      <c r="K86" s="46" t="str">
        <f>IF($J86=FALSE(),"",IF(액션아이템!$E83="",99999999,액션아이템!$E83)*100+ROW()/1000)</f>
        <v/>
      </c>
      <c r="L86" s="46" t="str">
        <f>IF($K86="","",RANK($K86,$K$6:$K$1005,1))</f>
        <v/>
      </c>
    </row>
    <row r="87" ht="15" customHeight="1" s="41">
      <c r="J87" s="57" t="b">
        <f>IF(액션아이템!$C84="",FALSE(),OR(액션아이템!$F84="진행중",액션아이템!$F84="보류"))</f>
        <v>0</v>
      </c>
      <c r="K87" s="46" t="str">
        <f>IF($J87=FALSE(),"",IF(액션아이템!$E84="",99999999,액션아이템!$E84)*100+ROW()/1000)</f>
        <v/>
      </c>
      <c r="L87" s="46" t="str">
        <f>IF($K87="","",RANK($K87,$K$6:$K$1005,1))</f>
        <v/>
      </c>
    </row>
    <row r="88" ht="15" customHeight="1" s="41">
      <c r="A88" s="46" t="inlineStr">
        <is>
          <t>※ 기한이 빠른 순서로 정렬됩니다. 80건까지 표시됩니다.</t>
        </is>
      </c>
      <c r="J88" s="57" t="b">
        <f>IF(액션아이템!$C85="",FALSE(),OR(액션아이템!$F85="진행중",액션아이템!$F85="보류"))</f>
        <v>0</v>
      </c>
      <c r="K88" s="46" t="str">
        <f>IF($J88=FALSE(),"",IF(액션아이템!$E85="",99999999,액션아이템!$E85)*100+ROW()/1000)</f>
        <v/>
      </c>
      <c r="L88" s="46" t="str">
        <f>IF($K88="","",RANK($K88,$K$6:$K$1005,1))</f>
        <v/>
      </c>
    </row>
    <row r="89" ht="15" customHeight="1" s="41">
      <c r="J89" s="57" t="b">
        <f>IF(액션아이템!$C86="",FALSE(),OR(액션아이템!$F86="진행중",액션아이템!$F86="보류"))</f>
        <v>0</v>
      </c>
      <c r="K89" s="46" t="str">
        <f>IF($J89=FALSE(),"",IF(액션아이템!$E86="",99999999,액션아이템!$E86)*100+ROW()/1000)</f>
        <v/>
      </c>
      <c r="L89" s="46" t="str">
        <f>IF($K89="","",RANK($K89,$K$6:$K$1005,1))</f>
        <v/>
      </c>
    </row>
    <row r="90" ht="15" customHeight="1" s="41">
      <c r="J90" s="57" t="b">
        <f>IF(액션아이템!$C87="",FALSE(),OR(액션아이템!$F87="진행중",액션아이템!$F87="보류"))</f>
        <v>0</v>
      </c>
      <c r="K90" s="46" t="str">
        <f>IF($J90=FALSE(),"",IF(액션아이템!$E87="",99999999,액션아이템!$E87)*100+ROW()/1000)</f>
        <v/>
      </c>
      <c r="L90" s="46" t="str">
        <f>IF($K90="","",RANK($K90,$K$6:$K$1005,1))</f>
        <v/>
      </c>
    </row>
    <row r="91" ht="15" customHeight="1" s="41">
      <c r="J91" s="57" t="b">
        <f>IF(액션아이템!$C88="",FALSE(),OR(액션아이템!$F88="진행중",액션아이템!$F88="보류"))</f>
        <v>0</v>
      </c>
      <c r="K91" s="46" t="str">
        <f>IF($J91=FALSE(),"",IF(액션아이템!$E88="",99999999,액션아이템!$E88)*100+ROW()/1000)</f>
        <v/>
      </c>
      <c r="L91" s="46" t="str">
        <f>IF($K91="","",RANK($K91,$K$6:$K$1005,1))</f>
        <v/>
      </c>
    </row>
    <row r="92" ht="15" customHeight="1" s="41">
      <c r="J92" s="57" t="b">
        <f>IF(액션아이템!$C89="",FALSE(),OR(액션아이템!$F89="진행중",액션아이템!$F89="보류"))</f>
        <v>0</v>
      </c>
      <c r="K92" s="46" t="str">
        <f>IF($J92=FALSE(),"",IF(액션아이템!$E89="",99999999,액션아이템!$E89)*100+ROW()/1000)</f>
        <v/>
      </c>
      <c r="L92" s="46" t="str">
        <f>IF($K92="","",RANK($K92,$K$6:$K$1005,1))</f>
        <v/>
      </c>
    </row>
    <row r="93" ht="15" customHeight="1" s="41">
      <c r="J93" s="57" t="b">
        <f>IF(액션아이템!$C90="",FALSE(),OR(액션아이템!$F90="진행중",액션아이템!$F90="보류"))</f>
        <v>0</v>
      </c>
      <c r="K93" s="46" t="str">
        <f>IF($J93=FALSE(),"",IF(액션아이템!$E90="",99999999,액션아이템!$E90)*100+ROW()/1000)</f>
        <v/>
      </c>
      <c r="L93" s="46" t="str">
        <f>IF($K93="","",RANK($K93,$K$6:$K$1005,1))</f>
        <v/>
      </c>
    </row>
    <row r="94" ht="15" customHeight="1" s="41">
      <c r="J94" s="57" t="b">
        <f>IF(액션아이템!$C91="",FALSE(),OR(액션아이템!$F91="진행중",액션아이템!$F91="보류"))</f>
        <v>0</v>
      </c>
      <c r="K94" s="46" t="str">
        <f>IF($J94=FALSE(),"",IF(액션아이템!$E91="",99999999,액션아이템!$E91)*100+ROW()/1000)</f>
        <v/>
      </c>
      <c r="L94" s="46" t="str">
        <f>IF($K94="","",RANK($K94,$K$6:$K$1005,1))</f>
        <v/>
      </c>
    </row>
    <row r="95" ht="15" customHeight="1" s="41">
      <c r="J95" s="57" t="b">
        <f>IF(액션아이템!$C92="",FALSE(),OR(액션아이템!$F92="진행중",액션아이템!$F92="보류"))</f>
        <v>0</v>
      </c>
      <c r="K95" s="46" t="str">
        <f>IF($J95=FALSE(),"",IF(액션아이템!$E92="",99999999,액션아이템!$E92)*100+ROW()/1000)</f>
        <v/>
      </c>
      <c r="L95" s="46" t="str">
        <f>IF($K95="","",RANK($K95,$K$6:$K$1005,1))</f>
        <v/>
      </c>
    </row>
    <row r="96" ht="15" customHeight="1" s="41">
      <c r="J96" s="57" t="b">
        <f>IF(액션아이템!$C93="",FALSE(),OR(액션아이템!$F93="진행중",액션아이템!$F93="보류"))</f>
        <v>0</v>
      </c>
      <c r="K96" s="46" t="str">
        <f>IF($J96=FALSE(),"",IF(액션아이템!$E93="",99999999,액션아이템!$E93)*100+ROW()/1000)</f>
        <v/>
      </c>
      <c r="L96" s="46" t="str">
        <f>IF($K96="","",RANK($K96,$K$6:$K$1005,1))</f>
        <v/>
      </c>
    </row>
    <row r="97" ht="15" customHeight="1" s="41">
      <c r="J97" s="57" t="b">
        <f>IF(액션아이템!$C94="",FALSE(),OR(액션아이템!$F94="진행중",액션아이템!$F94="보류"))</f>
        <v>0</v>
      </c>
      <c r="K97" s="46" t="str">
        <f>IF($J97=FALSE(),"",IF(액션아이템!$E94="",99999999,액션아이템!$E94)*100+ROW()/1000)</f>
        <v/>
      </c>
      <c r="L97" s="46" t="str">
        <f>IF($K97="","",RANK($K97,$K$6:$K$1005,1))</f>
        <v/>
      </c>
    </row>
    <row r="98" ht="15" customHeight="1" s="41">
      <c r="J98" s="57" t="b">
        <f>IF(액션아이템!$C95="",FALSE(),OR(액션아이템!$F95="진행중",액션아이템!$F95="보류"))</f>
        <v>0</v>
      </c>
      <c r="K98" s="46" t="str">
        <f>IF($J98=FALSE(),"",IF(액션아이템!$E95="",99999999,액션아이템!$E95)*100+ROW()/1000)</f>
        <v/>
      </c>
      <c r="L98" s="46" t="str">
        <f>IF($K98="","",RANK($K98,$K$6:$K$1005,1))</f>
        <v/>
      </c>
    </row>
    <row r="99" ht="15" customHeight="1" s="41">
      <c r="J99" s="57" t="b">
        <f>IF(액션아이템!$C96="",FALSE(),OR(액션아이템!$F96="진행중",액션아이템!$F96="보류"))</f>
        <v>0</v>
      </c>
      <c r="K99" s="46" t="str">
        <f>IF($J99=FALSE(),"",IF(액션아이템!$E96="",99999999,액션아이템!$E96)*100+ROW()/1000)</f>
        <v/>
      </c>
      <c r="L99" s="46" t="str">
        <f>IF($K99="","",RANK($K99,$K$6:$K$1005,1))</f>
        <v/>
      </c>
    </row>
    <row r="100" ht="15" customHeight="1" s="41">
      <c r="J100" s="57" t="b">
        <f>IF(액션아이템!$C97="",FALSE(),OR(액션아이템!$F97="진행중",액션아이템!$F97="보류"))</f>
        <v>0</v>
      </c>
      <c r="K100" s="46" t="str">
        <f>IF($J100=FALSE(),"",IF(액션아이템!$E97="",99999999,액션아이템!$E97)*100+ROW()/1000)</f>
        <v/>
      </c>
      <c r="L100" s="46" t="str">
        <f>IF($K100="","",RANK($K100,$K$6:$K$1005,1))</f>
        <v/>
      </c>
    </row>
    <row r="101" ht="15" customHeight="1" s="41">
      <c r="J101" s="57" t="b">
        <f>IF(액션아이템!$C98="",FALSE(),OR(액션아이템!$F98="진행중",액션아이템!$F98="보류"))</f>
        <v>0</v>
      </c>
      <c r="K101" s="46" t="str">
        <f>IF($J101=FALSE(),"",IF(액션아이템!$E98="",99999999,액션아이템!$E98)*100+ROW()/1000)</f>
        <v/>
      </c>
      <c r="L101" s="46" t="str">
        <f>IF($K101="","",RANK($K101,$K$6:$K$1005,1))</f>
        <v/>
      </c>
    </row>
    <row r="102" ht="15" customHeight="1" s="41">
      <c r="J102" s="57" t="b">
        <f>IF(액션아이템!$C99="",FALSE(),OR(액션아이템!$F99="진행중",액션아이템!$F99="보류"))</f>
        <v>0</v>
      </c>
      <c r="K102" s="46" t="str">
        <f>IF($J102=FALSE(),"",IF(액션아이템!$E99="",99999999,액션아이템!$E99)*100+ROW()/1000)</f>
        <v/>
      </c>
      <c r="L102" s="46" t="str">
        <f>IF($K102="","",RANK($K102,$K$6:$K$1005,1))</f>
        <v/>
      </c>
    </row>
    <row r="103" ht="15" customHeight="1" s="41">
      <c r="J103" s="57" t="b">
        <f>IF(액션아이템!$C100="",FALSE(),OR(액션아이템!$F100="진행중",액션아이템!$F100="보류"))</f>
        <v>0</v>
      </c>
      <c r="K103" s="46" t="str">
        <f>IF($J103=FALSE(),"",IF(액션아이템!$E100="",99999999,액션아이템!$E100)*100+ROW()/1000)</f>
        <v/>
      </c>
      <c r="L103" s="46" t="str">
        <f>IF($K103="","",RANK($K103,$K$6:$K$1005,1))</f>
        <v/>
      </c>
    </row>
    <row r="104" ht="15" customHeight="1" s="41">
      <c r="J104" s="57" t="b">
        <f>IF(액션아이템!$C101="",FALSE(),OR(액션아이템!$F101="진행중",액션아이템!$F101="보류"))</f>
        <v>0</v>
      </c>
      <c r="K104" s="46" t="str">
        <f>IF($J104=FALSE(),"",IF(액션아이템!$E101="",99999999,액션아이템!$E101)*100+ROW()/1000)</f>
        <v/>
      </c>
      <c r="L104" s="46" t="str">
        <f>IF($K104="","",RANK($K104,$K$6:$K$1005,1))</f>
        <v/>
      </c>
    </row>
    <row r="105" ht="15" customHeight="1" s="41">
      <c r="J105" s="57" t="b">
        <f>IF(액션아이템!$C102="",FALSE(),OR(액션아이템!$F102="진행중",액션아이템!$F102="보류"))</f>
        <v>0</v>
      </c>
      <c r="K105" s="46" t="str">
        <f>IF($J105=FALSE(),"",IF(액션아이템!$E102="",99999999,액션아이템!$E102)*100+ROW()/1000)</f>
        <v/>
      </c>
      <c r="L105" s="46" t="str">
        <f>IF($K105="","",RANK($K105,$K$6:$K$1005,1))</f>
        <v/>
      </c>
    </row>
    <row r="106" ht="15" customHeight="1" s="41">
      <c r="J106" s="57" t="b">
        <f>IF(액션아이템!$C103="",FALSE(),OR(액션아이템!$F103="진행중",액션아이템!$F103="보류"))</f>
        <v>0</v>
      </c>
      <c r="K106" s="46" t="str">
        <f>IF($J106=FALSE(),"",IF(액션아이템!$E103="",99999999,액션아이템!$E103)*100+ROW()/1000)</f>
        <v/>
      </c>
      <c r="L106" s="46" t="str">
        <f>IF($K106="","",RANK($K106,$K$6:$K$1005,1))</f>
        <v/>
      </c>
    </row>
    <row r="107" ht="15" customHeight="1" s="41">
      <c r="J107" s="57" t="b">
        <f>IF(액션아이템!$C104="",FALSE(),OR(액션아이템!$F104="진행중",액션아이템!$F104="보류"))</f>
        <v>0</v>
      </c>
      <c r="K107" s="46" t="str">
        <f>IF($J107=FALSE(),"",IF(액션아이템!$E104="",99999999,액션아이템!$E104)*100+ROW()/1000)</f>
        <v/>
      </c>
      <c r="L107" s="46" t="str">
        <f>IF($K107="","",RANK($K107,$K$6:$K$1005,1))</f>
        <v/>
      </c>
    </row>
    <row r="108" ht="15" customHeight="1" s="41">
      <c r="J108" s="57" t="b">
        <f>IF(액션아이템!$C105="",FALSE(),OR(액션아이템!$F105="진행중",액션아이템!$F105="보류"))</f>
        <v>0</v>
      </c>
      <c r="K108" s="46" t="str">
        <f>IF($J108=FALSE(),"",IF(액션아이템!$E105="",99999999,액션아이템!$E105)*100+ROW()/1000)</f>
        <v/>
      </c>
      <c r="L108" s="46" t="str">
        <f>IF($K108="","",RANK($K108,$K$6:$K$1005,1))</f>
        <v/>
      </c>
    </row>
    <row r="109" ht="15" customHeight="1" s="41">
      <c r="J109" s="57" t="b">
        <f>IF(액션아이템!$C106="",FALSE(),OR(액션아이템!$F106="진행중",액션아이템!$F106="보류"))</f>
        <v>0</v>
      </c>
      <c r="K109" s="46" t="str">
        <f>IF($J109=FALSE(),"",IF(액션아이템!$E106="",99999999,액션아이템!$E106)*100+ROW()/1000)</f>
        <v/>
      </c>
      <c r="L109" s="46" t="str">
        <f>IF($K109="","",RANK($K109,$K$6:$K$1005,1))</f>
        <v/>
      </c>
    </row>
    <row r="110" ht="15" customHeight="1" s="41">
      <c r="J110" s="57" t="b">
        <f>IF(액션아이템!$C107="",FALSE(),OR(액션아이템!$F107="진행중",액션아이템!$F107="보류"))</f>
        <v>0</v>
      </c>
      <c r="K110" s="46" t="str">
        <f>IF($J110=FALSE(),"",IF(액션아이템!$E107="",99999999,액션아이템!$E107)*100+ROW()/1000)</f>
        <v/>
      </c>
      <c r="L110" s="46" t="str">
        <f>IF($K110="","",RANK($K110,$K$6:$K$1005,1))</f>
        <v/>
      </c>
    </row>
    <row r="111" ht="15" customHeight="1" s="41">
      <c r="J111" s="57" t="b">
        <f>IF(액션아이템!$C108="",FALSE(),OR(액션아이템!$F108="진행중",액션아이템!$F108="보류"))</f>
        <v>0</v>
      </c>
      <c r="K111" s="46" t="str">
        <f>IF($J111=FALSE(),"",IF(액션아이템!$E108="",99999999,액션아이템!$E108)*100+ROW()/1000)</f>
        <v/>
      </c>
      <c r="L111" s="46" t="str">
        <f>IF($K111="","",RANK($K111,$K$6:$K$1005,1))</f>
        <v/>
      </c>
    </row>
    <row r="112" ht="15" customHeight="1" s="41">
      <c r="J112" s="57" t="b">
        <f>IF(액션아이템!$C109="",FALSE(),OR(액션아이템!$F109="진행중",액션아이템!$F109="보류"))</f>
        <v>0</v>
      </c>
      <c r="K112" s="46" t="str">
        <f>IF($J112=FALSE(),"",IF(액션아이템!$E109="",99999999,액션아이템!$E109)*100+ROW()/1000)</f>
        <v/>
      </c>
      <c r="L112" s="46" t="str">
        <f>IF($K112="","",RANK($K112,$K$6:$K$1005,1))</f>
        <v/>
      </c>
    </row>
    <row r="113" ht="15" customHeight="1" s="41">
      <c r="J113" s="57" t="b">
        <f>IF(액션아이템!$C110="",FALSE(),OR(액션아이템!$F110="진행중",액션아이템!$F110="보류"))</f>
        <v>0</v>
      </c>
      <c r="K113" s="46" t="str">
        <f>IF($J113=FALSE(),"",IF(액션아이템!$E110="",99999999,액션아이템!$E110)*100+ROW()/1000)</f>
        <v/>
      </c>
      <c r="L113" s="46" t="str">
        <f>IF($K113="","",RANK($K113,$K$6:$K$1005,1))</f>
        <v/>
      </c>
    </row>
    <row r="114" ht="15" customHeight="1" s="41">
      <c r="J114" s="57" t="b">
        <f>IF(액션아이템!$C111="",FALSE(),OR(액션아이템!$F111="진행중",액션아이템!$F111="보류"))</f>
        <v>0</v>
      </c>
      <c r="K114" s="46" t="str">
        <f>IF($J114=FALSE(),"",IF(액션아이템!$E111="",99999999,액션아이템!$E111)*100+ROW()/1000)</f>
        <v/>
      </c>
      <c r="L114" s="46" t="str">
        <f>IF($K114="","",RANK($K114,$K$6:$K$1005,1))</f>
        <v/>
      </c>
    </row>
    <row r="115" ht="15" customHeight="1" s="41">
      <c r="J115" s="57" t="b">
        <f>IF(액션아이템!$C112="",FALSE(),OR(액션아이템!$F112="진행중",액션아이템!$F112="보류"))</f>
        <v>0</v>
      </c>
      <c r="K115" s="46" t="str">
        <f>IF($J115=FALSE(),"",IF(액션아이템!$E112="",99999999,액션아이템!$E112)*100+ROW()/1000)</f>
        <v/>
      </c>
      <c r="L115" s="46" t="str">
        <f>IF($K115="","",RANK($K115,$K$6:$K$1005,1))</f>
        <v/>
      </c>
    </row>
    <row r="116" ht="15" customHeight="1" s="41">
      <c r="J116" s="57" t="b">
        <f>IF(액션아이템!$C113="",FALSE(),OR(액션아이템!$F113="진행중",액션아이템!$F113="보류"))</f>
        <v>0</v>
      </c>
      <c r="K116" s="46" t="str">
        <f>IF($J116=FALSE(),"",IF(액션아이템!$E113="",99999999,액션아이템!$E113)*100+ROW()/1000)</f>
        <v/>
      </c>
      <c r="L116" s="46" t="str">
        <f>IF($K116="","",RANK($K116,$K$6:$K$1005,1))</f>
        <v/>
      </c>
    </row>
    <row r="117" ht="15" customHeight="1" s="41">
      <c r="J117" s="57" t="b">
        <f>IF(액션아이템!$C114="",FALSE(),OR(액션아이템!$F114="진행중",액션아이템!$F114="보류"))</f>
        <v>0</v>
      </c>
      <c r="K117" s="46" t="str">
        <f>IF($J117=FALSE(),"",IF(액션아이템!$E114="",99999999,액션아이템!$E114)*100+ROW()/1000)</f>
        <v/>
      </c>
      <c r="L117" s="46" t="str">
        <f>IF($K117="","",RANK($K117,$K$6:$K$1005,1))</f>
        <v/>
      </c>
    </row>
    <row r="118" ht="15" customHeight="1" s="41">
      <c r="J118" s="57" t="b">
        <f>IF(액션아이템!$C115="",FALSE(),OR(액션아이템!$F115="진행중",액션아이템!$F115="보류"))</f>
        <v>0</v>
      </c>
      <c r="K118" s="46" t="str">
        <f>IF($J118=FALSE(),"",IF(액션아이템!$E115="",99999999,액션아이템!$E115)*100+ROW()/1000)</f>
        <v/>
      </c>
      <c r="L118" s="46" t="str">
        <f>IF($K118="","",RANK($K118,$K$6:$K$1005,1))</f>
        <v/>
      </c>
    </row>
    <row r="119" ht="15" customHeight="1" s="41">
      <c r="J119" s="57" t="b">
        <f>IF(액션아이템!$C116="",FALSE(),OR(액션아이템!$F116="진행중",액션아이템!$F116="보류"))</f>
        <v>0</v>
      </c>
      <c r="K119" s="46" t="str">
        <f>IF($J119=FALSE(),"",IF(액션아이템!$E116="",99999999,액션아이템!$E116)*100+ROW()/1000)</f>
        <v/>
      </c>
      <c r="L119" s="46" t="str">
        <f>IF($K119="","",RANK($K119,$K$6:$K$1005,1))</f>
        <v/>
      </c>
    </row>
    <row r="120" ht="15" customHeight="1" s="41">
      <c r="J120" s="57" t="b">
        <f>IF(액션아이템!$C117="",FALSE(),OR(액션아이템!$F117="진행중",액션아이템!$F117="보류"))</f>
        <v>0</v>
      </c>
      <c r="K120" s="46" t="str">
        <f>IF($J120=FALSE(),"",IF(액션아이템!$E117="",99999999,액션아이템!$E117)*100+ROW()/1000)</f>
        <v/>
      </c>
      <c r="L120" s="46" t="str">
        <f>IF($K120="","",RANK($K120,$K$6:$K$1005,1))</f>
        <v/>
      </c>
    </row>
    <row r="121" ht="15" customHeight="1" s="41">
      <c r="J121" s="57" t="b">
        <f>IF(액션아이템!$C118="",FALSE(),OR(액션아이템!$F118="진행중",액션아이템!$F118="보류"))</f>
        <v>0</v>
      </c>
      <c r="K121" s="46" t="str">
        <f>IF($J121=FALSE(),"",IF(액션아이템!$E118="",99999999,액션아이템!$E118)*100+ROW()/1000)</f>
        <v/>
      </c>
      <c r="L121" s="46" t="str">
        <f>IF($K121="","",RANK($K121,$K$6:$K$1005,1))</f>
        <v/>
      </c>
    </row>
    <row r="122" ht="15" customHeight="1" s="41">
      <c r="J122" s="57" t="b">
        <f>IF(액션아이템!$C119="",FALSE(),OR(액션아이템!$F119="진행중",액션아이템!$F119="보류"))</f>
        <v>0</v>
      </c>
      <c r="K122" s="46" t="str">
        <f>IF($J122=FALSE(),"",IF(액션아이템!$E119="",99999999,액션아이템!$E119)*100+ROW()/1000)</f>
        <v/>
      </c>
      <c r="L122" s="46" t="str">
        <f>IF($K122="","",RANK($K122,$K$6:$K$1005,1))</f>
        <v/>
      </c>
    </row>
    <row r="123" ht="15" customHeight="1" s="41">
      <c r="J123" s="57" t="b">
        <f>IF(액션아이템!$C120="",FALSE(),OR(액션아이템!$F120="진행중",액션아이템!$F120="보류"))</f>
        <v>0</v>
      </c>
      <c r="K123" s="46" t="str">
        <f>IF($J123=FALSE(),"",IF(액션아이템!$E120="",99999999,액션아이템!$E120)*100+ROW()/1000)</f>
        <v/>
      </c>
      <c r="L123" s="46" t="str">
        <f>IF($K123="","",RANK($K123,$K$6:$K$1005,1))</f>
        <v/>
      </c>
    </row>
    <row r="124" ht="15" customHeight="1" s="41">
      <c r="J124" s="57" t="b">
        <f>IF(액션아이템!$C121="",FALSE(),OR(액션아이템!$F121="진행중",액션아이템!$F121="보류"))</f>
        <v>0</v>
      </c>
      <c r="K124" s="46" t="str">
        <f>IF($J124=FALSE(),"",IF(액션아이템!$E121="",99999999,액션아이템!$E121)*100+ROW()/1000)</f>
        <v/>
      </c>
      <c r="L124" s="46" t="str">
        <f>IF($K124="","",RANK($K124,$K$6:$K$1005,1))</f>
        <v/>
      </c>
    </row>
    <row r="125" ht="15" customHeight="1" s="41">
      <c r="J125" s="57" t="b">
        <f>IF(액션아이템!$C122="",FALSE(),OR(액션아이템!$F122="진행중",액션아이템!$F122="보류"))</f>
        <v>0</v>
      </c>
      <c r="K125" s="46" t="str">
        <f>IF($J125=FALSE(),"",IF(액션아이템!$E122="",99999999,액션아이템!$E122)*100+ROW()/1000)</f>
        <v/>
      </c>
      <c r="L125" s="46" t="str">
        <f>IF($K125="","",RANK($K125,$K$6:$K$1005,1))</f>
        <v/>
      </c>
    </row>
    <row r="126" ht="15" customHeight="1" s="41">
      <c r="J126" s="57" t="b">
        <f>IF(액션아이템!$C123="",FALSE(),OR(액션아이템!$F123="진행중",액션아이템!$F123="보류"))</f>
        <v>0</v>
      </c>
      <c r="K126" s="46" t="str">
        <f>IF($J126=FALSE(),"",IF(액션아이템!$E123="",99999999,액션아이템!$E123)*100+ROW()/1000)</f>
        <v/>
      </c>
      <c r="L126" s="46" t="str">
        <f>IF($K126="","",RANK($K126,$K$6:$K$1005,1))</f>
        <v/>
      </c>
    </row>
    <row r="127" ht="15" customHeight="1" s="41">
      <c r="J127" s="57" t="b">
        <f>IF(액션아이템!$C124="",FALSE(),OR(액션아이템!$F124="진행중",액션아이템!$F124="보류"))</f>
        <v>0</v>
      </c>
      <c r="K127" s="46" t="str">
        <f>IF($J127=FALSE(),"",IF(액션아이템!$E124="",99999999,액션아이템!$E124)*100+ROW()/1000)</f>
        <v/>
      </c>
      <c r="L127" s="46" t="str">
        <f>IF($K127="","",RANK($K127,$K$6:$K$1005,1))</f>
        <v/>
      </c>
    </row>
    <row r="128" ht="15" customHeight="1" s="41">
      <c r="J128" s="57" t="b">
        <f>IF(액션아이템!$C125="",FALSE(),OR(액션아이템!$F125="진행중",액션아이템!$F125="보류"))</f>
        <v>0</v>
      </c>
      <c r="K128" s="46" t="str">
        <f>IF($J128=FALSE(),"",IF(액션아이템!$E125="",99999999,액션아이템!$E125)*100+ROW()/1000)</f>
        <v/>
      </c>
      <c r="L128" s="46" t="str">
        <f>IF($K128="","",RANK($K128,$K$6:$K$1005,1))</f>
        <v/>
      </c>
    </row>
    <row r="129" ht="15" customHeight="1" s="41">
      <c r="J129" s="57" t="b">
        <f>IF(액션아이템!$C126="",FALSE(),OR(액션아이템!$F126="진행중",액션아이템!$F126="보류"))</f>
        <v>0</v>
      </c>
      <c r="K129" s="46" t="str">
        <f>IF($J129=FALSE(),"",IF(액션아이템!$E126="",99999999,액션아이템!$E126)*100+ROW()/1000)</f>
        <v/>
      </c>
      <c r="L129" s="46" t="str">
        <f>IF($K129="","",RANK($K129,$K$6:$K$1005,1))</f>
        <v/>
      </c>
    </row>
    <row r="130" ht="15" customHeight="1" s="41">
      <c r="J130" s="57" t="b">
        <f>IF(액션아이템!$C127="",FALSE(),OR(액션아이템!$F127="진행중",액션아이템!$F127="보류"))</f>
        <v>0</v>
      </c>
      <c r="K130" s="46" t="str">
        <f>IF($J130=FALSE(),"",IF(액션아이템!$E127="",99999999,액션아이템!$E127)*100+ROW()/1000)</f>
        <v/>
      </c>
      <c r="L130" s="46" t="str">
        <f>IF($K130="","",RANK($K130,$K$6:$K$1005,1))</f>
        <v/>
      </c>
    </row>
    <row r="131" ht="15" customHeight="1" s="41">
      <c r="J131" s="57" t="b">
        <f>IF(액션아이템!$C128="",FALSE(),OR(액션아이템!$F128="진행중",액션아이템!$F128="보류"))</f>
        <v>0</v>
      </c>
      <c r="K131" s="46" t="str">
        <f>IF($J131=FALSE(),"",IF(액션아이템!$E128="",99999999,액션아이템!$E128)*100+ROW()/1000)</f>
        <v/>
      </c>
      <c r="L131" s="46" t="str">
        <f>IF($K131="","",RANK($K131,$K$6:$K$1005,1))</f>
        <v/>
      </c>
    </row>
    <row r="132" ht="15" customHeight="1" s="41">
      <c r="J132" s="57" t="b">
        <f>IF(액션아이템!$C129="",FALSE(),OR(액션아이템!$F129="진행중",액션아이템!$F129="보류"))</f>
        <v>0</v>
      </c>
      <c r="K132" s="46" t="str">
        <f>IF($J132=FALSE(),"",IF(액션아이템!$E129="",99999999,액션아이템!$E129)*100+ROW()/1000)</f>
        <v/>
      </c>
      <c r="L132" s="46" t="str">
        <f>IF($K132="","",RANK($K132,$K$6:$K$1005,1))</f>
        <v/>
      </c>
    </row>
    <row r="133" ht="15" customHeight="1" s="41">
      <c r="J133" s="57" t="b">
        <f>IF(액션아이템!$C130="",FALSE(),OR(액션아이템!$F130="진행중",액션아이템!$F130="보류"))</f>
        <v>0</v>
      </c>
      <c r="K133" s="46" t="str">
        <f>IF($J133=FALSE(),"",IF(액션아이템!$E130="",99999999,액션아이템!$E130)*100+ROW()/1000)</f>
        <v/>
      </c>
      <c r="L133" s="46" t="str">
        <f>IF($K133="","",RANK($K133,$K$6:$K$1005,1))</f>
        <v/>
      </c>
    </row>
    <row r="134" ht="15" customHeight="1" s="41">
      <c r="J134" s="57" t="b">
        <f>IF(액션아이템!$C131="",FALSE(),OR(액션아이템!$F131="진행중",액션아이템!$F131="보류"))</f>
        <v>0</v>
      </c>
      <c r="K134" s="46" t="str">
        <f>IF($J134=FALSE(),"",IF(액션아이템!$E131="",99999999,액션아이템!$E131)*100+ROW()/1000)</f>
        <v/>
      </c>
      <c r="L134" s="46" t="str">
        <f>IF($K134="","",RANK($K134,$K$6:$K$1005,1))</f>
        <v/>
      </c>
    </row>
    <row r="135" ht="15" customHeight="1" s="41">
      <c r="J135" s="57" t="b">
        <f>IF(액션아이템!$C132="",FALSE(),OR(액션아이템!$F132="진행중",액션아이템!$F132="보류"))</f>
        <v>0</v>
      </c>
      <c r="K135" s="46" t="str">
        <f>IF($J135=FALSE(),"",IF(액션아이템!$E132="",99999999,액션아이템!$E132)*100+ROW()/1000)</f>
        <v/>
      </c>
      <c r="L135" s="46" t="str">
        <f>IF($K135="","",RANK($K135,$K$6:$K$1005,1))</f>
        <v/>
      </c>
    </row>
    <row r="136" ht="15" customHeight="1" s="41">
      <c r="J136" s="57" t="b">
        <f>IF(액션아이템!$C133="",FALSE(),OR(액션아이템!$F133="진행중",액션아이템!$F133="보류"))</f>
        <v>0</v>
      </c>
      <c r="K136" s="46" t="str">
        <f>IF($J136=FALSE(),"",IF(액션아이템!$E133="",99999999,액션아이템!$E133)*100+ROW()/1000)</f>
        <v/>
      </c>
      <c r="L136" s="46" t="str">
        <f>IF($K136="","",RANK($K136,$K$6:$K$1005,1))</f>
        <v/>
      </c>
    </row>
    <row r="137" ht="15" customHeight="1" s="41">
      <c r="J137" s="57" t="b">
        <f>IF(액션아이템!$C134="",FALSE(),OR(액션아이템!$F134="진행중",액션아이템!$F134="보류"))</f>
        <v>0</v>
      </c>
      <c r="K137" s="46" t="str">
        <f>IF($J137=FALSE(),"",IF(액션아이템!$E134="",99999999,액션아이템!$E134)*100+ROW()/1000)</f>
        <v/>
      </c>
      <c r="L137" s="46" t="str">
        <f>IF($K137="","",RANK($K137,$K$6:$K$1005,1))</f>
        <v/>
      </c>
    </row>
    <row r="138" ht="15" customHeight="1" s="41">
      <c r="J138" s="57" t="b">
        <f>IF(액션아이템!$C135="",FALSE(),OR(액션아이템!$F135="진행중",액션아이템!$F135="보류"))</f>
        <v>0</v>
      </c>
      <c r="K138" s="46" t="str">
        <f>IF($J138=FALSE(),"",IF(액션아이템!$E135="",99999999,액션아이템!$E135)*100+ROW()/1000)</f>
        <v/>
      </c>
      <c r="L138" s="46" t="str">
        <f>IF($K138="","",RANK($K138,$K$6:$K$1005,1))</f>
        <v/>
      </c>
    </row>
    <row r="139" ht="15" customHeight="1" s="41">
      <c r="J139" s="57" t="b">
        <f>IF(액션아이템!$C136="",FALSE(),OR(액션아이템!$F136="진행중",액션아이템!$F136="보류"))</f>
        <v>0</v>
      </c>
      <c r="K139" s="46" t="str">
        <f>IF($J139=FALSE(),"",IF(액션아이템!$E136="",99999999,액션아이템!$E136)*100+ROW()/1000)</f>
        <v/>
      </c>
      <c r="L139" s="46" t="str">
        <f>IF($K139="","",RANK($K139,$K$6:$K$1005,1))</f>
        <v/>
      </c>
    </row>
    <row r="140" ht="15" customHeight="1" s="41">
      <c r="J140" s="57" t="b">
        <f>IF(액션아이템!$C137="",FALSE(),OR(액션아이템!$F137="진행중",액션아이템!$F137="보류"))</f>
        <v>0</v>
      </c>
      <c r="K140" s="46" t="str">
        <f>IF($J140=FALSE(),"",IF(액션아이템!$E137="",99999999,액션아이템!$E137)*100+ROW()/1000)</f>
        <v/>
      </c>
      <c r="L140" s="46" t="str">
        <f>IF($K140="","",RANK($K140,$K$6:$K$1005,1))</f>
        <v/>
      </c>
    </row>
    <row r="141" ht="15" customHeight="1" s="41">
      <c r="J141" s="57" t="b">
        <f>IF(액션아이템!$C138="",FALSE(),OR(액션아이템!$F138="진행중",액션아이템!$F138="보류"))</f>
        <v>0</v>
      </c>
      <c r="K141" s="46" t="str">
        <f>IF($J141=FALSE(),"",IF(액션아이템!$E138="",99999999,액션아이템!$E138)*100+ROW()/1000)</f>
        <v/>
      </c>
      <c r="L141" s="46" t="str">
        <f>IF($K141="","",RANK($K141,$K$6:$K$1005,1))</f>
        <v/>
      </c>
    </row>
    <row r="142" ht="15" customHeight="1" s="41">
      <c r="J142" s="57" t="b">
        <f>IF(액션아이템!$C139="",FALSE(),OR(액션아이템!$F139="진행중",액션아이템!$F139="보류"))</f>
        <v>0</v>
      </c>
      <c r="K142" s="46" t="str">
        <f>IF($J142=FALSE(),"",IF(액션아이템!$E139="",99999999,액션아이템!$E139)*100+ROW()/1000)</f>
        <v/>
      </c>
      <c r="L142" s="46" t="str">
        <f>IF($K142="","",RANK($K142,$K$6:$K$1005,1))</f>
        <v/>
      </c>
    </row>
    <row r="143" ht="15" customHeight="1" s="41">
      <c r="J143" s="57" t="b">
        <f>IF(액션아이템!$C140="",FALSE(),OR(액션아이템!$F140="진행중",액션아이템!$F140="보류"))</f>
        <v>0</v>
      </c>
      <c r="K143" s="46" t="str">
        <f>IF($J143=FALSE(),"",IF(액션아이템!$E140="",99999999,액션아이템!$E140)*100+ROW()/1000)</f>
        <v/>
      </c>
      <c r="L143" s="46" t="str">
        <f>IF($K143="","",RANK($K143,$K$6:$K$1005,1))</f>
        <v/>
      </c>
    </row>
    <row r="144" ht="15" customHeight="1" s="41">
      <c r="J144" s="57" t="b">
        <f>IF(액션아이템!$C141="",FALSE(),OR(액션아이템!$F141="진행중",액션아이템!$F141="보류"))</f>
        <v>0</v>
      </c>
      <c r="K144" s="46" t="str">
        <f>IF($J144=FALSE(),"",IF(액션아이템!$E141="",99999999,액션아이템!$E141)*100+ROW()/1000)</f>
        <v/>
      </c>
      <c r="L144" s="46" t="str">
        <f>IF($K144="","",RANK($K144,$K$6:$K$1005,1))</f>
        <v/>
      </c>
    </row>
    <row r="145" ht="15" customHeight="1" s="41">
      <c r="J145" s="57" t="b">
        <f>IF(액션아이템!$C142="",FALSE(),OR(액션아이템!$F142="진행중",액션아이템!$F142="보류"))</f>
        <v>0</v>
      </c>
      <c r="K145" s="46" t="str">
        <f>IF($J145=FALSE(),"",IF(액션아이템!$E142="",99999999,액션아이템!$E142)*100+ROW()/1000)</f>
        <v/>
      </c>
      <c r="L145" s="46" t="str">
        <f>IF($K145="","",RANK($K145,$K$6:$K$1005,1))</f>
        <v/>
      </c>
    </row>
    <row r="146" ht="15" customHeight="1" s="41">
      <c r="J146" s="57" t="b">
        <f>IF(액션아이템!$C143="",FALSE(),OR(액션아이템!$F143="진행중",액션아이템!$F143="보류"))</f>
        <v>0</v>
      </c>
      <c r="K146" s="46" t="str">
        <f>IF($J146=FALSE(),"",IF(액션아이템!$E143="",99999999,액션아이템!$E143)*100+ROW()/1000)</f>
        <v/>
      </c>
      <c r="L146" s="46" t="str">
        <f>IF($K146="","",RANK($K146,$K$6:$K$1005,1))</f>
        <v/>
      </c>
    </row>
    <row r="147" ht="15" customHeight="1" s="41">
      <c r="J147" s="57" t="b">
        <f>IF(액션아이템!$C144="",FALSE(),OR(액션아이템!$F144="진행중",액션아이템!$F144="보류"))</f>
        <v>0</v>
      </c>
      <c r="K147" s="46" t="str">
        <f>IF($J147=FALSE(),"",IF(액션아이템!$E144="",99999999,액션아이템!$E144)*100+ROW()/1000)</f>
        <v/>
      </c>
      <c r="L147" s="46" t="str">
        <f>IF($K147="","",RANK($K147,$K$6:$K$1005,1))</f>
        <v/>
      </c>
    </row>
    <row r="148" ht="15" customHeight="1" s="41">
      <c r="J148" s="57" t="b">
        <f>IF(액션아이템!$C145="",FALSE(),OR(액션아이템!$F145="진행중",액션아이템!$F145="보류"))</f>
        <v>0</v>
      </c>
      <c r="K148" s="46" t="str">
        <f>IF($J148=FALSE(),"",IF(액션아이템!$E145="",99999999,액션아이템!$E145)*100+ROW()/1000)</f>
        <v/>
      </c>
      <c r="L148" s="46" t="str">
        <f>IF($K148="","",RANK($K148,$K$6:$K$1005,1))</f>
        <v/>
      </c>
    </row>
    <row r="149" ht="15" customHeight="1" s="41">
      <c r="J149" s="57" t="b">
        <f>IF(액션아이템!$C146="",FALSE(),OR(액션아이템!$F146="진행중",액션아이템!$F146="보류"))</f>
        <v>0</v>
      </c>
      <c r="K149" s="46" t="str">
        <f>IF($J149=FALSE(),"",IF(액션아이템!$E146="",99999999,액션아이템!$E146)*100+ROW()/1000)</f>
        <v/>
      </c>
      <c r="L149" s="46" t="str">
        <f>IF($K149="","",RANK($K149,$K$6:$K$1005,1))</f>
        <v/>
      </c>
    </row>
    <row r="150" ht="15" customHeight="1" s="41">
      <c r="J150" s="57" t="b">
        <f>IF(액션아이템!$C147="",FALSE(),OR(액션아이템!$F147="진행중",액션아이템!$F147="보류"))</f>
        <v>0</v>
      </c>
      <c r="K150" s="46" t="str">
        <f>IF($J150=FALSE(),"",IF(액션아이템!$E147="",99999999,액션아이템!$E147)*100+ROW()/1000)</f>
        <v/>
      </c>
      <c r="L150" s="46" t="str">
        <f>IF($K150="","",RANK($K150,$K$6:$K$1005,1))</f>
        <v/>
      </c>
    </row>
    <row r="151" ht="15" customHeight="1" s="41">
      <c r="J151" s="57" t="b">
        <f>IF(액션아이템!$C148="",FALSE(),OR(액션아이템!$F148="진행중",액션아이템!$F148="보류"))</f>
        <v>0</v>
      </c>
      <c r="K151" s="46" t="str">
        <f>IF($J151=FALSE(),"",IF(액션아이템!$E148="",99999999,액션아이템!$E148)*100+ROW()/1000)</f>
        <v/>
      </c>
      <c r="L151" s="46" t="str">
        <f>IF($K151="","",RANK($K151,$K$6:$K$1005,1))</f>
        <v/>
      </c>
    </row>
    <row r="152" ht="15" customHeight="1" s="41">
      <c r="J152" s="57" t="b">
        <f>IF(액션아이템!$C149="",FALSE(),OR(액션아이템!$F149="진행중",액션아이템!$F149="보류"))</f>
        <v>0</v>
      </c>
      <c r="K152" s="46" t="str">
        <f>IF($J152=FALSE(),"",IF(액션아이템!$E149="",99999999,액션아이템!$E149)*100+ROW()/1000)</f>
        <v/>
      </c>
      <c r="L152" s="46" t="str">
        <f>IF($K152="","",RANK($K152,$K$6:$K$1005,1))</f>
        <v/>
      </c>
    </row>
    <row r="153" ht="15" customHeight="1" s="41">
      <c r="J153" s="57" t="b">
        <f>IF(액션아이템!$C150="",FALSE(),OR(액션아이템!$F150="진행중",액션아이템!$F150="보류"))</f>
        <v>0</v>
      </c>
      <c r="K153" s="46" t="str">
        <f>IF($J153=FALSE(),"",IF(액션아이템!$E150="",99999999,액션아이템!$E150)*100+ROW()/1000)</f>
        <v/>
      </c>
      <c r="L153" s="46" t="str">
        <f>IF($K153="","",RANK($K153,$K$6:$K$1005,1))</f>
        <v/>
      </c>
    </row>
    <row r="154" ht="15" customHeight="1" s="41">
      <c r="J154" s="57" t="b">
        <f>IF(액션아이템!$C151="",FALSE(),OR(액션아이템!$F151="진행중",액션아이템!$F151="보류"))</f>
        <v>0</v>
      </c>
      <c r="K154" s="46" t="str">
        <f>IF($J154=FALSE(),"",IF(액션아이템!$E151="",99999999,액션아이템!$E151)*100+ROW()/1000)</f>
        <v/>
      </c>
      <c r="L154" s="46" t="str">
        <f>IF($K154="","",RANK($K154,$K$6:$K$1005,1))</f>
        <v/>
      </c>
    </row>
    <row r="155" ht="15" customHeight="1" s="41">
      <c r="J155" s="57" t="b">
        <f>IF(액션아이템!$C152="",FALSE(),OR(액션아이템!$F152="진행중",액션아이템!$F152="보류"))</f>
        <v>0</v>
      </c>
      <c r="K155" s="46" t="str">
        <f>IF($J155=FALSE(),"",IF(액션아이템!$E152="",99999999,액션아이템!$E152)*100+ROW()/1000)</f>
        <v/>
      </c>
      <c r="L155" s="46" t="str">
        <f>IF($K155="","",RANK($K155,$K$6:$K$1005,1))</f>
        <v/>
      </c>
    </row>
    <row r="156" ht="15" customHeight="1" s="41">
      <c r="J156" s="57" t="b">
        <f>IF(액션아이템!$C153="",FALSE(),OR(액션아이템!$F153="진행중",액션아이템!$F153="보류"))</f>
        <v>0</v>
      </c>
      <c r="K156" s="46" t="str">
        <f>IF($J156=FALSE(),"",IF(액션아이템!$E153="",99999999,액션아이템!$E153)*100+ROW()/1000)</f>
        <v/>
      </c>
      <c r="L156" s="46" t="str">
        <f>IF($K156="","",RANK($K156,$K$6:$K$1005,1))</f>
        <v/>
      </c>
    </row>
    <row r="157" ht="15" customHeight="1" s="41">
      <c r="J157" s="57" t="b">
        <f>IF(액션아이템!$C154="",FALSE(),OR(액션아이템!$F154="진행중",액션아이템!$F154="보류"))</f>
        <v>0</v>
      </c>
      <c r="K157" s="46" t="str">
        <f>IF($J157=FALSE(),"",IF(액션아이템!$E154="",99999999,액션아이템!$E154)*100+ROW()/1000)</f>
        <v/>
      </c>
      <c r="L157" s="46" t="str">
        <f>IF($K157="","",RANK($K157,$K$6:$K$1005,1))</f>
        <v/>
      </c>
    </row>
    <row r="158" ht="15" customHeight="1" s="41">
      <c r="J158" s="57" t="b">
        <f>IF(액션아이템!$C155="",FALSE(),OR(액션아이템!$F155="진행중",액션아이템!$F155="보류"))</f>
        <v>0</v>
      </c>
      <c r="K158" s="46" t="str">
        <f>IF($J158=FALSE(),"",IF(액션아이템!$E155="",99999999,액션아이템!$E155)*100+ROW()/1000)</f>
        <v/>
      </c>
      <c r="L158" s="46" t="str">
        <f>IF($K158="","",RANK($K158,$K$6:$K$1005,1))</f>
        <v/>
      </c>
    </row>
    <row r="159" ht="15" customHeight="1" s="41">
      <c r="J159" s="57" t="b">
        <f>IF(액션아이템!$C156="",FALSE(),OR(액션아이템!$F156="진행중",액션아이템!$F156="보류"))</f>
        <v>0</v>
      </c>
      <c r="K159" s="46" t="str">
        <f>IF($J159=FALSE(),"",IF(액션아이템!$E156="",99999999,액션아이템!$E156)*100+ROW()/1000)</f>
        <v/>
      </c>
      <c r="L159" s="46" t="str">
        <f>IF($K159="","",RANK($K159,$K$6:$K$1005,1))</f>
        <v/>
      </c>
    </row>
    <row r="160" ht="15" customHeight="1" s="41">
      <c r="J160" s="57" t="b">
        <f>IF(액션아이템!$C157="",FALSE(),OR(액션아이템!$F157="진행중",액션아이템!$F157="보류"))</f>
        <v>0</v>
      </c>
      <c r="K160" s="46" t="str">
        <f>IF($J160=FALSE(),"",IF(액션아이템!$E157="",99999999,액션아이템!$E157)*100+ROW()/1000)</f>
        <v/>
      </c>
      <c r="L160" s="46" t="str">
        <f>IF($K160="","",RANK($K160,$K$6:$K$1005,1))</f>
        <v/>
      </c>
    </row>
    <row r="161" ht="15" customHeight="1" s="41">
      <c r="J161" s="57" t="b">
        <f>IF(액션아이템!$C158="",FALSE(),OR(액션아이템!$F158="진행중",액션아이템!$F158="보류"))</f>
        <v>0</v>
      </c>
      <c r="K161" s="46" t="str">
        <f>IF($J161=FALSE(),"",IF(액션아이템!$E158="",99999999,액션아이템!$E158)*100+ROW()/1000)</f>
        <v/>
      </c>
      <c r="L161" s="46" t="str">
        <f>IF($K161="","",RANK($K161,$K$6:$K$1005,1))</f>
        <v/>
      </c>
    </row>
    <row r="162" ht="15" customHeight="1" s="41">
      <c r="J162" s="57" t="b">
        <f>IF(액션아이템!$C159="",FALSE(),OR(액션아이템!$F159="진행중",액션아이템!$F159="보류"))</f>
        <v>0</v>
      </c>
      <c r="K162" s="46" t="str">
        <f>IF($J162=FALSE(),"",IF(액션아이템!$E159="",99999999,액션아이템!$E159)*100+ROW()/1000)</f>
        <v/>
      </c>
      <c r="L162" s="46" t="str">
        <f>IF($K162="","",RANK($K162,$K$6:$K$1005,1))</f>
        <v/>
      </c>
    </row>
    <row r="163" ht="15" customHeight="1" s="41">
      <c r="J163" s="57" t="b">
        <f>IF(액션아이템!$C160="",FALSE(),OR(액션아이템!$F160="진행중",액션아이템!$F160="보류"))</f>
        <v>0</v>
      </c>
      <c r="K163" s="46" t="str">
        <f>IF($J163=FALSE(),"",IF(액션아이템!$E160="",99999999,액션아이템!$E160)*100+ROW()/1000)</f>
        <v/>
      </c>
      <c r="L163" s="46" t="str">
        <f>IF($K163="","",RANK($K163,$K$6:$K$1005,1))</f>
        <v/>
      </c>
    </row>
    <row r="164" ht="15" customHeight="1" s="41">
      <c r="J164" s="57" t="b">
        <f>IF(액션아이템!$C161="",FALSE(),OR(액션아이템!$F161="진행중",액션아이템!$F161="보류"))</f>
        <v>0</v>
      </c>
      <c r="K164" s="46" t="str">
        <f>IF($J164=FALSE(),"",IF(액션아이템!$E161="",99999999,액션아이템!$E161)*100+ROW()/1000)</f>
        <v/>
      </c>
      <c r="L164" s="46" t="str">
        <f>IF($K164="","",RANK($K164,$K$6:$K$1005,1))</f>
        <v/>
      </c>
    </row>
    <row r="165" ht="15" customHeight="1" s="41">
      <c r="J165" s="57" t="b">
        <f>IF(액션아이템!$C162="",FALSE(),OR(액션아이템!$F162="진행중",액션아이템!$F162="보류"))</f>
        <v>0</v>
      </c>
      <c r="K165" s="46" t="str">
        <f>IF($J165=FALSE(),"",IF(액션아이템!$E162="",99999999,액션아이템!$E162)*100+ROW()/1000)</f>
        <v/>
      </c>
      <c r="L165" s="46" t="str">
        <f>IF($K165="","",RANK($K165,$K$6:$K$1005,1))</f>
        <v/>
      </c>
    </row>
    <row r="166" ht="15" customHeight="1" s="41">
      <c r="J166" s="57" t="b">
        <f>IF(액션아이템!$C163="",FALSE(),OR(액션아이템!$F163="진행중",액션아이템!$F163="보류"))</f>
        <v>0</v>
      </c>
      <c r="K166" s="46" t="str">
        <f>IF($J166=FALSE(),"",IF(액션아이템!$E163="",99999999,액션아이템!$E163)*100+ROW()/1000)</f>
        <v/>
      </c>
      <c r="L166" s="46" t="str">
        <f>IF($K166="","",RANK($K166,$K$6:$K$1005,1))</f>
        <v/>
      </c>
    </row>
    <row r="167" ht="15" customHeight="1" s="41">
      <c r="J167" s="57" t="b">
        <f>IF(액션아이템!$C164="",FALSE(),OR(액션아이템!$F164="진행중",액션아이템!$F164="보류"))</f>
        <v>0</v>
      </c>
      <c r="K167" s="46" t="str">
        <f>IF($J167=FALSE(),"",IF(액션아이템!$E164="",99999999,액션아이템!$E164)*100+ROW()/1000)</f>
        <v/>
      </c>
      <c r="L167" s="46" t="str">
        <f>IF($K167="","",RANK($K167,$K$6:$K$1005,1))</f>
        <v/>
      </c>
    </row>
    <row r="168" ht="15" customHeight="1" s="41">
      <c r="J168" s="57" t="b">
        <f>IF(액션아이템!$C165="",FALSE(),OR(액션아이템!$F165="진행중",액션아이템!$F165="보류"))</f>
        <v>0</v>
      </c>
      <c r="K168" s="46" t="str">
        <f>IF($J168=FALSE(),"",IF(액션아이템!$E165="",99999999,액션아이템!$E165)*100+ROW()/1000)</f>
        <v/>
      </c>
      <c r="L168" s="46" t="str">
        <f>IF($K168="","",RANK($K168,$K$6:$K$1005,1))</f>
        <v/>
      </c>
    </row>
    <row r="169" ht="15" customHeight="1" s="41">
      <c r="J169" s="57" t="b">
        <f>IF(액션아이템!$C166="",FALSE(),OR(액션아이템!$F166="진행중",액션아이템!$F166="보류"))</f>
        <v>0</v>
      </c>
      <c r="K169" s="46" t="str">
        <f>IF($J169=FALSE(),"",IF(액션아이템!$E166="",99999999,액션아이템!$E166)*100+ROW()/1000)</f>
        <v/>
      </c>
      <c r="L169" s="46" t="str">
        <f>IF($K169="","",RANK($K169,$K$6:$K$1005,1))</f>
        <v/>
      </c>
    </row>
    <row r="170" ht="15" customHeight="1" s="41">
      <c r="J170" s="57" t="b">
        <f>IF(액션아이템!$C167="",FALSE(),OR(액션아이템!$F167="진행중",액션아이템!$F167="보류"))</f>
        <v>0</v>
      </c>
      <c r="K170" s="46" t="str">
        <f>IF($J170=FALSE(),"",IF(액션아이템!$E167="",99999999,액션아이템!$E167)*100+ROW()/1000)</f>
        <v/>
      </c>
      <c r="L170" s="46" t="str">
        <f>IF($K170="","",RANK($K170,$K$6:$K$1005,1))</f>
        <v/>
      </c>
    </row>
    <row r="171" ht="15" customHeight="1" s="41">
      <c r="J171" s="57" t="b">
        <f>IF(액션아이템!$C168="",FALSE(),OR(액션아이템!$F168="진행중",액션아이템!$F168="보류"))</f>
        <v>0</v>
      </c>
      <c r="K171" s="46" t="str">
        <f>IF($J171=FALSE(),"",IF(액션아이템!$E168="",99999999,액션아이템!$E168)*100+ROW()/1000)</f>
        <v/>
      </c>
      <c r="L171" s="46" t="str">
        <f>IF($K171="","",RANK($K171,$K$6:$K$1005,1))</f>
        <v/>
      </c>
    </row>
    <row r="172" ht="15" customHeight="1" s="41">
      <c r="J172" s="57" t="b">
        <f>IF(액션아이템!$C169="",FALSE(),OR(액션아이템!$F169="진행중",액션아이템!$F169="보류"))</f>
        <v>0</v>
      </c>
      <c r="K172" s="46" t="str">
        <f>IF($J172=FALSE(),"",IF(액션아이템!$E169="",99999999,액션아이템!$E169)*100+ROW()/1000)</f>
        <v/>
      </c>
      <c r="L172" s="46" t="str">
        <f>IF($K172="","",RANK($K172,$K$6:$K$1005,1))</f>
        <v/>
      </c>
    </row>
    <row r="173" ht="15" customHeight="1" s="41">
      <c r="J173" s="57" t="b">
        <f>IF(액션아이템!$C170="",FALSE(),OR(액션아이템!$F170="진행중",액션아이템!$F170="보류"))</f>
        <v>0</v>
      </c>
      <c r="K173" s="46" t="str">
        <f>IF($J173=FALSE(),"",IF(액션아이템!$E170="",99999999,액션아이템!$E170)*100+ROW()/1000)</f>
        <v/>
      </c>
      <c r="L173" s="46" t="str">
        <f>IF($K173="","",RANK($K173,$K$6:$K$1005,1))</f>
        <v/>
      </c>
    </row>
    <row r="174" ht="15" customHeight="1" s="41">
      <c r="J174" s="57" t="b">
        <f>IF(액션아이템!$C171="",FALSE(),OR(액션아이템!$F171="진행중",액션아이템!$F171="보류"))</f>
        <v>0</v>
      </c>
      <c r="K174" s="46" t="str">
        <f>IF($J174=FALSE(),"",IF(액션아이템!$E171="",99999999,액션아이템!$E171)*100+ROW()/1000)</f>
        <v/>
      </c>
      <c r="L174" s="46" t="str">
        <f>IF($K174="","",RANK($K174,$K$6:$K$1005,1))</f>
        <v/>
      </c>
    </row>
    <row r="175" ht="15" customHeight="1" s="41">
      <c r="J175" s="57" t="b">
        <f>IF(액션아이템!$C172="",FALSE(),OR(액션아이템!$F172="진행중",액션아이템!$F172="보류"))</f>
        <v>0</v>
      </c>
      <c r="K175" s="46" t="str">
        <f>IF($J175=FALSE(),"",IF(액션아이템!$E172="",99999999,액션아이템!$E172)*100+ROW()/1000)</f>
        <v/>
      </c>
      <c r="L175" s="46" t="str">
        <f>IF($K175="","",RANK($K175,$K$6:$K$1005,1))</f>
        <v/>
      </c>
    </row>
    <row r="176" ht="15" customHeight="1" s="41">
      <c r="J176" s="57" t="b">
        <f>IF(액션아이템!$C173="",FALSE(),OR(액션아이템!$F173="진행중",액션아이템!$F173="보류"))</f>
        <v>0</v>
      </c>
      <c r="K176" s="46" t="str">
        <f>IF($J176=FALSE(),"",IF(액션아이템!$E173="",99999999,액션아이템!$E173)*100+ROW()/1000)</f>
        <v/>
      </c>
      <c r="L176" s="46" t="str">
        <f>IF($K176="","",RANK($K176,$K$6:$K$1005,1))</f>
        <v/>
      </c>
    </row>
    <row r="177" ht="15" customHeight="1" s="41">
      <c r="J177" s="57" t="b">
        <f>IF(액션아이템!$C174="",FALSE(),OR(액션아이템!$F174="진행중",액션아이템!$F174="보류"))</f>
        <v>0</v>
      </c>
      <c r="K177" s="46" t="str">
        <f>IF($J177=FALSE(),"",IF(액션아이템!$E174="",99999999,액션아이템!$E174)*100+ROW()/1000)</f>
        <v/>
      </c>
      <c r="L177" s="46" t="str">
        <f>IF($K177="","",RANK($K177,$K$6:$K$1005,1))</f>
        <v/>
      </c>
    </row>
    <row r="178" ht="15" customHeight="1" s="41">
      <c r="J178" s="57" t="b">
        <f>IF(액션아이템!$C175="",FALSE(),OR(액션아이템!$F175="진행중",액션아이템!$F175="보류"))</f>
        <v>0</v>
      </c>
      <c r="K178" s="46" t="str">
        <f>IF($J178=FALSE(),"",IF(액션아이템!$E175="",99999999,액션아이템!$E175)*100+ROW()/1000)</f>
        <v/>
      </c>
      <c r="L178" s="46" t="str">
        <f>IF($K178="","",RANK($K178,$K$6:$K$1005,1))</f>
        <v/>
      </c>
    </row>
    <row r="179" ht="15" customHeight="1" s="41">
      <c r="J179" s="57" t="b">
        <f>IF(액션아이템!$C176="",FALSE(),OR(액션아이템!$F176="진행중",액션아이템!$F176="보류"))</f>
        <v>0</v>
      </c>
      <c r="K179" s="46" t="str">
        <f>IF($J179=FALSE(),"",IF(액션아이템!$E176="",99999999,액션아이템!$E176)*100+ROW()/1000)</f>
        <v/>
      </c>
      <c r="L179" s="46" t="str">
        <f>IF($K179="","",RANK($K179,$K$6:$K$1005,1))</f>
        <v/>
      </c>
    </row>
    <row r="180" ht="15" customHeight="1" s="41">
      <c r="J180" s="57" t="b">
        <f>IF(액션아이템!$C177="",FALSE(),OR(액션아이템!$F177="진행중",액션아이템!$F177="보류"))</f>
        <v>0</v>
      </c>
      <c r="K180" s="46" t="str">
        <f>IF($J180=FALSE(),"",IF(액션아이템!$E177="",99999999,액션아이템!$E177)*100+ROW()/1000)</f>
        <v/>
      </c>
      <c r="L180" s="46" t="str">
        <f>IF($K180="","",RANK($K180,$K$6:$K$1005,1))</f>
        <v/>
      </c>
    </row>
    <row r="181" ht="15" customHeight="1" s="41">
      <c r="J181" s="57" t="b">
        <f>IF(액션아이템!$C178="",FALSE(),OR(액션아이템!$F178="진행중",액션아이템!$F178="보류"))</f>
        <v>0</v>
      </c>
      <c r="K181" s="46" t="str">
        <f>IF($J181=FALSE(),"",IF(액션아이템!$E178="",99999999,액션아이템!$E178)*100+ROW()/1000)</f>
        <v/>
      </c>
      <c r="L181" s="46" t="str">
        <f>IF($K181="","",RANK($K181,$K$6:$K$1005,1))</f>
        <v/>
      </c>
    </row>
    <row r="182" ht="15" customHeight="1" s="41">
      <c r="J182" s="57" t="b">
        <f>IF(액션아이템!$C179="",FALSE(),OR(액션아이템!$F179="진행중",액션아이템!$F179="보류"))</f>
        <v>0</v>
      </c>
      <c r="K182" s="46" t="str">
        <f>IF($J182=FALSE(),"",IF(액션아이템!$E179="",99999999,액션아이템!$E179)*100+ROW()/1000)</f>
        <v/>
      </c>
      <c r="L182" s="46" t="str">
        <f>IF($K182="","",RANK($K182,$K$6:$K$1005,1))</f>
        <v/>
      </c>
    </row>
    <row r="183" ht="15" customHeight="1" s="41">
      <c r="J183" s="57" t="b">
        <f>IF(액션아이템!$C180="",FALSE(),OR(액션아이템!$F180="진행중",액션아이템!$F180="보류"))</f>
        <v>0</v>
      </c>
      <c r="K183" s="46" t="str">
        <f>IF($J183=FALSE(),"",IF(액션아이템!$E180="",99999999,액션아이템!$E180)*100+ROW()/1000)</f>
        <v/>
      </c>
      <c r="L183" s="46" t="str">
        <f>IF($K183="","",RANK($K183,$K$6:$K$1005,1))</f>
        <v/>
      </c>
    </row>
    <row r="184" ht="15" customHeight="1" s="41">
      <c r="J184" s="57" t="b">
        <f>IF(액션아이템!$C181="",FALSE(),OR(액션아이템!$F181="진행중",액션아이템!$F181="보류"))</f>
        <v>0</v>
      </c>
      <c r="K184" s="46" t="str">
        <f>IF($J184=FALSE(),"",IF(액션아이템!$E181="",99999999,액션아이템!$E181)*100+ROW()/1000)</f>
        <v/>
      </c>
      <c r="L184" s="46" t="str">
        <f>IF($K184="","",RANK($K184,$K$6:$K$1005,1))</f>
        <v/>
      </c>
    </row>
    <row r="185" ht="15" customHeight="1" s="41">
      <c r="J185" s="57" t="b">
        <f>IF(액션아이템!$C182="",FALSE(),OR(액션아이템!$F182="진행중",액션아이템!$F182="보류"))</f>
        <v>0</v>
      </c>
      <c r="K185" s="46" t="str">
        <f>IF($J185=FALSE(),"",IF(액션아이템!$E182="",99999999,액션아이템!$E182)*100+ROW()/1000)</f>
        <v/>
      </c>
      <c r="L185" s="46" t="str">
        <f>IF($K185="","",RANK($K185,$K$6:$K$1005,1))</f>
        <v/>
      </c>
    </row>
    <row r="186" ht="15" customHeight="1" s="41">
      <c r="J186" s="57" t="b">
        <f>IF(액션아이템!$C183="",FALSE(),OR(액션아이템!$F183="진행중",액션아이템!$F183="보류"))</f>
        <v>0</v>
      </c>
      <c r="K186" s="46" t="str">
        <f>IF($J186=FALSE(),"",IF(액션아이템!$E183="",99999999,액션아이템!$E183)*100+ROW()/1000)</f>
        <v/>
      </c>
      <c r="L186" s="46" t="str">
        <f>IF($K186="","",RANK($K186,$K$6:$K$1005,1))</f>
        <v/>
      </c>
    </row>
    <row r="187" ht="15" customHeight="1" s="41">
      <c r="J187" s="57" t="b">
        <f>IF(액션아이템!$C184="",FALSE(),OR(액션아이템!$F184="진행중",액션아이템!$F184="보류"))</f>
        <v>0</v>
      </c>
      <c r="K187" s="46" t="str">
        <f>IF($J187=FALSE(),"",IF(액션아이템!$E184="",99999999,액션아이템!$E184)*100+ROW()/1000)</f>
        <v/>
      </c>
      <c r="L187" s="46" t="str">
        <f>IF($K187="","",RANK($K187,$K$6:$K$1005,1))</f>
        <v/>
      </c>
    </row>
    <row r="188" ht="15" customHeight="1" s="41">
      <c r="J188" s="57" t="b">
        <f>IF(액션아이템!$C185="",FALSE(),OR(액션아이템!$F185="진행중",액션아이템!$F185="보류"))</f>
        <v>0</v>
      </c>
      <c r="K188" s="46" t="str">
        <f>IF($J188=FALSE(),"",IF(액션아이템!$E185="",99999999,액션아이템!$E185)*100+ROW()/1000)</f>
        <v/>
      </c>
      <c r="L188" s="46" t="str">
        <f>IF($K188="","",RANK($K188,$K$6:$K$1005,1))</f>
        <v/>
      </c>
    </row>
    <row r="189" ht="15" customHeight="1" s="41">
      <c r="J189" s="57" t="b">
        <f>IF(액션아이템!$C186="",FALSE(),OR(액션아이템!$F186="진행중",액션아이템!$F186="보류"))</f>
        <v>0</v>
      </c>
      <c r="K189" s="46" t="str">
        <f>IF($J189=FALSE(),"",IF(액션아이템!$E186="",99999999,액션아이템!$E186)*100+ROW()/1000)</f>
        <v/>
      </c>
      <c r="L189" s="46" t="str">
        <f>IF($K189="","",RANK($K189,$K$6:$K$1005,1))</f>
        <v/>
      </c>
    </row>
    <row r="190" ht="15" customHeight="1" s="41">
      <c r="J190" s="57" t="b">
        <f>IF(액션아이템!$C187="",FALSE(),OR(액션아이템!$F187="진행중",액션아이템!$F187="보류"))</f>
        <v>0</v>
      </c>
      <c r="K190" s="46" t="str">
        <f>IF($J190=FALSE(),"",IF(액션아이템!$E187="",99999999,액션아이템!$E187)*100+ROW()/1000)</f>
        <v/>
      </c>
      <c r="L190" s="46" t="str">
        <f>IF($K190="","",RANK($K190,$K$6:$K$1005,1))</f>
        <v/>
      </c>
    </row>
    <row r="191" ht="15" customHeight="1" s="41">
      <c r="J191" s="57" t="b">
        <f>IF(액션아이템!$C188="",FALSE(),OR(액션아이템!$F188="진행중",액션아이템!$F188="보류"))</f>
        <v>0</v>
      </c>
      <c r="K191" s="46" t="str">
        <f>IF($J191=FALSE(),"",IF(액션아이템!$E188="",99999999,액션아이템!$E188)*100+ROW()/1000)</f>
        <v/>
      </c>
      <c r="L191" s="46" t="str">
        <f>IF($K191="","",RANK($K191,$K$6:$K$1005,1))</f>
        <v/>
      </c>
    </row>
    <row r="192" ht="15" customHeight="1" s="41">
      <c r="J192" s="57" t="b">
        <f>IF(액션아이템!$C189="",FALSE(),OR(액션아이템!$F189="진행중",액션아이템!$F189="보류"))</f>
        <v>0</v>
      </c>
      <c r="K192" s="46" t="str">
        <f>IF($J192=FALSE(),"",IF(액션아이템!$E189="",99999999,액션아이템!$E189)*100+ROW()/1000)</f>
        <v/>
      </c>
      <c r="L192" s="46" t="str">
        <f>IF($K192="","",RANK($K192,$K$6:$K$1005,1))</f>
        <v/>
      </c>
    </row>
    <row r="193" ht="15" customHeight="1" s="41">
      <c r="J193" s="57" t="b">
        <f>IF(액션아이템!$C190="",FALSE(),OR(액션아이템!$F190="진행중",액션아이템!$F190="보류"))</f>
        <v>0</v>
      </c>
      <c r="K193" s="46" t="str">
        <f>IF($J193=FALSE(),"",IF(액션아이템!$E190="",99999999,액션아이템!$E190)*100+ROW()/1000)</f>
        <v/>
      </c>
      <c r="L193" s="46" t="str">
        <f>IF($K193="","",RANK($K193,$K$6:$K$1005,1))</f>
        <v/>
      </c>
    </row>
    <row r="194" ht="15" customHeight="1" s="41">
      <c r="J194" s="57" t="b">
        <f>IF(액션아이템!$C191="",FALSE(),OR(액션아이템!$F191="진행중",액션아이템!$F191="보류"))</f>
        <v>0</v>
      </c>
      <c r="K194" s="46" t="str">
        <f>IF($J194=FALSE(),"",IF(액션아이템!$E191="",99999999,액션아이템!$E191)*100+ROW()/1000)</f>
        <v/>
      </c>
      <c r="L194" s="46" t="str">
        <f>IF($K194="","",RANK($K194,$K$6:$K$1005,1))</f>
        <v/>
      </c>
    </row>
    <row r="195" ht="15" customHeight="1" s="41">
      <c r="J195" s="57" t="b">
        <f>IF(액션아이템!$C192="",FALSE(),OR(액션아이템!$F192="진행중",액션아이템!$F192="보류"))</f>
        <v>0</v>
      </c>
      <c r="K195" s="46" t="str">
        <f>IF($J195=FALSE(),"",IF(액션아이템!$E192="",99999999,액션아이템!$E192)*100+ROW()/1000)</f>
        <v/>
      </c>
      <c r="L195" s="46" t="str">
        <f>IF($K195="","",RANK($K195,$K$6:$K$1005,1))</f>
        <v/>
      </c>
    </row>
    <row r="196" ht="15" customHeight="1" s="41">
      <c r="J196" s="57" t="b">
        <f>IF(액션아이템!$C193="",FALSE(),OR(액션아이템!$F193="진행중",액션아이템!$F193="보류"))</f>
        <v>0</v>
      </c>
      <c r="K196" s="46" t="str">
        <f>IF($J196=FALSE(),"",IF(액션아이템!$E193="",99999999,액션아이템!$E193)*100+ROW()/1000)</f>
        <v/>
      </c>
      <c r="L196" s="46" t="str">
        <f>IF($K196="","",RANK($K196,$K$6:$K$1005,1))</f>
        <v/>
      </c>
    </row>
    <row r="197" ht="15" customHeight="1" s="41">
      <c r="J197" s="57" t="b">
        <f>IF(액션아이템!$C194="",FALSE(),OR(액션아이템!$F194="진행중",액션아이템!$F194="보류"))</f>
        <v>0</v>
      </c>
      <c r="K197" s="46" t="str">
        <f>IF($J197=FALSE(),"",IF(액션아이템!$E194="",99999999,액션아이템!$E194)*100+ROW()/1000)</f>
        <v/>
      </c>
      <c r="L197" s="46" t="str">
        <f>IF($K197="","",RANK($K197,$K$6:$K$1005,1))</f>
        <v/>
      </c>
    </row>
    <row r="198" ht="15" customHeight="1" s="41">
      <c r="J198" s="57" t="b">
        <f>IF(액션아이템!$C195="",FALSE(),OR(액션아이템!$F195="진행중",액션아이템!$F195="보류"))</f>
        <v>0</v>
      </c>
      <c r="K198" s="46" t="str">
        <f>IF($J198=FALSE(),"",IF(액션아이템!$E195="",99999999,액션아이템!$E195)*100+ROW()/1000)</f>
        <v/>
      </c>
      <c r="L198" s="46" t="str">
        <f>IF($K198="","",RANK($K198,$K$6:$K$1005,1))</f>
        <v/>
      </c>
    </row>
    <row r="199" ht="15" customHeight="1" s="41">
      <c r="J199" s="57" t="b">
        <f>IF(액션아이템!$C196="",FALSE(),OR(액션아이템!$F196="진행중",액션아이템!$F196="보류"))</f>
        <v>0</v>
      </c>
      <c r="K199" s="46" t="str">
        <f>IF($J199=FALSE(),"",IF(액션아이템!$E196="",99999999,액션아이템!$E196)*100+ROW()/1000)</f>
        <v/>
      </c>
      <c r="L199" s="46" t="str">
        <f>IF($K199="","",RANK($K199,$K$6:$K$1005,1))</f>
        <v/>
      </c>
    </row>
    <row r="200" ht="15" customHeight="1" s="41">
      <c r="J200" s="57" t="b">
        <f>IF(액션아이템!$C197="",FALSE(),OR(액션아이템!$F197="진행중",액션아이템!$F197="보류"))</f>
        <v>0</v>
      </c>
      <c r="K200" s="46" t="str">
        <f>IF($J200=FALSE(),"",IF(액션아이템!$E197="",99999999,액션아이템!$E197)*100+ROW()/1000)</f>
        <v/>
      </c>
      <c r="L200" s="46" t="str">
        <f>IF($K200="","",RANK($K200,$K$6:$K$1005,1))</f>
        <v/>
      </c>
    </row>
    <row r="201" ht="15" customHeight="1" s="41">
      <c r="J201" s="57" t="b">
        <f>IF(액션아이템!$C198="",FALSE(),OR(액션아이템!$F198="진행중",액션아이템!$F198="보류"))</f>
        <v>0</v>
      </c>
      <c r="K201" s="46" t="str">
        <f>IF($J201=FALSE(),"",IF(액션아이템!$E198="",99999999,액션아이템!$E198)*100+ROW()/1000)</f>
        <v/>
      </c>
      <c r="L201" s="46" t="str">
        <f>IF($K201="","",RANK($K201,$K$6:$K$1005,1))</f>
        <v/>
      </c>
    </row>
    <row r="202" ht="15" customHeight="1" s="41">
      <c r="J202" s="57" t="b">
        <f>IF(액션아이템!$C199="",FALSE(),OR(액션아이템!$F199="진행중",액션아이템!$F199="보류"))</f>
        <v>0</v>
      </c>
      <c r="K202" s="46" t="str">
        <f>IF($J202=FALSE(),"",IF(액션아이템!$E199="",99999999,액션아이템!$E199)*100+ROW()/1000)</f>
        <v/>
      </c>
      <c r="L202" s="46" t="str">
        <f>IF($K202="","",RANK($K202,$K$6:$K$1005,1))</f>
        <v/>
      </c>
    </row>
    <row r="203" ht="15" customHeight="1" s="41">
      <c r="J203" s="57" t="b">
        <f>IF(액션아이템!$C200="",FALSE(),OR(액션아이템!$F200="진행중",액션아이템!$F200="보류"))</f>
        <v>0</v>
      </c>
      <c r="K203" s="46" t="str">
        <f>IF($J203=FALSE(),"",IF(액션아이템!$E200="",99999999,액션아이템!$E200)*100+ROW()/1000)</f>
        <v/>
      </c>
      <c r="L203" s="46" t="str">
        <f>IF($K203="","",RANK($K203,$K$6:$K$1005,1))</f>
        <v/>
      </c>
    </row>
    <row r="204" ht="15" customHeight="1" s="41">
      <c r="J204" s="57" t="b">
        <f>IF(액션아이템!$C201="",FALSE(),OR(액션아이템!$F201="진행중",액션아이템!$F201="보류"))</f>
        <v>0</v>
      </c>
      <c r="K204" s="46" t="str">
        <f>IF($J204=FALSE(),"",IF(액션아이템!$E201="",99999999,액션아이템!$E201)*100+ROW()/1000)</f>
        <v/>
      </c>
      <c r="L204" s="46" t="str">
        <f>IF($K204="","",RANK($K204,$K$6:$K$1005,1))</f>
        <v/>
      </c>
    </row>
    <row r="205" ht="15" customHeight="1" s="41">
      <c r="J205" s="57" t="b">
        <f>IF(액션아이템!$C202="",FALSE(),OR(액션아이템!$F202="진행중",액션아이템!$F202="보류"))</f>
        <v>0</v>
      </c>
      <c r="K205" s="46" t="str">
        <f>IF($J205=FALSE(),"",IF(액션아이템!$E202="",99999999,액션아이템!$E202)*100+ROW()/1000)</f>
        <v/>
      </c>
      <c r="L205" s="46" t="str">
        <f>IF($K205="","",RANK($K205,$K$6:$K$1005,1))</f>
        <v/>
      </c>
    </row>
    <row r="206" ht="15" customHeight="1" s="41">
      <c r="J206" s="57" t="b">
        <f>IF(액션아이템!$C203="",FALSE(),OR(액션아이템!$F203="진행중",액션아이템!$F203="보류"))</f>
        <v>0</v>
      </c>
      <c r="K206" s="46" t="str">
        <f>IF($J206=FALSE(),"",IF(액션아이템!$E203="",99999999,액션아이템!$E203)*100+ROW()/1000)</f>
        <v/>
      </c>
      <c r="L206" s="46" t="str">
        <f>IF($K206="","",RANK($K206,$K$6:$K$1005,1))</f>
        <v/>
      </c>
    </row>
    <row r="207" ht="15" customHeight="1" s="41">
      <c r="J207" s="57" t="b">
        <f>IF(액션아이템!$C204="",FALSE(),OR(액션아이템!$F204="진행중",액션아이템!$F204="보류"))</f>
        <v>0</v>
      </c>
      <c r="K207" s="46" t="str">
        <f>IF($J207=FALSE(),"",IF(액션아이템!$E204="",99999999,액션아이템!$E204)*100+ROW()/1000)</f>
        <v/>
      </c>
      <c r="L207" s="46" t="str">
        <f>IF($K207="","",RANK($K207,$K$6:$K$1005,1))</f>
        <v/>
      </c>
    </row>
    <row r="208" ht="15" customHeight="1" s="41">
      <c r="J208" s="57" t="b">
        <f>IF(액션아이템!$C205="",FALSE(),OR(액션아이템!$F205="진행중",액션아이템!$F205="보류"))</f>
        <v>0</v>
      </c>
      <c r="K208" s="46" t="str">
        <f>IF($J208=FALSE(),"",IF(액션아이템!$E205="",99999999,액션아이템!$E205)*100+ROW()/1000)</f>
        <v/>
      </c>
      <c r="L208" s="46" t="str">
        <f>IF($K208="","",RANK($K208,$K$6:$K$1005,1))</f>
        <v/>
      </c>
    </row>
    <row r="209" ht="15" customHeight="1" s="41">
      <c r="J209" s="57" t="b">
        <f>IF(액션아이템!$C206="",FALSE(),OR(액션아이템!$F206="진행중",액션아이템!$F206="보류"))</f>
        <v>0</v>
      </c>
      <c r="K209" s="46" t="str">
        <f>IF($J209=FALSE(),"",IF(액션아이템!$E206="",99999999,액션아이템!$E206)*100+ROW()/1000)</f>
        <v/>
      </c>
      <c r="L209" s="46" t="str">
        <f>IF($K209="","",RANK($K209,$K$6:$K$1005,1))</f>
        <v/>
      </c>
    </row>
    <row r="210" ht="15" customHeight="1" s="41">
      <c r="J210" s="57" t="b">
        <f>IF(액션아이템!$C207="",FALSE(),OR(액션아이템!$F207="진행중",액션아이템!$F207="보류"))</f>
        <v>0</v>
      </c>
      <c r="K210" s="46" t="str">
        <f>IF($J210=FALSE(),"",IF(액션아이템!$E207="",99999999,액션아이템!$E207)*100+ROW()/1000)</f>
        <v/>
      </c>
      <c r="L210" s="46" t="str">
        <f>IF($K210="","",RANK($K210,$K$6:$K$1005,1))</f>
        <v/>
      </c>
    </row>
    <row r="211" ht="15" customHeight="1" s="41">
      <c r="J211" s="57" t="b">
        <f>IF(액션아이템!$C208="",FALSE(),OR(액션아이템!$F208="진행중",액션아이템!$F208="보류"))</f>
        <v>0</v>
      </c>
      <c r="K211" s="46" t="str">
        <f>IF($J211=FALSE(),"",IF(액션아이템!$E208="",99999999,액션아이템!$E208)*100+ROW()/1000)</f>
        <v/>
      </c>
      <c r="L211" s="46" t="str">
        <f>IF($K211="","",RANK($K211,$K$6:$K$1005,1))</f>
        <v/>
      </c>
    </row>
    <row r="212" ht="15" customHeight="1" s="41">
      <c r="J212" s="57" t="b">
        <f>IF(액션아이템!$C209="",FALSE(),OR(액션아이템!$F209="진행중",액션아이템!$F209="보류"))</f>
        <v>0</v>
      </c>
      <c r="K212" s="46" t="str">
        <f>IF($J212=FALSE(),"",IF(액션아이템!$E209="",99999999,액션아이템!$E209)*100+ROW()/1000)</f>
        <v/>
      </c>
      <c r="L212" s="46" t="str">
        <f>IF($K212="","",RANK($K212,$K$6:$K$1005,1))</f>
        <v/>
      </c>
    </row>
    <row r="213" ht="15" customHeight="1" s="41">
      <c r="J213" s="57" t="b">
        <f>IF(액션아이템!$C210="",FALSE(),OR(액션아이템!$F210="진행중",액션아이템!$F210="보류"))</f>
        <v>0</v>
      </c>
      <c r="K213" s="46" t="str">
        <f>IF($J213=FALSE(),"",IF(액션아이템!$E210="",99999999,액션아이템!$E210)*100+ROW()/1000)</f>
        <v/>
      </c>
      <c r="L213" s="46" t="str">
        <f>IF($K213="","",RANK($K213,$K$6:$K$1005,1))</f>
        <v/>
      </c>
    </row>
    <row r="214" ht="15" customHeight="1" s="41">
      <c r="J214" s="57" t="b">
        <f>IF(액션아이템!$C211="",FALSE(),OR(액션아이템!$F211="진행중",액션아이템!$F211="보류"))</f>
        <v>0</v>
      </c>
      <c r="K214" s="46" t="str">
        <f>IF($J214=FALSE(),"",IF(액션아이템!$E211="",99999999,액션아이템!$E211)*100+ROW()/1000)</f>
        <v/>
      </c>
      <c r="L214" s="46" t="str">
        <f>IF($K214="","",RANK($K214,$K$6:$K$1005,1))</f>
        <v/>
      </c>
    </row>
    <row r="215" ht="15" customHeight="1" s="41">
      <c r="J215" s="57" t="b">
        <f>IF(액션아이템!$C212="",FALSE(),OR(액션아이템!$F212="진행중",액션아이템!$F212="보류"))</f>
        <v>0</v>
      </c>
      <c r="K215" s="46" t="str">
        <f>IF($J215=FALSE(),"",IF(액션아이템!$E212="",99999999,액션아이템!$E212)*100+ROW()/1000)</f>
        <v/>
      </c>
      <c r="L215" s="46" t="str">
        <f>IF($K215="","",RANK($K215,$K$6:$K$1005,1))</f>
        <v/>
      </c>
    </row>
    <row r="216" ht="15" customHeight="1" s="41">
      <c r="J216" s="57" t="b">
        <f>IF(액션아이템!$C213="",FALSE(),OR(액션아이템!$F213="진행중",액션아이템!$F213="보류"))</f>
        <v>0</v>
      </c>
      <c r="K216" s="46" t="str">
        <f>IF($J216=FALSE(),"",IF(액션아이템!$E213="",99999999,액션아이템!$E213)*100+ROW()/1000)</f>
        <v/>
      </c>
      <c r="L216" s="46" t="str">
        <f>IF($K216="","",RANK($K216,$K$6:$K$1005,1))</f>
        <v/>
      </c>
    </row>
    <row r="217" ht="15" customHeight="1" s="41">
      <c r="J217" s="57" t="b">
        <f>IF(액션아이템!$C214="",FALSE(),OR(액션아이템!$F214="진행중",액션아이템!$F214="보류"))</f>
        <v>0</v>
      </c>
      <c r="K217" s="46" t="str">
        <f>IF($J217=FALSE(),"",IF(액션아이템!$E214="",99999999,액션아이템!$E214)*100+ROW()/1000)</f>
        <v/>
      </c>
      <c r="L217" s="46" t="str">
        <f>IF($K217="","",RANK($K217,$K$6:$K$1005,1))</f>
        <v/>
      </c>
    </row>
    <row r="218" ht="15" customHeight="1" s="41">
      <c r="J218" s="57" t="b">
        <f>IF(액션아이템!$C215="",FALSE(),OR(액션아이템!$F215="진행중",액션아이템!$F215="보류"))</f>
        <v>0</v>
      </c>
      <c r="K218" s="46" t="str">
        <f>IF($J218=FALSE(),"",IF(액션아이템!$E215="",99999999,액션아이템!$E215)*100+ROW()/1000)</f>
        <v/>
      </c>
      <c r="L218" s="46" t="str">
        <f>IF($K218="","",RANK($K218,$K$6:$K$1005,1))</f>
        <v/>
      </c>
    </row>
    <row r="219" ht="15" customHeight="1" s="41">
      <c r="J219" s="57" t="b">
        <f>IF(액션아이템!$C216="",FALSE(),OR(액션아이템!$F216="진행중",액션아이템!$F216="보류"))</f>
        <v>0</v>
      </c>
      <c r="K219" s="46" t="str">
        <f>IF($J219=FALSE(),"",IF(액션아이템!$E216="",99999999,액션아이템!$E216)*100+ROW()/1000)</f>
        <v/>
      </c>
      <c r="L219" s="46" t="str">
        <f>IF($K219="","",RANK($K219,$K$6:$K$1005,1))</f>
        <v/>
      </c>
    </row>
    <row r="220" ht="15" customHeight="1" s="41">
      <c r="J220" s="57" t="b">
        <f>IF(액션아이템!$C217="",FALSE(),OR(액션아이템!$F217="진행중",액션아이템!$F217="보류"))</f>
        <v>0</v>
      </c>
      <c r="K220" s="46" t="str">
        <f>IF($J220=FALSE(),"",IF(액션아이템!$E217="",99999999,액션아이템!$E217)*100+ROW()/1000)</f>
        <v/>
      </c>
      <c r="L220" s="46" t="str">
        <f>IF($K220="","",RANK($K220,$K$6:$K$1005,1))</f>
        <v/>
      </c>
    </row>
    <row r="221" ht="15" customHeight="1" s="41">
      <c r="J221" s="57" t="b">
        <f>IF(액션아이템!$C218="",FALSE(),OR(액션아이템!$F218="진행중",액션아이템!$F218="보류"))</f>
        <v>0</v>
      </c>
      <c r="K221" s="46" t="str">
        <f>IF($J221=FALSE(),"",IF(액션아이템!$E218="",99999999,액션아이템!$E218)*100+ROW()/1000)</f>
        <v/>
      </c>
      <c r="L221" s="46" t="str">
        <f>IF($K221="","",RANK($K221,$K$6:$K$1005,1))</f>
        <v/>
      </c>
    </row>
    <row r="222" ht="15" customHeight="1" s="41">
      <c r="J222" s="57" t="b">
        <f>IF(액션아이템!$C219="",FALSE(),OR(액션아이템!$F219="진행중",액션아이템!$F219="보류"))</f>
        <v>0</v>
      </c>
      <c r="K222" s="46" t="str">
        <f>IF($J222=FALSE(),"",IF(액션아이템!$E219="",99999999,액션아이템!$E219)*100+ROW()/1000)</f>
        <v/>
      </c>
      <c r="L222" s="46" t="str">
        <f>IF($K222="","",RANK($K222,$K$6:$K$1005,1))</f>
        <v/>
      </c>
    </row>
    <row r="223" ht="15" customHeight="1" s="41">
      <c r="J223" s="57" t="b">
        <f>IF(액션아이템!$C220="",FALSE(),OR(액션아이템!$F220="진행중",액션아이템!$F220="보류"))</f>
        <v>0</v>
      </c>
      <c r="K223" s="46" t="str">
        <f>IF($J223=FALSE(),"",IF(액션아이템!$E220="",99999999,액션아이템!$E220)*100+ROW()/1000)</f>
        <v/>
      </c>
      <c r="L223" s="46" t="str">
        <f>IF($K223="","",RANK($K223,$K$6:$K$1005,1))</f>
        <v/>
      </c>
    </row>
    <row r="224" ht="15" customHeight="1" s="41">
      <c r="J224" s="57" t="b">
        <f>IF(액션아이템!$C221="",FALSE(),OR(액션아이템!$F221="진행중",액션아이템!$F221="보류"))</f>
        <v>0</v>
      </c>
      <c r="K224" s="46" t="str">
        <f>IF($J224=FALSE(),"",IF(액션아이템!$E221="",99999999,액션아이템!$E221)*100+ROW()/1000)</f>
        <v/>
      </c>
      <c r="L224" s="46" t="str">
        <f>IF($K224="","",RANK($K224,$K$6:$K$1005,1))</f>
        <v/>
      </c>
    </row>
    <row r="225" ht="15" customHeight="1" s="41">
      <c r="J225" s="57" t="b">
        <f>IF(액션아이템!$C222="",FALSE(),OR(액션아이템!$F222="진행중",액션아이템!$F222="보류"))</f>
        <v>0</v>
      </c>
      <c r="K225" s="46" t="str">
        <f>IF($J225=FALSE(),"",IF(액션아이템!$E222="",99999999,액션아이템!$E222)*100+ROW()/1000)</f>
        <v/>
      </c>
      <c r="L225" s="46" t="str">
        <f>IF($K225="","",RANK($K225,$K$6:$K$1005,1))</f>
        <v/>
      </c>
    </row>
    <row r="226" ht="15" customHeight="1" s="41">
      <c r="J226" s="57" t="b">
        <f>IF(액션아이템!$C223="",FALSE(),OR(액션아이템!$F223="진행중",액션아이템!$F223="보류"))</f>
        <v>0</v>
      </c>
      <c r="K226" s="46" t="str">
        <f>IF($J226=FALSE(),"",IF(액션아이템!$E223="",99999999,액션아이템!$E223)*100+ROW()/1000)</f>
        <v/>
      </c>
      <c r="L226" s="46" t="str">
        <f>IF($K226="","",RANK($K226,$K$6:$K$1005,1))</f>
        <v/>
      </c>
    </row>
    <row r="227" ht="15" customHeight="1" s="41">
      <c r="J227" s="57" t="b">
        <f>IF(액션아이템!$C224="",FALSE(),OR(액션아이템!$F224="진행중",액션아이템!$F224="보류"))</f>
        <v>0</v>
      </c>
      <c r="K227" s="46" t="str">
        <f>IF($J227=FALSE(),"",IF(액션아이템!$E224="",99999999,액션아이템!$E224)*100+ROW()/1000)</f>
        <v/>
      </c>
      <c r="L227" s="46" t="str">
        <f>IF($K227="","",RANK($K227,$K$6:$K$1005,1))</f>
        <v/>
      </c>
    </row>
    <row r="228" ht="15" customHeight="1" s="41">
      <c r="J228" s="57" t="b">
        <f>IF(액션아이템!$C225="",FALSE(),OR(액션아이템!$F225="진행중",액션아이템!$F225="보류"))</f>
        <v>0</v>
      </c>
      <c r="K228" s="46" t="str">
        <f>IF($J228=FALSE(),"",IF(액션아이템!$E225="",99999999,액션아이템!$E225)*100+ROW()/1000)</f>
        <v/>
      </c>
      <c r="L228" s="46" t="str">
        <f>IF($K228="","",RANK($K228,$K$6:$K$1005,1))</f>
        <v/>
      </c>
    </row>
    <row r="229" ht="15" customHeight="1" s="41">
      <c r="J229" s="57" t="b">
        <f>IF(액션아이템!$C226="",FALSE(),OR(액션아이템!$F226="진행중",액션아이템!$F226="보류"))</f>
        <v>0</v>
      </c>
      <c r="K229" s="46" t="str">
        <f>IF($J229=FALSE(),"",IF(액션아이템!$E226="",99999999,액션아이템!$E226)*100+ROW()/1000)</f>
        <v/>
      </c>
      <c r="L229" s="46" t="str">
        <f>IF($K229="","",RANK($K229,$K$6:$K$1005,1))</f>
        <v/>
      </c>
    </row>
    <row r="230" ht="15" customHeight="1" s="41">
      <c r="J230" s="57" t="b">
        <f>IF(액션아이템!$C227="",FALSE(),OR(액션아이템!$F227="진행중",액션아이템!$F227="보류"))</f>
        <v>0</v>
      </c>
      <c r="K230" s="46" t="str">
        <f>IF($J230=FALSE(),"",IF(액션아이템!$E227="",99999999,액션아이템!$E227)*100+ROW()/1000)</f>
        <v/>
      </c>
      <c r="L230" s="46" t="str">
        <f>IF($K230="","",RANK($K230,$K$6:$K$1005,1))</f>
        <v/>
      </c>
    </row>
    <row r="231" ht="15" customHeight="1" s="41">
      <c r="J231" s="57" t="b">
        <f>IF(액션아이템!$C228="",FALSE(),OR(액션아이템!$F228="진행중",액션아이템!$F228="보류"))</f>
        <v>0</v>
      </c>
      <c r="K231" s="46" t="str">
        <f>IF($J231=FALSE(),"",IF(액션아이템!$E228="",99999999,액션아이템!$E228)*100+ROW()/1000)</f>
        <v/>
      </c>
      <c r="L231" s="46" t="str">
        <f>IF($K231="","",RANK($K231,$K$6:$K$1005,1))</f>
        <v/>
      </c>
    </row>
    <row r="232" ht="15" customHeight="1" s="41">
      <c r="J232" s="57" t="b">
        <f>IF(액션아이템!$C229="",FALSE(),OR(액션아이템!$F229="진행중",액션아이템!$F229="보류"))</f>
        <v>0</v>
      </c>
      <c r="K232" s="46" t="str">
        <f>IF($J232=FALSE(),"",IF(액션아이템!$E229="",99999999,액션아이템!$E229)*100+ROW()/1000)</f>
        <v/>
      </c>
      <c r="L232" s="46" t="str">
        <f>IF($K232="","",RANK($K232,$K$6:$K$1005,1))</f>
        <v/>
      </c>
    </row>
    <row r="233" ht="15" customHeight="1" s="41">
      <c r="J233" s="57" t="b">
        <f>IF(액션아이템!$C230="",FALSE(),OR(액션아이템!$F230="진행중",액션아이템!$F230="보류"))</f>
        <v>0</v>
      </c>
      <c r="K233" s="46" t="str">
        <f>IF($J233=FALSE(),"",IF(액션아이템!$E230="",99999999,액션아이템!$E230)*100+ROW()/1000)</f>
        <v/>
      </c>
      <c r="L233" s="46" t="str">
        <f>IF($K233="","",RANK($K233,$K$6:$K$1005,1))</f>
        <v/>
      </c>
    </row>
    <row r="234" ht="15" customHeight="1" s="41">
      <c r="J234" s="57" t="b">
        <f>IF(액션아이템!$C231="",FALSE(),OR(액션아이템!$F231="진행중",액션아이템!$F231="보류"))</f>
        <v>0</v>
      </c>
      <c r="K234" s="46" t="str">
        <f>IF($J234=FALSE(),"",IF(액션아이템!$E231="",99999999,액션아이템!$E231)*100+ROW()/1000)</f>
        <v/>
      </c>
      <c r="L234" s="46" t="str">
        <f>IF($K234="","",RANK($K234,$K$6:$K$1005,1))</f>
        <v/>
      </c>
    </row>
    <row r="235" ht="15" customHeight="1" s="41">
      <c r="J235" s="57" t="b">
        <f>IF(액션아이템!$C232="",FALSE(),OR(액션아이템!$F232="진행중",액션아이템!$F232="보류"))</f>
        <v>0</v>
      </c>
      <c r="K235" s="46" t="str">
        <f>IF($J235=FALSE(),"",IF(액션아이템!$E232="",99999999,액션아이템!$E232)*100+ROW()/1000)</f>
        <v/>
      </c>
      <c r="L235" s="46" t="str">
        <f>IF($K235="","",RANK($K235,$K$6:$K$1005,1))</f>
        <v/>
      </c>
    </row>
    <row r="236" ht="15" customHeight="1" s="41">
      <c r="J236" s="57" t="b">
        <f>IF(액션아이템!$C233="",FALSE(),OR(액션아이템!$F233="진행중",액션아이템!$F233="보류"))</f>
        <v>0</v>
      </c>
      <c r="K236" s="46" t="str">
        <f>IF($J236=FALSE(),"",IF(액션아이템!$E233="",99999999,액션아이템!$E233)*100+ROW()/1000)</f>
        <v/>
      </c>
      <c r="L236" s="46" t="str">
        <f>IF($K236="","",RANK($K236,$K$6:$K$1005,1))</f>
        <v/>
      </c>
    </row>
    <row r="237" ht="15" customHeight="1" s="41">
      <c r="J237" s="57" t="b">
        <f>IF(액션아이템!$C234="",FALSE(),OR(액션아이템!$F234="진행중",액션아이템!$F234="보류"))</f>
        <v>0</v>
      </c>
      <c r="K237" s="46" t="str">
        <f>IF($J237=FALSE(),"",IF(액션아이템!$E234="",99999999,액션아이템!$E234)*100+ROW()/1000)</f>
        <v/>
      </c>
      <c r="L237" s="46" t="str">
        <f>IF($K237="","",RANK($K237,$K$6:$K$1005,1))</f>
        <v/>
      </c>
    </row>
    <row r="238" ht="15" customHeight="1" s="41">
      <c r="J238" s="57" t="b">
        <f>IF(액션아이템!$C235="",FALSE(),OR(액션아이템!$F235="진행중",액션아이템!$F235="보류"))</f>
        <v>0</v>
      </c>
      <c r="K238" s="46" t="str">
        <f>IF($J238=FALSE(),"",IF(액션아이템!$E235="",99999999,액션아이템!$E235)*100+ROW()/1000)</f>
        <v/>
      </c>
      <c r="L238" s="46" t="str">
        <f>IF($K238="","",RANK($K238,$K$6:$K$1005,1))</f>
        <v/>
      </c>
    </row>
    <row r="239" ht="15" customHeight="1" s="41">
      <c r="J239" s="57" t="b">
        <f>IF(액션아이템!$C236="",FALSE(),OR(액션아이템!$F236="진행중",액션아이템!$F236="보류"))</f>
        <v>0</v>
      </c>
      <c r="K239" s="46" t="str">
        <f>IF($J239=FALSE(),"",IF(액션아이템!$E236="",99999999,액션아이템!$E236)*100+ROW()/1000)</f>
        <v/>
      </c>
      <c r="L239" s="46" t="str">
        <f>IF($K239="","",RANK($K239,$K$6:$K$1005,1))</f>
        <v/>
      </c>
    </row>
    <row r="240" ht="15" customHeight="1" s="41">
      <c r="J240" s="57" t="b">
        <f>IF(액션아이템!$C237="",FALSE(),OR(액션아이템!$F237="진행중",액션아이템!$F237="보류"))</f>
        <v>0</v>
      </c>
      <c r="K240" s="46" t="str">
        <f>IF($J240=FALSE(),"",IF(액션아이템!$E237="",99999999,액션아이템!$E237)*100+ROW()/1000)</f>
        <v/>
      </c>
      <c r="L240" s="46" t="str">
        <f>IF($K240="","",RANK($K240,$K$6:$K$1005,1))</f>
        <v/>
      </c>
    </row>
    <row r="241" ht="15" customHeight="1" s="41">
      <c r="J241" s="57" t="b">
        <f>IF(액션아이템!$C238="",FALSE(),OR(액션아이템!$F238="진행중",액션아이템!$F238="보류"))</f>
        <v>0</v>
      </c>
      <c r="K241" s="46" t="str">
        <f>IF($J241=FALSE(),"",IF(액션아이템!$E238="",99999999,액션아이템!$E238)*100+ROW()/1000)</f>
        <v/>
      </c>
      <c r="L241" s="46" t="str">
        <f>IF($K241="","",RANK($K241,$K$6:$K$1005,1))</f>
        <v/>
      </c>
    </row>
    <row r="242" ht="15" customHeight="1" s="41">
      <c r="J242" s="57" t="b">
        <f>IF(액션아이템!$C239="",FALSE(),OR(액션아이템!$F239="진행중",액션아이템!$F239="보류"))</f>
        <v>0</v>
      </c>
      <c r="K242" s="46" t="str">
        <f>IF($J242=FALSE(),"",IF(액션아이템!$E239="",99999999,액션아이템!$E239)*100+ROW()/1000)</f>
        <v/>
      </c>
      <c r="L242" s="46" t="str">
        <f>IF($K242="","",RANK($K242,$K$6:$K$1005,1))</f>
        <v/>
      </c>
    </row>
    <row r="243" ht="15" customHeight="1" s="41">
      <c r="J243" s="57" t="b">
        <f>IF(액션아이템!$C240="",FALSE(),OR(액션아이템!$F240="진행중",액션아이템!$F240="보류"))</f>
        <v>0</v>
      </c>
      <c r="K243" s="46" t="str">
        <f>IF($J243=FALSE(),"",IF(액션아이템!$E240="",99999999,액션아이템!$E240)*100+ROW()/1000)</f>
        <v/>
      </c>
      <c r="L243" s="46" t="str">
        <f>IF($K243="","",RANK($K243,$K$6:$K$1005,1))</f>
        <v/>
      </c>
    </row>
    <row r="244" ht="15" customHeight="1" s="41">
      <c r="J244" s="57" t="b">
        <f>IF(액션아이템!$C241="",FALSE(),OR(액션아이템!$F241="진행중",액션아이템!$F241="보류"))</f>
        <v>0</v>
      </c>
      <c r="K244" s="46" t="str">
        <f>IF($J244=FALSE(),"",IF(액션아이템!$E241="",99999999,액션아이템!$E241)*100+ROW()/1000)</f>
        <v/>
      </c>
      <c r="L244" s="46" t="str">
        <f>IF($K244="","",RANK($K244,$K$6:$K$1005,1))</f>
        <v/>
      </c>
    </row>
    <row r="245" ht="15" customHeight="1" s="41">
      <c r="J245" s="57" t="b">
        <f>IF(액션아이템!$C242="",FALSE(),OR(액션아이템!$F242="진행중",액션아이템!$F242="보류"))</f>
        <v>0</v>
      </c>
      <c r="K245" s="46" t="str">
        <f>IF($J245=FALSE(),"",IF(액션아이템!$E242="",99999999,액션아이템!$E242)*100+ROW()/1000)</f>
        <v/>
      </c>
      <c r="L245" s="46" t="str">
        <f>IF($K245="","",RANK($K245,$K$6:$K$1005,1))</f>
        <v/>
      </c>
    </row>
    <row r="246" ht="15" customHeight="1" s="41">
      <c r="J246" s="57" t="b">
        <f>IF(액션아이템!$C243="",FALSE(),OR(액션아이템!$F243="진행중",액션아이템!$F243="보류"))</f>
        <v>0</v>
      </c>
      <c r="K246" s="46" t="str">
        <f>IF($J246=FALSE(),"",IF(액션아이템!$E243="",99999999,액션아이템!$E243)*100+ROW()/1000)</f>
        <v/>
      </c>
      <c r="L246" s="46" t="str">
        <f>IF($K246="","",RANK($K246,$K$6:$K$1005,1))</f>
        <v/>
      </c>
    </row>
    <row r="247" ht="15" customHeight="1" s="41">
      <c r="J247" s="57" t="b">
        <f>IF(액션아이템!$C244="",FALSE(),OR(액션아이템!$F244="진행중",액션아이템!$F244="보류"))</f>
        <v>0</v>
      </c>
      <c r="K247" s="46" t="str">
        <f>IF($J247=FALSE(),"",IF(액션아이템!$E244="",99999999,액션아이템!$E244)*100+ROW()/1000)</f>
        <v/>
      </c>
      <c r="L247" s="46" t="str">
        <f>IF($K247="","",RANK($K247,$K$6:$K$1005,1))</f>
        <v/>
      </c>
    </row>
    <row r="248" ht="15" customHeight="1" s="41">
      <c r="J248" s="57" t="b">
        <f>IF(액션아이템!$C245="",FALSE(),OR(액션아이템!$F245="진행중",액션아이템!$F245="보류"))</f>
        <v>0</v>
      </c>
      <c r="K248" s="46" t="str">
        <f>IF($J248=FALSE(),"",IF(액션아이템!$E245="",99999999,액션아이템!$E245)*100+ROW()/1000)</f>
        <v/>
      </c>
      <c r="L248" s="46" t="str">
        <f>IF($K248="","",RANK($K248,$K$6:$K$1005,1))</f>
        <v/>
      </c>
    </row>
    <row r="249" ht="15" customHeight="1" s="41">
      <c r="J249" s="57" t="b">
        <f>IF(액션아이템!$C246="",FALSE(),OR(액션아이템!$F246="진행중",액션아이템!$F246="보류"))</f>
        <v>0</v>
      </c>
      <c r="K249" s="46" t="str">
        <f>IF($J249=FALSE(),"",IF(액션아이템!$E246="",99999999,액션아이템!$E246)*100+ROW()/1000)</f>
        <v/>
      </c>
      <c r="L249" s="46" t="str">
        <f>IF($K249="","",RANK($K249,$K$6:$K$1005,1))</f>
        <v/>
      </c>
    </row>
    <row r="250" ht="15" customHeight="1" s="41">
      <c r="J250" s="57" t="b">
        <f>IF(액션아이템!$C247="",FALSE(),OR(액션아이템!$F247="진행중",액션아이템!$F247="보류"))</f>
        <v>0</v>
      </c>
      <c r="K250" s="46" t="str">
        <f>IF($J250=FALSE(),"",IF(액션아이템!$E247="",99999999,액션아이템!$E247)*100+ROW()/1000)</f>
        <v/>
      </c>
      <c r="L250" s="46" t="str">
        <f>IF($K250="","",RANK($K250,$K$6:$K$1005,1))</f>
        <v/>
      </c>
    </row>
    <row r="251" ht="15" customHeight="1" s="41">
      <c r="J251" s="57" t="b">
        <f>IF(액션아이템!$C248="",FALSE(),OR(액션아이템!$F248="진행중",액션아이템!$F248="보류"))</f>
        <v>0</v>
      </c>
      <c r="K251" s="46" t="str">
        <f>IF($J251=FALSE(),"",IF(액션아이템!$E248="",99999999,액션아이템!$E248)*100+ROW()/1000)</f>
        <v/>
      </c>
      <c r="L251" s="46" t="str">
        <f>IF($K251="","",RANK($K251,$K$6:$K$1005,1))</f>
        <v/>
      </c>
    </row>
    <row r="252" ht="15" customHeight="1" s="41">
      <c r="J252" s="57" t="b">
        <f>IF(액션아이템!$C249="",FALSE(),OR(액션아이템!$F249="진행중",액션아이템!$F249="보류"))</f>
        <v>0</v>
      </c>
      <c r="K252" s="46" t="str">
        <f>IF($J252=FALSE(),"",IF(액션아이템!$E249="",99999999,액션아이템!$E249)*100+ROW()/1000)</f>
        <v/>
      </c>
      <c r="L252" s="46" t="str">
        <f>IF($K252="","",RANK($K252,$K$6:$K$1005,1))</f>
        <v/>
      </c>
    </row>
    <row r="253" ht="15" customHeight="1" s="41">
      <c r="J253" s="57" t="b">
        <f>IF(액션아이템!$C250="",FALSE(),OR(액션아이템!$F250="진행중",액션아이템!$F250="보류"))</f>
        <v>0</v>
      </c>
      <c r="K253" s="46" t="str">
        <f>IF($J253=FALSE(),"",IF(액션아이템!$E250="",99999999,액션아이템!$E250)*100+ROW()/1000)</f>
        <v/>
      </c>
      <c r="L253" s="46" t="str">
        <f>IF($K253="","",RANK($K253,$K$6:$K$1005,1))</f>
        <v/>
      </c>
    </row>
    <row r="254" ht="15" customHeight="1" s="41">
      <c r="J254" s="57" t="b">
        <f>IF(액션아이템!$C251="",FALSE(),OR(액션아이템!$F251="진행중",액션아이템!$F251="보류"))</f>
        <v>0</v>
      </c>
      <c r="K254" s="46" t="str">
        <f>IF($J254=FALSE(),"",IF(액션아이템!$E251="",99999999,액션아이템!$E251)*100+ROW()/1000)</f>
        <v/>
      </c>
      <c r="L254" s="46" t="str">
        <f>IF($K254="","",RANK($K254,$K$6:$K$1005,1))</f>
        <v/>
      </c>
    </row>
    <row r="255" ht="15" customHeight="1" s="41">
      <c r="J255" s="57" t="b">
        <f>IF(액션아이템!$C252="",FALSE(),OR(액션아이템!$F252="진행중",액션아이템!$F252="보류"))</f>
        <v>0</v>
      </c>
      <c r="K255" s="46" t="str">
        <f>IF($J255=FALSE(),"",IF(액션아이템!$E252="",99999999,액션아이템!$E252)*100+ROW()/1000)</f>
        <v/>
      </c>
      <c r="L255" s="46" t="str">
        <f>IF($K255="","",RANK($K255,$K$6:$K$1005,1))</f>
        <v/>
      </c>
    </row>
    <row r="256" ht="15" customHeight="1" s="41">
      <c r="J256" s="57" t="b">
        <f>IF(액션아이템!$C253="",FALSE(),OR(액션아이템!$F253="진행중",액션아이템!$F253="보류"))</f>
        <v>0</v>
      </c>
      <c r="K256" s="46" t="str">
        <f>IF($J256=FALSE(),"",IF(액션아이템!$E253="",99999999,액션아이템!$E253)*100+ROW()/1000)</f>
        <v/>
      </c>
      <c r="L256" s="46" t="str">
        <f>IF($K256="","",RANK($K256,$K$6:$K$1005,1))</f>
        <v/>
      </c>
    </row>
    <row r="257" ht="15" customHeight="1" s="41">
      <c r="J257" s="57" t="b">
        <f>IF(액션아이템!$C254="",FALSE(),OR(액션아이템!$F254="진행중",액션아이템!$F254="보류"))</f>
        <v>0</v>
      </c>
      <c r="K257" s="46" t="str">
        <f>IF($J257=FALSE(),"",IF(액션아이템!$E254="",99999999,액션아이템!$E254)*100+ROW()/1000)</f>
        <v/>
      </c>
      <c r="L257" s="46" t="str">
        <f>IF($K257="","",RANK($K257,$K$6:$K$1005,1))</f>
        <v/>
      </c>
    </row>
    <row r="258" ht="15" customHeight="1" s="41">
      <c r="J258" s="57" t="b">
        <f>IF(액션아이템!$C255="",FALSE(),OR(액션아이템!$F255="진행중",액션아이템!$F255="보류"))</f>
        <v>0</v>
      </c>
      <c r="K258" s="46" t="str">
        <f>IF($J258=FALSE(),"",IF(액션아이템!$E255="",99999999,액션아이템!$E255)*100+ROW()/1000)</f>
        <v/>
      </c>
      <c r="L258" s="46" t="str">
        <f>IF($K258="","",RANK($K258,$K$6:$K$1005,1))</f>
        <v/>
      </c>
    </row>
    <row r="259" ht="15" customHeight="1" s="41">
      <c r="J259" s="57" t="b">
        <f>IF(액션아이템!$C256="",FALSE(),OR(액션아이템!$F256="진행중",액션아이템!$F256="보류"))</f>
        <v>0</v>
      </c>
      <c r="K259" s="46" t="str">
        <f>IF($J259=FALSE(),"",IF(액션아이템!$E256="",99999999,액션아이템!$E256)*100+ROW()/1000)</f>
        <v/>
      </c>
      <c r="L259" s="46" t="str">
        <f>IF($K259="","",RANK($K259,$K$6:$K$1005,1))</f>
        <v/>
      </c>
    </row>
    <row r="260" ht="15" customHeight="1" s="41">
      <c r="J260" s="57" t="b">
        <f>IF(액션아이템!$C257="",FALSE(),OR(액션아이템!$F257="진행중",액션아이템!$F257="보류"))</f>
        <v>0</v>
      </c>
      <c r="K260" s="46" t="str">
        <f>IF($J260=FALSE(),"",IF(액션아이템!$E257="",99999999,액션아이템!$E257)*100+ROW()/1000)</f>
        <v/>
      </c>
      <c r="L260" s="46" t="str">
        <f>IF($K260="","",RANK($K260,$K$6:$K$1005,1))</f>
        <v/>
      </c>
    </row>
    <row r="261" ht="15" customHeight="1" s="41">
      <c r="J261" s="57" t="b">
        <f>IF(액션아이템!$C258="",FALSE(),OR(액션아이템!$F258="진행중",액션아이템!$F258="보류"))</f>
        <v>0</v>
      </c>
      <c r="K261" s="46" t="str">
        <f>IF($J261=FALSE(),"",IF(액션아이템!$E258="",99999999,액션아이템!$E258)*100+ROW()/1000)</f>
        <v/>
      </c>
      <c r="L261" s="46" t="str">
        <f>IF($K261="","",RANK($K261,$K$6:$K$1005,1))</f>
        <v/>
      </c>
    </row>
    <row r="262" ht="15" customHeight="1" s="41">
      <c r="J262" s="57" t="b">
        <f>IF(액션아이템!$C259="",FALSE(),OR(액션아이템!$F259="진행중",액션아이템!$F259="보류"))</f>
        <v>0</v>
      </c>
      <c r="K262" s="46" t="str">
        <f>IF($J262=FALSE(),"",IF(액션아이템!$E259="",99999999,액션아이템!$E259)*100+ROW()/1000)</f>
        <v/>
      </c>
      <c r="L262" s="46" t="str">
        <f>IF($K262="","",RANK($K262,$K$6:$K$1005,1))</f>
        <v/>
      </c>
    </row>
    <row r="263" ht="15" customHeight="1" s="41">
      <c r="J263" s="57" t="b">
        <f>IF(액션아이템!$C260="",FALSE(),OR(액션아이템!$F260="진행중",액션아이템!$F260="보류"))</f>
        <v>0</v>
      </c>
      <c r="K263" s="46" t="str">
        <f>IF($J263=FALSE(),"",IF(액션아이템!$E260="",99999999,액션아이템!$E260)*100+ROW()/1000)</f>
        <v/>
      </c>
      <c r="L263" s="46" t="str">
        <f>IF($K263="","",RANK($K263,$K$6:$K$1005,1))</f>
        <v/>
      </c>
    </row>
    <row r="264" ht="15" customHeight="1" s="41">
      <c r="J264" s="57" t="b">
        <f>IF(액션아이템!$C261="",FALSE(),OR(액션아이템!$F261="진행중",액션아이템!$F261="보류"))</f>
        <v>0</v>
      </c>
      <c r="K264" s="46" t="str">
        <f>IF($J264=FALSE(),"",IF(액션아이템!$E261="",99999999,액션아이템!$E261)*100+ROW()/1000)</f>
        <v/>
      </c>
      <c r="L264" s="46" t="str">
        <f>IF($K264="","",RANK($K264,$K$6:$K$1005,1))</f>
        <v/>
      </c>
    </row>
    <row r="265" ht="15" customHeight="1" s="41">
      <c r="J265" s="57" t="b">
        <f>IF(액션아이템!$C262="",FALSE(),OR(액션아이템!$F262="진행중",액션아이템!$F262="보류"))</f>
        <v>0</v>
      </c>
      <c r="K265" s="46" t="str">
        <f>IF($J265=FALSE(),"",IF(액션아이템!$E262="",99999999,액션아이템!$E262)*100+ROW()/1000)</f>
        <v/>
      </c>
      <c r="L265" s="46" t="str">
        <f>IF($K265="","",RANK($K265,$K$6:$K$1005,1))</f>
        <v/>
      </c>
    </row>
    <row r="266" ht="15" customHeight="1" s="41">
      <c r="J266" s="57" t="b">
        <f>IF(액션아이템!$C263="",FALSE(),OR(액션아이템!$F263="진행중",액션아이템!$F263="보류"))</f>
        <v>0</v>
      </c>
      <c r="K266" s="46" t="str">
        <f>IF($J266=FALSE(),"",IF(액션아이템!$E263="",99999999,액션아이템!$E263)*100+ROW()/1000)</f>
        <v/>
      </c>
      <c r="L266" s="46" t="str">
        <f>IF($K266="","",RANK($K266,$K$6:$K$1005,1))</f>
        <v/>
      </c>
    </row>
    <row r="267" ht="15" customHeight="1" s="41">
      <c r="J267" s="57" t="b">
        <f>IF(액션아이템!$C264="",FALSE(),OR(액션아이템!$F264="진행중",액션아이템!$F264="보류"))</f>
        <v>0</v>
      </c>
      <c r="K267" s="46" t="str">
        <f>IF($J267=FALSE(),"",IF(액션아이템!$E264="",99999999,액션아이템!$E264)*100+ROW()/1000)</f>
        <v/>
      </c>
      <c r="L267" s="46" t="str">
        <f>IF($K267="","",RANK($K267,$K$6:$K$1005,1))</f>
        <v/>
      </c>
    </row>
    <row r="268" ht="15" customHeight="1" s="41">
      <c r="J268" s="57" t="b">
        <f>IF(액션아이템!$C265="",FALSE(),OR(액션아이템!$F265="진행중",액션아이템!$F265="보류"))</f>
        <v>0</v>
      </c>
      <c r="K268" s="46" t="str">
        <f>IF($J268=FALSE(),"",IF(액션아이템!$E265="",99999999,액션아이템!$E265)*100+ROW()/1000)</f>
        <v/>
      </c>
      <c r="L268" s="46" t="str">
        <f>IF($K268="","",RANK($K268,$K$6:$K$1005,1))</f>
        <v/>
      </c>
    </row>
    <row r="269" ht="15" customHeight="1" s="41">
      <c r="J269" s="57" t="b">
        <f>IF(액션아이템!$C266="",FALSE(),OR(액션아이템!$F266="진행중",액션아이템!$F266="보류"))</f>
        <v>0</v>
      </c>
      <c r="K269" s="46" t="str">
        <f>IF($J269=FALSE(),"",IF(액션아이템!$E266="",99999999,액션아이템!$E266)*100+ROW()/1000)</f>
        <v/>
      </c>
      <c r="L269" s="46" t="str">
        <f>IF($K269="","",RANK($K269,$K$6:$K$1005,1))</f>
        <v/>
      </c>
    </row>
    <row r="270" ht="15" customHeight="1" s="41">
      <c r="J270" s="57" t="b">
        <f>IF(액션아이템!$C267="",FALSE(),OR(액션아이템!$F267="진행중",액션아이템!$F267="보류"))</f>
        <v>0</v>
      </c>
      <c r="K270" s="46" t="str">
        <f>IF($J270=FALSE(),"",IF(액션아이템!$E267="",99999999,액션아이템!$E267)*100+ROW()/1000)</f>
        <v/>
      </c>
      <c r="L270" s="46" t="str">
        <f>IF($K270="","",RANK($K270,$K$6:$K$1005,1))</f>
        <v/>
      </c>
    </row>
    <row r="271" ht="15" customHeight="1" s="41">
      <c r="J271" s="57" t="b">
        <f>IF(액션아이템!$C268="",FALSE(),OR(액션아이템!$F268="진행중",액션아이템!$F268="보류"))</f>
        <v>0</v>
      </c>
      <c r="K271" s="46" t="str">
        <f>IF($J271=FALSE(),"",IF(액션아이템!$E268="",99999999,액션아이템!$E268)*100+ROW()/1000)</f>
        <v/>
      </c>
      <c r="L271" s="46" t="str">
        <f>IF($K271="","",RANK($K271,$K$6:$K$1005,1))</f>
        <v/>
      </c>
    </row>
    <row r="272" ht="15" customHeight="1" s="41">
      <c r="J272" s="57" t="b">
        <f>IF(액션아이템!$C269="",FALSE(),OR(액션아이템!$F269="진행중",액션아이템!$F269="보류"))</f>
        <v>0</v>
      </c>
      <c r="K272" s="46" t="str">
        <f>IF($J272=FALSE(),"",IF(액션아이템!$E269="",99999999,액션아이템!$E269)*100+ROW()/1000)</f>
        <v/>
      </c>
      <c r="L272" s="46" t="str">
        <f>IF($K272="","",RANK($K272,$K$6:$K$1005,1))</f>
        <v/>
      </c>
    </row>
    <row r="273" ht="15" customHeight="1" s="41">
      <c r="J273" s="57" t="b">
        <f>IF(액션아이템!$C270="",FALSE(),OR(액션아이템!$F270="진행중",액션아이템!$F270="보류"))</f>
        <v>0</v>
      </c>
      <c r="K273" s="46" t="str">
        <f>IF($J273=FALSE(),"",IF(액션아이템!$E270="",99999999,액션아이템!$E270)*100+ROW()/1000)</f>
        <v/>
      </c>
      <c r="L273" s="46" t="str">
        <f>IF($K273="","",RANK($K273,$K$6:$K$1005,1))</f>
        <v/>
      </c>
    </row>
    <row r="274" ht="15" customHeight="1" s="41">
      <c r="J274" s="57" t="b">
        <f>IF(액션아이템!$C271="",FALSE(),OR(액션아이템!$F271="진행중",액션아이템!$F271="보류"))</f>
        <v>0</v>
      </c>
      <c r="K274" s="46" t="str">
        <f>IF($J274=FALSE(),"",IF(액션아이템!$E271="",99999999,액션아이템!$E271)*100+ROW()/1000)</f>
        <v/>
      </c>
      <c r="L274" s="46" t="str">
        <f>IF($K274="","",RANK($K274,$K$6:$K$1005,1))</f>
        <v/>
      </c>
    </row>
    <row r="275" ht="15" customHeight="1" s="41">
      <c r="J275" s="57" t="b">
        <f>IF(액션아이템!$C272="",FALSE(),OR(액션아이템!$F272="진행중",액션아이템!$F272="보류"))</f>
        <v>0</v>
      </c>
      <c r="K275" s="46" t="str">
        <f>IF($J275=FALSE(),"",IF(액션아이템!$E272="",99999999,액션아이템!$E272)*100+ROW()/1000)</f>
        <v/>
      </c>
      <c r="L275" s="46" t="str">
        <f>IF($K275="","",RANK($K275,$K$6:$K$1005,1))</f>
        <v/>
      </c>
    </row>
    <row r="276" ht="15" customHeight="1" s="41">
      <c r="J276" s="57" t="b">
        <f>IF(액션아이템!$C273="",FALSE(),OR(액션아이템!$F273="진행중",액션아이템!$F273="보류"))</f>
        <v>0</v>
      </c>
      <c r="K276" s="46" t="str">
        <f>IF($J276=FALSE(),"",IF(액션아이템!$E273="",99999999,액션아이템!$E273)*100+ROW()/1000)</f>
        <v/>
      </c>
      <c r="L276" s="46" t="str">
        <f>IF($K276="","",RANK($K276,$K$6:$K$1005,1))</f>
        <v/>
      </c>
    </row>
    <row r="277" ht="15" customHeight="1" s="41">
      <c r="J277" s="57" t="b">
        <f>IF(액션아이템!$C274="",FALSE(),OR(액션아이템!$F274="진행중",액션아이템!$F274="보류"))</f>
        <v>0</v>
      </c>
      <c r="K277" s="46" t="str">
        <f>IF($J277=FALSE(),"",IF(액션아이템!$E274="",99999999,액션아이템!$E274)*100+ROW()/1000)</f>
        <v/>
      </c>
      <c r="L277" s="46" t="str">
        <f>IF($K277="","",RANK($K277,$K$6:$K$1005,1))</f>
        <v/>
      </c>
    </row>
    <row r="278" ht="15" customHeight="1" s="41">
      <c r="J278" s="57" t="b">
        <f>IF(액션아이템!$C275="",FALSE(),OR(액션아이템!$F275="진행중",액션아이템!$F275="보류"))</f>
        <v>0</v>
      </c>
      <c r="K278" s="46" t="str">
        <f>IF($J278=FALSE(),"",IF(액션아이템!$E275="",99999999,액션아이템!$E275)*100+ROW()/1000)</f>
        <v/>
      </c>
      <c r="L278" s="46" t="str">
        <f>IF($K278="","",RANK($K278,$K$6:$K$1005,1))</f>
        <v/>
      </c>
    </row>
    <row r="279" ht="15" customHeight="1" s="41">
      <c r="J279" s="57" t="b">
        <f>IF(액션아이템!$C276="",FALSE(),OR(액션아이템!$F276="진행중",액션아이템!$F276="보류"))</f>
        <v>0</v>
      </c>
      <c r="K279" s="46" t="str">
        <f>IF($J279=FALSE(),"",IF(액션아이템!$E276="",99999999,액션아이템!$E276)*100+ROW()/1000)</f>
        <v/>
      </c>
      <c r="L279" s="46" t="str">
        <f>IF($K279="","",RANK($K279,$K$6:$K$1005,1))</f>
        <v/>
      </c>
    </row>
    <row r="280" ht="15" customHeight="1" s="41">
      <c r="J280" s="57" t="b">
        <f>IF(액션아이템!$C277="",FALSE(),OR(액션아이템!$F277="진행중",액션아이템!$F277="보류"))</f>
        <v>0</v>
      </c>
      <c r="K280" s="46" t="str">
        <f>IF($J280=FALSE(),"",IF(액션아이템!$E277="",99999999,액션아이템!$E277)*100+ROW()/1000)</f>
        <v/>
      </c>
      <c r="L280" s="46" t="str">
        <f>IF($K280="","",RANK($K280,$K$6:$K$1005,1))</f>
        <v/>
      </c>
    </row>
    <row r="281" ht="15" customHeight="1" s="41">
      <c r="J281" s="57" t="b">
        <f>IF(액션아이템!$C278="",FALSE(),OR(액션아이템!$F278="진행중",액션아이템!$F278="보류"))</f>
        <v>0</v>
      </c>
      <c r="K281" s="46" t="str">
        <f>IF($J281=FALSE(),"",IF(액션아이템!$E278="",99999999,액션아이템!$E278)*100+ROW()/1000)</f>
        <v/>
      </c>
      <c r="L281" s="46" t="str">
        <f>IF($K281="","",RANK($K281,$K$6:$K$1005,1))</f>
        <v/>
      </c>
    </row>
    <row r="282" ht="15" customHeight="1" s="41">
      <c r="J282" s="57" t="b">
        <f>IF(액션아이템!$C279="",FALSE(),OR(액션아이템!$F279="진행중",액션아이템!$F279="보류"))</f>
        <v>0</v>
      </c>
      <c r="K282" s="46" t="str">
        <f>IF($J282=FALSE(),"",IF(액션아이템!$E279="",99999999,액션아이템!$E279)*100+ROW()/1000)</f>
        <v/>
      </c>
      <c r="L282" s="46" t="str">
        <f>IF($K282="","",RANK($K282,$K$6:$K$1005,1))</f>
        <v/>
      </c>
    </row>
    <row r="283" ht="15" customHeight="1" s="41">
      <c r="J283" s="57" t="b">
        <f>IF(액션아이템!$C280="",FALSE(),OR(액션아이템!$F280="진행중",액션아이템!$F280="보류"))</f>
        <v>0</v>
      </c>
      <c r="K283" s="46" t="str">
        <f>IF($J283=FALSE(),"",IF(액션아이템!$E280="",99999999,액션아이템!$E280)*100+ROW()/1000)</f>
        <v/>
      </c>
      <c r="L283" s="46" t="str">
        <f>IF($K283="","",RANK($K283,$K$6:$K$1005,1))</f>
        <v/>
      </c>
    </row>
    <row r="284" ht="15" customHeight="1" s="41">
      <c r="J284" s="57" t="b">
        <f>IF(액션아이템!$C281="",FALSE(),OR(액션아이템!$F281="진행중",액션아이템!$F281="보류"))</f>
        <v>0</v>
      </c>
      <c r="K284" s="46" t="str">
        <f>IF($J284=FALSE(),"",IF(액션아이템!$E281="",99999999,액션아이템!$E281)*100+ROW()/1000)</f>
        <v/>
      </c>
      <c r="L284" s="46" t="str">
        <f>IF($K284="","",RANK($K284,$K$6:$K$1005,1))</f>
        <v/>
      </c>
    </row>
    <row r="285" ht="15" customHeight="1" s="41">
      <c r="J285" s="57" t="b">
        <f>IF(액션아이템!$C282="",FALSE(),OR(액션아이템!$F282="진행중",액션아이템!$F282="보류"))</f>
        <v>0</v>
      </c>
      <c r="K285" s="46" t="str">
        <f>IF($J285=FALSE(),"",IF(액션아이템!$E282="",99999999,액션아이템!$E282)*100+ROW()/1000)</f>
        <v/>
      </c>
      <c r="L285" s="46" t="str">
        <f>IF($K285="","",RANK($K285,$K$6:$K$1005,1))</f>
        <v/>
      </c>
    </row>
    <row r="286" ht="15" customHeight="1" s="41">
      <c r="J286" s="57" t="b">
        <f>IF(액션아이템!$C283="",FALSE(),OR(액션아이템!$F283="진행중",액션아이템!$F283="보류"))</f>
        <v>0</v>
      </c>
      <c r="K286" s="46" t="str">
        <f>IF($J286=FALSE(),"",IF(액션아이템!$E283="",99999999,액션아이템!$E283)*100+ROW()/1000)</f>
        <v/>
      </c>
      <c r="L286" s="46" t="str">
        <f>IF($K286="","",RANK($K286,$K$6:$K$1005,1))</f>
        <v/>
      </c>
    </row>
    <row r="287" ht="15" customHeight="1" s="41">
      <c r="J287" s="57" t="b">
        <f>IF(액션아이템!$C284="",FALSE(),OR(액션아이템!$F284="진행중",액션아이템!$F284="보류"))</f>
        <v>0</v>
      </c>
      <c r="K287" s="46" t="str">
        <f>IF($J287=FALSE(),"",IF(액션아이템!$E284="",99999999,액션아이템!$E284)*100+ROW()/1000)</f>
        <v/>
      </c>
      <c r="L287" s="46" t="str">
        <f>IF($K287="","",RANK($K287,$K$6:$K$1005,1))</f>
        <v/>
      </c>
    </row>
    <row r="288" ht="15" customHeight="1" s="41">
      <c r="J288" s="57" t="b">
        <f>IF(액션아이템!$C285="",FALSE(),OR(액션아이템!$F285="진행중",액션아이템!$F285="보류"))</f>
        <v>0</v>
      </c>
      <c r="K288" s="46" t="str">
        <f>IF($J288=FALSE(),"",IF(액션아이템!$E285="",99999999,액션아이템!$E285)*100+ROW()/1000)</f>
        <v/>
      </c>
      <c r="L288" s="46" t="str">
        <f>IF($K288="","",RANK($K288,$K$6:$K$1005,1))</f>
        <v/>
      </c>
    </row>
    <row r="289" ht="15" customHeight="1" s="41">
      <c r="J289" s="57" t="b">
        <f>IF(액션아이템!$C286="",FALSE(),OR(액션아이템!$F286="진행중",액션아이템!$F286="보류"))</f>
        <v>0</v>
      </c>
      <c r="K289" s="46" t="str">
        <f>IF($J289=FALSE(),"",IF(액션아이템!$E286="",99999999,액션아이템!$E286)*100+ROW()/1000)</f>
        <v/>
      </c>
      <c r="L289" s="46" t="str">
        <f>IF($K289="","",RANK($K289,$K$6:$K$1005,1))</f>
        <v/>
      </c>
    </row>
    <row r="290" ht="15" customHeight="1" s="41">
      <c r="J290" s="57" t="b">
        <f>IF(액션아이템!$C287="",FALSE(),OR(액션아이템!$F287="진행중",액션아이템!$F287="보류"))</f>
        <v>0</v>
      </c>
      <c r="K290" s="46" t="str">
        <f>IF($J290=FALSE(),"",IF(액션아이템!$E287="",99999999,액션아이템!$E287)*100+ROW()/1000)</f>
        <v/>
      </c>
      <c r="L290" s="46" t="str">
        <f>IF($K290="","",RANK($K290,$K$6:$K$1005,1))</f>
        <v/>
      </c>
    </row>
    <row r="291" ht="15" customHeight="1" s="41">
      <c r="J291" s="57" t="b">
        <f>IF(액션아이템!$C288="",FALSE(),OR(액션아이템!$F288="진행중",액션아이템!$F288="보류"))</f>
        <v>0</v>
      </c>
      <c r="K291" s="46" t="str">
        <f>IF($J291=FALSE(),"",IF(액션아이템!$E288="",99999999,액션아이템!$E288)*100+ROW()/1000)</f>
        <v/>
      </c>
      <c r="L291" s="46" t="str">
        <f>IF($K291="","",RANK($K291,$K$6:$K$1005,1))</f>
        <v/>
      </c>
    </row>
    <row r="292" ht="15" customHeight="1" s="41">
      <c r="J292" s="57" t="b">
        <f>IF(액션아이템!$C289="",FALSE(),OR(액션아이템!$F289="진행중",액션아이템!$F289="보류"))</f>
        <v>0</v>
      </c>
      <c r="K292" s="46" t="str">
        <f>IF($J292=FALSE(),"",IF(액션아이템!$E289="",99999999,액션아이템!$E289)*100+ROW()/1000)</f>
        <v/>
      </c>
      <c r="L292" s="46" t="str">
        <f>IF($K292="","",RANK($K292,$K$6:$K$1005,1))</f>
        <v/>
      </c>
    </row>
    <row r="293" ht="15" customHeight="1" s="41">
      <c r="J293" s="57" t="b">
        <f>IF(액션아이템!$C290="",FALSE(),OR(액션아이템!$F290="진행중",액션아이템!$F290="보류"))</f>
        <v>0</v>
      </c>
      <c r="K293" s="46" t="str">
        <f>IF($J293=FALSE(),"",IF(액션아이템!$E290="",99999999,액션아이템!$E290)*100+ROW()/1000)</f>
        <v/>
      </c>
      <c r="L293" s="46" t="str">
        <f>IF($K293="","",RANK($K293,$K$6:$K$1005,1))</f>
        <v/>
      </c>
    </row>
    <row r="294" ht="15" customHeight="1" s="41">
      <c r="J294" s="57" t="b">
        <f>IF(액션아이템!$C291="",FALSE(),OR(액션아이템!$F291="진행중",액션아이템!$F291="보류"))</f>
        <v>0</v>
      </c>
      <c r="K294" s="46" t="str">
        <f>IF($J294=FALSE(),"",IF(액션아이템!$E291="",99999999,액션아이템!$E291)*100+ROW()/1000)</f>
        <v/>
      </c>
      <c r="L294" s="46" t="str">
        <f>IF($K294="","",RANK($K294,$K$6:$K$1005,1))</f>
        <v/>
      </c>
    </row>
    <row r="295" ht="15" customHeight="1" s="41">
      <c r="J295" s="57" t="b">
        <f>IF(액션아이템!$C292="",FALSE(),OR(액션아이템!$F292="진행중",액션아이템!$F292="보류"))</f>
        <v>0</v>
      </c>
      <c r="K295" s="46" t="str">
        <f>IF($J295=FALSE(),"",IF(액션아이템!$E292="",99999999,액션아이템!$E292)*100+ROW()/1000)</f>
        <v/>
      </c>
      <c r="L295" s="46" t="str">
        <f>IF($K295="","",RANK($K295,$K$6:$K$1005,1))</f>
        <v/>
      </c>
    </row>
    <row r="296" ht="15" customHeight="1" s="41">
      <c r="J296" s="57" t="b">
        <f>IF(액션아이템!$C293="",FALSE(),OR(액션아이템!$F293="진행중",액션아이템!$F293="보류"))</f>
        <v>0</v>
      </c>
      <c r="K296" s="46" t="str">
        <f>IF($J296=FALSE(),"",IF(액션아이템!$E293="",99999999,액션아이템!$E293)*100+ROW()/1000)</f>
        <v/>
      </c>
      <c r="L296" s="46" t="str">
        <f>IF($K296="","",RANK($K296,$K$6:$K$1005,1))</f>
        <v/>
      </c>
    </row>
    <row r="297" ht="15" customHeight="1" s="41">
      <c r="J297" s="57" t="b">
        <f>IF(액션아이템!$C294="",FALSE(),OR(액션아이템!$F294="진행중",액션아이템!$F294="보류"))</f>
        <v>0</v>
      </c>
      <c r="K297" s="46" t="str">
        <f>IF($J297=FALSE(),"",IF(액션아이템!$E294="",99999999,액션아이템!$E294)*100+ROW()/1000)</f>
        <v/>
      </c>
      <c r="L297" s="46" t="str">
        <f>IF($K297="","",RANK($K297,$K$6:$K$1005,1))</f>
        <v/>
      </c>
    </row>
    <row r="298" ht="15" customHeight="1" s="41">
      <c r="J298" s="57" t="b">
        <f>IF(액션아이템!$C295="",FALSE(),OR(액션아이템!$F295="진행중",액션아이템!$F295="보류"))</f>
        <v>0</v>
      </c>
      <c r="K298" s="46" t="str">
        <f>IF($J298=FALSE(),"",IF(액션아이템!$E295="",99999999,액션아이템!$E295)*100+ROW()/1000)</f>
        <v/>
      </c>
      <c r="L298" s="46" t="str">
        <f>IF($K298="","",RANK($K298,$K$6:$K$1005,1))</f>
        <v/>
      </c>
    </row>
    <row r="299" ht="15" customHeight="1" s="41">
      <c r="J299" s="57" t="b">
        <f>IF(액션아이템!$C296="",FALSE(),OR(액션아이템!$F296="진행중",액션아이템!$F296="보류"))</f>
        <v>0</v>
      </c>
      <c r="K299" s="46" t="str">
        <f>IF($J299=FALSE(),"",IF(액션아이템!$E296="",99999999,액션아이템!$E296)*100+ROW()/1000)</f>
        <v/>
      </c>
      <c r="L299" s="46" t="str">
        <f>IF($K299="","",RANK($K299,$K$6:$K$1005,1))</f>
        <v/>
      </c>
    </row>
    <row r="300" ht="15" customHeight="1" s="41">
      <c r="J300" s="57" t="b">
        <f>IF(액션아이템!$C297="",FALSE(),OR(액션아이템!$F297="진행중",액션아이템!$F297="보류"))</f>
        <v>0</v>
      </c>
      <c r="K300" s="46" t="str">
        <f>IF($J300=FALSE(),"",IF(액션아이템!$E297="",99999999,액션아이템!$E297)*100+ROW()/1000)</f>
        <v/>
      </c>
      <c r="L300" s="46" t="str">
        <f>IF($K300="","",RANK($K300,$K$6:$K$1005,1))</f>
        <v/>
      </c>
    </row>
    <row r="301" ht="15" customHeight="1" s="41">
      <c r="J301" s="57" t="b">
        <f>IF(액션아이템!$C298="",FALSE(),OR(액션아이템!$F298="진행중",액션아이템!$F298="보류"))</f>
        <v>0</v>
      </c>
      <c r="K301" s="46" t="str">
        <f>IF($J301=FALSE(),"",IF(액션아이템!$E298="",99999999,액션아이템!$E298)*100+ROW()/1000)</f>
        <v/>
      </c>
      <c r="L301" s="46" t="str">
        <f>IF($K301="","",RANK($K301,$K$6:$K$1005,1))</f>
        <v/>
      </c>
    </row>
    <row r="302" ht="15" customHeight="1" s="41">
      <c r="J302" s="57" t="b">
        <f>IF(액션아이템!$C299="",FALSE(),OR(액션아이템!$F299="진행중",액션아이템!$F299="보류"))</f>
        <v>0</v>
      </c>
      <c r="K302" s="46" t="str">
        <f>IF($J302=FALSE(),"",IF(액션아이템!$E299="",99999999,액션아이템!$E299)*100+ROW()/1000)</f>
        <v/>
      </c>
      <c r="L302" s="46" t="str">
        <f>IF($K302="","",RANK($K302,$K$6:$K$1005,1))</f>
        <v/>
      </c>
    </row>
    <row r="303" ht="15" customHeight="1" s="41">
      <c r="J303" s="57" t="b">
        <f>IF(액션아이템!$C300="",FALSE(),OR(액션아이템!$F300="진행중",액션아이템!$F300="보류"))</f>
        <v>0</v>
      </c>
      <c r="K303" s="46" t="str">
        <f>IF($J303=FALSE(),"",IF(액션아이템!$E300="",99999999,액션아이템!$E300)*100+ROW()/1000)</f>
        <v/>
      </c>
      <c r="L303" s="46" t="str">
        <f>IF($K303="","",RANK($K303,$K$6:$K$1005,1))</f>
        <v/>
      </c>
    </row>
    <row r="304" ht="15" customHeight="1" s="41">
      <c r="J304" s="57" t="b">
        <f>IF(액션아이템!$C301="",FALSE(),OR(액션아이템!$F301="진행중",액션아이템!$F301="보류"))</f>
        <v>0</v>
      </c>
      <c r="K304" s="46" t="str">
        <f>IF($J304=FALSE(),"",IF(액션아이템!$E301="",99999999,액션아이템!$E301)*100+ROW()/1000)</f>
        <v/>
      </c>
      <c r="L304" s="46" t="str">
        <f>IF($K304="","",RANK($K304,$K$6:$K$1005,1))</f>
        <v/>
      </c>
    </row>
    <row r="305" ht="15" customHeight="1" s="41">
      <c r="J305" s="57" t="b">
        <f>IF(액션아이템!$C302="",FALSE(),OR(액션아이템!$F302="진행중",액션아이템!$F302="보류"))</f>
        <v>0</v>
      </c>
      <c r="K305" s="46" t="str">
        <f>IF($J305=FALSE(),"",IF(액션아이템!$E302="",99999999,액션아이템!$E302)*100+ROW()/1000)</f>
        <v/>
      </c>
      <c r="L305" s="46" t="str">
        <f>IF($K305="","",RANK($K305,$K$6:$K$1005,1))</f>
        <v/>
      </c>
    </row>
    <row r="306" ht="15" customHeight="1" s="41">
      <c r="J306" s="57" t="b">
        <f>IF(액션아이템!$C303="",FALSE(),OR(액션아이템!$F303="진행중",액션아이템!$F303="보류"))</f>
        <v>0</v>
      </c>
      <c r="K306" s="46" t="str">
        <f>IF($J306=FALSE(),"",IF(액션아이템!$E303="",99999999,액션아이템!$E303)*100+ROW()/1000)</f>
        <v/>
      </c>
      <c r="L306" s="46" t="str">
        <f>IF($K306="","",RANK($K306,$K$6:$K$1005,1))</f>
        <v/>
      </c>
    </row>
    <row r="307" ht="15" customHeight="1" s="41">
      <c r="J307" s="57" t="b">
        <f>IF(액션아이템!$C304="",FALSE(),OR(액션아이템!$F304="진행중",액션아이템!$F304="보류"))</f>
        <v>0</v>
      </c>
      <c r="K307" s="46" t="str">
        <f>IF($J307=FALSE(),"",IF(액션아이템!$E304="",99999999,액션아이템!$E304)*100+ROW()/1000)</f>
        <v/>
      </c>
      <c r="L307" s="46" t="str">
        <f>IF($K307="","",RANK($K307,$K$6:$K$1005,1))</f>
        <v/>
      </c>
    </row>
    <row r="308" ht="15" customHeight="1" s="41">
      <c r="J308" s="57" t="b">
        <f>IF(액션아이템!$C305="",FALSE(),OR(액션아이템!$F305="진행중",액션아이템!$F305="보류"))</f>
        <v>0</v>
      </c>
      <c r="K308" s="46" t="str">
        <f>IF($J308=FALSE(),"",IF(액션아이템!$E305="",99999999,액션아이템!$E305)*100+ROW()/1000)</f>
        <v/>
      </c>
      <c r="L308" s="46" t="str">
        <f>IF($K308="","",RANK($K308,$K$6:$K$1005,1))</f>
        <v/>
      </c>
    </row>
    <row r="309" ht="15" customHeight="1" s="41">
      <c r="J309" s="57" t="b">
        <f>IF(액션아이템!$C306="",FALSE(),OR(액션아이템!$F306="진행중",액션아이템!$F306="보류"))</f>
        <v>0</v>
      </c>
      <c r="K309" s="46" t="str">
        <f>IF($J309=FALSE(),"",IF(액션아이템!$E306="",99999999,액션아이템!$E306)*100+ROW()/1000)</f>
        <v/>
      </c>
      <c r="L309" s="46" t="str">
        <f>IF($K309="","",RANK($K309,$K$6:$K$1005,1))</f>
        <v/>
      </c>
    </row>
    <row r="310" ht="15" customHeight="1" s="41">
      <c r="J310" s="57" t="b">
        <f>IF(액션아이템!$C307="",FALSE(),OR(액션아이템!$F307="진행중",액션아이템!$F307="보류"))</f>
        <v>0</v>
      </c>
      <c r="K310" s="46" t="str">
        <f>IF($J310=FALSE(),"",IF(액션아이템!$E307="",99999999,액션아이템!$E307)*100+ROW()/1000)</f>
        <v/>
      </c>
      <c r="L310" s="46" t="str">
        <f>IF($K310="","",RANK($K310,$K$6:$K$1005,1))</f>
        <v/>
      </c>
    </row>
    <row r="311" ht="15" customHeight="1" s="41">
      <c r="J311" s="57" t="b">
        <f>IF(액션아이템!$C308="",FALSE(),OR(액션아이템!$F308="진행중",액션아이템!$F308="보류"))</f>
        <v>0</v>
      </c>
      <c r="K311" s="46" t="str">
        <f>IF($J311=FALSE(),"",IF(액션아이템!$E308="",99999999,액션아이템!$E308)*100+ROW()/1000)</f>
        <v/>
      </c>
      <c r="L311" s="46" t="str">
        <f>IF($K311="","",RANK($K311,$K$6:$K$1005,1))</f>
        <v/>
      </c>
    </row>
    <row r="312" ht="15" customHeight="1" s="41">
      <c r="J312" s="57" t="b">
        <f>IF(액션아이템!$C309="",FALSE(),OR(액션아이템!$F309="진행중",액션아이템!$F309="보류"))</f>
        <v>0</v>
      </c>
      <c r="K312" s="46" t="str">
        <f>IF($J312=FALSE(),"",IF(액션아이템!$E309="",99999999,액션아이템!$E309)*100+ROW()/1000)</f>
        <v/>
      </c>
      <c r="L312" s="46" t="str">
        <f>IF($K312="","",RANK($K312,$K$6:$K$1005,1))</f>
        <v/>
      </c>
    </row>
    <row r="313" ht="15" customHeight="1" s="41">
      <c r="J313" s="57" t="b">
        <f>IF(액션아이템!$C310="",FALSE(),OR(액션아이템!$F310="진행중",액션아이템!$F310="보류"))</f>
        <v>0</v>
      </c>
      <c r="K313" s="46" t="str">
        <f>IF($J313=FALSE(),"",IF(액션아이템!$E310="",99999999,액션아이템!$E310)*100+ROW()/1000)</f>
        <v/>
      </c>
      <c r="L313" s="46" t="str">
        <f>IF($K313="","",RANK($K313,$K$6:$K$1005,1))</f>
        <v/>
      </c>
    </row>
    <row r="314" ht="15" customHeight="1" s="41">
      <c r="J314" s="57" t="b">
        <f>IF(액션아이템!$C311="",FALSE(),OR(액션아이템!$F311="진행중",액션아이템!$F311="보류"))</f>
        <v>0</v>
      </c>
      <c r="K314" s="46" t="str">
        <f>IF($J314=FALSE(),"",IF(액션아이템!$E311="",99999999,액션아이템!$E311)*100+ROW()/1000)</f>
        <v/>
      </c>
      <c r="L314" s="46" t="str">
        <f>IF($K314="","",RANK($K314,$K$6:$K$1005,1))</f>
        <v/>
      </c>
    </row>
    <row r="315" ht="15" customHeight="1" s="41">
      <c r="J315" s="57" t="b">
        <f>IF(액션아이템!$C312="",FALSE(),OR(액션아이템!$F312="진행중",액션아이템!$F312="보류"))</f>
        <v>0</v>
      </c>
      <c r="K315" s="46" t="str">
        <f>IF($J315=FALSE(),"",IF(액션아이템!$E312="",99999999,액션아이템!$E312)*100+ROW()/1000)</f>
        <v/>
      </c>
      <c r="L315" s="46" t="str">
        <f>IF($K315="","",RANK($K315,$K$6:$K$1005,1))</f>
        <v/>
      </c>
    </row>
    <row r="316" ht="15" customHeight="1" s="41">
      <c r="J316" s="57" t="b">
        <f>IF(액션아이템!$C313="",FALSE(),OR(액션아이템!$F313="진행중",액션아이템!$F313="보류"))</f>
        <v>0</v>
      </c>
      <c r="K316" s="46" t="str">
        <f>IF($J316=FALSE(),"",IF(액션아이템!$E313="",99999999,액션아이템!$E313)*100+ROW()/1000)</f>
        <v/>
      </c>
      <c r="L316" s="46" t="str">
        <f>IF($K316="","",RANK($K316,$K$6:$K$1005,1))</f>
        <v/>
      </c>
    </row>
    <row r="317" ht="15" customHeight="1" s="41">
      <c r="J317" s="57" t="b">
        <f>IF(액션아이템!$C314="",FALSE(),OR(액션아이템!$F314="진행중",액션아이템!$F314="보류"))</f>
        <v>0</v>
      </c>
      <c r="K317" s="46" t="str">
        <f>IF($J317=FALSE(),"",IF(액션아이템!$E314="",99999999,액션아이템!$E314)*100+ROW()/1000)</f>
        <v/>
      </c>
      <c r="L317" s="46" t="str">
        <f>IF($K317="","",RANK($K317,$K$6:$K$1005,1))</f>
        <v/>
      </c>
    </row>
    <row r="318" ht="15" customHeight="1" s="41">
      <c r="J318" s="57" t="b">
        <f>IF(액션아이템!$C315="",FALSE(),OR(액션아이템!$F315="진행중",액션아이템!$F315="보류"))</f>
        <v>0</v>
      </c>
      <c r="K318" s="46" t="str">
        <f>IF($J318=FALSE(),"",IF(액션아이템!$E315="",99999999,액션아이템!$E315)*100+ROW()/1000)</f>
        <v/>
      </c>
      <c r="L318" s="46" t="str">
        <f>IF($K318="","",RANK($K318,$K$6:$K$1005,1))</f>
        <v/>
      </c>
    </row>
    <row r="319" ht="15" customHeight="1" s="41">
      <c r="J319" s="57" t="b">
        <f>IF(액션아이템!$C316="",FALSE(),OR(액션아이템!$F316="진행중",액션아이템!$F316="보류"))</f>
        <v>0</v>
      </c>
      <c r="K319" s="46" t="str">
        <f>IF($J319=FALSE(),"",IF(액션아이템!$E316="",99999999,액션아이템!$E316)*100+ROW()/1000)</f>
        <v/>
      </c>
      <c r="L319" s="46" t="str">
        <f>IF($K319="","",RANK($K319,$K$6:$K$1005,1))</f>
        <v/>
      </c>
    </row>
    <row r="320" ht="15" customHeight="1" s="41">
      <c r="J320" s="57" t="b">
        <f>IF(액션아이템!$C317="",FALSE(),OR(액션아이템!$F317="진행중",액션아이템!$F317="보류"))</f>
        <v>0</v>
      </c>
      <c r="K320" s="46" t="str">
        <f>IF($J320=FALSE(),"",IF(액션아이템!$E317="",99999999,액션아이템!$E317)*100+ROW()/1000)</f>
        <v/>
      </c>
      <c r="L320" s="46" t="str">
        <f>IF($K320="","",RANK($K320,$K$6:$K$1005,1))</f>
        <v/>
      </c>
    </row>
    <row r="321" ht="15" customHeight="1" s="41">
      <c r="J321" s="57" t="b">
        <f>IF(액션아이템!$C318="",FALSE(),OR(액션아이템!$F318="진행중",액션아이템!$F318="보류"))</f>
        <v>0</v>
      </c>
      <c r="K321" s="46" t="str">
        <f>IF($J321=FALSE(),"",IF(액션아이템!$E318="",99999999,액션아이템!$E318)*100+ROW()/1000)</f>
        <v/>
      </c>
      <c r="L321" s="46" t="str">
        <f>IF($K321="","",RANK($K321,$K$6:$K$1005,1))</f>
        <v/>
      </c>
    </row>
    <row r="322" ht="15" customHeight="1" s="41">
      <c r="J322" s="57" t="b">
        <f>IF(액션아이템!$C319="",FALSE(),OR(액션아이템!$F319="진행중",액션아이템!$F319="보류"))</f>
        <v>0</v>
      </c>
      <c r="K322" s="46" t="str">
        <f>IF($J322=FALSE(),"",IF(액션아이템!$E319="",99999999,액션아이템!$E319)*100+ROW()/1000)</f>
        <v/>
      </c>
      <c r="L322" s="46" t="str">
        <f>IF($K322="","",RANK($K322,$K$6:$K$1005,1))</f>
        <v/>
      </c>
    </row>
    <row r="323" ht="15" customHeight="1" s="41">
      <c r="J323" s="57" t="b">
        <f>IF(액션아이템!$C320="",FALSE(),OR(액션아이템!$F320="진행중",액션아이템!$F320="보류"))</f>
        <v>0</v>
      </c>
      <c r="K323" s="46" t="str">
        <f>IF($J323=FALSE(),"",IF(액션아이템!$E320="",99999999,액션아이템!$E320)*100+ROW()/1000)</f>
        <v/>
      </c>
      <c r="L323" s="46" t="str">
        <f>IF($K323="","",RANK($K323,$K$6:$K$1005,1))</f>
        <v/>
      </c>
    </row>
    <row r="324" ht="15" customHeight="1" s="41">
      <c r="J324" s="57" t="b">
        <f>IF(액션아이템!$C321="",FALSE(),OR(액션아이템!$F321="진행중",액션아이템!$F321="보류"))</f>
        <v>0</v>
      </c>
      <c r="K324" s="46" t="str">
        <f>IF($J324=FALSE(),"",IF(액션아이템!$E321="",99999999,액션아이템!$E321)*100+ROW()/1000)</f>
        <v/>
      </c>
      <c r="L324" s="46" t="str">
        <f>IF($K324="","",RANK($K324,$K$6:$K$1005,1))</f>
        <v/>
      </c>
    </row>
    <row r="325" ht="15" customHeight="1" s="41">
      <c r="J325" s="57" t="b">
        <f>IF(액션아이템!$C322="",FALSE(),OR(액션아이템!$F322="진행중",액션아이템!$F322="보류"))</f>
        <v>0</v>
      </c>
      <c r="K325" s="46" t="str">
        <f>IF($J325=FALSE(),"",IF(액션아이템!$E322="",99999999,액션아이템!$E322)*100+ROW()/1000)</f>
        <v/>
      </c>
      <c r="L325" s="46" t="str">
        <f>IF($K325="","",RANK($K325,$K$6:$K$1005,1))</f>
        <v/>
      </c>
    </row>
    <row r="326" ht="15" customHeight="1" s="41">
      <c r="J326" s="57" t="b">
        <f>IF(액션아이템!$C323="",FALSE(),OR(액션아이템!$F323="진행중",액션아이템!$F323="보류"))</f>
        <v>0</v>
      </c>
      <c r="K326" s="46" t="str">
        <f>IF($J326=FALSE(),"",IF(액션아이템!$E323="",99999999,액션아이템!$E323)*100+ROW()/1000)</f>
        <v/>
      </c>
      <c r="L326" s="46" t="str">
        <f>IF($K326="","",RANK($K326,$K$6:$K$1005,1))</f>
        <v/>
      </c>
    </row>
    <row r="327" ht="15" customHeight="1" s="41">
      <c r="J327" s="57" t="b">
        <f>IF(액션아이템!$C324="",FALSE(),OR(액션아이템!$F324="진행중",액션아이템!$F324="보류"))</f>
        <v>0</v>
      </c>
      <c r="K327" s="46" t="str">
        <f>IF($J327=FALSE(),"",IF(액션아이템!$E324="",99999999,액션아이템!$E324)*100+ROW()/1000)</f>
        <v/>
      </c>
      <c r="L327" s="46" t="str">
        <f>IF($K327="","",RANK($K327,$K$6:$K$1005,1))</f>
        <v/>
      </c>
    </row>
    <row r="328" ht="15" customHeight="1" s="41">
      <c r="J328" s="57" t="b">
        <f>IF(액션아이템!$C325="",FALSE(),OR(액션아이템!$F325="진행중",액션아이템!$F325="보류"))</f>
        <v>0</v>
      </c>
      <c r="K328" s="46" t="str">
        <f>IF($J328=FALSE(),"",IF(액션아이템!$E325="",99999999,액션아이템!$E325)*100+ROW()/1000)</f>
        <v/>
      </c>
      <c r="L328" s="46" t="str">
        <f>IF($K328="","",RANK($K328,$K$6:$K$1005,1))</f>
        <v/>
      </c>
    </row>
    <row r="329" ht="15" customHeight="1" s="41">
      <c r="J329" s="57" t="b">
        <f>IF(액션아이템!$C326="",FALSE(),OR(액션아이템!$F326="진행중",액션아이템!$F326="보류"))</f>
        <v>0</v>
      </c>
      <c r="K329" s="46" t="str">
        <f>IF($J329=FALSE(),"",IF(액션아이템!$E326="",99999999,액션아이템!$E326)*100+ROW()/1000)</f>
        <v/>
      </c>
      <c r="L329" s="46" t="str">
        <f>IF($K329="","",RANK($K329,$K$6:$K$1005,1))</f>
        <v/>
      </c>
    </row>
    <row r="330" ht="15" customHeight="1" s="41">
      <c r="J330" s="57" t="b">
        <f>IF(액션아이템!$C327="",FALSE(),OR(액션아이템!$F327="진행중",액션아이템!$F327="보류"))</f>
        <v>0</v>
      </c>
      <c r="K330" s="46" t="str">
        <f>IF($J330=FALSE(),"",IF(액션아이템!$E327="",99999999,액션아이템!$E327)*100+ROW()/1000)</f>
        <v/>
      </c>
      <c r="L330" s="46" t="str">
        <f>IF($K330="","",RANK($K330,$K$6:$K$1005,1))</f>
        <v/>
      </c>
    </row>
    <row r="331" ht="15" customHeight="1" s="41">
      <c r="J331" s="57" t="b">
        <f>IF(액션아이템!$C328="",FALSE(),OR(액션아이템!$F328="진행중",액션아이템!$F328="보류"))</f>
        <v>0</v>
      </c>
      <c r="K331" s="46" t="str">
        <f>IF($J331=FALSE(),"",IF(액션아이템!$E328="",99999999,액션아이템!$E328)*100+ROW()/1000)</f>
        <v/>
      </c>
      <c r="L331" s="46" t="str">
        <f>IF($K331="","",RANK($K331,$K$6:$K$1005,1))</f>
        <v/>
      </c>
    </row>
    <row r="332" ht="15" customHeight="1" s="41">
      <c r="J332" s="57" t="b">
        <f>IF(액션아이템!$C329="",FALSE(),OR(액션아이템!$F329="진행중",액션아이템!$F329="보류"))</f>
        <v>0</v>
      </c>
      <c r="K332" s="46" t="str">
        <f>IF($J332=FALSE(),"",IF(액션아이템!$E329="",99999999,액션아이템!$E329)*100+ROW()/1000)</f>
        <v/>
      </c>
      <c r="L332" s="46" t="str">
        <f>IF($K332="","",RANK($K332,$K$6:$K$1005,1))</f>
        <v/>
      </c>
    </row>
    <row r="333" ht="15" customHeight="1" s="41">
      <c r="J333" s="57" t="b">
        <f>IF(액션아이템!$C330="",FALSE(),OR(액션아이템!$F330="진행중",액션아이템!$F330="보류"))</f>
        <v>0</v>
      </c>
      <c r="K333" s="46" t="str">
        <f>IF($J333=FALSE(),"",IF(액션아이템!$E330="",99999999,액션아이템!$E330)*100+ROW()/1000)</f>
        <v/>
      </c>
      <c r="L333" s="46" t="str">
        <f>IF($K333="","",RANK($K333,$K$6:$K$1005,1))</f>
        <v/>
      </c>
    </row>
    <row r="334" ht="15" customHeight="1" s="41">
      <c r="J334" s="57" t="b">
        <f>IF(액션아이템!$C331="",FALSE(),OR(액션아이템!$F331="진행중",액션아이템!$F331="보류"))</f>
        <v>0</v>
      </c>
      <c r="K334" s="46" t="str">
        <f>IF($J334=FALSE(),"",IF(액션아이템!$E331="",99999999,액션아이템!$E331)*100+ROW()/1000)</f>
        <v/>
      </c>
      <c r="L334" s="46" t="str">
        <f>IF($K334="","",RANK($K334,$K$6:$K$1005,1))</f>
        <v/>
      </c>
    </row>
    <row r="335" ht="15" customHeight="1" s="41">
      <c r="J335" s="57" t="b">
        <f>IF(액션아이템!$C332="",FALSE(),OR(액션아이템!$F332="진행중",액션아이템!$F332="보류"))</f>
        <v>0</v>
      </c>
      <c r="K335" s="46" t="str">
        <f>IF($J335=FALSE(),"",IF(액션아이템!$E332="",99999999,액션아이템!$E332)*100+ROW()/1000)</f>
        <v/>
      </c>
      <c r="L335" s="46" t="str">
        <f>IF($K335="","",RANK($K335,$K$6:$K$1005,1))</f>
        <v/>
      </c>
    </row>
    <row r="336" ht="15" customHeight="1" s="41">
      <c r="J336" s="57" t="b">
        <f>IF(액션아이템!$C333="",FALSE(),OR(액션아이템!$F333="진행중",액션아이템!$F333="보류"))</f>
        <v>0</v>
      </c>
      <c r="K336" s="46" t="str">
        <f>IF($J336=FALSE(),"",IF(액션아이템!$E333="",99999999,액션아이템!$E333)*100+ROW()/1000)</f>
        <v/>
      </c>
      <c r="L336" s="46" t="str">
        <f>IF($K336="","",RANK($K336,$K$6:$K$1005,1))</f>
        <v/>
      </c>
    </row>
    <row r="337" ht="15" customHeight="1" s="41">
      <c r="J337" s="57" t="b">
        <f>IF(액션아이템!$C334="",FALSE(),OR(액션아이템!$F334="진행중",액션아이템!$F334="보류"))</f>
        <v>0</v>
      </c>
      <c r="K337" s="46" t="str">
        <f>IF($J337=FALSE(),"",IF(액션아이템!$E334="",99999999,액션아이템!$E334)*100+ROW()/1000)</f>
        <v/>
      </c>
      <c r="L337" s="46" t="str">
        <f>IF($K337="","",RANK($K337,$K$6:$K$1005,1))</f>
        <v/>
      </c>
    </row>
    <row r="338" ht="15" customHeight="1" s="41">
      <c r="J338" s="57" t="b">
        <f>IF(액션아이템!$C335="",FALSE(),OR(액션아이템!$F335="진행중",액션아이템!$F335="보류"))</f>
        <v>0</v>
      </c>
      <c r="K338" s="46" t="str">
        <f>IF($J338=FALSE(),"",IF(액션아이템!$E335="",99999999,액션아이템!$E335)*100+ROW()/1000)</f>
        <v/>
      </c>
      <c r="L338" s="46" t="str">
        <f>IF($K338="","",RANK($K338,$K$6:$K$1005,1))</f>
        <v/>
      </c>
    </row>
    <row r="339" ht="15" customHeight="1" s="41">
      <c r="J339" s="57" t="b">
        <f>IF(액션아이템!$C336="",FALSE(),OR(액션아이템!$F336="진행중",액션아이템!$F336="보류"))</f>
        <v>0</v>
      </c>
      <c r="K339" s="46" t="str">
        <f>IF($J339=FALSE(),"",IF(액션아이템!$E336="",99999999,액션아이템!$E336)*100+ROW()/1000)</f>
        <v/>
      </c>
      <c r="L339" s="46" t="str">
        <f>IF($K339="","",RANK($K339,$K$6:$K$1005,1))</f>
        <v/>
      </c>
    </row>
    <row r="340" ht="15" customHeight="1" s="41">
      <c r="J340" s="57" t="b">
        <f>IF(액션아이템!$C337="",FALSE(),OR(액션아이템!$F337="진행중",액션아이템!$F337="보류"))</f>
        <v>0</v>
      </c>
      <c r="K340" s="46" t="str">
        <f>IF($J340=FALSE(),"",IF(액션아이템!$E337="",99999999,액션아이템!$E337)*100+ROW()/1000)</f>
        <v/>
      </c>
      <c r="L340" s="46" t="str">
        <f>IF($K340="","",RANK($K340,$K$6:$K$1005,1))</f>
        <v/>
      </c>
    </row>
    <row r="341" ht="15" customHeight="1" s="41">
      <c r="J341" s="57" t="b">
        <f>IF(액션아이템!$C338="",FALSE(),OR(액션아이템!$F338="진행중",액션아이템!$F338="보류"))</f>
        <v>0</v>
      </c>
      <c r="K341" s="46" t="str">
        <f>IF($J341=FALSE(),"",IF(액션아이템!$E338="",99999999,액션아이템!$E338)*100+ROW()/1000)</f>
        <v/>
      </c>
      <c r="L341" s="46" t="str">
        <f>IF($K341="","",RANK($K341,$K$6:$K$1005,1))</f>
        <v/>
      </c>
    </row>
    <row r="342" ht="15" customHeight="1" s="41">
      <c r="J342" s="57" t="b">
        <f>IF(액션아이템!$C339="",FALSE(),OR(액션아이템!$F339="진행중",액션아이템!$F339="보류"))</f>
        <v>0</v>
      </c>
      <c r="K342" s="46" t="str">
        <f>IF($J342=FALSE(),"",IF(액션아이템!$E339="",99999999,액션아이템!$E339)*100+ROW()/1000)</f>
        <v/>
      </c>
      <c r="L342" s="46" t="str">
        <f>IF($K342="","",RANK($K342,$K$6:$K$1005,1))</f>
        <v/>
      </c>
    </row>
    <row r="343" ht="15" customHeight="1" s="41">
      <c r="J343" s="57" t="b">
        <f>IF(액션아이템!$C340="",FALSE(),OR(액션아이템!$F340="진행중",액션아이템!$F340="보류"))</f>
        <v>0</v>
      </c>
      <c r="K343" s="46" t="str">
        <f>IF($J343=FALSE(),"",IF(액션아이템!$E340="",99999999,액션아이템!$E340)*100+ROW()/1000)</f>
        <v/>
      </c>
      <c r="L343" s="46" t="str">
        <f>IF($K343="","",RANK($K343,$K$6:$K$1005,1))</f>
        <v/>
      </c>
    </row>
    <row r="344" ht="15" customHeight="1" s="41">
      <c r="J344" s="57" t="b">
        <f>IF(액션아이템!$C341="",FALSE(),OR(액션아이템!$F341="진행중",액션아이템!$F341="보류"))</f>
        <v>0</v>
      </c>
      <c r="K344" s="46" t="str">
        <f>IF($J344=FALSE(),"",IF(액션아이템!$E341="",99999999,액션아이템!$E341)*100+ROW()/1000)</f>
        <v/>
      </c>
      <c r="L344" s="46" t="str">
        <f>IF($K344="","",RANK($K344,$K$6:$K$1005,1))</f>
        <v/>
      </c>
    </row>
    <row r="345" ht="15" customHeight="1" s="41">
      <c r="J345" s="57" t="b">
        <f>IF(액션아이템!$C342="",FALSE(),OR(액션아이템!$F342="진행중",액션아이템!$F342="보류"))</f>
        <v>0</v>
      </c>
      <c r="K345" s="46" t="str">
        <f>IF($J345=FALSE(),"",IF(액션아이템!$E342="",99999999,액션아이템!$E342)*100+ROW()/1000)</f>
        <v/>
      </c>
      <c r="L345" s="46" t="str">
        <f>IF($K345="","",RANK($K345,$K$6:$K$1005,1))</f>
        <v/>
      </c>
    </row>
    <row r="346" ht="15" customHeight="1" s="41">
      <c r="J346" s="57" t="b">
        <f>IF(액션아이템!$C343="",FALSE(),OR(액션아이템!$F343="진행중",액션아이템!$F343="보류"))</f>
        <v>0</v>
      </c>
      <c r="K346" s="46" t="str">
        <f>IF($J346=FALSE(),"",IF(액션아이템!$E343="",99999999,액션아이템!$E343)*100+ROW()/1000)</f>
        <v/>
      </c>
      <c r="L346" s="46" t="str">
        <f>IF($K346="","",RANK($K346,$K$6:$K$1005,1))</f>
        <v/>
      </c>
    </row>
    <row r="347" ht="15" customHeight="1" s="41">
      <c r="J347" s="57" t="b">
        <f>IF(액션아이템!$C344="",FALSE(),OR(액션아이템!$F344="진행중",액션아이템!$F344="보류"))</f>
        <v>0</v>
      </c>
      <c r="K347" s="46" t="str">
        <f>IF($J347=FALSE(),"",IF(액션아이템!$E344="",99999999,액션아이템!$E344)*100+ROW()/1000)</f>
        <v/>
      </c>
      <c r="L347" s="46" t="str">
        <f>IF($K347="","",RANK($K347,$K$6:$K$1005,1))</f>
        <v/>
      </c>
    </row>
    <row r="348" ht="15" customHeight="1" s="41">
      <c r="J348" s="57" t="b">
        <f>IF(액션아이템!$C345="",FALSE(),OR(액션아이템!$F345="진행중",액션아이템!$F345="보류"))</f>
        <v>0</v>
      </c>
      <c r="K348" s="46" t="str">
        <f>IF($J348=FALSE(),"",IF(액션아이템!$E345="",99999999,액션아이템!$E345)*100+ROW()/1000)</f>
        <v/>
      </c>
      <c r="L348" s="46" t="str">
        <f>IF($K348="","",RANK($K348,$K$6:$K$1005,1))</f>
        <v/>
      </c>
    </row>
    <row r="349" ht="15" customHeight="1" s="41">
      <c r="J349" s="57" t="b">
        <f>IF(액션아이템!$C346="",FALSE(),OR(액션아이템!$F346="진행중",액션아이템!$F346="보류"))</f>
        <v>0</v>
      </c>
      <c r="K349" s="46" t="str">
        <f>IF($J349=FALSE(),"",IF(액션아이템!$E346="",99999999,액션아이템!$E346)*100+ROW()/1000)</f>
        <v/>
      </c>
      <c r="L349" s="46" t="str">
        <f>IF($K349="","",RANK($K349,$K$6:$K$1005,1))</f>
        <v/>
      </c>
    </row>
    <row r="350" ht="15" customHeight="1" s="41">
      <c r="J350" s="57" t="b">
        <f>IF(액션아이템!$C347="",FALSE(),OR(액션아이템!$F347="진행중",액션아이템!$F347="보류"))</f>
        <v>0</v>
      </c>
      <c r="K350" s="46" t="str">
        <f>IF($J350=FALSE(),"",IF(액션아이템!$E347="",99999999,액션아이템!$E347)*100+ROW()/1000)</f>
        <v/>
      </c>
      <c r="L350" s="46" t="str">
        <f>IF($K350="","",RANK($K350,$K$6:$K$1005,1))</f>
        <v/>
      </c>
    </row>
    <row r="351" ht="15" customHeight="1" s="41">
      <c r="J351" s="57" t="b">
        <f>IF(액션아이템!$C348="",FALSE(),OR(액션아이템!$F348="진행중",액션아이템!$F348="보류"))</f>
        <v>0</v>
      </c>
      <c r="K351" s="46" t="str">
        <f>IF($J351=FALSE(),"",IF(액션아이템!$E348="",99999999,액션아이템!$E348)*100+ROW()/1000)</f>
        <v/>
      </c>
      <c r="L351" s="46" t="str">
        <f>IF($K351="","",RANK($K351,$K$6:$K$1005,1))</f>
        <v/>
      </c>
    </row>
    <row r="352" ht="15" customHeight="1" s="41">
      <c r="J352" s="57" t="b">
        <f>IF(액션아이템!$C349="",FALSE(),OR(액션아이템!$F349="진행중",액션아이템!$F349="보류"))</f>
        <v>0</v>
      </c>
      <c r="K352" s="46" t="str">
        <f>IF($J352=FALSE(),"",IF(액션아이템!$E349="",99999999,액션아이템!$E349)*100+ROW()/1000)</f>
        <v/>
      </c>
      <c r="L352" s="46" t="str">
        <f>IF($K352="","",RANK($K352,$K$6:$K$1005,1))</f>
        <v/>
      </c>
    </row>
    <row r="353" ht="15" customHeight="1" s="41">
      <c r="J353" s="57" t="b">
        <f>IF(액션아이템!$C350="",FALSE(),OR(액션아이템!$F350="진행중",액션아이템!$F350="보류"))</f>
        <v>0</v>
      </c>
      <c r="K353" s="46" t="str">
        <f>IF($J353=FALSE(),"",IF(액션아이템!$E350="",99999999,액션아이템!$E350)*100+ROW()/1000)</f>
        <v/>
      </c>
      <c r="L353" s="46" t="str">
        <f>IF($K353="","",RANK($K353,$K$6:$K$1005,1))</f>
        <v/>
      </c>
    </row>
    <row r="354" ht="15" customHeight="1" s="41">
      <c r="J354" s="57" t="b">
        <f>IF(액션아이템!$C351="",FALSE(),OR(액션아이템!$F351="진행중",액션아이템!$F351="보류"))</f>
        <v>0</v>
      </c>
      <c r="K354" s="46" t="str">
        <f>IF($J354=FALSE(),"",IF(액션아이템!$E351="",99999999,액션아이템!$E351)*100+ROW()/1000)</f>
        <v/>
      </c>
      <c r="L354" s="46" t="str">
        <f>IF($K354="","",RANK($K354,$K$6:$K$1005,1))</f>
        <v/>
      </c>
    </row>
    <row r="355" ht="15" customHeight="1" s="41">
      <c r="J355" s="57" t="b">
        <f>IF(액션아이템!$C352="",FALSE(),OR(액션아이템!$F352="진행중",액션아이템!$F352="보류"))</f>
        <v>0</v>
      </c>
      <c r="K355" s="46" t="str">
        <f>IF($J355=FALSE(),"",IF(액션아이템!$E352="",99999999,액션아이템!$E352)*100+ROW()/1000)</f>
        <v/>
      </c>
      <c r="L355" s="46" t="str">
        <f>IF($K355="","",RANK($K355,$K$6:$K$1005,1))</f>
        <v/>
      </c>
    </row>
    <row r="356" ht="15" customHeight="1" s="41">
      <c r="J356" s="57" t="b">
        <f>IF(액션아이템!$C353="",FALSE(),OR(액션아이템!$F353="진행중",액션아이템!$F353="보류"))</f>
        <v>0</v>
      </c>
      <c r="K356" s="46" t="str">
        <f>IF($J356=FALSE(),"",IF(액션아이템!$E353="",99999999,액션아이템!$E353)*100+ROW()/1000)</f>
        <v/>
      </c>
      <c r="L356" s="46" t="str">
        <f>IF($K356="","",RANK($K356,$K$6:$K$1005,1))</f>
        <v/>
      </c>
    </row>
    <row r="357" ht="15" customHeight="1" s="41">
      <c r="J357" s="57" t="b">
        <f>IF(액션아이템!$C354="",FALSE(),OR(액션아이템!$F354="진행중",액션아이템!$F354="보류"))</f>
        <v>0</v>
      </c>
      <c r="K357" s="46" t="str">
        <f>IF($J357=FALSE(),"",IF(액션아이템!$E354="",99999999,액션아이템!$E354)*100+ROW()/1000)</f>
        <v/>
      </c>
      <c r="L357" s="46" t="str">
        <f>IF($K357="","",RANK($K357,$K$6:$K$1005,1))</f>
        <v/>
      </c>
    </row>
    <row r="358" ht="15" customHeight="1" s="41">
      <c r="J358" s="57" t="b">
        <f>IF(액션아이템!$C355="",FALSE(),OR(액션아이템!$F355="진행중",액션아이템!$F355="보류"))</f>
        <v>0</v>
      </c>
      <c r="K358" s="46" t="str">
        <f>IF($J358=FALSE(),"",IF(액션아이템!$E355="",99999999,액션아이템!$E355)*100+ROW()/1000)</f>
        <v/>
      </c>
      <c r="L358" s="46" t="str">
        <f>IF($K358="","",RANK($K358,$K$6:$K$1005,1))</f>
        <v/>
      </c>
    </row>
    <row r="359" ht="15" customHeight="1" s="41">
      <c r="J359" s="57" t="b">
        <f>IF(액션아이템!$C356="",FALSE(),OR(액션아이템!$F356="진행중",액션아이템!$F356="보류"))</f>
        <v>0</v>
      </c>
      <c r="K359" s="46" t="str">
        <f>IF($J359=FALSE(),"",IF(액션아이템!$E356="",99999999,액션아이템!$E356)*100+ROW()/1000)</f>
        <v/>
      </c>
      <c r="L359" s="46" t="str">
        <f>IF($K359="","",RANK($K359,$K$6:$K$1005,1))</f>
        <v/>
      </c>
    </row>
    <row r="360" ht="15" customHeight="1" s="41">
      <c r="J360" s="57" t="b">
        <f>IF(액션아이템!$C357="",FALSE(),OR(액션아이템!$F357="진행중",액션아이템!$F357="보류"))</f>
        <v>0</v>
      </c>
      <c r="K360" s="46" t="str">
        <f>IF($J360=FALSE(),"",IF(액션아이템!$E357="",99999999,액션아이템!$E357)*100+ROW()/1000)</f>
        <v/>
      </c>
      <c r="L360" s="46" t="str">
        <f>IF($K360="","",RANK($K360,$K$6:$K$1005,1))</f>
        <v/>
      </c>
    </row>
    <row r="361" ht="15" customHeight="1" s="41">
      <c r="J361" s="57" t="b">
        <f>IF(액션아이템!$C358="",FALSE(),OR(액션아이템!$F358="진행중",액션아이템!$F358="보류"))</f>
        <v>0</v>
      </c>
      <c r="K361" s="46" t="str">
        <f>IF($J361=FALSE(),"",IF(액션아이템!$E358="",99999999,액션아이템!$E358)*100+ROW()/1000)</f>
        <v/>
      </c>
      <c r="L361" s="46" t="str">
        <f>IF($K361="","",RANK($K361,$K$6:$K$1005,1))</f>
        <v/>
      </c>
    </row>
    <row r="362" ht="15" customHeight="1" s="41">
      <c r="J362" s="57" t="b">
        <f>IF(액션아이템!$C359="",FALSE(),OR(액션아이템!$F359="진행중",액션아이템!$F359="보류"))</f>
        <v>0</v>
      </c>
      <c r="K362" s="46" t="str">
        <f>IF($J362=FALSE(),"",IF(액션아이템!$E359="",99999999,액션아이템!$E359)*100+ROW()/1000)</f>
        <v/>
      </c>
      <c r="L362" s="46" t="str">
        <f>IF($K362="","",RANK($K362,$K$6:$K$1005,1))</f>
        <v/>
      </c>
    </row>
    <row r="363" ht="15" customHeight="1" s="41">
      <c r="J363" s="57" t="b">
        <f>IF(액션아이템!$C360="",FALSE(),OR(액션아이템!$F360="진행중",액션아이템!$F360="보류"))</f>
        <v>0</v>
      </c>
      <c r="K363" s="46" t="str">
        <f>IF($J363=FALSE(),"",IF(액션아이템!$E360="",99999999,액션아이템!$E360)*100+ROW()/1000)</f>
        <v/>
      </c>
      <c r="L363" s="46" t="str">
        <f>IF($K363="","",RANK($K363,$K$6:$K$1005,1))</f>
        <v/>
      </c>
    </row>
    <row r="364" ht="15" customHeight="1" s="41">
      <c r="J364" s="57" t="b">
        <f>IF(액션아이템!$C361="",FALSE(),OR(액션아이템!$F361="진행중",액션아이템!$F361="보류"))</f>
        <v>0</v>
      </c>
      <c r="K364" s="46" t="str">
        <f>IF($J364=FALSE(),"",IF(액션아이템!$E361="",99999999,액션아이템!$E361)*100+ROW()/1000)</f>
        <v/>
      </c>
      <c r="L364" s="46" t="str">
        <f>IF($K364="","",RANK($K364,$K$6:$K$1005,1))</f>
        <v/>
      </c>
    </row>
    <row r="365" ht="15" customHeight="1" s="41">
      <c r="J365" s="57" t="b">
        <f>IF(액션아이템!$C362="",FALSE(),OR(액션아이템!$F362="진행중",액션아이템!$F362="보류"))</f>
        <v>0</v>
      </c>
      <c r="K365" s="46" t="str">
        <f>IF($J365=FALSE(),"",IF(액션아이템!$E362="",99999999,액션아이템!$E362)*100+ROW()/1000)</f>
        <v/>
      </c>
      <c r="L365" s="46" t="str">
        <f>IF($K365="","",RANK($K365,$K$6:$K$1005,1))</f>
        <v/>
      </c>
    </row>
    <row r="366" ht="15" customHeight="1" s="41">
      <c r="J366" s="57" t="b">
        <f>IF(액션아이템!$C363="",FALSE(),OR(액션아이템!$F363="진행중",액션아이템!$F363="보류"))</f>
        <v>0</v>
      </c>
      <c r="K366" s="46" t="str">
        <f>IF($J366=FALSE(),"",IF(액션아이템!$E363="",99999999,액션아이템!$E363)*100+ROW()/1000)</f>
        <v/>
      </c>
      <c r="L366" s="46" t="str">
        <f>IF($K366="","",RANK($K366,$K$6:$K$1005,1))</f>
        <v/>
      </c>
    </row>
    <row r="367" ht="15" customHeight="1" s="41">
      <c r="J367" s="57" t="b">
        <f>IF(액션아이템!$C364="",FALSE(),OR(액션아이템!$F364="진행중",액션아이템!$F364="보류"))</f>
        <v>0</v>
      </c>
      <c r="K367" s="46" t="str">
        <f>IF($J367=FALSE(),"",IF(액션아이템!$E364="",99999999,액션아이템!$E364)*100+ROW()/1000)</f>
        <v/>
      </c>
      <c r="L367" s="46" t="str">
        <f>IF($K367="","",RANK($K367,$K$6:$K$1005,1))</f>
        <v/>
      </c>
    </row>
    <row r="368" ht="15" customHeight="1" s="41">
      <c r="J368" s="57" t="b">
        <f>IF(액션아이템!$C365="",FALSE(),OR(액션아이템!$F365="진행중",액션아이템!$F365="보류"))</f>
        <v>0</v>
      </c>
      <c r="K368" s="46" t="str">
        <f>IF($J368=FALSE(),"",IF(액션아이템!$E365="",99999999,액션아이템!$E365)*100+ROW()/1000)</f>
        <v/>
      </c>
      <c r="L368" s="46" t="str">
        <f>IF($K368="","",RANK($K368,$K$6:$K$1005,1))</f>
        <v/>
      </c>
    </row>
    <row r="369" ht="15" customHeight="1" s="41">
      <c r="J369" s="57" t="b">
        <f>IF(액션아이템!$C366="",FALSE(),OR(액션아이템!$F366="진행중",액션아이템!$F366="보류"))</f>
        <v>0</v>
      </c>
      <c r="K369" s="46" t="str">
        <f>IF($J369=FALSE(),"",IF(액션아이템!$E366="",99999999,액션아이템!$E366)*100+ROW()/1000)</f>
        <v/>
      </c>
      <c r="L369" s="46" t="str">
        <f>IF($K369="","",RANK($K369,$K$6:$K$1005,1))</f>
        <v/>
      </c>
    </row>
    <row r="370" ht="15" customHeight="1" s="41">
      <c r="J370" s="57" t="b">
        <f>IF(액션아이템!$C367="",FALSE(),OR(액션아이템!$F367="진행중",액션아이템!$F367="보류"))</f>
        <v>0</v>
      </c>
      <c r="K370" s="46" t="str">
        <f>IF($J370=FALSE(),"",IF(액션아이템!$E367="",99999999,액션아이템!$E367)*100+ROW()/1000)</f>
        <v/>
      </c>
      <c r="L370" s="46" t="str">
        <f>IF($K370="","",RANK($K370,$K$6:$K$1005,1))</f>
        <v/>
      </c>
    </row>
    <row r="371" ht="15" customHeight="1" s="41">
      <c r="J371" s="57" t="b">
        <f>IF(액션아이템!$C368="",FALSE(),OR(액션아이템!$F368="진행중",액션아이템!$F368="보류"))</f>
        <v>0</v>
      </c>
      <c r="K371" s="46" t="str">
        <f>IF($J371=FALSE(),"",IF(액션아이템!$E368="",99999999,액션아이템!$E368)*100+ROW()/1000)</f>
        <v/>
      </c>
      <c r="L371" s="46" t="str">
        <f>IF($K371="","",RANK($K371,$K$6:$K$1005,1))</f>
        <v/>
      </c>
    </row>
    <row r="372" ht="15" customHeight="1" s="41">
      <c r="J372" s="57" t="b">
        <f>IF(액션아이템!$C369="",FALSE(),OR(액션아이템!$F369="진행중",액션아이템!$F369="보류"))</f>
        <v>0</v>
      </c>
      <c r="K372" s="46" t="str">
        <f>IF($J372=FALSE(),"",IF(액션아이템!$E369="",99999999,액션아이템!$E369)*100+ROW()/1000)</f>
        <v/>
      </c>
      <c r="L372" s="46" t="str">
        <f>IF($K372="","",RANK($K372,$K$6:$K$1005,1))</f>
        <v/>
      </c>
    </row>
    <row r="373" ht="15" customHeight="1" s="41">
      <c r="J373" s="57" t="b">
        <f>IF(액션아이템!$C370="",FALSE(),OR(액션아이템!$F370="진행중",액션아이템!$F370="보류"))</f>
        <v>0</v>
      </c>
      <c r="K373" s="46" t="str">
        <f>IF($J373=FALSE(),"",IF(액션아이템!$E370="",99999999,액션아이템!$E370)*100+ROW()/1000)</f>
        <v/>
      </c>
      <c r="L373" s="46" t="str">
        <f>IF($K373="","",RANK($K373,$K$6:$K$1005,1))</f>
        <v/>
      </c>
    </row>
    <row r="374" ht="15" customHeight="1" s="41">
      <c r="J374" s="57" t="b">
        <f>IF(액션아이템!$C371="",FALSE(),OR(액션아이템!$F371="진행중",액션아이템!$F371="보류"))</f>
        <v>0</v>
      </c>
      <c r="K374" s="46" t="str">
        <f>IF($J374=FALSE(),"",IF(액션아이템!$E371="",99999999,액션아이템!$E371)*100+ROW()/1000)</f>
        <v/>
      </c>
      <c r="L374" s="46" t="str">
        <f>IF($K374="","",RANK($K374,$K$6:$K$1005,1))</f>
        <v/>
      </c>
    </row>
    <row r="375" ht="15" customHeight="1" s="41">
      <c r="J375" s="57" t="b">
        <f>IF(액션아이템!$C372="",FALSE(),OR(액션아이템!$F372="진행중",액션아이템!$F372="보류"))</f>
        <v>0</v>
      </c>
      <c r="K375" s="46" t="str">
        <f>IF($J375=FALSE(),"",IF(액션아이템!$E372="",99999999,액션아이템!$E372)*100+ROW()/1000)</f>
        <v/>
      </c>
      <c r="L375" s="46" t="str">
        <f>IF($K375="","",RANK($K375,$K$6:$K$1005,1))</f>
        <v/>
      </c>
    </row>
    <row r="376" ht="15" customHeight="1" s="41">
      <c r="J376" s="57" t="b">
        <f>IF(액션아이템!$C373="",FALSE(),OR(액션아이템!$F373="진행중",액션아이템!$F373="보류"))</f>
        <v>0</v>
      </c>
      <c r="K376" s="46" t="str">
        <f>IF($J376=FALSE(),"",IF(액션아이템!$E373="",99999999,액션아이템!$E373)*100+ROW()/1000)</f>
        <v/>
      </c>
      <c r="L376" s="46" t="str">
        <f>IF($K376="","",RANK($K376,$K$6:$K$1005,1))</f>
        <v/>
      </c>
    </row>
    <row r="377" ht="15" customHeight="1" s="41">
      <c r="J377" s="57" t="b">
        <f>IF(액션아이템!$C374="",FALSE(),OR(액션아이템!$F374="진행중",액션아이템!$F374="보류"))</f>
        <v>0</v>
      </c>
      <c r="K377" s="46" t="str">
        <f>IF($J377=FALSE(),"",IF(액션아이템!$E374="",99999999,액션아이템!$E374)*100+ROW()/1000)</f>
        <v/>
      </c>
      <c r="L377" s="46" t="str">
        <f>IF($K377="","",RANK($K377,$K$6:$K$1005,1))</f>
        <v/>
      </c>
    </row>
    <row r="378" ht="15" customHeight="1" s="41">
      <c r="J378" s="57" t="b">
        <f>IF(액션아이템!$C375="",FALSE(),OR(액션아이템!$F375="진행중",액션아이템!$F375="보류"))</f>
        <v>0</v>
      </c>
      <c r="K378" s="46" t="str">
        <f>IF($J378=FALSE(),"",IF(액션아이템!$E375="",99999999,액션아이템!$E375)*100+ROW()/1000)</f>
        <v/>
      </c>
      <c r="L378" s="46" t="str">
        <f>IF($K378="","",RANK($K378,$K$6:$K$1005,1))</f>
        <v/>
      </c>
    </row>
    <row r="379" ht="15" customHeight="1" s="41">
      <c r="J379" s="57" t="b">
        <f>IF(액션아이템!$C376="",FALSE(),OR(액션아이템!$F376="진행중",액션아이템!$F376="보류"))</f>
        <v>0</v>
      </c>
      <c r="K379" s="46" t="str">
        <f>IF($J379=FALSE(),"",IF(액션아이템!$E376="",99999999,액션아이템!$E376)*100+ROW()/1000)</f>
        <v/>
      </c>
      <c r="L379" s="46" t="str">
        <f>IF($K379="","",RANK($K379,$K$6:$K$1005,1))</f>
        <v/>
      </c>
    </row>
    <row r="380" ht="15" customHeight="1" s="41">
      <c r="J380" s="57" t="b">
        <f>IF(액션아이템!$C377="",FALSE(),OR(액션아이템!$F377="진행중",액션아이템!$F377="보류"))</f>
        <v>0</v>
      </c>
      <c r="K380" s="46" t="str">
        <f>IF($J380=FALSE(),"",IF(액션아이템!$E377="",99999999,액션아이템!$E377)*100+ROW()/1000)</f>
        <v/>
      </c>
      <c r="L380" s="46" t="str">
        <f>IF($K380="","",RANK($K380,$K$6:$K$1005,1))</f>
        <v/>
      </c>
    </row>
    <row r="381" ht="15" customHeight="1" s="41">
      <c r="J381" s="57" t="b">
        <f>IF(액션아이템!$C378="",FALSE(),OR(액션아이템!$F378="진행중",액션아이템!$F378="보류"))</f>
        <v>0</v>
      </c>
      <c r="K381" s="46" t="str">
        <f>IF($J381=FALSE(),"",IF(액션아이템!$E378="",99999999,액션아이템!$E378)*100+ROW()/1000)</f>
        <v/>
      </c>
      <c r="L381" s="46" t="str">
        <f>IF($K381="","",RANK($K381,$K$6:$K$1005,1))</f>
        <v/>
      </c>
    </row>
    <row r="382" ht="15" customHeight="1" s="41">
      <c r="J382" s="57" t="b">
        <f>IF(액션아이템!$C379="",FALSE(),OR(액션아이템!$F379="진행중",액션아이템!$F379="보류"))</f>
        <v>0</v>
      </c>
      <c r="K382" s="46" t="str">
        <f>IF($J382=FALSE(),"",IF(액션아이템!$E379="",99999999,액션아이템!$E379)*100+ROW()/1000)</f>
        <v/>
      </c>
      <c r="L382" s="46" t="str">
        <f>IF($K382="","",RANK($K382,$K$6:$K$1005,1))</f>
        <v/>
      </c>
    </row>
    <row r="383" ht="15" customHeight="1" s="41">
      <c r="J383" s="57" t="b">
        <f>IF(액션아이템!$C380="",FALSE(),OR(액션아이템!$F380="진행중",액션아이템!$F380="보류"))</f>
        <v>0</v>
      </c>
      <c r="K383" s="46" t="str">
        <f>IF($J383=FALSE(),"",IF(액션아이템!$E380="",99999999,액션아이템!$E380)*100+ROW()/1000)</f>
        <v/>
      </c>
      <c r="L383" s="46" t="str">
        <f>IF($K383="","",RANK($K383,$K$6:$K$1005,1))</f>
        <v/>
      </c>
    </row>
    <row r="384" ht="15" customHeight="1" s="41">
      <c r="J384" s="57" t="b">
        <f>IF(액션아이템!$C381="",FALSE(),OR(액션아이템!$F381="진행중",액션아이템!$F381="보류"))</f>
        <v>0</v>
      </c>
      <c r="K384" s="46" t="str">
        <f>IF($J384=FALSE(),"",IF(액션아이템!$E381="",99999999,액션아이템!$E381)*100+ROW()/1000)</f>
        <v/>
      </c>
      <c r="L384" s="46" t="str">
        <f>IF($K384="","",RANK($K384,$K$6:$K$1005,1))</f>
        <v/>
      </c>
    </row>
    <row r="385" ht="15" customHeight="1" s="41">
      <c r="J385" s="57" t="b">
        <f>IF(액션아이템!$C382="",FALSE(),OR(액션아이템!$F382="진행중",액션아이템!$F382="보류"))</f>
        <v>0</v>
      </c>
      <c r="K385" s="46" t="str">
        <f>IF($J385=FALSE(),"",IF(액션아이템!$E382="",99999999,액션아이템!$E382)*100+ROW()/1000)</f>
        <v/>
      </c>
      <c r="L385" s="46" t="str">
        <f>IF($K385="","",RANK($K385,$K$6:$K$1005,1))</f>
        <v/>
      </c>
    </row>
    <row r="386" ht="15" customHeight="1" s="41">
      <c r="J386" s="57" t="b">
        <f>IF(액션아이템!$C383="",FALSE(),OR(액션아이템!$F383="진행중",액션아이템!$F383="보류"))</f>
        <v>0</v>
      </c>
      <c r="K386" s="46" t="str">
        <f>IF($J386=FALSE(),"",IF(액션아이템!$E383="",99999999,액션아이템!$E383)*100+ROW()/1000)</f>
        <v/>
      </c>
      <c r="L386" s="46" t="str">
        <f>IF($K386="","",RANK($K386,$K$6:$K$1005,1))</f>
        <v/>
      </c>
    </row>
    <row r="387" ht="15" customHeight="1" s="41">
      <c r="J387" s="57" t="b">
        <f>IF(액션아이템!$C384="",FALSE(),OR(액션아이템!$F384="진행중",액션아이템!$F384="보류"))</f>
        <v>0</v>
      </c>
      <c r="K387" s="46" t="str">
        <f>IF($J387=FALSE(),"",IF(액션아이템!$E384="",99999999,액션아이템!$E384)*100+ROW()/1000)</f>
        <v/>
      </c>
      <c r="L387" s="46" t="str">
        <f>IF($K387="","",RANK($K387,$K$6:$K$1005,1))</f>
        <v/>
      </c>
    </row>
    <row r="388" ht="15" customHeight="1" s="41">
      <c r="J388" s="57" t="b">
        <f>IF(액션아이템!$C385="",FALSE(),OR(액션아이템!$F385="진행중",액션아이템!$F385="보류"))</f>
        <v>0</v>
      </c>
      <c r="K388" s="46" t="str">
        <f>IF($J388=FALSE(),"",IF(액션아이템!$E385="",99999999,액션아이템!$E385)*100+ROW()/1000)</f>
        <v/>
      </c>
      <c r="L388" s="46" t="str">
        <f>IF($K388="","",RANK($K388,$K$6:$K$1005,1))</f>
        <v/>
      </c>
    </row>
    <row r="389" ht="15" customHeight="1" s="41">
      <c r="J389" s="57" t="b">
        <f>IF(액션아이템!$C386="",FALSE(),OR(액션아이템!$F386="진행중",액션아이템!$F386="보류"))</f>
        <v>0</v>
      </c>
      <c r="K389" s="46" t="str">
        <f>IF($J389=FALSE(),"",IF(액션아이템!$E386="",99999999,액션아이템!$E386)*100+ROW()/1000)</f>
        <v/>
      </c>
      <c r="L389" s="46" t="str">
        <f>IF($K389="","",RANK($K389,$K$6:$K$1005,1))</f>
        <v/>
      </c>
    </row>
    <row r="390" ht="15" customHeight="1" s="41">
      <c r="J390" s="57" t="b">
        <f>IF(액션아이템!$C387="",FALSE(),OR(액션아이템!$F387="진행중",액션아이템!$F387="보류"))</f>
        <v>0</v>
      </c>
      <c r="K390" s="46" t="str">
        <f>IF($J390=FALSE(),"",IF(액션아이템!$E387="",99999999,액션아이템!$E387)*100+ROW()/1000)</f>
        <v/>
      </c>
      <c r="L390" s="46" t="str">
        <f>IF($K390="","",RANK($K390,$K$6:$K$1005,1))</f>
        <v/>
      </c>
    </row>
    <row r="391" ht="15" customHeight="1" s="41">
      <c r="J391" s="57" t="b">
        <f>IF(액션아이템!$C388="",FALSE(),OR(액션아이템!$F388="진행중",액션아이템!$F388="보류"))</f>
        <v>0</v>
      </c>
      <c r="K391" s="46" t="str">
        <f>IF($J391=FALSE(),"",IF(액션아이템!$E388="",99999999,액션아이템!$E388)*100+ROW()/1000)</f>
        <v/>
      </c>
      <c r="L391" s="46" t="str">
        <f>IF($K391="","",RANK($K391,$K$6:$K$1005,1))</f>
        <v/>
      </c>
    </row>
    <row r="392" ht="15" customHeight="1" s="41">
      <c r="J392" s="57" t="b">
        <f>IF(액션아이템!$C389="",FALSE(),OR(액션아이템!$F389="진행중",액션아이템!$F389="보류"))</f>
        <v>0</v>
      </c>
      <c r="K392" s="46" t="str">
        <f>IF($J392=FALSE(),"",IF(액션아이템!$E389="",99999999,액션아이템!$E389)*100+ROW()/1000)</f>
        <v/>
      </c>
      <c r="L392" s="46" t="str">
        <f>IF($K392="","",RANK($K392,$K$6:$K$1005,1))</f>
        <v/>
      </c>
    </row>
    <row r="393" ht="15" customHeight="1" s="41">
      <c r="J393" s="57" t="b">
        <f>IF(액션아이템!$C390="",FALSE(),OR(액션아이템!$F390="진행중",액션아이템!$F390="보류"))</f>
        <v>0</v>
      </c>
      <c r="K393" s="46" t="str">
        <f>IF($J393=FALSE(),"",IF(액션아이템!$E390="",99999999,액션아이템!$E390)*100+ROW()/1000)</f>
        <v/>
      </c>
      <c r="L393" s="46" t="str">
        <f>IF($K393="","",RANK($K393,$K$6:$K$1005,1))</f>
        <v/>
      </c>
    </row>
    <row r="394" ht="15" customHeight="1" s="41">
      <c r="J394" s="57" t="b">
        <f>IF(액션아이템!$C391="",FALSE(),OR(액션아이템!$F391="진행중",액션아이템!$F391="보류"))</f>
        <v>0</v>
      </c>
      <c r="K394" s="46" t="str">
        <f>IF($J394=FALSE(),"",IF(액션아이템!$E391="",99999999,액션아이템!$E391)*100+ROW()/1000)</f>
        <v/>
      </c>
      <c r="L394" s="46" t="str">
        <f>IF($K394="","",RANK($K394,$K$6:$K$1005,1))</f>
        <v/>
      </c>
    </row>
    <row r="395" ht="15" customHeight="1" s="41">
      <c r="J395" s="57" t="b">
        <f>IF(액션아이템!$C392="",FALSE(),OR(액션아이템!$F392="진행중",액션아이템!$F392="보류"))</f>
        <v>0</v>
      </c>
      <c r="K395" s="46" t="str">
        <f>IF($J395=FALSE(),"",IF(액션아이템!$E392="",99999999,액션아이템!$E392)*100+ROW()/1000)</f>
        <v/>
      </c>
      <c r="L395" s="46" t="str">
        <f>IF($K395="","",RANK($K395,$K$6:$K$1005,1))</f>
        <v/>
      </c>
    </row>
    <row r="396" ht="15" customHeight="1" s="41">
      <c r="J396" s="57" t="b">
        <f>IF(액션아이템!$C393="",FALSE(),OR(액션아이템!$F393="진행중",액션아이템!$F393="보류"))</f>
        <v>0</v>
      </c>
      <c r="K396" s="46" t="str">
        <f>IF($J396=FALSE(),"",IF(액션아이템!$E393="",99999999,액션아이템!$E393)*100+ROW()/1000)</f>
        <v/>
      </c>
      <c r="L396" s="46" t="str">
        <f>IF($K396="","",RANK($K396,$K$6:$K$1005,1))</f>
        <v/>
      </c>
    </row>
    <row r="397" ht="15" customHeight="1" s="41">
      <c r="J397" s="57" t="b">
        <f>IF(액션아이템!$C394="",FALSE(),OR(액션아이템!$F394="진행중",액션아이템!$F394="보류"))</f>
        <v>0</v>
      </c>
      <c r="K397" s="46" t="str">
        <f>IF($J397=FALSE(),"",IF(액션아이템!$E394="",99999999,액션아이템!$E394)*100+ROW()/1000)</f>
        <v/>
      </c>
      <c r="L397" s="46" t="str">
        <f>IF($K397="","",RANK($K397,$K$6:$K$1005,1))</f>
        <v/>
      </c>
    </row>
    <row r="398" ht="15" customHeight="1" s="41">
      <c r="J398" s="57" t="b">
        <f>IF(액션아이템!$C395="",FALSE(),OR(액션아이템!$F395="진행중",액션아이템!$F395="보류"))</f>
        <v>0</v>
      </c>
      <c r="K398" s="46" t="str">
        <f>IF($J398=FALSE(),"",IF(액션아이템!$E395="",99999999,액션아이템!$E395)*100+ROW()/1000)</f>
        <v/>
      </c>
      <c r="L398" s="46" t="str">
        <f>IF($K398="","",RANK($K398,$K$6:$K$1005,1))</f>
        <v/>
      </c>
    </row>
    <row r="399" ht="15" customHeight="1" s="41">
      <c r="J399" s="57" t="b">
        <f>IF(액션아이템!$C396="",FALSE(),OR(액션아이템!$F396="진행중",액션아이템!$F396="보류"))</f>
        <v>0</v>
      </c>
      <c r="K399" s="46" t="str">
        <f>IF($J399=FALSE(),"",IF(액션아이템!$E396="",99999999,액션아이템!$E396)*100+ROW()/1000)</f>
        <v/>
      </c>
      <c r="L399" s="46" t="str">
        <f>IF($K399="","",RANK($K399,$K$6:$K$1005,1))</f>
        <v/>
      </c>
    </row>
    <row r="400" ht="15" customHeight="1" s="41">
      <c r="J400" s="57" t="b">
        <f>IF(액션아이템!$C397="",FALSE(),OR(액션아이템!$F397="진행중",액션아이템!$F397="보류"))</f>
        <v>0</v>
      </c>
      <c r="K400" s="46" t="str">
        <f>IF($J400=FALSE(),"",IF(액션아이템!$E397="",99999999,액션아이템!$E397)*100+ROW()/1000)</f>
        <v/>
      </c>
      <c r="L400" s="46" t="str">
        <f>IF($K400="","",RANK($K400,$K$6:$K$1005,1))</f>
        <v/>
      </c>
    </row>
    <row r="401" ht="15" customHeight="1" s="41">
      <c r="J401" s="57" t="b">
        <f>IF(액션아이템!$C398="",FALSE(),OR(액션아이템!$F398="진행중",액션아이템!$F398="보류"))</f>
        <v>0</v>
      </c>
      <c r="K401" s="46" t="str">
        <f>IF($J401=FALSE(),"",IF(액션아이템!$E398="",99999999,액션아이템!$E398)*100+ROW()/1000)</f>
        <v/>
      </c>
      <c r="L401" s="46" t="str">
        <f>IF($K401="","",RANK($K401,$K$6:$K$1005,1))</f>
        <v/>
      </c>
    </row>
    <row r="402" ht="15" customHeight="1" s="41">
      <c r="J402" s="57" t="b">
        <f>IF(액션아이템!$C399="",FALSE(),OR(액션아이템!$F399="진행중",액션아이템!$F399="보류"))</f>
        <v>0</v>
      </c>
      <c r="K402" s="46" t="str">
        <f>IF($J402=FALSE(),"",IF(액션아이템!$E399="",99999999,액션아이템!$E399)*100+ROW()/1000)</f>
        <v/>
      </c>
      <c r="L402" s="46" t="str">
        <f>IF($K402="","",RANK($K402,$K$6:$K$1005,1))</f>
        <v/>
      </c>
    </row>
    <row r="403" ht="15" customHeight="1" s="41">
      <c r="J403" s="57" t="b">
        <f>IF(액션아이템!$C400="",FALSE(),OR(액션아이템!$F400="진행중",액션아이템!$F400="보류"))</f>
        <v>0</v>
      </c>
      <c r="K403" s="46" t="str">
        <f>IF($J403=FALSE(),"",IF(액션아이템!$E400="",99999999,액션아이템!$E400)*100+ROW()/1000)</f>
        <v/>
      </c>
      <c r="L403" s="46" t="str">
        <f>IF($K403="","",RANK($K403,$K$6:$K$1005,1))</f>
        <v/>
      </c>
    </row>
    <row r="404" ht="15" customHeight="1" s="41">
      <c r="J404" s="57" t="b">
        <f>IF(액션아이템!$C401="",FALSE(),OR(액션아이템!$F401="진행중",액션아이템!$F401="보류"))</f>
        <v>0</v>
      </c>
      <c r="K404" s="46" t="str">
        <f>IF($J404=FALSE(),"",IF(액션아이템!$E401="",99999999,액션아이템!$E401)*100+ROW()/1000)</f>
        <v/>
      </c>
      <c r="L404" s="46" t="str">
        <f>IF($K404="","",RANK($K404,$K$6:$K$1005,1))</f>
        <v/>
      </c>
    </row>
    <row r="405" ht="15" customHeight="1" s="41">
      <c r="J405" s="57" t="b">
        <f>IF(액션아이템!$C402="",FALSE(),OR(액션아이템!$F402="진행중",액션아이템!$F402="보류"))</f>
        <v>0</v>
      </c>
      <c r="K405" s="46" t="str">
        <f>IF($J405=FALSE(),"",IF(액션아이템!$E402="",99999999,액션아이템!$E402)*100+ROW()/1000)</f>
        <v/>
      </c>
      <c r="L405" s="46" t="str">
        <f>IF($K405="","",RANK($K405,$K$6:$K$1005,1))</f>
        <v/>
      </c>
    </row>
    <row r="406" ht="15" customHeight="1" s="41">
      <c r="J406" s="57" t="b">
        <f>IF(액션아이템!$C403="",FALSE(),OR(액션아이템!$F403="진행중",액션아이템!$F403="보류"))</f>
        <v>0</v>
      </c>
      <c r="K406" s="46" t="str">
        <f>IF($J406=FALSE(),"",IF(액션아이템!$E403="",99999999,액션아이템!$E403)*100+ROW()/1000)</f>
        <v/>
      </c>
      <c r="L406" s="46" t="str">
        <f>IF($K406="","",RANK($K406,$K$6:$K$1005,1))</f>
        <v/>
      </c>
    </row>
    <row r="407" ht="15" customHeight="1" s="41">
      <c r="J407" s="57" t="b">
        <f>IF(액션아이템!$C404="",FALSE(),OR(액션아이템!$F404="진행중",액션아이템!$F404="보류"))</f>
        <v>0</v>
      </c>
      <c r="K407" s="46" t="str">
        <f>IF($J407=FALSE(),"",IF(액션아이템!$E404="",99999999,액션아이템!$E404)*100+ROW()/1000)</f>
        <v/>
      </c>
      <c r="L407" s="46" t="str">
        <f>IF($K407="","",RANK($K407,$K$6:$K$1005,1))</f>
        <v/>
      </c>
    </row>
    <row r="408" ht="15" customHeight="1" s="41">
      <c r="J408" s="57" t="b">
        <f>IF(액션아이템!$C405="",FALSE(),OR(액션아이템!$F405="진행중",액션아이템!$F405="보류"))</f>
        <v>0</v>
      </c>
      <c r="K408" s="46" t="str">
        <f>IF($J408=FALSE(),"",IF(액션아이템!$E405="",99999999,액션아이템!$E405)*100+ROW()/1000)</f>
        <v/>
      </c>
      <c r="L408" s="46" t="str">
        <f>IF($K408="","",RANK($K408,$K$6:$K$1005,1))</f>
        <v/>
      </c>
    </row>
    <row r="409" ht="15" customHeight="1" s="41">
      <c r="J409" s="57" t="b">
        <f>IF(액션아이템!$C406="",FALSE(),OR(액션아이템!$F406="진행중",액션아이템!$F406="보류"))</f>
        <v>0</v>
      </c>
      <c r="K409" s="46" t="str">
        <f>IF($J409=FALSE(),"",IF(액션아이템!$E406="",99999999,액션아이템!$E406)*100+ROW()/1000)</f>
        <v/>
      </c>
      <c r="L409" s="46" t="str">
        <f>IF($K409="","",RANK($K409,$K$6:$K$1005,1))</f>
        <v/>
      </c>
    </row>
    <row r="410" ht="15" customHeight="1" s="41">
      <c r="J410" s="57" t="b">
        <f>IF(액션아이템!$C407="",FALSE(),OR(액션아이템!$F407="진행중",액션아이템!$F407="보류"))</f>
        <v>0</v>
      </c>
      <c r="K410" s="46" t="str">
        <f>IF($J410=FALSE(),"",IF(액션아이템!$E407="",99999999,액션아이템!$E407)*100+ROW()/1000)</f>
        <v/>
      </c>
      <c r="L410" s="46" t="str">
        <f>IF($K410="","",RANK($K410,$K$6:$K$1005,1))</f>
        <v/>
      </c>
    </row>
    <row r="411" ht="15" customHeight="1" s="41">
      <c r="J411" s="57" t="b">
        <f>IF(액션아이템!$C408="",FALSE(),OR(액션아이템!$F408="진행중",액션아이템!$F408="보류"))</f>
        <v>0</v>
      </c>
      <c r="K411" s="46" t="str">
        <f>IF($J411=FALSE(),"",IF(액션아이템!$E408="",99999999,액션아이템!$E408)*100+ROW()/1000)</f>
        <v/>
      </c>
      <c r="L411" s="46" t="str">
        <f>IF($K411="","",RANK($K411,$K$6:$K$1005,1))</f>
        <v/>
      </c>
    </row>
    <row r="412" ht="15" customHeight="1" s="41">
      <c r="J412" s="57" t="b">
        <f>IF(액션아이템!$C409="",FALSE(),OR(액션아이템!$F409="진행중",액션아이템!$F409="보류"))</f>
        <v>0</v>
      </c>
      <c r="K412" s="46" t="str">
        <f>IF($J412=FALSE(),"",IF(액션아이템!$E409="",99999999,액션아이템!$E409)*100+ROW()/1000)</f>
        <v/>
      </c>
      <c r="L412" s="46" t="str">
        <f>IF($K412="","",RANK($K412,$K$6:$K$1005,1))</f>
        <v/>
      </c>
    </row>
    <row r="413" ht="15" customHeight="1" s="41">
      <c r="J413" s="57" t="b">
        <f>IF(액션아이템!$C410="",FALSE(),OR(액션아이템!$F410="진행중",액션아이템!$F410="보류"))</f>
        <v>0</v>
      </c>
      <c r="K413" s="46" t="str">
        <f>IF($J413=FALSE(),"",IF(액션아이템!$E410="",99999999,액션아이템!$E410)*100+ROW()/1000)</f>
        <v/>
      </c>
      <c r="L413" s="46" t="str">
        <f>IF($K413="","",RANK($K413,$K$6:$K$1005,1))</f>
        <v/>
      </c>
    </row>
    <row r="414" ht="15" customHeight="1" s="41">
      <c r="J414" s="57" t="b">
        <f>IF(액션아이템!$C411="",FALSE(),OR(액션아이템!$F411="진행중",액션아이템!$F411="보류"))</f>
        <v>0</v>
      </c>
      <c r="K414" s="46" t="str">
        <f>IF($J414=FALSE(),"",IF(액션아이템!$E411="",99999999,액션아이템!$E411)*100+ROW()/1000)</f>
        <v/>
      </c>
      <c r="L414" s="46" t="str">
        <f>IF($K414="","",RANK($K414,$K$6:$K$1005,1))</f>
        <v/>
      </c>
    </row>
    <row r="415" ht="15" customHeight="1" s="41">
      <c r="J415" s="57" t="b">
        <f>IF(액션아이템!$C412="",FALSE(),OR(액션아이템!$F412="진행중",액션아이템!$F412="보류"))</f>
        <v>0</v>
      </c>
      <c r="K415" s="46" t="str">
        <f>IF($J415=FALSE(),"",IF(액션아이템!$E412="",99999999,액션아이템!$E412)*100+ROW()/1000)</f>
        <v/>
      </c>
      <c r="L415" s="46" t="str">
        <f>IF($K415="","",RANK($K415,$K$6:$K$1005,1))</f>
        <v/>
      </c>
    </row>
    <row r="416" ht="15" customHeight="1" s="41">
      <c r="J416" s="57" t="b">
        <f>IF(액션아이템!$C413="",FALSE(),OR(액션아이템!$F413="진행중",액션아이템!$F413="보류"))</f>
        <v>0</v>
      </c>
      <c r="K416" s="46" t="str">
        <f>IF($J416=FALSE(),"",IF(액션아이템!$E413="",99999999,액션아이템!$E413)*100+ROW()/1000)</f>
        <v/>
      </c>
      <c r="L416" s="46" t="str">
        <f>IF($K416="","",RANK($K416,$K$6:$K$1005,1))</f>
        <v/>
      </c>
    </row>
    <row r="417" ht="15" customHeight="1" s="41">
      <c r="J417" s="57" t="b">
        <f>IF(액션아이템!$C414="",FALSE(),OR(액션아이템!$F414="진행중",액션아이템!$F414="보류"))</f>
        <v>0</v>
      </c>
      <c r="K417" s="46" t="str">
        <f>IF($J417=FALSE(),"",IF(액션아이템!$E414="",99999999,액션아이템!$E414)*100+ROW()/1000)</f>
        <v/>
      </c>
      <c r="L417" s="46" t="str">
        <f>IF($K417="","",RANK($K417,$K$6:$K$1005,1))</f>
        <v/>
      </c>
    </row>
    <row r="418" ht="15" customHeight="1" s="41">
      <c r="J418" s="57" t="b">
        <f>IF(액션아이템!$C415="",FALSE(),OR(액션아이템!$F415="진행중",액션아이템!$F415="보류"))</f>
        <v>0</v>
      </c>
      <c r="K418" s="46" t="str">
        <f>IF($J418=FALSE(),"",IF(액션아이템!$E415="",99999999,액션아이템!$E415)*100+ROW()/1000)</f>
        <v/>
      </c>
      <c r="L418" s="46" t="str">
        <f>IF($K418="","",RANK($K418,$K$6:$K$1005,1))</f>
        <v/>
      </c>
    </row>
    <row r="419" ht="15" customHeight="1" s="41">
      <c r="J419" s="57" t="b">
        <f>IF(액션아이템!$C416="",FALSE(),OR(액션아이템!$F416="진행중",액션아이템!$F416="보류"))</f>
        <v>0</v>
      </c>
      <c r="K419" s="46" t="str">
        <f>IF($J419=FALSE(),"",IF(액션아이템!$E416="",99999999,액션아이템!$E416)*100+ROW()/1000)</f>
        <v/>
      </c>
      <c r="L419" s="46" t="str">
        <f>IF($K419="","",RANK($K419,$K$6:$K$1005,1))</f>
        <v/>
      </c>
    </row>
    <row r="420" ht="15" customHeight="1" s="41">
      <c r="J420" s="57" t="b">
        <f>IF(액션아이템!$C417="",FALSE(),OR(액션아이템!$F417="진행중",액션아이템!$F417="보류"))</f>
        <v>0</v>
      </c>
      <c r="K420" s="46" t="str">
        <f>IF($J420=FALSE(),"",IF(액션아이템!$E417="",99999999,액션아이템!$E417)*100+ROW()/1000)</f>
        <v/>
      </c>
      <c r="L420" s="46" t="str">
        <f>IF($K420="","",RANK($K420,$K$6:$K$1005,1))</f>
        <v/>
      </c>
    </row>
    <row r="421" ht="15" customHeight="1" s="41">
      <c r="J421" s="57" t="b">
        <f>IF(액션아이템!$C418="",FALSE(),OR(액션아이템!$F418="진행중",액션아이템!$F418="보류"))</f>
        <v>0</v>
      </c>
      <c r="K421" s="46" t="str">
        <f>IF($J421=FALSE(),"",IF(액션아이템!$E418="",99999999,액션아이템!$E418)*100+ROW()/1000)</f>
        <v/>
      </c>
      <c r="L421" s="46" t="str">
        <f>IF($K421="","",RANK($K421,$K$6:$K$1005,1))</f>
        <v/>
      </c>
    </row>
    <row r="422" ht="15" customHeight="1" s="41">
      <c r="J422" s="57" t="b">
        <f>IF(액션아이템!$C419="",FALSE(),OR(액션아이템!$F419="진행중",액션아이템!$F419="보류"))</f>
        <v>0</v>
      </c>
      <c r="K422" s="46" t="str">
        <f>IF($J422=FALSE(),"",IF(액션아이템!$E419="",99999999,액션아이템!$E419)*100+ROW()/1000)</f>
        <v/>
      </c>
      <c r="L422" s="46" t="str">
        <f>IF($K422="","",RANK($K422,$K$6:$K$1005,1))</f>
        <v/>
      </c>
    </row>
    <row r="423" ht="15" customHeight="1" s="41">
      <c r="J423" s="57" t="b">
        <f>IF(액션아이템!$C420="",FALSE(),OR(액션아이템!$F420="진행중",액션아이템!$F420="보류"))</f>
        <v>0</v>
      </c>
      <c r="K423" s="46" t="str">
        <f>IF($J423=FALSE(),"",IF(액션아이템!$E420="",99999999,액션아이템!$E420)*100+ROW()/1000)</f>
        <v/>
      </c>
      <c r="L423" s="46" t="str">
        <f>IF($K423="","",RANK($K423,$K$6:$K$1005,1))</f>
        <v/>
      </c>
    </row>
    <row r="424" ht="15" customHeight="1" s="41">
      <c r="J424" s="57" t="b">
        <f>IF(액션아이템!$C421="",FALSE(),OR(액션아이템!$F421="진행중",액션아이템!$F421="보류"))</f>
        <v>0</v>
      </c>
      <c r="K424" s="46" t="str">
        <f>IF($J424=FALSE(),"",IF(액션아이템!$E421="",99999999,액션아이템!$E421)*100+ROW()/1000)</f>
        <v/>
      </c>
      <c r="L424" s="46" t="str">
        <f>IF($K424="","",RANK($K424,$K$6:$K$1005,1))</f>
        <v/>
      </c>
    </row>
    <row r="425" ht="15" customHeight="1" s="41">
      <c r="J425" s="57" t="b">
        <f>IF(액션아이템!$C422="",FALSE(),OR(액션아이템!$F422="진행중",액션아이템!$F422="보류"))</f>
        <v>0</v>
      </c>
      <c r="K425" s="46" t="str">
        <f>IF($J425=FALSE(),"",IF(액션아이템!$E422="",99999999,액션아이템!$E422)*100+ROW()/1000)</f>
        <v/>
      </c>
      <c r="L425" s="46" t="str">
        <f>IF($K425="","",RANK($K425,$K$6:$K$1005,1))</f>
        <v/>
      </c>
    </row>
    <row r="426" ht="15" customHeight="1" s="41">
      <c r="J426" s="57" t="b">
        <f>IF(액션아이템!$C423="",FALSE(),OR(액션아이템!$F423="진행중",액션아이템!$F423="보류"))</f>
        <v>0</v>
      </c>
      <c r="K426" s="46" t="str">
        <f>IF($J426=FALSE(),"",IF(액션아이템!$E423="",99999999,액션아이템!$E423)*100+ROW()/1000)</f>
        <v/>
      </c>
      <c r="L426" s="46" t="str">
        <f>IF($K426="","",RANK($K426,$K$6:$K$1005,1))</f>
        <v/>
      </c>
    </row>
    <row r="427" ht="15" customHeight="1" s="41">
      <c r="J427" s="57" t="b">
        <f>IF(액션아이템!$C424="",FALSE(),OR(액션아이템!$F424="진행중",액션아이템!$F424="보류"))</f>
        <v>0</v>
      </c>
      <c r="K427" s="46" t="str">
        <f>IF($J427=FALSE(),"",IF(액션아이템!$E424="",99999999,액션아이템!$E424)*100+ROW()/1000)</f>
        <v/>
      </c>
      <c r="L427" s="46" t="str">
        <f>IF($K427="","",RANK($K427,$K$6:$K$1005,1))</f>
        <v/>
      </c>
    </row>
    <row r="428" ht="15" customHeight="1" s="41">
      <c r="J428" s="57" t="b">
        <f>IF(액션아이템!$C425="",FALSE(),OR(액션아이템!$F425="진행중",액션아이템!$F425="보류"))</f>
        <v>0</v>
      </c>
      <c r="K428" s="46" t="str">
        <f>IF($J428=FALSE(),"",IF(액션아이템!$E425="",99999999,액션아이템!$E425)*100+ROW()/1000)</f>
        <v/>
      </c>
      <c r="L428" s="46" t="str">
        <f>IF($K428="","",RANK($K428,$K$6:$K$1005,1))</f>
        <v/>
      </c>
    </row>
    <row r="429" ht="15" customHeight="1" s="41">
      <c r="J429" s="57" t="b">
        <f>IF(액션아이템!$C426="",FALSE(),OR(액션아이템!$F426="진행중",액션아이템!$F426="보류"))</f>
        <v>0</v>
      </c>
      <c r="K429" s="46" t="str">
        <f>IF($J429=FALSE(),"",IF(액션아이템!$E426="",99999999,액션아이템!$E426)*100+ROW()/1000)</f>
        <v/>
      </c>
      <c r="L429" s="46" t="str">
        <f>IF($K429="","",RANK($K429,$K$6:$K$1005,1))</f>
        <v/>
      </c>
    </row>
    <row r="430" ht="15" customHeight="1" s="41">
      <c r="J430" s="57" t="b">
        <f>IF(액션아이템!$C427="",FALSE(),OR(액션아이템!$F427="진행중",액션아이템!$F427="보류"))</f>
        <v>0</v>
      </c>
      <c r="K430" s="46" t="str">
        <f>IF($J430=FALSE(),"",IF(액션아이템!$E427="",99999999,액션아이템!$E427)*100+ROW()/1000)</f>
        <v/>
      </c>
      <c r="L430" s="46" t="str">
        <f>IF($K430="","",RANK($K430,$K$6:$K$1005,1))</f>
        <v/>
      </c>
    </row>
    <row r="431" ht="15" customHeight="1" s="41">
      <c r="J431" s="57" t="b">
        <f>IF(액션아이템!$C428="",FALSE(),OR(액션아이템!$F428="진행중",액션아이템!$F428="보류"))</f>
        <v>0</v>
      </c>
      <c r="K431" s="46" t="str">
        <f>IF($J431=FALSE(),"",IF(액션아이템!$E428="",99999999,액션아이템!$E428)*100+ROW()/1000)</f>
        <v/>
      </c>
      <c r="L431" s="46" t="str">
        <f>IF($K431="","",RANK($K431,$K$6:$K$1005,1))</f>
        <v/>
      </c>
    </row>
    <row r="432" ht="15" customHeight="1" s="41">
      <c r="J432" s="57" t="b">
        <f>IF(액션아이템!$C429="",FALSE(),OR(액션아이템!$F429="진행중",액션아이템!$F429="보류"))</f>
        <v>0</v>
      </c>
      <c r="K432" s="46" t="str">
        <f>IF($J432=FALSE(),"",IF(액션아이템!$E429="",99999999,액션아이템!$E429)*100+ROW()/1000)</f>
        <v/>
      </c>
      <c r="L432" s="46" t="str">
        <f>IF($K432="","",RANK($K432,$K$6:$K$1005,1))</f>
        <v/>
      </c>
    </row>
    <row r="433" ht="15" customHeight="1" s="41">
      <c r="J433" s="57" t="b">
        <f>IF(액션아이템!$C430="",FALSE(),OR(액션아이템!$F430="진행중",액션아이템!$F430="보류"))</f>
        <v>0</v>
      </c>
      <c r="K433" s="46" t="str">
        <f>IF($J433=FALSE(),"",IF(액션아이템!$E430="",99999999,액션아이템!$E430)*100+ROW()/1000)</f>
        <v/>
      </c>
      <c r="L433" s="46" t="str">
        <f>IF($K433="","",RANK($K433,$K$6:$K$1005,1))</f>
        <v/>
      </c>
    </row>
    <row r="434" ht="15" customHeight="1" s="41">
      <c r="J434" s="57" t="b">
        <f>IF(액션아이템!$C431="",FALSE(),OR(액션아이템!$F431="진행중",액션아이템!$F431="보류"))</f>
        <v>0</v>
      </c>
      <c r="K434" s="46" t="str">
        <f>IF($J434=FALSE(),"",IF(액션아이템!$E431="",99999999,액션아이템!$E431)*100+ROW()/1000)</f>
        <v/>
      </c>
      <c r="L434" s="46" t="str">
        <f>IF($K434="","",RANK($K434,$K$6:$K$1005,1))</f>
        <v/>
      </c>
    </row>
    <row r="435" ht="15" customHeight="1" s="41">
      <c r="J435" s="57" t="b">
        <f>IF(액션아이템!$C432="",FALSE(),OR(액션아이템!$F432="진행중",액션아이템!$F432="보류"))</f>
        <v>0</v>
      </c>
      <c r="K435" s="46" t="str">
        <f>IF($J435=FALSE(),"",IF(액션아이템!$E432="",99999999,액션아이템!$E432)*100+ROW()/1000)</f>
        <v/>
      </c>
      <c r="L435" s="46" t="str">
        <f>IF($K435="","",RANK($K435,$K$6:$K$1005,1))</f>
        <v/>
      </c>
    </row>
    <row r="436" ht="15" customHeight="1" s="41">
      <c r="J436" s="57" t="b">
        <f>IF(액션아이템!$C433="",FALSE(),OR(액션아이템!$F433="진행중",액션아이템!$F433="보류"))</f>
        <v>0</v>
      </c>
      <c r="K436" s="46" t="str">
        <f>IF($J436=FALSE(),"",IF(액션아이템!$E433="",99999999,액션아이템!$E433)*100+ROW()/1000)</f>
        <v/>
      </c>
      <c r="L436" s="46" t="str">
        <f>IF($K436="","",RANK($K436,$K$6:$K$1005,1))</f>
        <v/>
      </c>
    </row>
    <row r="437" ht="15" customHeight="1" s="41">
      <c r="J437" s="57" t="b">
        <f>IF(액션아이템!$C434="",FALSE(),OR(액션아이템!$F434="진행중",액션아이템!$F434="보류"))</f>
        <v>0</v>
      </c>
      <c r="K437" s="46" t="str">
        <f>IF($J437=FALSE(),"",IF(액션아이템!$E434="",99999999,액션아이템!$E434)*100+ROW()/1000)</f>
        <v/>
      </c>
      <c r="L437" s="46" t="str">
        <f>IF($K437="","",RANK($K437,$K$6:$K$1005,1))</f>
        <v/>
      </c>
    </row>
    <row r="438" ht="15" customHeight="1" s="41">
      <c r="J438" s="57" t="b">
        <f>IF(액션아이템!$C435="",FALSE(),OR(액션아이템!$F435="진행중",액션아이템!$F435="보류"))</f>
        <v>0</v>
      </c>
      <c r="K438" s="46" t="str">
        <f>IF($J438=FALSE(),"",IF(액션아이템!$E435="",99999999,액션아이템!$E435)*100+ROW()/1000)</f>
        <v/>
      </c>
      <c r="L438" s="46" t="str">
        <f>IF($K438="","",RANK($K438,$K$6:$K$1005,1))</f>
        <v/>
      </c>
    </row>
    <row r="439" ht="15" customHeight="1" s="41">
      <c r="J439" s="57" t="b">
        <f>IF(액션아이템!$C436="",FALSE(),OR(액션아이템!$F436="진행중",액션아이템!$F436="보류"))</f>
        <v>0</v>
      </c>
      <c r="K439" s="46" t="str">
        <f>IF($J439=FALSE(),"",IF(액션아이템!$E436="",99999999,액션아이템!$E436)*100+ROW()/1000)</f>
        <v/>
      </c>
      <c r="L439" s="46" t="str">
        <f>IF($K439="","",RANK($K439,$K$6:$K$1005,1))</f>
        <v/>
      </c>
    </row>
    <row r="440" ht="15" customHeight="1" s="41">
      <c r="J440" s="57" t="b">
        <f>IF(액션아이템!$C437="",FALSE(),OR(액션아이템!$F437="진행중",액션아이템!$F437="보류"))</f>
        <v>0</v>
      </c>
      <c r="K440" s="46" t="str">
        <f>IF($J440=FALSE(),"",IF(액션아이템!$E437="",99999999,액션아이템!$E437)*100+ROW()/1000)</f>
        <v/>
      </c>
      <c r="L440" s="46" t="str">
        <f>IF($K440="","",RANK($K440,$K$6:$K$1005,1))</f>
        <v/>
      </c>
    </row>
    <row r="441" ht="15" customHeight="1" s="41">
      <c r="J441" s="57" t="b">
        <f>IF(액션아이템!$C438="",FALSE(),OR(액션아이템!$F438="진행중",액션아이템!$F438="보류"))</f>
        <v>0</v>
      </c>
      <c r="K441" s="46" t="str">
        <f>IF($J441=FALSE(),"",IF(액션아이템!$E438="",99999999,액션아이템!$E438)*100+ROW()/1000)</f>
        <v/>
      </c>
      <c r="L441" s="46" t="str">
        <f>IF($K441="","",RANK($K441,$K$6:$K$1005,1))</f>
        <v/>
      </c>
    </row>
    <row r="442" ht="15" customHeight="1" s="41">
      <c r="J442" s="57" t="b">
        <f>IF(액션아이템!$C439="",FALSE(),OR(액션아이템!$F439="진행중",액션아이템!$F439="보류"))</f>
        <v>0</v>
      </c>
      <c r="K442" s="46" t="str">
        <f>IF($J442=FALSE(),"",IF(액션아이템!$E439="",99999999,액션아이템!$E439)*100+ROW()/1000)</f>
        <v/>
      </c>
      <c r="L442" s="46" t="str">
        <f>IF($K442="","",RANK($K442,$K$6:$K$1005,1))</f>
        <v/>
      </c>
    </row>
    <row r="443" ht="15" customHeight="1" s="41">
      <c r="J443" s="57" t="b">
        <f>IF(액션아이템!$C440="",FALSE(),OR(액션아이템!$F440="진행중",액션아이템!$F440="보류"))</f>
        <v>0</v>
      </c>
      <c r="K443" s="46" t="str">
        <f>IF($J443=FALSE(),"",IF(액션아이템!$E440="",99999999,액션아이템!$E440)*100+ROW()/1000)</f>
        <v/>
      </c>
      <c r="L443" s="46" t="str">
        <f>IF($K443="","",RANK($K443,$K$6:$K$1005,1))</f>
        <v/>
      </c>
    </row>
    <row r="444" ht="15" customHeight="1" s="41">
      <c r="J444" s="57" t="b">
        <f>IF(액션아이템!$C441="",FALSE(),OR(액션아이템!$F441="진행중",액션아이템!$F441="보류"))</f>
        <v>0</v>
      </c>
      <c r="K444" s="46" t="str">
        <f>IF($J444=FALSE(),"",IF(액션아이템!$E441="",99999999,액션아이템!$E441)*100+ROW()/1000)</f>
        <v/>
      </c>
      <c r="L444" s="46" t="str">
        <f>IF($K444="","",RANK($K444,$K$6:$K$1005,1))</f>
        <v/>
      </c>
    </row>
    <row r="445" ht="15" customHeight="1" s="41">
      <c r="J445" s="57" t="b">
        <f>IF(액션아이템!$C442="",FALSE(),OR(액션아이템!$F442="진행중",액션아이템!$F442="보류"))</f>
        <v>0</v>
      </c>
      <c r="K445" s="46" t="str">
        <f>IF($J445=FALSE(),"",IF(액션아이템!$E442="",99999999,액션아이템!$E442)*100+ROW()/1000)</f>
        <v/>
      </c>
      <c r="L445" s="46" t="str">
        <f>IF($K445="","",RANK($K445,$K$6:$K$1005,1))</f>
        <v/>
      </c>
    </row>
    <row r="446" ht="15" customHeight="1" s="41">
      <c r="J446" s="57" t="b">
        <f>IF(액션아이템!$C443="",FALSE(),OR(액션아이템!$F443="진행중",액션아이템!$F443="보류"))</f>
        <v>0</v>
      </c>
      <c r="K446" s="46" t="str">
        <f>IF($J446=FALSE(),"",IF(액션아이템!$E443="",99999999,액션아이템!$E443)*100+ROW()/1000)</f>
        <v/>
      </c>
      <c r="L446" s="46" t="str">
        <f>IF($K446="","",RANK($K446,$K$6:$K$1005,1))</f>
        <v/>
      </c>
    </row>
    <row r="447" ht="15" customHeight="1" s="41">
      <c r="J447" s="57" t="b">
        <f>IF(액션아이템!$C444="",FALSE(),OR(액션아이템!$F444="진행중",액션아이템!$F444="보류"))</f>
        <v>0</v>
      </c>
      <c r="K447" s="46" t="str">
        <f>IF($J447=FALSE(),"",IF(액션아이템!$E444="",99999999,액션아이템!$E444)*100+ROW()/1000)</f>
        <v/>
      </c>
      <c r="L447" s="46" t="str">
        <f>IF($K447="","",RANK($K447,$K$6:$K$1005,1))</f>
        <v/>
      </c>
    </row>
    <row r="448" ht="15" customHeight="1" s="41">
      <c r="J448" s="57" t="b">
        <f>IF(액션아이템!$C445="",FALSE(),OR(액션아이템!$F445="진행중",액션아이템!$F445="보류"))</f>
        <v>0</v>
      </c>
      <c r="K448" s="46" t="str">
        <f>IF($J448=FALSE(),"",IF(액션아이템!$E445="",99999999,액션아이템!$E445)*100+ROW()/1000)</f>
        <v/>
      </c>
      <c r="L448" s="46" t="str">
        <f>IF($K448="","",RANK($K448,$K$6:$K$1005,1))</f>
        <v/>
      </c>
    </row>
    <row r="449" ht="15" customHeight="1" s="41">
      <c r="J449" s="57" t="b">
        <f>IF(액션아이템!$C446="",FALSE(),OR(액션아이템!$F446="진행중",액션아이템!$F446="보류"))</f>
        <v>0</v>
      </c>
      <c r="K449" s="46" t="str">
        <f>IF($J449=FALSE(),"",IF(액션아이템!$E446="",99999999,액션아이템!$E446)*100+ROW()/1000)</f>
        <v/>
      </c>
      <c r="L449" s="46" t="str">
        <f>IF($K449="","",RANK($K449,$K$6:$K$1005,1))</f>
        <v/>
      </c>
    </row>
    <row r="450" ht="15" customHeight="1" s="41">
      <c r="J450" s="57" t="b">
        <f>IF(액션아이템!$C447="",FALSE(),OR(액션아이템!$F447="진행중",액션아이템!$F447="보류"))</f>
        <v>0</v>
      </c>
      <c r="K450" s="46" t="str">
        <f>IF($J450=FALSE(),"",IF(액션아이템!$E447="",99999999,액션아이템!$E447)*100+ROW()/1000)</f>
        <v/>
      </c>
      <c r="L450" s="46" t="str">
        <f>IF($K450="","",RANK($K450,$K$6:$K$1005,1))</f>
        <v/>
      </c>
    </row>
    <row r="451" ht="15" customHeight="1" s="41">
      <c r="J451" s="57" t="b">
        <f>IF(액션아이템!$C448="",FALSE(),OR(액션아이템!$F448="진행중",액션아이템!$F448="보류"))</f>
        <v>0</v>
      </c>
      <c r="K451" s="46" t="str">
        <f>IF($J451=FALSE(),"",IF(액션아이템!$E448="",99999999,액션아이템!$E448)*100+ROW()/1000)</f>
        <v/>
      </c>
      <c r="L451" s="46" t="str">
        <f>IF($K451="","",RANK($K451,$K$6:$K$1005,1))</f>
        <v/>
      </c>
    </row>
    <row r="452" ht="15" customHeight="1" s="41">
      <c r="J452" s="57" t="b">
        <f>IF(액션아이템!$C449="",FALSE(),OR(액션아이템!$F449="진행중",액션아이템!$F449="보류"))</f>
        <v>0</v>
      </c>
      <c r="K452" s="46" t="str">
        <f>IF($J452=FALSE(),"",IF(액션아이템!$E449="",99999999,액션아이템!$E449)*100+ROW()/1000)</f>
        <v/>
      </c>
      <c r="L452" s="46" t="str">
        <f>IF($K452="","",RANK($K452,$K$6:$K$1005,1))</f>
        <v/>
      </c>
    </row>
    <row r="453" ht="15" customHeight="1" s="41">
      <c r="J453" s="57" t="b">
        <f>IF(액션아이템!$C450="",FALSE(),OR(액션아이템!$F450="진행중",액션아이템!$F450="보류"))</f>
        <v>0</v>
      </c>
      <c r="K453" s="46" t="str">
        <f>IF($J453=FALSE(),"",IF(액션아이템!$E450="",99999999,액션아이템!$E450)*100+ROW()/1000)</f>
        <v/>
      </c>
      <c r="L453" s="46" t="str">
        <f>IF($K453="","",RANK($K453,$K$6:$K$1005,1))</f>
        <v/>
      </c>
    </row>
    <row r="454" ht="15" customHeight="1" s="41">
      <c r="J454" s="57" t="b">
        <f>IF(액션아이템!$C451="",FALSE(),OR(액션아이템!$F451="진행중",액션아이템!$F451="보류"))</f>
        <v>0</v>
      </c>
      <c r="K454" s="46" t="str">
        <f>IF($J454=FALSE(),"",IF(액션아이템!$E451="",99999999,액션아이템!$E451)*100+ROW()/1000)</f>
        <v/>
      </c>
      <c r="L454" s="46" t="str">
        <f>IF($K454="","",RANK($K454,$K$6:$K$1005,1))</f>
        <v/>
      </c>
    </row>
    <row r="455" ht="15" customHeight="1" s="41">
      <c r="J455" s="57" t="b">
        <f>IF(액션아이템!$C452="",FALSE(),OR(액션아이템!$F452="진행중",액션아이템!$F452="보류"))</f>
        <v>0</v>
      </c>
      <c r="K455" s="46" t="str">
        <f>IF($J455=FALSE(),"",IF(액션아이템!$E452="",99999999,액션아이템!$E452)*100+ROW()/1000)</f>
        <v/>
      </c>
      <c r="L455" s="46" t="str">
        <f>IF($K455="","",RANK($K455,$K$6:$K$1005,1))</f>
        <v/>
      </c>
    </row>
    <row r="456" ht="15" customHeight="1" s="41">
      <c r="J456" s="57" t="b">
        <f>IF(액션아이템!$C453="",FALSE(),OR(액션아이템!$F453="진행중",액션아이템!$F453="보류"))</f>
        <v>0</v>
      </c>
      <c r="K456" s="46" t="str">
        <f>IF($J456=FALSE(),"",IF(액션아이템!$E453="",99999999,액션아이템!$E453)*100+ROW()/1000)</f>
        <v/>
      </c>
      <c r="L456" s="46" t="str">
        <f>IF($K456="","",RANK($K456,$K$6:$K$1005,1))</f>
        <v/>
      </c>
    </row>
    <row r="457" ht="15" customHeight="1" s="41">
      <c r="J457" s="57" t="b">
        <f>IF(액션아이템!$C454="",FALSE(),OR(액션아이템!$F454="진행중",액션아이템!$F454="보류"))</f>
        <v>0</v>
      </c>
      <c r="K457" s="46" t="str">
        <f>IF($J457=FALSE(),"",IF(액션아이템!$E454="",99999999,액션아이템!$E454)*100+ROW()/1000)</f>
        <v/>
      </c>
      <c r="L457" s="46" t="str">
        <f>IF($K457="","",RANK($K457,$K$6:$K$1005,1))</f>
        <v/>
      </c>
    </row>
    <row r="458" ht="15" customHeight="1" s="41">
      <c r="J458" s="57" t="b">
        <f>IF(액션아이템!$C455="",FALSE(),OR(액션아이템!$F455="진행중",액션아이템!$F455="보류"))</f>
        <v>0</v>
      </c>
      <c r="K458" s="46" t="str">
        <f>IF($J458=FALSE(),"",IF(액션아이템!$E455="",99999999,액션아이템!$E455)*100+ROW()/1000)</f>
        <v/>
      </c>
      <c r="L458" s="46" t="str">
        <f>IF($K458="","",RANK($K458,$K$6:$K$1005,1))</f>
        <v/>
      </c>
    </row>
    <row r="459" ht="15" customHeight="1" s="41">
      <c r="J459" s="57" t="b">
        <f>IF(액션아이템!$C456="",FALSE(),OR(액션아이템!$F456="진행중",액션아이템!$F456="보류"))</f>
        <v>0</v>
      </c>
      <c r="K459" s="46" t="str">
        <f>IF($J459=FALSE(),"",IF(액션아이템!$E456="",99999999,액션아이템!$E456)*100+ROW()/1000)</f>
        <v/>
      </c>
      <c r="L459" s="46" t="str">
        <f>IF($K459="","",RANK($K459,$K$6:$K$1005,1))</f>
        <v/>
      </c>
    </row>
    <row r="460" ht="15" customHeight="1" s="41">
      <c r="J460" s="57" t="b">
        <f>IF(액션아이템!$C457="",FALSE(),OR(액션아이템!$F457="진행중",액션아이템!$F457="보류"))</f>
        <v>0</v>
      </c>
      <c r="K460" s="46" t="str">
        <f>IF($J460=FALSE(),"",IF(액션아이템!$E457="",99999999,액션아이템!$E457)*100+ROW()/1000)</f>
        <v/>
      </c>
      <c r="L460" s="46" t="str">
        <f>IF($K460="","",RANK($K460,$K$6:$K$1005,1))</f>
        <v/>
      </c>
    </row>
    <row r="461" ht="15" customHeight="1" s="41">
      <c r="J461" s="57" t="b">
        <f>IF(액션아이템!$C458="",FALSE(),OR(액션아이템!$F458="진행중",액션아이템!$F458="보류"))</f>
        <v>0</v>
      </c>
      <c r="K461" s="46" t="str">
        <f>IF($J461=FALSE(),"",IF(액션아이템!$E458="",99999999,액션아이템!$E458)*100+ROW()/1000)</f>
        <v/>
      </c>
      <c r="L461" s="46" t="str">
        <f>IF($K461="","",RANK($K461,$K$6:$K$1005,1))</f>
        <v/>
      </c>
    </row>
    <row r="462" ht="15" customHeight="1" s="41">
      <c r="J462" s="57" t="b">
        <f>IF(액션아이템!$C459="",FALSE(),OR(액션아이템!$F459="진행중",액션아이템!$F459="보류"))</f>
        <v>0</v>
      </c>
      <c r="K462" s="46" t="str">
        <f>IF($J462=FALSE(),"",IF(액션아이템!$E459="",99999999,액션아이템!$E459)*100+ROW()/1000)</f>
        <v/>
      </c>
      <c r="L462" s="46" t="str">
        <f>IF($K462="","",RANK($K462,$K$6:$K$1005,1))</f>
        <v/>
      </c>
    </row>
    <row r="463" ht="15" customHeight="1" s="41">
      <c r="J463" s="57" t="b">
        <f>IF(액션아이템!$C460="",FALSE(),OR(액션아이템!$F460="진행중",액션아이템!$F460="보류"))</f>
        <v>0</v>
      </c>
      <c r="K463" s="46" t="str">
        <f>IF($J463=FALSE(),"",IF(액션아이템!$E460="",99999999,액션아이템!$E460)*100+ROW()/1000)</f>
        <v/>
      </c>
      <c r="L463" s="46" t="str">
        <f>IF($K463="","",RANK($K463,$K$6:$K$1005,1))</f>
        <v/>
      </c>
    </row>
    <row r="464" ht="15" customHeight="1" s="41">
      <c r="J464" s="57" t="b">
        <f>IF(액션아이템!$C461="",FALSE(),OR(액션아이템!$F461="진행중",액션아이템!$F461="보류"))</f>
        <v>0</v>
      </c>
      <c r="K464" s="46" t="str">
        <f>IF($J464=FALSE(),"",IF(액션아이템!$E461="",99999999,액션아이템!$E461)*100+ROW()/1000)</f>
        <v/>
      </c>
      <c r="L464" s="46" t="str">
        <f>IF($K464="","",RANK($K464,$K$6:$K$1005,1))</f>
        <v/>
      </c>
    </row>
    <row r="465" ht="15" customHeight="1" s="41">
      <c r="J465" s="57" t="b">
        <f>IF(액션아이템!$C462="",FALSE(),OR(액션아이템!$F462="진행중",액션아이템!$F462="보류"))</f>
        <v>0</v>
      </c>
      <c r="K465" s="46" t="str">
        <f>IF($J465=FALSE(),"",IF(액션아이템!$E462="",99999999,액션아이템!$E462)*100+ROW()/1000)</f>
        <v/>
      </c>
      <c r="L465" s="46" t="str">
        <f>IF($K465="","",RANK($K465,$K$6:$K$1005,1))</f>
        <v/>
      </c>
    </row>
    <row r="466" ht="15" customHeight="1" s="41">
      <c r="J466" s="57" t="b">
        <f>IF(액션아이템!$C463="",FALSE(),OR(액션아이템!$F463="진행중",액션아이템!$F463="보류"))</f>
        <v>0</v>
      </c>
      <c r="K466" s="46" t="str">
        <f>IF($J466=FALSE(),"",IF(액션아이템!$E463="",99999999,액션아이템!$E463)*100+ROW()/1000)</f>
        <v/>
      </c>
      <c r="L466" s="46" t="str">
        <f>IF($K466="","",RANK($K466,$K$6:$K$1005,1))</f>
        <v/>
      </c>
    </row>
    <row r="467" ht="15" customHeight="1" s="41">
      <c r="J467" s="57" t="b">
        <f>IF(액션아이템!$C464="",FALSE(),OR(액션아이템!$F464="진행중",액션아이템!$F464="보류"))</f>
        <v>0</v>
      </c>
      <c r="K467" s="46" t="str">
        <f>IF($J467=FALSE(),"",IF(액션아이템!$E464="",99999999,액션아이템!$E464)*100+ROW()/1000)</f>
        <v/>
      </c>
      <c r="L467" s="46" t="str">
        <f>IF($K467="","",RANK($K467,$K$6:$K$1005,1))</f>
        <v/>
      </c>
    </row>
    <row r="468" ht="15" customHeight="1" s="41">
      <c r="J468" s="57" t="b">
        <f>IF(액션아이템!$C465="",FALSE(),OR(액션아이템!$F465="진행중",액션아이템!$F465="보류"))</f>
        <v>0</v>
      </c>
      <c r="K468" s="46" t="str">
        <f>IF($J468=FALSE(),"",IF(액션아이템!$E465="",99999999,액션아이템!$E465)*100+ROW()/1000)</f>
        <v/>
      </c>
      <c r="L468" s="46" t="str">
        <f>IF($K468="","",RANK($K468,$K$6:$K$1005,1))</f>
        <v/>
      </c>
    </row>
    <row r="469" ht="15" customHeight="1" s="41">
      <c r="J469" s="57" t="b">
        <f>IF(액션아이템!$C466="",FALSE(),OR(액션아이템!$F466="진행중",액션아이템!$F466="보류"))</f>
        <v>0</v>
      </c>
      <c r="K469" s="46" t="str">
        <f>IF($J469=FALSE(),"",IF(액션아이템!$E466="",99999999,액션아이템!$E466)*100+ROW()/1000)</f>
        <v/>
      </c>
      <c r="L469" s="46" t="str">
        <f>IF($K469="","",RANK($K469,$K$6:$K$1005,1))</f>
        <v/>
      </c>
    </row>
    <row r="470" ht="15" customHeight="1" s="41">
      <c r="J470" s="57" t="b">
        <f>IF(액션아이템!$C467="",FALSE(),OR(액션아이템!$F467="진행중",액션아이템!$F467="보류"))</f>
        <v>0</v>
      </c>
      <c r="K470" s="46" t="str">
        <f>IF($J470=FALSE(),"",IF(액션아이템!$E467="",99999999,액션아이템!$E467)*100+ROW()/1000)</f>
        <v/>
      </c>
      <c r="L470" s="46" t="str">
        <f>IF($K470="","",RANK($K470,$K$6:$K$1005,1))</f>
        <v/>
      </c>
    </row>
    <row r="471" ht="15" customHeight="1" s="41">
      <c r="J471" s="57" t="b">
        <f>IF(액션아이템!$C468="",FALSE(),OR(액션아이템!$F468="진행중",액션아이템!$F468="보류"))</f>
        <v>0</v>
      </c>
      <c r="K471" s="46" t="str">
        <f>IF($J471=FALSE(),"",IF(액션아이템!$E468="",99999999,액션아이템!$E468)*100+ROW()/1000)</f>
        <v/>
      </c>
      <c r="L471" s="46" t="str">
        <f>IF($K471="","",RANK($K471,$K$6:$K$1005,1))</f>
        <v/>
      </c>
    </row>
    <row r="472" ht="15" customHeight="1" s="41">
      <c r="J472" s="57" t="b">
        <f>IF(액션아이템!$C469="",FALSE(),OR(액션아이템!$F469="진행중",액션아이템!$F469="보류"))</f>
        <v>0</v>
      </c>
      <c r="K472" s="46" t="str">
        <f>IF($J472=FALSE(),"",IF(액션아이템!$E469="",99999999,액션아이템!$E469)*100+ROW()/1000)</f>
        <v/>
      </c>
      <c r="L472" s="46" t="str">
        <f>IF($K472="","",RANK($K472,$K$6:$K$1005,1))</f>
        <v/>
      </c>
    </row>
    <row r="473" ht="15" customHeight="1" s="41">
      <c r="J473" s="57" t="b">
        <f>IF(액션아이템!$C470="",FALSE(),OR(액션아이템!$F470="진행중",액션아이템!$F470="보류"))</f>
        <v>0</v>
      </c>
      <c r="K473" s="46" t="str">
        <f>IF($J473=FALSE(),"",IF(액션아이템!$E470="",99999999,액션아이템!$E470)*100+ROW()/1000)</f>
        <v/>
      </c>
      <c r="L473" s="46" t="str">
        <f>IF($K473="","",RANK($K473,$K$6:$K$1005,1))</f>
        <v/>
      </c>
    </row>
    <row r="474" ht="15" customHeight="1" s="41">
      <c r="J474" s="57" t="b">
        <f>IF(액션아이템!$C471="",FALSE(),OR(액션아이템!$F471="진행중",액션아이템!$F471="보류"))</f>
        <v>0</v>
      </c>
      <c r="K474" s="46" t="str">
        <f>IF($J474=FALSE(),"",IF(액션아이템!$E471="",99999999,액션아이템!$E471)*100+ROW()/1000)</f>
        <v/>
      </c>
      <c r="L474" s="46" t="str">
        <f>IF($K474="","",RANK($K474,$K$6:$K$1005,1))</f>
        <v/>
      </c>
    </row>
    <row r="475" ht="15" customHeight="1" s="41">
      <c r="J475" s="57" t="b">
        <f>IF(액션아이템!$C472="",FALSE(),OR(액션아이템!$F472="진행중",액션아이템!$F472="보류"))</f>
        <v>0</v>
      </c>
      <c r="K475" s="46" t="str">
        <f>IF($J475=FALSE(),"",IF(액션아이템!$E472="",99999999,액션아이템!$E472)*100+ROW()/1000)</f>
        <v/>
      </c>
      <c r="L475" s="46" t="str">
        <f>IF($K475="","",RANK($K475,$K$6:$K$1005,1))</f>
        <v/>
      </c>
    </row>
    <row r="476" ht="15" customHeight="1" s="41">
      <c r="J476" s="57" t="b">
        <f>IF(액션아이템!$C473="",FALSE(),OR(액션아이템!$F473="진행중",액션아이템!$F473="보류"))</f>
        <v>0</v>
      </c>
      <c r="K476" s="46" t="str">
        <f>IF($J476=FALSE(),"",IF(액션아이템!$E473="",99999999,액션아이템!$E473)*100+ROW()/1000)</f>
        <v/>
      </c>
      <c r="L476" s="46" t="str">
        <f>IF($K476="","",RANK($K476,$K$6:$K$1005,1))</f>
        <v/>
      </c>
    </row>
    <row r="477" ht="15" customHeight="1" s="41">
      <c r="J477" s="57" t="b">
        <f>IF(액션아이템!$C474="",FALSE(),OR(액션아이템!$F474="진행중",액션아이템!$F474="보류"))</f>
        <v>0</v>
      </c>
      <c r="K477" s="46" t="str">
        <f>IF($J477=FALSE(),"",IF(액션아이템!$E474="",99999999,액션아이템!$E474)*100+ROW()/1000)</f>
        <v/>
      </c>
      <c r="L477" s="46" t="str">
        <f>IF($K477="","",RANK($K477,$K$6:$K$1005,1))</f>
        <v/>
      </c>
    </row>
    <row r="478" ht="15" customHeight="1" s="41">
      <c r="J478" s="57" t="b">
        <f>IF(액션아이템!$C475="",FALSE(),OR(액션아이템!$F475="진행중",액션아이템!$F475="보류"))</f>
        <v>0</v>
      </c>
      <c r="K478" s="46" t="str">
        <f>IF($J478=FALSE(),"",IF(액션아이템!$E475="",99999999,액션아이템!$E475)*100+ROW()/1000)</f>
        <v/>
      </c>
      <c r="L478" s="46" t="str">
        <f>IF($K478="","",RANK($K478,$K$6:$K$1005,1))</f>
        <v/>
      </c>
    </row>
    <row r="479" ht="15" customHeight="1" s="41">
      <c r="J479" s="57" t="b">
        <f>IF(액션아이템!$C476="",FALSE(),OR(액션아이템!$F476="진행중",액션아이템!$F476="보류"))</f>
        <v>0</v>
      </c>
      <c r="K479" s="46" t="str">
        <f>IF($J479=FALSE(),"",IF(액션아이템!$E476="",99999999,액션아이템!$E476)*100+ROW()/1000)</f>
        <v/>
      </c>
      <c r="L479" s="46" t="str">
        <f>IF($K479="","",RANK($K479,$K$6:$K$1005,1))</f>
        <v/>
      </c>
    </row>
    <row r="480" ht="15" customHeight="1" s="41">
      <c r="J480" s="57" t="b">
        <f>IF(액션아이템!$C477="",FALSE(),OR(액션아이템!$F477="진행중",액션아이템!$F477="보류"))</f>
        <v>0</v>
      </c>
      <c r="K480" s="46" t="str">
        <f>IF($J480=FALSE(),"",IF(액션아이템!$E477="",99999999,액션아이템!$E477)*100+ROW()/1000)</f>
        <v/>
      </c>
      <c r="L480" s="46" t="str">
        <f>IF($K480="","",RANK($K480,$K$6:$K$1005,1))</f>
        <v/>
      </c>
    </row>
    <row r="481" ht="15" customHeight="1" s="41">
      <c r="J481" s="57" t="b">
        <f>IF(액션아이템!$C478="",FALSE(),OR(액션아이템!$F478="진행중",액션아이템!$F478="보류"))</f>
        <v>0</v>
      </c>
      <c r="K481" s="46" t="str">
        <f>IF($J481=FALSE(),"",IF(액션아이템!$E478="",99999999,액션아이템!$E478)*100+ROW()/1000)</f>
        <v/>
      </c>
      <c r="L481" s="46" t="str">
        <f>IF($K481="","",RANK($K481,$K$6:$K$1005,1))</f>
        <v/>
      </c>
    </row>
    <row r="482" ht="15" customHeight="1" s="41">
      <c r="J482" s="57" t="b">
        <f>IF(액션아이템!$C479="",FALSE(),OR(액션아이템!$F479="진행중",액션아이템!$F479="보류"))</f>
        <v>0</v>
      </c>
      <c r="K482" s="46" t="str">
        <f>IF($J482=FALSE(),"",IF(액션아이템!$E479="",99999999,액션아이템!$E479)*100+ROW()/1000)</f>
        <v/>
      </c>
      <c r="L482" s="46" t="str">
        <f>IF($K482="","",RANK($K482,$K$6:$K$1005,1))</f>
        <v/>
      </c>
    </row>
    <row r="483" ht="15" customHeight="1" s="41">
      <c r="J483" s="57" t="b">
        <f>IF(액션아이템!$C480="",FALSE(),OR(액션아이템!$F480="진행중",액션아이템!$F480="보류"))</f>
        <v>0</v>
      </c>
      <c r="K483" s="46" t="str">
        <f>IF($J483=FALSE(),"",IF(액션아이템!$E480="",99999999,액션아이템!$E480)*100+ROW()/1000)</f>
        <v/>
      </c>
      <c r="L483" s="46" t="str">
        <f>IF($K483="","",RANK($K483,$K$6:$K$1005,1))</f>
        <v/>
      </c>
    </row>
    <row r="484" ht="15" customHeight="1" s="41">
      <c r="J484" s="57" t="b">
        <f>IF(액션아이템!$C481="",FALSE(),OR(액션아이템!$F481="진행중",액션아이템!$F481="보류"))</f>
        <v>0</v>
      </c>
      <c r="K484" s="46" t="str">
        <f>IF($J484=FALSE(),"",IF(액션아이템!$E481="",99999999,액션아이템!$E481)*100+ROW()/1000)</f>
        <v/>
      </c>
      <c r="L484" s="46" t="str">
        <f>IF($K484="","",RANK($K484,$K$6:$K$1005,1))</f>
        <v/>
      </c>
    </row>
    <row r="485" ht="15" customHeight="1" s="41">
      <c r="J485" s="57" t="b">
        <f>IF(액션아이템!$C482="",FALSE(),OR(액션아이템!$F482="진행중",액션아이템!$F482="보류"))</f>
        <v>0</v>
      </c>
      <c r="K485" s="46" t="str">
        <f>IF($J485=FALSE(),"",IF(액션아이템!$E482="",99999999,액션아이템!$E482)*100+ROW()/1000)</f>
        <v/>
      </c>
      <c r="L485" s="46" t="str">
        <f>IF($K485="","",RANK($K485,$K$6:$K$1005,1))</f>
        <v/>
      </c>
    </row>
    <row r="486" ht="15" customHeight="1" s="41">
      <c r="J486" s="57" t="b">
        <f>IF(액션아이템!$C483="",FALSE(),OR(액션아이템!$F483="진행중",액션아이템!$F483="보류"))</f>
        <v>0</v>
      </c>
      <c r="K486" s="46" t="str">
        <f>IF($J486=FALSE(),"",IF(액션아이템!$E483="",99999999,액션아이템!$E483)*100+ROW()/1000)</f>
        <v/>
      </c>
      <c r="L486" s="46" t="str">
        <f>IF($K486="","",RANK($K486,$K$6:$K$1005,1))</f>
        <v/>
      </c>
    </row>
    <row r="487" ht="15" customHeight="1" s="41">
      <c r="J487" s="57" t="b">
        <f>IF(액션아이템!$C484="",FALSE(),OR(액션아이템!$F484="진행중",액션아이템!$F484="보류"))</f>
        <v>0</v>
      </c>
      <c r="K487" s="46" t="str">
        <f>IF($J487=FALSE(),"",IF(액션아이템!$E484="",99999999,액션아이템!$E484)*100+ROW()/1000)</f>
        <v/>
      </c>
      <c r="L487" s="46" t="str">
        <f>IF($K487="","",RANK($K487,$K$6:$K$1005,1))</f>
        <v/>
      </c>
    </row>
    <row r="488" ht="15" customHeight="1" s="41">
      <c r="J488" s="57" t="b">
        <f>IF(액션아이템!$C485="",FALSE(),OR(액션아이템!$F485="진행중",액션아이템!$F485="보류"))</f>
        <v>0</v>
      </c>
      <c r="K488" s="46" t="str">
        <f>IF($J488=FALSE(),"",IF(액션아이템!$E485="",99999999,액션아이템!$E485)*100+ROW()/1000)</f>
        <v/>
      </c>
      <c r="L488" s="46" t="str">
        <f>IF($K488="","",RANK($K488,$K$6:$K$1005,1))</f>
        <v/>
      </c>
    </row>
    <row r="489" ht="15" customHeight="1" s="41">
      <c r="J489" s="57" t="b">
        <f>IF(액션아이템!$C486="",FALSE(),OR(액션아이템!$F486="진행중",액션아이템!$F486="보류"))</f>
        <v>0</v>
      </c>
      <c r="K489" s="46" t="str">
        <f>IF($J489=FALSE(),"",IF(액션아이템!$E486="",99999999,액션아이템!$E486)*100+ROW()/1000)</f>
        <v/>
      </c>
      <c r="L489" s="46" t="str">
        <f>IF($K489="","",RANK($K489,$K$6:$K$1005,1))</f>
        <v/>
      </c>
    </row>
    <row r="490" ht="15" customHeight="1" s="41">
      <c r="J490" s="57" t="b">
        <f>IF(액션아이템!$C487="",FALSE(),OR(액션아이템!$F487="진행중",액션아이템!$F487="보류"))</f>
        <v>0</v>
      </c>
      <c r="K490" s="46" t="str">
        <f>IF($J490=FALSE(),"",IF(액션아이템!$E487="",99999999,액션아이템!$E487)*100+ROW()/1000)</f>
        <v/>
      </c>
      <c r="L490" s="46" t="str">
        <f>IF($K490="","",RANK($K490,$K$6:$K$1005,1))</f>
        <v/>
      </c>
    </row>
    <row r="491" ht="15" customHeight="1" s="41">
      <c r="J491" s="57" t="b">
        <f>IF(액션아이템!$C488="",FALSE(),OR(액션아이템!$F488="진행중",액션아이템!$F488="보류"))</f>
        <v>0</v>
      </c>
      <c r="K491" s="46" t="str">
        <f>IF($J491=FALSE(),"",IF(액션아이템!$E488="",99999999,액션아이템!$E488)*100+ROW()/1000)</f>
        <v/>
      </c>
      <c r="L491" s="46" t="str">
        <f>IF($K491="","",RANK($K491,$K$6:$K$1005,1))</f>
        <v/>
      </c>
    </row>
    <row r="492" ht="15" customHeight="1" s="41">
      <c r="J492" s="57" t="b">
        <f>IF(액션아이템!$C489="",FALSE(),OR(액션아이템!$F489="진행중",액션아이템!$F489="보류"))</f>
        <v>0</v>
      </c>
      <c r="K492" s="46" t="str">
        <f>IF($J492=FALSE(),"",IF(액션아이템!$E489="",99999999,액션아이템!$E489)*100+ROW()/1000)</f>
        <v/>
      </c>
      <c r="L492" s="46" t="str">
        <f>IF($K492="","",RANK($K492,$K$6:$K$1005,1))</f>
        <v/>
      </c>
    </row>
    <row r="493" ht="15" customHeight="1" s="41">
      <c r="J493" s="57" t="b">
        <f>IF(액션아이템!$C490="",FALSE(),OR(액션아이템!$F490="진행중",액션아이템!$F490="보류"))</f>
        <v>0</v>
      </c>
      <c r="K493" s="46" t="str">
        <f>IF($J493=FALSE(),"",IF(액션아이템!$E490="",99999999,액션아이템!$E490)*100+ROW()/1000)</f>
        <v/>
      </c>
      <c r="L493" s="46" t="str">
        <f>IF($K493="","",RANK($K493,$K$6:$K$1005,1))</f>
        <v/>
      </c>
    </row>
    <row r="494" ht="15" customHeight="1" s="41">
      <c r="J494" s="57" t="b">
        <f>IF(액션아이템!$C491="",FALSE(),OR(액션아이템!$F491="진행중",액션아이템!$F491="보류"))</f>
        <v>0</v>
      </c>
      <c r="K494" s="46" t="str">
        <f>IF($J494=FALSE(),"",IF(액션아이템!$E491="",99999999,액션아이템!$E491)*100+ROW()/1000)</f>
        <v/>
      </c>
      <c r="L494" s="46" t="str">
        <f>IF($K494="","",RANK($K494,$K$6:$K$1005,1))</f>
        <v/>
      </c>
    </row>
    <row r="495" ht="15" customHeight="1" s="41">
      <c r="J495" s="57" t="b">
        <f>IF(액션아이템!$C492="",FALSE(),OR(액션아이템!$F492="진행중",액션아이템!$F492="보류"))</f>
        <v>0</v>
      </c>
      <c r="K495" s="46" t="str">
        <f>IF($J495=FALSE(),"",IF(액션아이템!$E492="",99999999,액션아이템!$E492)*100+ROW()/1000)</f>
        <v/>
      </c>
      <c r="L495" s="46" t="str">
        <f>IF($K495="","",RANK($K495,$K$6:$K$1005,1))</f>
        <v/>
      </c>
    </row>
    <row r="496" ht="15" customHeight="1" s="41">
      <c r="J496" s="57" t="b">
        <f>IF(액션아이템!$C493="",FALSE(),OR(액션아이템!$F493="진행중",액션아이템!$F493="보류"))</f>
        <v>0</v>
      </c>
      <c r="K496" s="46" t="str">
        <f>IF($J496=FALSE(),"",IF(액션아이템!$E493="",99999999,액션아이템!$E493)*100+ROW()/1000)</f>
        <v/>
      </c>
      <c r="L496" s="46" t="str">
        <f>IF($K496="","",RANK($K496,$K$6:$K$1005,1))</f>
        <v/>
      </c>
    </row>
    <row r="497" ht="15" customHeight="1" s="41">
      <c r="J497" s="57" t="b">
        <f>IF(액션아이템!$C494="",FALSE(),OR(액션아이템!$F494="진행중",액션아이템!$F494="보류"))</f>
        <v>0</v>
      </c>
      <c r="K497" s="46" t="str">
        <f>IF($J497=FALSE(),"",IF(액션아이템!$E494="",99999999,액션아이템!$E494)*100+ROW()/1000)</f>
        <v/>
      </c>
      <c r="L497" s="46" t="str">
        <f>IF($K497="","",RANK($K497,$K$6:$K$1005,1))</f>
        <v/>
      </c>
    </row>
    <row r="498" ht="15" customHeight="1" s="41">
      <c r="J498" s="57" t="b">
        <f>IF(액션아이템!$C495="",FALSE(),OR(액션아이템!$F495="진행중",액션아이템!$F495="보류"))</f>
        <v>0</v>
      </c>
      <c r="K498" s="46" t="str">
        <f>IF($J498=FALSE(),"",IF(액션아이템!$E495="",99999999,액션아이템!$E495)*100+ROW()/1000)</f>
        <v/>
      </c>
      <c r="L498" s="46" t="str">
        <f>IF($K498="","",RANK($K498,$K$6:$K$1005,1))</f>
        <v/>
      </c>
    </row>
    <row r="499" ht="15" customHeight="1" s="41">
      <c r="J499" s="57" t="b">
        <f>IF(액션아이템!$C496="",FALSE(),OR(액션아이템!$F496="진행중",액션아이템!$F496="보류"))</f>
        <v>0</v>
      </c>
      <c r="K499" s="46" t="str">
        <f>IF($J499=FALSE(),"",IF(액션아이템!$E496="",99999999,액션아이템!$E496)*100+ROW()/1000)</f>
        <v/>
      </c>
      <c r="L499" s="46" t="str">
        <f>IF($K499="","",RANK($K499,$K$6:$K$1005,1))</f>
        <v/>
      </c>
    </row>
    <row r="500" ht="15" customHeight="1" s="41">
      <c r="J500" s="57" t="b">
        <f>IF(액션아이템!$C497="",FALSE(),OR(액션아이템!$F497="진행중",액션아이템!$F497="보류"))</f>
        <v>0</v>
      </c>
      <c r="K500" s="46" t="str">
        <f>IF($J500=FALSE(),"",IF(액션아이템!$E497="",99999999,액션아이템!$E497)*100+ROW()/1000)</f>
        <v/>
      </c>
      <c r="L500" s="46" t="str">
        <f>IF($K500="","",RANK($K500,$K$6:$K$1005,1))</f>
        <v/>
      </c>
    </row>
    <row r="501" ht="15" customHeight="1" s="41">
      <c r="J501" s="57" t="b">
        <f>IF(액션아이템!$C498="",FALSE(),OR(액션아이템!$F498="진행중",액션아이템!$F498="보류"))</f>
        <v>0</v>
      </c>
      <c r="K501" s="46" t="str">
        <f>IF($J501=FALSE(),"",IF(액션아이템!$E498="",99999999,액션아이템!$E498)*100+ROW()/1000)</f>
        <v/>
      </c>
      <c r="L501" s="46" t="str">
        <f>IF($K501="","",RANK($K501,$K$6:$K$1005,1))</f>
        <v/>
      </c>
    </row>
    <row r="502" ht="15" customHeight="1" s="41">
      <c r="J502" s="57" t="b">
        <f>IF(액션아이템!$C499="",FALSE(),OR(액션아이템!$F499="진행중",액션아이템!$F499="보류"))</f>
        <v>0</v>
      </c>
      <c r="K502" s="46" t="str">
        <f>IF($J502=FALSE(),"",IF(액션아이템!$E499="",99999999,액션아이템!$E499)*100+ROW()/1000)</f>
        <v/>
      </c>
      <c r="L502" s="46" t="str">
        <f>IF($K502="","",RANK($K502,$K$6:$K$1005,1))</f>
        <v/>
      </c>
    </row>
    <row r="503" ht="15" customHeight="1" s="41">
      <c r="J503" s="57" t="b">
        <f>IF(액션아이템!$C500="",FALSE(),OR(액션아이템!$F500="진행중",액션아이템!$F500="보류"))</f>
        <v>0</v>
      </c>
      <c r="K503" s="46" t="str">
        <f>IF($J503=FALSE(),"",IF(액션아이템!$E500="",99999999,액션아이템!$E500)*100+ROW()/1000)</f>
        <v/>
      </c>
      <c r="L503" s="46" t="str">
        <f>IF($K503="","",RANK($K503,$K$6:$K$1005,1))</f>
        <v/>
      </c>
    </row>
    <row r="504" ht="15" customHeight="1" s="41">
      <c r="J504" s="57" t="b">
        <f>IF(액션아이템!$C501="",FALSE(),OR(액션아이템!$F501="진행중",액션아이템!$F501="보류"))</f>
        <v>0</v>
      </c>
      <c r="K504" s="46" t="str">
        <f>IF($J504=FALSE(),"",IF(액션아이템!$E501="",99999999,액션아이템!$E501)*100+ROW()/1000)</f>
        <v/>
      </c>
      <c r="L504" s="46" t="str">
        <f>IF($K504="","",RANK($K504,$K$6:$K$1005,1))</f>
        <v/>
      </c>
    </row>
    <row r="505" ht="15" customHeight="1" s="41">
      <c r="J505" s="57" t="b">
        <f>IF(액션아이템!$C502="",FALSE(),OR(액션아이템!$F502="진행중",액션아이템!$F502="보류"))</f>
        <v>0</v>
      </c>
      <c r="K505" s="46" t="str">
        <f>IF($J505=FALSE(),"",IF(액션아이템!$E502="",99999999,액션아이템!$E502)*100+ROW()/1000)</f>
        <v/>
      </c>
      <c r="L505" s="46" t="str">
        <f>IF($K505="","",RANK($K505,$K$6:$K$1005,1))</f>
        <v/>
      </c>
    </row>
    <row r="506" ht="15" customHeight="1" s="41">
      <c r="J506" s="57" t="b">
        <f>IF(액션아이템!$C503="",FALSE(),OR(액션아이템!$F503="진행중",액션아이템!$F503="보류"))</f>
        <v>0</v>
      </c>
      <c r="K506" s="46" t="str">
        <f>IF($J506=FALSE(),"",IF(액션아이템!$E503="",99999999,액션아이템!$E503)*100+ROW()/1000)</f>
        <v/>
      </c>
      <c r="L506" s="46" t="str">
        <f>IF($K506="","",RANK($K506,$K$6:$K$1005,1))</f>
        <v/>
      </c>
    </row>
    <row r="507" ht="15" customHeight="1" s="41">
      <c r="J507" s="57" t="b">
        <f>IF(액션아이템!$C504="",FALSE(),OR(액션아이템!$F504="진행중",액션아이템!$F504="보류"))</f>
        <v>0</v>
      </c>
      <c r="K507" s="46" t="str">
        <f>IF($J507=FALSE(),"",IF(액션아이템!$E504="",99999999,액션아이템!$E504)*100+ROW()/1000)</f>
        <v/>
      </c>
      <c r="L507" s="46" t="str">
        <f>IF($K507="","",RANK($K507,$K$6:$K$1005,1))</f>
        <v/>
      </c>
    </row>
    <row r="508" ht="15" customHeight="1" s="41">
      <c r="J508" s="57" t="b">
        <f>IF(액션아이템!$C505="",FALSE(),OR(액션아이템!$F505="진행중",액션아이템!$F505="보류"))</f>
        <v>0</v>
      </c>
      <c r="K508" s="46" t="str">
        <f>IF($J508=FALSE(),"",IF(액션아이템!$E505="",99999999,액션아이템!$E505)*100+ROW()/1000)</f>
        <v/>
      </c>
      <c r="L508" s="46" t="str">
        <f>IF($K508="","",RANK($K508,$K$6:$K$1005,1))</f>
        <v/>
      </c>
    </row>
    <row r="509" ht="15" customHeight="1" s="41">
      <c r="J509" s="57" t="b">
        <f>IF(액션아이템!$C506="",FALSE(),OR(액션아이템!$F506="진행중",액션아이템!$F506="보류"))</f>
        <v>0</v>
      </c>
      <c r="K509" s="46" t="str">
        <f>IF($J509=FALSE(),"",IF(액션아이템!$E506="",99999999,액션아이템!$E506)*100+ROW()/1000)</f>
        <v/>
      </c>
      <c r="L509" s="46" t="str">
        <f>IF($K509="","",RANK($K509,$K$6:$K$1005,1))</f>
        <v/>
      </c>
    </row>
    <row r="510" ht="15" customHeight="1" s="41">
      <c r="J510" s="57" t="b">
        <f>IF(액션아이템!$C507="",FALSE(),OR(액션아이템!$F507="진행중",액션아이템!$F507="보류"))</f>
        <v>0</v>
      </c>
      <c r="K510" s="46" t="str">
        <f>IF($J510=FALSE(),"",IF(액션아이템!$E507="",99999999,액션아이템!$E507)*100+ROW()/1000)</f>
        <v/>
      </c>
      <c r="L510" s="46" t="str">
        <f>IF($K510="","",RANK($K510,$K$6:$K$1005,1))</f>
        <v/>
      </c>
    </row>
    <row r="511" ht="15" customHeight="1" s="41">
      <c r="J511" s="57" t="b">
        <f>IF(액션아이템!$C508="",FALSE(),OR(액션아이템!$F508="진행중",액션아이템!$F508="보류"))</f>
        <v>0</v>
      </c>
      <c r="K511" s="46" t="str">
        <f>IF($J511=FALSE(),"",IF(액션아이템!$E508="",99999999,액션아이템!$E508)*100+ROW()/1000)</f>
        <v/>
      </c>
      <c r="L511" s="46" t="str">
        <f>IF($K511="","",RANK($K511,$K$6:$K$1005,1))</f>
        <v/>
      </c>
    </row>
    <row r="512" ht="15" customHeight="1" s="41">
      <c r="J512" s="57" t="b">
        <f>IF(액션아이템!$C509="",FALSE(),OR(액션아이템!$F509="진행중",액션아이템!$F509="보류"))</f>
        <v>0</v>
      </c>
      <c r="K512" s="46" t="str">
        <f>IF($J512=FALSE(),"",IF(액션아이템!$E509="",99999999,액션아이템!$E509)*100+ROW()/1000)</f>
        <v/>
      </c>
      <c r="L512" s="46" t="str">
        <f>IF($K512="","",RANK($K512,$K$6:$K$1005,1))</f>
        <v/>
      </c>
    </row>
    <row r="513" ht="15" customHeight="1" s="41">
      <c r="J513" s="57" t="b">
        <f>IF(액션아이템!$C510="",FALSE(),OR(액션아이템!$F510="진행중",액션아이템!$F510="보류"))</f>
        <v>0</v>
      </c>
      <c r="K513" s="46" t="str">
        <f>IF($J513=FALSE(),"",IF(액션아이템!$E510="",99999999,액션아이템!$E510)*100+ROW()/1000)</f>
        <v/>
      </c>
      <c r="L513" s="46" t="str">
        <f>IF($K513="","",RANK($K513,$K$6:$K$1005,1))</f>
        <v/>
      </c>
    </row>
    <row r="514" ht="15" customHeight="1" s="41">
      <c r="J514" s="57" t="b">
        <f>IF(액션아이템!$C511="",FALSE(),OR(액션아이템!$F511="진행중",액션아이템!$F511="보류"))</f>
        <v>0</v>
      </c>
      <c r="K514" s="46" t="str">
        <f>IF($J514=FALSE(),"",IF(액션아이템!$E511="",99999999,액션아이템!$E511)*100+ROW()/1000)</f>
        <v/>
      </c>
      <c r="L514" s="46" t="str">
        <f>IF($K514="","",RANK($K514,$K$6:$K$1005,1))</f>
        <v/>
      </c>
    </row>
    <row r="515" ht="15" customHeight="1" s="41">
      <c r="J515" s="57" t="b">
        <f>IF(액션아이템!$C512="",FALSE(),OR(액션아이템!$F512="진행중",액션아이템!$F512="보류"))</f>
        <v>0</v>
      </c>
      <c r="K515" s="46" t="str">
        <f>IF($J515=FALSE(),"",IF(액션아이템!$E512="",99999999,액션아이템!$E512)*100+ROW()/1000)</f>
        <v/>
      </c>
      <c r="L515" s="46" t="str">
        <f>IF($K515="","",RANK($K515,$K$6:$K$1005,1))</f>
        <v/>
      </c>
    </row>
    <row r="516" ht="15" customHeight="1" s="41">
      <c r="J516" s="57" t="b">
        <f>IF(액션아이템!$C513="",FALSE(),OR(액션아이템!$F513="진행중",액션아이템!$F513="보류"))</f>
        <v>0</v>
      </c>
      <c r="K516" s="46" t="str">
        <f>IF($J516=FALSE(),"",IF(액션아이템!$E513="",99999999,액션아이템!$E513)*100+ROW()/1000)</f>
        <v/>
      </c>
      <c r="L516" s="46" t="str">
        <f>IF($K516="","",RANK($K516,$K$6:$K$1005,1))</f>
        <v/>
      </c>
    </row>
    <row r="517" ht="15" customHeight="1" s="41">
      <c r="J517" s="57" t="b">
        <f>IF(액션아이템!$C514="",FALSE(),OR(액션아이템!$F514="진행중",액션아이템!$F514="보류"))</f>
        <v>0</v>
      </c>
      <c r="K517" s="46" t="str">
        <f>IF($J517=FALSE(),"",IF(액션아이템!$E514="",99999999,액션아이템!$E514)*100+ROW()/1000)</f>
        <v/>
      </c>
      <c r="L517" s="46" t="str">
        <f>IF($K517="","",RANK($K517,$K$6:$K$1005,1))</f>
        <v/>
      </c>
    </row>
    <row r="518" ht="15" customHeight="1" s="41">
      <c r="J518" s="57" t="b">
        <f>IF(액션아이템!$C515="",FALSE(),OR(액션아이템!$F515="진행중",액션아이템!$F515="보류"))</f>
        <v>0</v>
      </c>
      <c r="K518" s="46" t="str">
        <f>IF($J518=FALSE(),"",IF(액션아이템!$E515="",99999999,액션아이템!$E515)*100+ROW()/1000)</f>
        <v/>
      </c>
      <c r="L518" s="46" t="str">
        <f>IF($K518="","",RANK($K518,$K$6:$K$1005,1))</f>
        <v/>
      </c>
    </row>
    <row r="519" ht="15" customHeight="1" s="41">
      <c r="J519" s="57" t="b">
        <f>IF(액션아이템!$C516="",FALSE(),OR(액션아이템!$F516="진행중",액션아이템!$F516="보류"))</f>
        <v>0</v>
      </c>
      <c r="K519" s="46" t="str">
        <f>IF($J519=FALSE(),"",IF(액션아이템!$E516="",99999999,액션아이템!$E516)*100+ROW()/1000)</f>
        <v/>
      </c>
      <c r="L519" s="46" t="str">
        <f>IF($K519="","",RANK($K519,$K$6:$K$1005,1))</f>
        <v/>
      </c>
    </row>
    <row r="520" ht="15" customHeight="1" s="41">
      <c r="J520" s="57" t="b">
        <f>IF(액션아이템!$C517="",FALSE(),OR(액션아이템!$F517="진행중",액션아이템!$F517="보류"))</f>
        <v>0</v>
      </c>
      <c r="K520" s="46" t="str">
        <f>IF($J520=FALSE(),"",IF(액션아이템!$E517="",99999999,액션아이템!$E517)*100+ROW()/1000)</f>
        <v/>
      </c>
      <c r="L520" s="46" t="str">
        <f>IF($K520="","",RANK($K520,$K$6:$K$1005,1))</f>
        <v/>
      </c>
    </row>
    <row r="521" ht="15" customHeight="1" s="41">
      <c r="J521" s="57" t="b">
        <f>IF(액션아이템!$C518="",FALSE(),OR(액션아이템!$F518="진행중",액션아이템!$F518="보류"))</f>
        <v>0</v>
      </c>
      <c r="K521" s="46" t="str">
        <f>IF($J521=FALSE(),"",IF(액션아이템!$E518="",99999999,액션아이템!$E518)*100+ROW()/1000)</f>
        <v/>
      </c>
      <c r="L521" s="46" t="str">
        <f>IF($K521="","",RANK($K521,$K$6:$K$1005,1))</f>
        <v/>
      </c>
    </row>
    <row r="522" ht="15" customHeight="1" s="41">
      <c r="J522" s="57" t="b">
        <f>IF(액션아이템!$C519="",FALSE(),OR(액션아이템!$F519="진행중",액션아이템!$F519="보류"))</f>
        <v>0</v>
      </c>
      <c r="K522" s="46" t="str">
        <f>IF($J522=FALSE(),"",IF(액션아이템!$E519="",99999999,액션아이템!$E519)*100+ROW()/1000)</f>
        <v/>
      </c>
      <c r="L522" s="46" t="str">
        <f>IF($K522="","",RANK($K522,$K$6:$K$1005,1))</f>
        <v/>
      </c>
    </row>
    <row r="523" ht="15" customHeight="1" s="41">
      <c r="J523" s="57" t="b">
        <f>IF(액션아이템!$C520="",FALSE(),OR(액션아이템!$F520="진행중",액션아이템!$F520="보류"))</f>
        <v>0</v>
      </c>
      <c r="K523" s="46" t="str">
        <f>IF($J523=FALSE(),"",IF(액션아이템!$E520="",99999999,액션아이템!$E520)*100+ROW()/1000)</f>
        <v/>
      </c>
      <c r="L523" s="46" t="str">
        <f>IF($K523="","",RANK($K523,$K$6:$K$1005,1))</f>
        <v/>
      </c>
    </row>
    <row r="524" ht="15" customHeight="1" s="41">
      <c r="J524" s="57" t="b">
        <f>IF(액션아이템!$C521="",FALSE(),OR(액션아이템!$F521="진행중",액션아이템!$F521="보류"))</f>
        <v>0</v>
      </c>
      <c r="K524" s="46" t="str">
        <f>IF($J524=FALSE(),"",IF(액션아이템!$E521="",99999999,액션아이템!$E521)*100+ROW()/1000)</f>
        <v/>
      </c>
      <c r="L524" s="46" t="str">
        <f>IF($K524="","",RANK($K524,$K$6:$K$1005,1))</f>
        <v/>
      </c>
    </row>
    <row r="525" ht="15" customHeight="1" s="41">
      <c r="J525" s="57" t="b">
        <f>IF(액션아이템!$C522="",FALSE(),OR(액션아이템!$F522="진행중",액션아이템!$F522="보류"))</f>
        <v>0</v>
      </c>
      <c r="K525" s="46" t="str">
        <f>IF($J525=FALSE(),"",IF(액션아이템!$E522="",99999999,액션아이템!$E522)*100+ROW()/1000)</f>
        <v/>
      </c>
      <c r="L525" s="46" t="str">
        <f>IF($K525="","",RANK($K525,$K$6:$K$1005,1))</f>
        <v/>
      </c>
    </row>
    <row r="526" ht="15" customHeight="1" s="41">
      <c r="J526" s="57" t="b">
        <f>IF(액션아이템!$C523="",FALSE(),OR(액션아이템!$F523="진행중",액션아이템!$F523="보류"))</f>
        <v>0</v>
      </c>
      <c r="K526" s="46" t="str">
        <f>IF($J526=FALSE(),"",IF(액션아이템!$E523="",99999999,액션아이템!$E523)*100+ROW()/1000)</f>
        <v/>
      </c>
      <c r="L526" s="46" t="str">
        <f>IF($K526="","",RANK($K526,$K$6:$K$1005,1))</f>
        <v/>
      </c>
    </row>
    <row r="527" ht="15" customHeight="1" s="41">
      <c r="J527" s="57" t="b">
        <f>IF(액션아이템!$C524="",FALSE(),OR(액션아이템!$F524="진행중",액션아이템!$F524="보류"))</f>
        <v>0</v>
      </c>
      <c r="K527" s="46" t="str">
        <f>IF($J527=FALSE(),"",IF(액션아이템!$E524="",99999999,액션아이템!$E524)*100+ROW()/1000)</f>
        <v/>
      </c>
      <c r="L527" s="46" t="str">
        <f>IF($K527="","",RANK($K527,$K$6:$K$1005,1))</f>
        <v/>
      </c>
    </row>
    <row r="528" ht="15" customHeight="1" s="41">
      <c r="J528" s="57" t="b">
        <f>IF(액션아이템!$C525="",FALSE(),OR(액션아이템!$F525="진행중",액션아이템!$F525="보류"))</f>
        <v>0</v>
      </c>
      <c r="K528" s="46" t="str">
        <f>IF($J528=FALSE(),"",IF(액션아이템!$E525="",99999999,액션아이템!$E525)*100+ROW()/1000)</f>
        <v/>
      </c>
      <c r="L528" s="46" t="str">
        <f>IF($K528="","",RANK($K528,$K$6:$K$1005,1))</f>
        <v/>
      </c>
    </row>
    <row r="529" ht="15" customHeight="1" s="41">
      <c r="J529" s="57" t="b">
        <f>IF(액션아이템!$C526="",FALSE(),OR(액션아이템!$F526="진행중",액션아이템!$F526="보류"))</f>
        <v>0</v>
      </c>
      <c r="K529" s="46" t="str">
        <f>IF($J529=FALSE(),"",IF(액션아이템!$E526="",99999999,액션아이템!$E526)*100+ROW()/1000)</f>
        <v/>
      </c>
      <c r="L529" s="46" t="str">
        <f>IF($K529="","",RANK($K529,$K$6:$K$1005,1))</f>
        <v/>
      </c>
    </row>
    <row r="530" ht="15" customHeight="1" s="41">
      <c r="J530" s="57" t="b">
        <f>IF(액션아이템!$C527="",FALSE(),OR(액션아이템!$F527="진행중",액션아이템!$F527="보류"))</f>
        <v>0</v>
      </c>
      <c r="K530" s="46" t="str">
        <f>IF($J530=FALSE(),"",IF(액션아이템!$E527="",99999999,액션아이템!$E527)*100+ROW()/1000)</f>
        <v/>
      </c>
      <c r="L530" s="46" t="str">
        <f>IF($K530="","",RANK($K530,$K$6:$K$1005,1))</f>
        <v/>
      </c>
    </row>
    <row r="531" ht="15" customHeight="1" s="41">
      <c r="J531" s="57" t="b">
        <f>IF(액션아이템!$C528="",FALSE(),OR(액션아이템!$F528="진행중",액션아이템!$F528="보류"))</f>
        <v>0</v>
      </c>
      <c r="K531" s="46" t="str">
        <f>IF($J531=FALSE(),"",IF(액션아이템!$E528="",99999999,액션아이템!$E528)*100+ROW()/1000)</f>
        <v/>
      </c>
      <c r="L531" s="46" t="str">
        <f>IF($K531="","",RANK($K531,$K$6:$K$1005,1))</f>
        <v/>
      </c>
    </row>
    <row r="532" ht="15" customHeight="1" s="41">
      <c r="J532" s="57" t="b">
        <f>IF(액션아이템!$C529="",FALSE(),OR(액션아이템!$F529="진행중",액션아이템!$F529="보류"))</f>
        <v>0</v>
      </c>
      <c r="K532" s="46" t="str">
        <f>IF($J532=FALSE(),"",IF(액션아이템!$E529="",99999999,액션아이템!$E529)*100+ROW()/1000)</f>
        <v/>
      </c>
      <c r="L532" s="46" t="str">
        <f>IF($K532="","",RANK($K532,$K$6:$K$1005,1))</f>
        <v/>
      </c>
    </row>
    <row r="533" ht="15" customHeight="1" s="41">
      <c r="J533" s="57" t="b">
        <f>IF(액션아이템!$C530="",FALSE(),OR(액션아이템!$F530="진행중",액션아이템!$F530="보류"))</f>
        <v>0</v>
      </c>
      <c r="K533" s="46" t="str">
        <f>IF($J533=FALSE(),"",IF(액션아이템!$E530="",99999999,액션아이템!$E530)*100+ROW()/1000)</f>
        <v/>
      </c>
      <c r="L533" s="46" t="str">
        <f>IF($K533="","",RANK($K533,$K$6:$K$1005,1))</f>
        <v/>
      </c>
    </row>
    <row r="534" ht="15" customHeight="1" s="41">
      <c r="J534" s="57" t="b">
        <f>IF(액션아이템!$C531="",FALSE(),OR(액션아이템!$F531="진행중",액션아이템!$F531="보류"))</f>
        <v>0</v>
      </c>
      <c r="K534" s="46" t="str">
        <f>IF($J534=FALSE(),"",IF(액션아이템!$E531="",99999999,액션아이템!$E531)*100+ROW()/1000)</f>
        <v/>
      </c>
      <c r="L534" s="46" t="str">
        <f>IF($K534="","",RANK($K534,$K$6:$K$1005,1))</f>
        <v/>
      </c>
    </row>
    <row r="535" ht="15" customHeight="1" s="41">
      <c r="J535" s="57" t="b">
        <f>IF(액션아이템!$C532="",FALSE(),OR(액션아이템!$F532="진행중",액션아이템!$F532="보류"))</f>
        <v>0</v>
      </c>
      <c r="K535" s="46" t="str">
        <f>IF($J535=FALSE(),"",IF(액션아이템!$E532="",99999999,액션아이템!$E532)*100+ROW()/1000)</f>
        <v/>
      </c>
      <c r="L535" s="46" t="str">
        <f>IF($K535="","",RANK($K535,$K$6:$K$1005,1))</f>
        <v/>
      </c>
    </row>
    <row r="536" ht="15" customHeight="1" s="41">
      <c r="J536" s="57" t="b">
        <f>IF(액션아이템!$C533="",FALSE(),OR(액션아이템!$F533="진행중",액션아이템!$F533="보류"))</f>
        <v>0</v>
      </c>
      <c r="K536" s="46" t="str">
        <f>IF($J536=FALSE(),"",IF(액션아이템!$E533="",99999999,액션아이템!$E533)*100+ROW()/1000)</f>
        <v/>
      </c>
      <c r="L536" s="46" t="str">
        <f>IF($K536="","",RANK($K536,$K$6:$K$1005,1))</f>
        <v/>
      </c>
    </row>
    <row r="537" ht="15" customHeight="1" s="41">
      <c r="J537" s="57" t="b">
        <f>IF(액션아이템!$C534="",FALSE(),OR(액션아이템!$F534="진행중",액션아이템!$F534="보류"))</f>
        <v>0</v>
      </c>
      <c r="K537" s="46" t="str">
        <f>IF($J537=FALSE(),"",IF(액션아이템!$E534="",99999999,액션아이템!$E534)*100+ROW()/1000)</f>
        <v/>
      </c>
      <c r="L537" s="46" t="str">
        <f>IF($K537="","",RANK($K537,$K$6:$K$1005,1))</f>
        <v/>
      </c>
    </row>
    <row r="538" ht="15" customHeight="1" s="41">
      <c r="J538" s="57" t="b">
        <f>IF(액션아이템!$C535="",FALSE(),OR(액션아이템!$F535="진행중",액션아이템!$F535="보류"))</f>
        <v>0</v>
      </c>
      <c r="K538" s="46" t="str">
        <f>IF($J538=FALSE(),"",IF(액션아이템!$E535="",99999999,액션아이템!$E535)*100+ROW()/1000)</f>
        <v/>
      </c>
      <c r="L538" s="46" t="str">
        <f>IF($K538="","",RANK($K538,$K$6:$K$1005,1))</f>
        <v/>
      </c>
    </row>
    <row r="539" ht="15" customHeight="1" s="41">
      <c r="J539" s="57" t="b">
        <f>IF(액션아이템!$C536="",FALSE(),OR(액션아이템!$F536="진행중",액션아이템!$F536="보류"))</f>
        <v>0</v>
      </c>
      <c r="K539" s="46" t="str">
        <f>IF($J539=FALSE(),"",IF(액션아이템!$E536="",99999999,액션아이템!$E536)*100+ROW()/1000)</f>
        <v/>
      </c>
      <c r="L539" s="46" t="str">
        <f>IF($K539="","",RANK($K539,$K$6:$K$1005,1))</f>
        <v/>
      </c>
    </row>
    <row r="540" ht="15" customHeight="1" s="41">
      <c r="J540" s="57" t="b">
        <f>IF(액션아이템!$C537="",FALSE(),OR(액션아이템!$F537="진행중",액션아이템!$F537="보류"))</f>
        <v>0</v>
      </c>
      <c r="K540" s="46" t="str">
        <f>IF($J540=FALSE(),"",IF(액션아이템!$E537="",99999999,액션아이템!$E537)*100+ROW()/1000)</f>
        <v/>
      </c>
      <c r="L540" s="46" t="str">
        <f>IF($K540="","",RANK($K540,$K$6:$K$1005,1))</f>
        <v/>
      </c>
    </row>
    <row r="541" ht="15" customHeight="1" s="41">
      <c r="J541" s="57" t="b">
        <f>IF(액션아이템!$C538="",FALSE(),OR(액션아이템!$F538="진행중",액션아이템!$F538="보류"))</f>
        <v>0</v>
      </c>
      <c r="K541" s="46" t="str">
        <f>IF($J541=FALSE(),"",IF(액션아이템!$E538="",99999999,액션아이템!$E538)*100+ROW()/1000)</f>
        <v/>
      </c>
      <c r="L541" s="46" t="str">
        <f>IF($K541="","",RANK($K541,$K$6:$K$1005,1))</f>
        <v/>
      </c>
    </row>
    <row r="542" ht="15" customHeight="1" s="41">
      <c r="J542" s="57" t="b">
        <f>IF(액션아이템!$C539="",FALSE(),OR(액션아이템!$F539="진행중",액션아이템!$F539="보류"))</f>
        <v>0</v>
      </c>
      <c r="K542" s="46" t="str">
        <f>IF($J542=FALSE(),"",IF(액션아이템!$E539="",99999999,액션아이템!$E539)*100+ROW()/1000)</f>
        <v/>
      </c>
      <c r="L542" s="46" t="str">
        <f>IF($K542="","",RANK($K542,$K$6:$K$1005,1))</f>
        <v/>
      </c>
    </row>
    <row r="543" ht="15" customHeight="1" s="41">
      <c r="J543" s="57" t="b">
        <f>IF(액션아이템!$C540="",FALSE(),OR(액션아이템!$F540="진행중",액션아이템!$F540="보류"))</f>
        <v>0</v>
      </c>
      <c r="K543" s="46" t="str">
        <f>IF($J543=FALSE(),"",IF(액션아이템!$E540="",99999999,액션아이템!$E540)*100+ROW()/1000)</f>
        <v/>
      </c>
      <c r="L543" s="46" t="str">
        <f>IF($K543="","",RANK($K543,$K$6:$K$1005,1))</f>
        <v/>
      </c>
    </row>
    <row r="544" ht="15" customHeight="1" s="41">
      <c r="J544" s="57" t="b">
        <f>IF(액션아이템!$C541="",FALSE(),OR(액션아이템!$F541="진행중",액션아이템!$F541="보류"))</f>
        <v>0</v>
      </c>
      <c r="K544" s="46" t="str">
        <f>IF($J544=FALSE(),"",IF(액션아이템!$E541="",99999999,액션아이템!$E541)*100+ROW()/1000)</f>
        <v/>
      </c>
      <c r="L544" s="46" t="str">
        <f>IF($K544="","",RANK($K544,$K$6:$K$1005,1))</f>
        <v/>
      </c>
    </row>
    <row r="545" ht="15" customHeight="1" s="41">
      <c r="J545" s="57" t="b">
        <f>IF(액션아이템!$C542="",FALSE(),OR(액션아이템!$F542="진행중",액션아이템!$F542="보류"))</f>
        <v>0</v>
      </c>
      <c r="K545" s="46" t="str">
        <f>IF($J545=FALSE(),"",IF(액션아이템!$E542="",99999999,액션아이템!$E542)*100+ROW()/1000)</f>
        <v/>
      </c>
      <c r="L545" s="46" t="str">
        <f>IF($K545="","",RANK($K545,$K$6:$K$1005,1))</f>
        <v/>
      </c>
    </row>
    <row r="546" ht="15" customHeight="1" s="41">
      <c r="J546" s="57" t="b">
        <f>IF(액션아이템!$C543="",FALSE(),OR(액션아이템!$F543="진행중",액션아이템!$F543="보류"))</f>
        <v>0</v>
      </c>
      <c r="K546" s="46" t="str">
        <f>IF($J546=FALSE(),"",IF(액션아이템!$E543="",99999999,액션아이템!$E543)*100+ROW()/1000)</f>
        <v/>
      </c>
      <c r="L546" s="46" t="str">
        <f>IF($K546="","",RANK($K546,$K$6:$K$1005,1))</f>
        <v/>
      </c>
    </row>
    <row r="547" ht="15" customHeight="1" s="41">
      <c r="J547" s="57" t="b">
        <f>IF(액션아이템!$C544="",FALSE(),OR(액션아이템!$F544="진행중",액션아이템!$F544="보류"))</f>
        <v>0</v>
      </c>
      <c r="K547" s="46" t="str">
        <f>IF($J547=FALSE(),"",IF(액션아이템!$E544="",99999999,액션아이템!$E544)*100+ROW()/1000)</f>
        <v/>
      </c>
      <c r="L547" s="46" t="str">
        <f>IF($K547="","",RANK($K547,$K$6:$K$1005,1))</f>
        <v/>
      </c>
    </row>
    <row r="548" ht="15" customHeight="1" s="41">
      <c r="J548" s="57" t="b">
        <f>IF(액션아이템!$C545="",FALSE(),OR(액션아이템!$F545="진행중",액션아이템!$F545="보류"))</f>
        <v>0</v>
      </c>
      <c r="K548" s="46" t="str">
        <f>IF($J548=FALSE(),"",IF(액션아이템!$E545="",99999999,액션아이템!$E545)*100+ROW()/1000)</f>
        <v/>
      </c>
      <c r="L548" s="46" t="str">
        <f>IF($K548="","",RANK($K548,$K$6:$K$1005,1))</f>
        <v/>
      </c>
    </row>
    <row r="549" ht="15" customHeight="1" s="41">
      <c r="J549" s="57" t="b">
        <f>IF(액션아이템!$C546="",FALSE(),OR(액션아이템!$F546="진행중",액션아이템!$F546="보류"))</f>
        <v>0</v>
      </c>
      <c r="K549" s="46" t="str">
        <f>IF($J549=FALSE(),"",IF(액션아이템!$E546="",99999999,액션아이템!$E546)*100+ROW()/1000)</f>
        <v/>
      </c>
      <c r="L549" s="46" t="str">
        <f>IF($K549="","",RANK($K549,$K$6:$K$1005,1))</f>
        <v/>
      </c>
    </row>
    <row r="550" ht="15" customHeight="1" s="41">
      <c r="J550" s="57" t="b">
        <f>IF(액션아이템!$C547="",FALSE(),OR(액션아이템!$F547="진행중",액션아이템!$F547="보류"))</f>
        <v>0</v>
      </c>
      <c r="K550" s="46" t="str">
        <f>IF($J550=FALSE(),"",IF(액션아이템!$E547="",99999999,액션아이템!$E547)*100+ROW()/1000)</f>
        <v/>
      </c>
      <c r="L550" s="46" t="str">
        <f>IF($K550="","",RANK($K550,$K$6:$K$1005,1))</f>
        <v/>
      </c>
    </row>
    <row r="551" ht="15" customHeight="1" s="41">
      <c r="J551" s="57" t="b">
        <f>IF(액션아이템!$C548="",FALSE(),OR(액션아이템!$F548="진행중",액션아이템!$F548="보류"))</f>
        <v>0</v>
      </c>
      <c r="K551" s="46" t="str">
        <f>IF($J551=FALSE(),"",IF(액션아이템!$E548="",99999999,액션아이템!$E548)*100+ROW()/1000)</f>
        <v/>
      </c>
      <c r="L551" s="46" t="str">
        <f>IF($K551="","",RANK($K551,$K$6:$K$1005,1))</f>
        <v/>
      </c>
    </row>
    <row r="552" ht="15" customHeight="1" s="41">
      <c r="J552" s="57" t="b">
        <f>IF(액션아이템!$C549="",FALSE(),OR(액션아이템!$F549="진행중",액션아이템!$F549="보류"))</f>
        <v>0</v>
      </c>
      <c r="K552" s="46" t="str">
        <f>IF($J552=FALSE(),"",IF(액션아이템!$E549="",99999999,액션아이템!$E549)*100+ROW()/1000)</f>
        <v/>
      </c>
      <c r="L552" s="46" t="str">
        <f>IF($K552="","",RANK($K552,$K$6:$K$1005,1))</f>
        <v/>
      </c>
    </row>
    <row r="553" ht="15" customHeight="1" s="41">
      <c r="J553" s="57" t="b">
        <f>IF(액션아이템!$C550="",FALSE(),OR(액션아이템!$F550="진행중",액션아이템!$F550="보류"))</f>
        <v>0</v>
      </c>
      <c r="K553" s="46" t="str">
        <f>IF($J553=FALSE(),"",IF(액션아이템!$E550="",99999999,액션아이템!$E550)*100+ROW()/1000)</f>
        <v/>
      </c>
      <c r="L553" s="46" t="str">
        <f>IF($K553="","",RANK($K553,$K$6:$K$1005,1))</f>
        <v/>
      </c>
    </row>
    <row r="554" ht="15" customHeight="1" s="41">
      <c r="J554" s="57" t="b">
        <f>IF(액션아이템!$C551="",FALSE(),OR(액션아이템!$F551="진행중",액션아이템!$F551="보류"))</f>
        <v>0</v>
      </c>
      <c r="K554" s="46" t="str">
        <f>IF($J554=FALSE(),"",IF(액션아이템!$E551="",99999999,액션아이템!$E551)*100+ROW()/1000)</f>
        <v/>
      </c>
      <c r="L554" s="46" t="str">
        <f>IF($K554="","",RANK($K554,$K$6:$K$1005,1))</f>
        <v/>
      </c>
    </row>
    <row r="555" ht="15" customHeight="1" s="41">
      <c r="J555" s="57" t="b">
        <f>IF(액션아이템!$C552="",FALSE(),OR(액션아이템!$F552="진행중",액션아이템!$F552="보류"))</f>
        <v>0</v>
      </c>
      <c r="K555" s="46" t="str">
        <f>IF($J555=FALSE(),"",IF(액션아이템!$E552="",99999999,액션아이템!$E552)*100+ROW()/1000)</f>
        <v/>
      </c>
      <c r="L555" s="46" t="str">
        <f>IF($K555="","",RANK($K555,$K$6:$K$1005,1))</f>
        <v/>
      </c>
    </row>
    <row r="556" ht="15" customHeight="1" s="41">
      <c r="J556" s="57" t="b">
        <f>IF(액션아이템!$C553="",FALSE(),OR(액션아이템!$F553="진행중",액션아이템!$F553="보류"))</f>
        <v>0</v>
      </c>
      <c r="K556" s="46" t="str">
        <f>IF($J556=FALSE(),"",IF(액션아이템!$E553="",99999999,액션아이템!$E553)*100+ROW()/1000)</f>
        <v/>
      </c>
      <c r="L556" s="46" t="str">
        <f>IF($K556="","",RANK($K556,$K$6:$K$1005,1))</f>
        <v/>
      </c>
    </row>
    <row r="557" ht="15" customHeight="1" s="41">
      <c r="J557" s="57" t="b">
        <f>IF(액션아이템!$C554="",FALSE(),OR(액션아이템!$F554="진행중",액션아이템!$F554="보류"))</f>
        <v>0</v>
      </c>
      <c r="K557" s="46" t="str">
        <f>IF($J557=FALSE(),"",IF(액션아이템!$E554="",99999999,액션아이템!$E554)*100+ROW()/1000)</f>
        <v/>
      </c>
      <c r="L557" s="46" t="str">
        <f>IF($K557="","",RANK($K557,$K$6:$K$1005,1))</f>
        <v/>
      </c>
    </row>
    <row r="558" ht="15" customHeight="1" s="41">
      <c r="J558" s="57" t="b">
        <f>IF(액션아이템!$C555="",FALSE(),OR(액션아이템!$F555="진행중",액션아이템!$F555="보류"))</f>
        <v>0</v>
      </c>
      <c r="K558" s="46" t="str">
        <f>IF($J558=FALSE(),"",IF(액션아이템!$E555="",99999999,액션아이템!$E555)*100+ROW()/1000)</f>
        <v/>
      </c>
      <c r="L558" s="46" t="str">
        <f>IF($K558="","",RANK($K558,$K$6:$K$1005,1))</f>
        <v/>
      </c>
    </row>
    <row r="559" ht="15" customHeight="1" s="41">
      <c r="J559" s="57" t="b">
        <f>IF(액션아이템!$C556="",FALSE(),OR(액션아이템!$F556="진행중",액션아이템!$F556="보류"))</f>
        <v>0</v>
      </c>
      <c r="K559" s="46" t="str">
        <f>IF($J559=FALSE(),"",IF(액션아이템!$E556="",99999999,액션아이템!$E556)*100+ROW()/1000)</f>
        <v/>
      </c>
      <c r="L559" s="46" t="str">
        <f>IF($K559="","",RANK($K559,$K$6:$K$1005,1))</f>
        <v/>
      </c>
    </row>
    <row r="560" ht="15" customHeight="1" s="41">
      <c r="J560" s="57" t="b">
        <f>IF(액션아이템!$C557="",FALSE(),OR(액션아이템!$F557="진행중",액션아이템!$F557="보류"))</f>
        <v>0</v>
      </c>
      <c r="K560" s="46" t="str">
        <f>IF($J560=FALSE(),"",IF(액션아이템!$E557="",99999999,액션아이템!$E557)*100+ROW()/1000)</f>
        <v/>
      </c>
      <c r="L560" s="46" t="str">
        <f>IF($K560="","",RANK($K560,$K$6:$K$1005,1))</f>
        <v/>
      </c>
    </row>
    <row r="561" ht="15" customHeight="1" s="41">
      <c r="J561" s="57" t="b">
        <f>IF(액션아이템!$C558="",FALSE(),OR(액션아이템!$F558="진행중",액션아이템!$F558="보류"))</f>
        <v>0</v>
      </c>
      <c r="K561" s="46" t="str">
        <f>IF($J561=FALSE(),"",IF(액션아이템!$E558="",99999999,액션아이템!$E558)*100+ROW()/1000)</f>
        <v/>
      </c>
      <c r="L561" s="46" t="str">
        <f>IF($K561="","",RANK($K561,$K$6:$K$1005,1))</f>
        <v/>
      </c>
    </row>
    <row r="562" ht="15" customHeight="1" s="41">
      <c r="J562" s="57" t="b">
        <f>IF(액션아이템!$C559="",FALSE(),OR(액션아이템!$F559="진행중",액션아이템!$F559="보류"))</f>
        <v>0</v>
      </c>
      <c r="K562" s="46" t="str">
        <f>IF($J562=FALSE(),"",IF(액션아이템!$E559="",99999999,액션아이템!$E559)*100+ROW()/1000)</f>
        <v/>
      </c>
      <c r="L562" s="46" t="str">
        <f>IF($K562="","",RANK($K562,$K$6:$K$1005,1))</f>
        <v/>
      </c>
    </row>
    <row r="563" ht="15" customHeight="1" s="41">
      <c r="J563" s="57" t="b">
        <f>IF(액션아이템!$C560="",FALSE(),OR(액션아이템!$F560="진행중",액션아이템!$F560="보류"))</f>
        <v>0</v>
      </c>
      <c r="K563" s="46" t="str">
        <f>IF($J563=FALSE(),"",IF(액션아이템!$E560="",99999999,액션아이템!$E560)*100+ROW()/1000)</f>
        <v/>
      </c>
      <c r="L563" s="46" t="str">
        <f>IF($K563="","",RANK($K563,$K$6:$K$1005,1))</f>
        <v/>
      </c>
    </row>
    <row r="564" ht="15" customHeight="1" s="41">
      <c r="J564" s="57" t="b">
        <f>IF(액션아이템!$C561="",FALSE(),OR(액션아이템!$F561="진행중",액션아이템!$F561="보류"))</f>
        <v>0</v>
      </c>
      <c r="K564" s="46" t="str">
        <f>IF($J564=FALSE(),"",IF(액션아이템!$E561="",99999999,액션아이템!$E561)*100+ROW()/1000)</f>
        <v/>
      </c>
      <c r="L564" s="46" t="str">
        <f>IF($K564="","",RANK($K564,$K$6:$K$1005,1))</f>
        <v/>
      </c>
    </row>
    <row r="565" ht="15" customHeight="1" s="41">
      <c r="J565" s="57" t="b">
        <f>IF(액션아이템!$C562="",FALSE(),OR(액션아이템!$F562="진행중",액션아이템!$F562="보류"))</f>
        <v>0</v>
      </c>
      <c r="K565" s="46" t="str">
        <f>IF($J565=FALSE(),"",IF(액션아이템!$E562="",99999999,액션아이템!$E562)*100+ROW()/1000)</f>
        <v/>
      </c>
      <c r="L565" s="46" t="str">
        <f>IF($K565="","",RANK($K565,$K$6:$K$1005,1))</f>
        <v/>
      </c>
    </row>
    <row r="566" ht="15" customHeight="1" s="41">
      <c r="J566" s="57" t="b">
        <f>IF(액션아이템!$C563="",FALSE(),OR(액션아이템!$F563="진행중",액션아이템!$F563="보류"))</f>
        <v>0</v>
      </c>
      <c r="K566" s="46" t="str">
        <f>IF($J566=FALSE(),"",IF(액션아이템!$E563="",99999999,액션아이템!$E563)*100+ROW()/1000)</f>
        <v/>
      </c>
      <c r="L566" s="46" t="str">
        <f>IF($K566="","",RANK($K566,$K$6:$K$1005,1))</f>
        <v/>
      </c>
    </row>
    <row r="567" ht="15" customHeight="1" s="41">
      <c r="J567" s="57" t="b">
        <f>IF(액션아이템!$C564="",FALSE(),OR(액션아이템!$F564="진행중",액션아이템!$F564="보류"))</f>
        <v>0</v>
      </c>
      <c r="K567" s="46" t="str">
        <f>IF($J567=FALSE(),"",IF(액션아이템!$E564="",99999999,액션아이템!$E564)*100+ROW()/1000)</f>
        <v/>
      </c>
      <c r="L567" s="46" t="str">
        <f>IF($K567="","",RANK($K567,$K$6:$K$1005,1))</f>
        <v/>
      </c>
    </row>
    <row r="568" ht="15" customHeight="1" s="41">
      <c r="J568" s="57" t="b">
        <f>IF(액션아이템!$C565="",FALSE(),OR(액션아이템!$F565="진행중",액션아이템!$F565="보류"))</f>
        <v>0</v>
      </c>
      <c r="K568" s="46" t="str">
        <f>IF($J568=FALSE(),"",IF(액션아이템!$E565="",99999999,액션아이템!$E565)*100+ROW()/1000)</f>
        <v/>
      </c>
      <c r="L568" s="46" t="str">
        <f>IF($K568="","",RANK($K568,$K$6:$K$1005,1))</f>
        <v/>
      </c>
    </row>
    <row r="569" ht="15" customHeight="1" s="41">
      <c r="J569" s="57" t="b">
        <f>IF(액션아이템!$C566="",FALSE(),OR(액션아이템!$F566="진행중",액션아이템!$F566="보류"))</f>
        <v>0</v>
      </c>
      <c r="K569" s="46" t="str">
        <f>IF($J569=FALSE(),"",IF(액션아이템!$E566="",99999999,액션아이템!$E566)*100+ROW()/1000)</f>
        <v/>
      </c>
      <c r="L569" s="46" t="str">
        <f>IF($K569="","",RANK($K569,$K$6:$K$1005,1))</f>
        <v/>
      </c>
    </row>
    <row r="570" ht="15" customHeight="1" s="41">
      <c r="J570" s="57" t="b">
        <f>IF(액션아이템!$C567="",FALSE(),OR(액션아이템!$F567="진행중",액션아이템!$F567="보류"))</f>
        <v>0</v>
      </c>
      <c r="K570" s="46" t="str">
        <f>IF($J570=FALSE(),"",IF(액션아이템!$E567="",99999999,액션아이템!$E567)*100+ROW()/1000)</f>
        <v/>
      </c>
      <c r="L570" s="46" t="str">
        <f>IF($K570="","",RANK($K570,$K$6:$K$1005,1))</f>
        <v/>
      </c>
    </row>
    <row r="571" ht="15" customHeight="1" s="41">
      <c r="J571" s="57" t="b">
        <f>IF(액션아이템!$C568="",FALSE(),OR(액션아이템!$F568="진행중",액션아이템!$F568="보류"))</f>
        <v>0</v>
      </c>
      <c r="K571" s="46" t="str">
        <f>IF($J571=FALSE(),"",IF(액션아이템!$E568="",99999999,액션아이템!$E568)*100+ROW()/1000)</f>
        <v/>
      </c>
      <c r="L571" s="46" t="str">
        <f>IF($K571="","",RANK($K571,$K$6:$K$1005,1))</f>
        <v/>
      </c>
    </row>
    <row r="572" ht="15" customHeight="1" s="41">
      <c r="J572" s="57" t="b">
        <f>IF(액션아이템!$C569="",FALSE(),OR(액션아이템!$F569="진행중",액션아이템!$F569="보류"))</f>
        <v>0</v>
      </c>
      <c r="K572" s="46" t="str">
        <f>IF($J572=FALSE(),"",IF(액션아이템!$E569="",99999999,액션아이템!$E569)*100+ROW()/1000)</f>
        <v/>
      </c>
      <c r="L572" s="46" t="str">
        <f>IF($K572="","",RANK($K572,$K$6:$K$1005,1))</f>
        <v/>
      </c>
    </row>
    <row r="573" ht="15" customHeight="1" s="41">
      <c r="J573" s="57" t="b">
        <f>IF(액션아이템!$C570="",FALSE(),OR(액션아이템!$F570="진행중",액션아이템!$F570="보류"))</f>
        <v>0</v>
      </c>
      <c r="K573" s="46" t="str">
        <f>IF($J573=FALSE(),"",IF(액션아이템!$E570="",99999999,액션아이템!$E570)*100+ROW()/1000)</f>
        <v/>
      </c>
      <c r="L573" s="46" t="str">
        <f>IF($K573="","",RANK($K573,$K$6:$K$1005,1))</f>
        <v/>
      </c>
    </row>
    <row r="574" ht="15" customHeight="1" s="41">
      <c r="J574" s="57" t="b">
        <f>IF(액션아이템!$C571="",FALSE(),OR(액션아이템!$F571="진행중",액션아이템!$F571="보류"))</f>
        <v>0</v>
      </c>
      <c r="K574" s="46" t="str">
        <f>IF($J574=FALSE(),"",IF(액션아이템!$E571="",99999999,액션아이템!$E571)*100+ROW()/1000)</f>
        <v/>
      </c>
      <c r="L574" s="46" t="str">
        <f>IF($K574="","",RANK($K574,$K$6:$K$1005,1))</f>
        <v/>
      </c>
    </row>
    <row r="575" ht="15" customHeight="1" s="41">
      <c r="J575" s="57" t="b">
        <f>IF(액션아이템!$C572="",FALSE(),OR(액션아이템!$F572="진행중",액션아이템!$F572="보류"))</f>
        <v>0</v>
      </c>
      <c r="K575" s="46" t="str">
        <f>IF($J575=FALSE(),"",IF(액션아이템!$E572="",99999999,액션아이템!$E572)*100+ROW()/1000)</f>
        <v/>
      </c>
      <c r="L575" s="46" t="str">
        <f>IF($K575="","",RANK($K575,$K$6:$K$1005,1))</f>
        <v/>
      </c>
    </row>
    <row r="576" ht="15" customHeight="1" s="41">
      <c r="J576" s="57" t="b">
        <f>IF(액션아이템!$C573="",FALSE(),OR(액션아이템!$F573="진행중",액션아이템!$F573="보류"))</f>
        <v>0</v>
      </c>
      <c r="K576" s="46" t="str">
        <f>IF($J576=FALSE(),"",IF(액션아이템!$E573="",99999999,액션아이템!$E573)*100+ROW()/1000)</f>
        <v/>
      </c>
      <c r="L576" s="46" t="str">
        <f>IF($K576="","",RANK($K576,$K$6:$K$1005,1))</f>
        <v/>
      </c>
    </row>
    <row r="577" ht="15" customHeight="1" s="41">
      <c r="J577" s="57" t="b">
        <f>IF(액션아이템!$C574="",FALSE(),OR(액션아이템!$F574="진행중",액션아이템!$F574="보류"))</f>
        <v>0</v>
      </c>
      <c r="K577" s="46" t="str">
        <f>IF($J577=FALSE(),"",IF(액션아이템!$E574="",99999999,액션아이템!$E574)*100+ROW()/1000)</f>
        <v/>
      </c>
      <c r="L577" s="46" t="str">
        <f>IF($K577="","",RANK($K577,$K$6:$K$1005,1))</f>
        <v/>
      </c>
    </row>
    <row r="578" ht="15" customHeight="1" s="41">
      <c r="J578" s="57" t="b">
        <f>IF(액션아이템!$C575="",FALSE(),OR(액션아이템!$F575="진행중",액션아이템!$F575="보류"))</f>
        <v>0</v>
      </c>
      <c r="K578" s="46" t="str">
        <f>IF($J578=FALSE(),"",IF(액션아이템!$E575="",99999999,액션아이템!$E575)*100+ROW()/1000)</f>
        <v/>
      </c>
      <c r="L578" s="46" t="str">
        <f>IF($K578="","",RANK($K578,$K$6:$K$1005,1))</f>
        <v/>
      </c>
    </row>
    <row r="579" ht="15" customHeight="1" s="41">
      <c r="J579" s="57" t="b">
        <f>IF(액션아이템!$C576="",FALSE(),OR(액션아이템!$F576="진행중",액션아이템!$F576="보류"))</f>
        <v>0</v>
      </c>
      <c r="K579" s="46" t="str">
        <f>IF($J579=FALSE(),"",IF(액션아이템!$E576="",99999999,액션아이템!$E576)*100+ROW()/1000)</f>
        <v/>
      </c>
      <c r="L579" s="46" t="str">
        <f>IF($K579="","",RANK($K579,$K$6:$K$1005,1))</f>
        <v/>
      </c>
    </row>
    <row r="580" ht="15" customHeight="1" s="41">
      <c r="J580" s="57" t="b">
        <f>IF(액션아이템!$C577="",FALSE(),OR(액션아이템!$F577="진행중",액션아이템!$F577="보류"))</f>
        <v>0</v>
      </c>
      <c r="K580" s="46" t="str">
        <f>IF($J580=FALSE(),"",IF(액션아이템!$E577="",99999999,액션아이템!$E577)*100+ROW()/1000)</f>
        <v/>
      </c>
      <c r="L580" s="46" t="str">
        <f>IF($K580="","",RANK($K580,$K$6:$K$1005,1))</f>
        <v/>
      </c>
    </row>
    <row r="581" ht="15" customHeight="1" s="41">
      <c r="J581" s="57" t="b">
        <f>IF(액션아이템!$C578="",FALSE(),OR(액션아이템!$F578="진행중",액션아이템!$F578="보류"))</f>
        <v>0</v>
      </c>
      <c r="K581" s="46" t="str">
        <f>IF($J581=FALSE(),"",IF(액션아이템!$E578="",99999999,액션아이템!$E578)*100+ROW()/1000)</f>
        <v/>
      </c>
      <c r="L581" s="46" t="str">
        <f>IF($K581="","",RANK($K581,$K$6:$K$1005,1))</f>
        <v/>
      </c>
    </row>
    <row r="582" ht="15" customHeight="1" s="41">
      <c r="J582" s="57" t="b">
        <f>IF(액션아이템!$C579="",FALSE(),OR(액션아이템!$F579="진행중",액션아이템!$F579="보류"))</f>
        <v>0</v>
      </c>
      <c r="K582" s="46" t="str">
        <f>IF($J582=FALSE(),"",IF(액션아이템!$E579="",99999999,액션아이템!$E579)*100+ROW()/1000)</f>
        <v/>
      </c>
      <c r="L582" s="46" t="str">
        <f>IF($K582="","",RANK($K582,$K$6:$K$1005,1))</f>
        <v/>
      </c>
    </row>
    <row r="583" ht="15" customHeight="1" s="41">
      <c r="J583" s="57" t="b">
        <f>IF(액션아이템!$C580="",FALSE(),OR(액션아이템!$F580="진행중",액션아이템!$F580="보류"))</f>
        <v>0</v>
      </c>
      <c r="K583" s="46" t="str">
        <f>IF($J583=FALSE(),"",IF(액션아이템!$E580="",99999999,액션아이템!$E580)*100+ROW()/1000)</f>
        <v/>
      </c>
      <c r="L583" s="46" t="str">
        <f>IF($K583="","",RANK($K583,$K$6:$K$1005,1))</f>
        <v/>
      </c>
    </row>
    <row r="584" ht="15" customHeight="1" s="41">
      <c r="J584" s="57" t="b">
        <f>IF(액션아이템!$C581="",FALSE(),OR(액션아이템!$F581="진행중",액션아이템!$F581="보류"))</f>
        <v>0</v>
      </c>
      <c r="K584" s="46" t="str">
        <f>IF($J584=FALSE(),"",IF(액션아이템!$E581="",99999999,액션아이템!$E581)*100+ROW()/1000)</f>
        <v/>
      </c>
      <c r="L584" s="46" t="str">
        <f>IF($K584="","",RANK($K584,$K$6:$K$1005,1))</f>
        <v/>
      </c>
    </row>
    <row r="585" ht="15" customHeight="1" s="41">
      <c r="J585" s="57" t="b">
        <f>IF(액션아이템!$C582="",FALSE(),OR(액션아이템!$F582="진행중",액션아이템!$F582="보류"))</f>
        <v>0</v>
      </c>
      <c r="K585" s="46" t="str">
        <f>IF($J585=FALSE(),"",IF(액션아이템!$E582="",99999999,액션아이템!$E582)*100+ROW()/1000)</f>
        <v/>
      </c>
      <c r="L585" s="46" t="str">
        <f>IF($K585="","",RANK($K585,$K$6:$K$1005,1))</f>
        <v/>
      </c>
    </row>
    <row r="586" ht="15" customHeight="1" s="41">
      <c r="J586" s="57" t="b">
        <f>IF(액션아이템!$C583="",FALSE(),OR(액션아이템!$F583="진행중",액션아이템!$F583="보류"))</f>
        <v>0</v>
      </c>
      <c r="K586" s="46" t="str">
        <f>IF($J586=FALSE(),"",IF(액션아이템!$E583="",99999999,액션아이템!$E583)*100+ROW()/1000)</f>
        <v/>
      </c>
      <c r="L586" s="46" t="str">
        <f>IF($K586="","",RANK($K586,$K$6:$K$1005,1))</f>
        <v/>
      </c>
    </row>
    <row r="587" ht="15" customHeight="1" s="41">
      <c r="J587" s="57" t="b">
        <f>IF(액션아이템!$C584="",FALSE(),OR(액션아이템!$F584="진행중",액션아이템!$F584="보류"))</f>
        <v>0</v>
      </c>
      <c r="K587" s="46" t="str">
        <f>IF($J587=FALSE(),"",IF(액션아이템!$E584="",99999999,액션아이템!$E584)*100+ROW()/1000)</f>
        <v/>
      </c>
      <c r="L587" s="46" t="str">
        <f>IF($K587="","",RANK($K587,$K$6:$K$1005,1))</f>
        <v/>
      </c>
    </row>
    <row r="588" ht="15" customHeight="1" s="41">
      <c r="J588" s="57" t="b">
        <f>IF(액션아이템!$C585="",FALSE(),OR(액션아이템!$F585="진행중",액션아이템!$F585="보류"))</f>
        <v>0</v>
      </c>
      <c r="K588" s="46" t="str">
        <f>IF($J588=FALSE(),"",IF(액션아이템!$E585="",99999999,액션아이템!$E585)*100+ROW()/1000)</f>
        <v/>
      </c>
      <c r="L588" s="46" t="str">
        <f>IF($K588="","",RANK($K588,$K$6:$K$1005,1))</f>
        <v/>
      </c>
    </row>
    <row r="589" ht="15" customHeight="1" s="41">
      <c r="J589" s="57" t="b">
        <f>IF(액션아이템!$C586="",FALSE(),OR(액션아이템!$F586="진행중",액션아이템!$F586="보류"))</f>
        <v>0</v>
      </c>
      <c r="K589" s="46" t="str">
        <f>IF($J589=FALSE(),"",IF(액션아이템!$E586="",99999999,액션아이템!$E586)*100+ROW()/1000)</f>
        <v/>
      </c>
      <c r="L589" s="46" t="str">
        <f>IF($K589="","",RANK($K589,$K$6:$K$1005,1))</f>
        <v/>
      </c>
    </row>
    <row r="590" ht="15" customHeight="1" s="41">
      <c r="J590" s="57" t="b">
        <f>IF(액션아이템!$C587="",FALSE(),OR(액션아이템!$F587="진행중",액션아이템!$F587="보류"))</f>
        <v>0</v>
      </c>
      <c r="K590" s="46" t="str">
        <f>IF($J590=FALSE(),"",IF(액션아이템!$E587="",99999999,액션아이템!$E587)*100+ROW()/1000)</f>
        <v/>
      </c>
      <c r="L590" s="46" t="str">
        <f>IF($K590="","",RANK($K590,$K$6:$K$1005,1))</f>
        <v/>
      </c>
    </row>
    <row r="591" ht="15" customHeight="1" s="41">
      <c r="J591" s="57" t="b">
        <f>IF(액션아이템!$C588="",FALSE(),OR(액션아이템!$F588="진행중",액션아이템!$F588="보류"))</f>
        <v>0</v>
      </c>
      <c r="K591" s="46" t="str">
        <f>IF($J591=FALSE(),"",IF(액션아이템!$E588="",99999999,액션아이템!$E588)*100+ROW()/1000)</f>
        <v/>
      </c>
      <c r="L591" s="46" t="str">
        <f>IF($K591="","",RANK($K591,$K$6:$K$1005,1))</f>
        <v/>
      </c>
    </row>
    <row r="592" ht="15" customHeight="1" s="41">
      <c r="J592" s="57" t="b">
        <f>IF(액션아이템!$C589="",FALSE(),OR(액션아이템!$F589="진행중",액션아이템!$F589="보류"))</f>
        <v>0</v>
      </c>
      <c r="K592" s="46" t="str">
        <f>IF($J592=FALSE(),"",IF(액션아이템!$E589="",99999999,액션아이템!$E589)*100+ROW()/1000)</f>
        <v/>
      </c>
      <c r="L592" s="46" t="str">
        <f>IF($K592="","",RANK($K592,$K$6:$K$1005,1))</f>
        <v/>
      </c>
    </row>
    <row r="593" ht="15" customHeight="1" s="41">
      <c r="J593" s="57" t="b">
        <f>IF(액션아이템!$C590="",FALSE(),OR(액션아이템!$F590="진행중",액션아이템!$F590="보류"))</f>
        <v>0</v>
      </c>
      <c r="K593" s="46" t="str">
        <f>IF($J593=FALSE(),"",IF(액션아이템!$E590="",99999999,액션아이템!$E590)*100+ROW()/1000)</f>
        <v/>
      </c>
      <c r="L593" s="46" t="str">
        <f>IF($K593="","",RANK($K593,$K$6:$K$1005,1))</f>
        <v/>
      </c>
    </row>
    <row r="594" ht="15" customHeight="1" s="41">
      <c r="J594" s="57" t="b">
        <f>IF(액션아이템!$C591="",FALSE(),OR(액션아이템!$F591="진행중",액션아이템!$F591="보류"))</f>
        <v>0</v>
      </c>
      <c r="K594" s="46" t="str">
        <f>IF($J594=FALSE(),"",IF(액션아이템!$E591="",99999999,액션아이템!$E591)*100+ROW()/1000)</f>
        <v/>
      </c>
      <c r="L594" s="46" t="str">
        <f>IF($K594="","",RANK($K594,$K$6:$K$1005,1))</f>
        <v/>
      </c>
    </row>
    <row r="595" ht="15" customHeight="1" s="41">
      <c r="J595" s="57" t="b">
        <f>IF(액션아이템!$C592="",FALSE(),OR(액션아이템!$F592="진행중",액션아이템!$F592="보류"))</f>
        <v>0</v>
      </c>
      <c r="K595" s="46" t="str">
        <f>IF($J595=FALSE(),"",IF(액션아이템!$E592="",99999999,액션아이템!$E592)*100+ROW()/1000)</f>
        <v/>
      </c>
      <c r="L595" s="46" t="str">
        <f>IF($K595="","",RANK($K595,$K$6:$K$1005,1))</f>
        <v/>
      </c>
    </row>
    <row r="596" ht="15" customHeight="1" s="41">
      <c r="J596" s="57" t="b">
        <f>IF(액션아이템!$C593="",FALSE(),OR(액션아이템!$F593="진행중",액션아이템!$F593="보류"))</f>
        <v>0</v>
      </c>
      <c r="K596" s="46" t="str">
        <f>IF($J596=FALSE(),"",IF(액션아이템!$E593="",99999999,액션아이템!$E593)*100+ROW()/1000)</f>
        <v/>
      </c>
      <c r="L596" s="46" t="str">
        <f>IF($K596="","",RANK($K596,$K$6:$K$1005,1))</f>
        <v/>
      </c>
    </row>
    <row r="597" ht="15" customHeight="1" s="41">
      <c r="J597" s="57" t="b">
        <f>IF(액션아이템!$C594="",FALSE(),OR(액션아이템!$F594="진행중",액션아이템!$F594="보류"))</f>
        <v>0</v>
      </c>
      <c r="K597" s="46" t="str">
        <f>IF($J597=FALSE(),"",IF(액션아이템!$E594="",99999999,액션아이템!$E594)*100+ROW()/1000)</f>
        <v/>
      </c>
      <c r="L597" s="46" t="str">
        <f>IF($K597="","",RANK($K597,$K$6:$K$1005,1))</f>
        <v/>
      </c>
    </row>
    <row r="598" ht="15" customHeight="1" s="41">
      <c r="J598" s="57" t="b">
        <f>IF(액션아이템!$C595="",FALSE(),OR(액션아이템!$F595="진행중",액션아이템!$F595="보류"))</f>
        <v>0</v>
      </c>
      <c r="K598" s="46" t="str">
        <f>IF($J598=FALSE(),"",IF(액션아이템!$E595="",99999999,액션아이템!$E595)*100+ROW()/1000)</f>
        <v/>
      </c>
      <c r="L598" s="46" t="str">
        <f>IF($K598="","",RANK($K598,$K$6:$K$1005,1))</f>
        <v/>
      </c>
    </row>
    <row r="599" ht="15" customHeight="1" s="41">
      <c r="J599" s="57" t="b">
        <f>IF(액션아이템!$C596="",FALSE(),OR(액션아이템!$F596="진행중",액션아이템!$F596="보류"))</f>
        <v>0</v>
      </c>
      <c r="K599" s="46" t="str">
        <f>IF($J599=FALSE(),"",IF(액션아이템!$E596="",99999999,액션아이템!$E596)*100+ROW()/1000)</f>
        <v/>
      </c>
      <c r="L599" s="46" t="str">
        <f>IF($K599="","",RANK($K599,$K$6:$K$1005,1))</f>
        <v/>
      </c>
    </row>
    <row r="600" ht="15" customHeight="1" s="41">
      <c r="J600" s="57" t="b">
        <f>IF(액션아이템!$C597="",FALSE(),OR(액션아이템!$F597="진행중",액션아이템!$F597="보류"))</f>
        <v>0</v>
      </c>
      <c r="K600" s="46" t="str">
        <f>IF($J600=FALSE(),"",IF(액션아이템!$E597="",99999999,액션아이템!$E597)*100+ROW()/1000)</f>
        <v/>
      </c>
      <c r="L600" s="46" t="str">
        <f>IF($K600="","",RANK($K600,$K$6:$K$1005,1))</f>
        <v/>
      </c>
    </row>
    <row r="601" ht="15" customHeight="1" s="41">
      <c r="J601" s="57" t="b">
        <f>IF(액션아이템!$C598="",FALSE(),OR(액션아이템!$F598="진행중",액션아이템!$F598="보류"))</f>
        <v>0</v>
      </c>
      <c r="K601" s="46" t="str">
        <f>IF($J601=FALSE(),"",IF(액션아이템!$E598="",99999999,액션아이템!$E598)*100+ROW()/1000)</f>
        <v/>
      </c>
      <c r="L601" s="46" t="str">
        <f>IF($K601="","",RANK($K601,$K$6:$K$1005,1))</f>
        <v/>
      </c>
    </row>
    <row r="602" ht="15" customHeight="1" s="41">
      <c r="J602" s="57" t="b">
        <f>IF(액션아이템!$C599="",FALSE(),OR(액션아이템!$F599="진행중",액션아이템!$F599="보류"))</f>
        <v>0</v>
      </c>
      <c r="K602" s="46" t="str">
        <f>IF($J602=FALSE(),"",IF(액션아이템!$E599="",99999999,액션아이템!$E599)*100+ROW()/1000)</f>
        <v/>
      </c>
      <c r="L602" s="46" t="str">
        <f>IF($K602="","",RANK($K602,$K$6:$K$1005,1))</f>
        <v/>
      </c>
    </row>
    <row r="603" ht="15" customHeight="1" s="41">
      <c r="J603" s="57" t="b">
        <f>IF(액션아이템!$C600="",FALSE(),OR(액션아이템!$F600="진행중",액션아이템!$F600="보류"))</f>
        <v>0</v>
      </c>
      <c r="K603" s="46" t="str">
        <f>IF($J603=FALSE(),"",IF(액션아이템!$E600="",99999999,액션아이템!$E600)*100+ROW()/1000)</f>
        <v/>
      </c>
      <c r="L603" s="46" t="str">
        <f>IF($K603="","",RANK($K603,$K$6:$K$1005,1))</f>
        <v/>
      </c>
    </row>
    <row r="604" ht="15" customHeight="1" s="41">
      <c r="J604" s="57" t="b">
        <f>IF(액션아이템!$C601="",FALSE(),OR(액션아이템!$F601="진행중",액션아이템!$F601="보류"))</f>
        <v>0</v>
      </c>
      <c r="K604" s="46" t="str">
        <f>IF($J604=FALSE(),"",IF(액션아이템!$E601="",99999999,액션아이템!$E601)*100+ROW()/1000)</f>
        <v/>
      </c>
      <c r="L604" s="46" t="str">
        <f>IF($K604="","",RANK($K604,$K$6:$K$1005,1))</f>
        <v/>
      </c>
    </row>
    <row r="605" ht="15" customHeight="1" s="41">
      <c r="J605" s="57" t="b">
        <f>IF(액션아이템!$C602="",FALSE(),OR(액션아이템!$F602="진행중",액션아이템!$F602="보류"))</f>
        <v>0</v>
      </c>
      <c r="K605" s="46" t="str">
        <f>IF($J605=FALSE(),"",IF(액션아이템!$E602="",99999999,액션아이템!$E602)*100+ROW()/1000)</f>
        <v/>
      </c>
      <c r="L605" s="46" t="str">
        <f>IF($K605="","",RANK($K605,$K$6:$K$1005,1))</f>
        <v/>
      </c>
    </row>
    <row r="606" ht="15" customHeight="1" s="41">
      <c r="J606" s="57" t="b">
        <f>IF(액션아이템!$C603="",FALSE(),OR(액션아이템!$F603="진행중",액션아이템!$F603="보류"))</f>
        <v>0</v>
      </c>
      <c r="K606" s="46" t="str">
        <f>IF($J606=FALSE(),"",IF(액션아이템!$E603="",99999999,액션아이템!$E603)*100+ROW()/1000)</f>
        <v/>
      </c>
      <c r="L606" s="46" t="str">
        <f>IF($K606="","",RANK($K606,$K$6:$K$1005,1))</f>
        <v/>
      </c>
    </row>
    <row r="607" ht="15" customHeight="1" s="41">
      <c r="J607" s="57" t="b">
        <f>IF(액션아이템!$C604="",FALSE(),OR(액션아이템!$F604="진행중",액션아이템!$F604="보류"))</f>
        <v>0</v>
      </c>
      <c r="K607" s="46" t="str">
        <f>IF($J607=FALSE(),"",IF(액션아이템!$E604="",99999999,액션아이템!$E604)*100+ROW()/1000)</f>
        <v/>
      </c>
      <c r="L607" s="46" t="str">
        <f>IF($K607="","",RANK($K607,$K$6:$K$1005,1))</f>
        <v/>
      </c>
    </row>
    <row r="608" ht="15" customHeight="1" s="41">
      <c r="J608" s="57" t="b">
        <f>IF(액션아이템!$C605="",FALSE(),OR(액션아이템!$F605="진행중",액션아이템!$F605="보류"))</f>
        <v>0</v>
      </c>
      <c r="K608" s="46" t="str">
        <f>IF($J608=FALSE(),"",IF(액션아이템!$E605="",99999999,액션아이템!$E605)*100+ROW()/1000)</f>
        <v/>
      </c>
      <c r="L608" s="46" t="str">
        <f>IF($K608="","",RANK($K608,$K$6:$K$1005,1))</f>
        <v/>
      </c>
    </row>
    <row r="609" ht="15" customHeight="1" s="41">
      <c r="J609" s="57" t="b">
        <f>IF(액션아이템!$C606="",FALSE(),OR(액션아이템!$F606="진행중",액션아이템!$F606="보류"))</f>
        <v>0</v>
      </c>
      <c r="K609" s="46" t="str">
        <f>IF($J609=FALSE(),"",IF(액션아이템!$E606="",99999999,액션아이템!$E606)*100+ROW()/1000)</f>
        <v/>
      </c>
      <c r="L609" s="46" t="str">
        <f>IF($K609="","",RANK($K609,$K$6:$K$1005,1))</f>
        <v/>
      </c>
    </row>
    <row r="610" ht="15" customHeight="1" s="41">
      <c r="J610" s="57" t="b">
        <f>IF(액션아이템!$C607="",FALSE(),OR(액션아이템!$F607="진행중",액션아이템!$F607="보류"))</f>
        <v>0</v>
      </c>
      <c r="K610" s="46" t="str">
        <f>IF($J610=FALSE(),"",IF(액션아이템!$E607="",99999999,액션아이템!$E607)*100+ROW()/1000)</f>
        <v/>
      </c>
      <c r="L610" s="46" t="str">
        <f>IF($K610="","",RANK($K610,$K$6:$K$1005,1))</f>
        <v/>
      </c>
    </row>
    <row r="611" ht="15" customHeight="1" s="41">
      <c r="J611" s="57" t="b">
        <f>IF(액션아이템!$C608="",FALSE(),OR(액션아이템!$F608="진행중",액션아이템!$F608="보류"))</f>
        <v>0</v>
      </c>
      <c r="K611" s="46" t="str">
        <f>IF($J611=FALSE(),"",IF(액션아이템!$E608="",99999999,액션아이템!$E608)*100+ROW()/1000)</f>
        <v/>
      </c>
      <c r="L611" s="46" t="str">
        <f>IF($K611="","",RANK($K611,$K$6:$K$1005,1))</f>
        <v/>
      </c>
    </row>
    <row r="612" ht="15" customHeight="1" s="41">
      <c r="J612" s="57" t="b">
        <f>IF(액션아이템!$C609="",FALSE(),OR(액션아이템!$F609="진행중",액션아이템!$F609="보류"))</f>
        <v>0</v>
      </c>
      <c r="K612" s="46" t="str">
        <f>IF($J612=FALSE(),"",IF(액션아이템!$E609="",99999999,액션아이템!$E609)*100+ROW()/1000)</f>
        <v/>
      </c>
      <c r="L612" s="46" t="str">
        <f>IF($K612="","",RANK($K612,$K$6:$K$1005,1))</f>
        <v/>
      </c>
    </row>
    <row r="613" ht="15" customHeight="1" s="41">
      <c r="J613" s="57" t="b">
        <f>IF(액션아이템!$C610="",FALSE(),OR(액션아이템!$F610="진행중",액션아이템!$F610="보류"))</f>
        <v>0</v>
      </c>
      <c r="K613" s="46" t="str">
        <f>IF($J613=FALSE(),"",IF(액션아이템!$E610="",99999999,액션아이템!$E610)*100+ROW()/1000)</f>
        <v/>
      </c>
      <c r="L613" s="46" t="str">
        <f>IF($K613="","",RANK($K613,$K$6:$K$1005,1))</f>
        <v/>
      </c>
    </row>
    <row r="614" ht="15" customHeight="1" s="41">
      <c r="J614" s="57" t="b">
        <f>IF(액션아이템!$C611="",FALSE(),OR(액션아이템!$F611="진행중",액션아이템!$F611="보류"))</f>
        <v>0</v>
      </c>
      <c r="K614" s="46" t="str">
        <f>IF($J614=FALSE(),"",IF(액션아이템!$E611="",99999999,액션아이템!$E611)*100+ROW()/1000)</f>
        <v/>
      </c>
      <c r="L614" s="46" t="str">
        <f>IF($K614="","",RANK($K614,$K$6:$K$1005,1))</f>
        <v/>
      </c>
    </row>
    <row r="615" ht="15" customHeight="1" s="41">
      <c r="J615" s="57" t="b">
        <f>IF(액션아이템!$C612="",FALSE(),OR(액션아이템!$F612="진행중",액션아이템!$F612="보류"))</f>
        <v>0</v>
      </c>
      <c r="K615" s="46" t="str">
        <f>IF($J615=FALSE(),"",IF(액션아이템!$E612="",99999999,액션아이템!$E612)*100+ROW()/1000)</f>
        <v/>
      </c>
      <c r="L615" s="46" t="str">
        <f>IF($K615="","",RANK($K615,$K$6:$K$1005,1))</f>
        <v/>
      </c>
    </row>
    <row r="616" ht="15" customHeight="1" s="41">
      <c r="J616" s="57" t="b">
        <f>IF(액션아이템!$C613="",FALSE(),OR(액션아이템!$F613="진행중",액션아이템!$F613="보류"))</f>
        <v>0</v>
      </c>
      <c r="K616" s="46" t="str">
        <f>IF($J616=FALSE(),"",IF(액션아이템!$E613="",99999999,액션아이템!$E613)*100+ROW()/1000)</f>
        <v/>
      </c>
      <c r="L616" s="46" t="str">
        <f>IF($K616="","",RANK($K616,$K$6:$K$1005,1))</f>
        <v/>
      </c>
    </row>
    <row r="617" ht="15" customHeight="1" s="41">
      <c r="J617" s="57" t="b">
        <f>IF(액션아이템!$C614="",FALSE(),OR(액션아이템!$F614="진행중",액션아이템!$F614="보류"))</f>
        <v>0</v>
      </c>
      <c r="K617" s="46" t="str">
        <f>IF($J617=FALSE(),"",IF(액션아이템!$E614="",99999999,액션아이템!$E614)*100+ROW()/1000)</f>
        <v/>
      </c>
      <c r="L617" s="46" t="str">
        <f>IF($K617="","",RANK($K617,$K$6:$K$1005,1))</f>
        <v/>
      </c>
    </row>
    <row r="618" ht="15" customHeight="1" s="41">
      <c r="J618" s="57" t="b">
        <f>IF(액션아이템!$C615="",FALSE(),OR(액션아이템!$F615="진행중",액션아이템!$F615="보류"))</f>
        <v>0</v>
      </c>
      <c r="K618" s="46" t="str">
        <f>IF($J618=FALSE(),"",IF(액션아이템!$E615="",99999999,액션아이템!$E615)*100+ROW()/1000)</f>
        <v/>
      </c>
      <c r="L618" s="46" t="str">
        <f>IF($K618="","",RANK($K618,$K$6:$K$1005,1))</f>
        <v/>
      </c>
    </row>
    <row r="619" ht="15" customHeight="1" s="41">
      <c r="J619" s="57" t="b">
        <f>IF(액션아이템!$C616="",FALSE(),OR(액션아이템!$F616="진행중",액션아이템!$F616="보류"))</f>
        <v>0</v>
      </c>
      <c r="K619" s="46" t="str">
        <f>IF($J619=FALSE(),"",IF(액션아이템!$E616="",99999999,액션아이템!$E616)*100+ROW()/1000)</f>
        <v/>
      </c>
      <c r="L619" s="46" t="str">
        <f>IF($K619="","",RANK($K619,$K$6:$K$1005,1))</f>
        <v/>
      </c>
    </row>
    <row r="620" ht="15" customHeight="1" s="41">
      <c r="J620" s="57" t="b">
        <f>IF(액션아이템!$C617="",FALSE(),OR(액션아이템!$F617="진행중",액션아이템!$F617="보류"))</f>
        <v>0</v>
      </c>
      <c r="K620" s="46" t="str">
        <f>IF($J620=FALSE(),"",IF(액션아이템!$E617="",99999999,액션아이템!$E617)*100+ROW()/1000)</f>
        <v/>
      </c>
      <c r="L620" s="46" t="str">
        <f>IF($K620="","",RANK($K620,$K$6:$K$1005,1))</f>
        <v/>
      </c>
    </row>
    <row r="621" ht="15" customHeight="1" s="41">
      <c r="J621" s="57" t="b">
        <f>IF(액션아이템!$C618="",FALSE(),OR(액션아이템!$F618="진행중",액션아이템!$F618="보류"))</f>
        <v>0</v>
      </c>
      <c r="K621" s="46" t="str">
        <f>IF($J621=FALSE(),"",IF(액션아이템!$E618="",99999999,액션아이템!$E618)*100+ROW()/1000)</f>
        <v/>
      </c>
      <c r="L621" s="46" t="str">
        <f>IF($K621="","",RANK($K621,$K$6:$K$1005,1))</f>
        <v/>
      </c>
    </row>
    <row r="622" ht="15" customHeight="1" s="41">
      <c r="J622" s="57" t="b">
        <f>IF(액션아이템!$C619="",FALSE(),OR(액션아이템!$F619="진행중",액션아이템!$F619="보류"))</f>
        <v>0</v>
      </c>
      <c r="K622" s="46" t="str">
        <f>IF($J622=FALSE(),"",IF(액션아이템!$E619="",99999999,액션아이템!$E619)*100+ROW()/1000)</f>
        <v/>
      </c>
      <c r="L622" s="46" t="str">
        <f>IF($K622="","",RANK($K622,$K$6:$K$1005,1))</f>
        <v/>
      </c>
    </row>
    <row r="623" ht="15" customHeight="1" s="41">
      <c r="J623" s="57" t="b">
        <f>IF(액션아이템!$C620="",FALSE(),OR(액션아이템!$F620="진행중",액션아이템!$F620="보류"))</f>
        <v>0</v>
      </c>
      <c r="K623" s="46" t="str">
        <f>IF($J623=FALSE(),"",IF(액션아이템!$E620="",99999999,액션아이템!$E620)*100+ROW()/1000)</f>
        <v/>
      </c>
      <c r="L623" s="46" t="str">
        <f>IF($K623="","",RANK($K623,$K$6:$K$1005,1))</f>
        <v/>
      </c>
    </row>
    <row r="624" ht="15" customHeight="1" s="41">
      <c r="J624" s="57" t="b">
        <f>IF(액션아이템!$C621="",FALSE(),OR(액션아이템!$F621="진행중",액션아이템!$F621="보류"))</f>
        <v>0</v>
      </c>
      <c r="K624" s="46" t="str">
        <f>IF($J624=FALSE(),"",IF(액션아이템!$E621="",99999999,액션아이템!$E621)*100+ROW()/1000)</f>
        <v/>
      </c>
      <c r="L624" s="46" t="str">
        <f>IF($K624="","",RANK($K624,$K$6:$K$1005,1))</f>
        <v/>
      </c>
    </row>
    <row r="625" ht="15" customHeight="1" s="41">
      <c r="J625" s="57" t="b">
        <f>IF(액션아이템!$C622="",FALSE(),OR(액션아이템!$F622="진행중",액션아이템!$F622="보류"))</f>
        <v>0</v>
      </c>
      <c r="K625" s="46" t="str">
        <f>IF($J625=FALSE(),"",IF(액션아이템!$E622="",99999999,액션아이템!$E622)*100+ROW()/1000)</f>
        <v/>
      </c>
      <c r="L625" s="46" t="str">
        <f>IF($K625="","",RANK($K625,$K$6:$K$1005,1))</f>
        <v/>
      </c>
    </row>
    <row r="626" ht="15" customHeight="1" s="41">
      <c r="J626" s="57" t="b">
        <f>IF(액션아이템!$C623="",FALSE(),OR(액션아이템!$F623="진행중",액션아이템!$F623="보류"))</f>
        <v>0</v>
      </c>
      <c r="K626" s="46" t="str">
        <f>IF($J626=FALSE(),"",IF(액션아이템!$E623="",99999999,액션아이템!$E623)*100+ROW()/1000)</f>
        <v/>
      </c>
      <c r="L626" s="46" t="str">
        <f>IF($K626="","",RANK($K626,$K$6:$K$1005,1))</f>
        <v/>
      </c>
    </row>
    <row r="627" ht="15" customHeight="1" s="41">
      <c r="J627" s="57" t="b">
        <f>IF(액션아이템!$C624="",FALSE(),OR(액션아이템!$F624="진행중",액션아이템!$F624="보류"))</f>
        <v>0</v>
      </c>
      <c r="K627" s="46" t="str">
        <f>IF($J627=FALSE(),"",IF(액션아이템!$E624="",99999999,액션아이템!$E624)*100+ROW()/1000)</f>
        <v/>
      </c>
      <c r="L627" s="46" t="str">
        <f>IF($K627="","",RANK($K627,$K$6:$K$1005,1))</f>
        <v/>
      </c>
    </row>
    <row r="628" ht="15" customHeight="1" s="41">
      <c r="J628" s="57" t="b">
        <f>IF(액션아이템!$C625="",FALSE(),OR(액션아이템!$F625="진행중",액션아이템!$F625="보류"))</f>
        <v>0</v>
      </c>
      <c r="K628" s="46" t="str">
        <f>IF($J628=FALSE(),"",IF(액션아이템!$E625="",99999999,액션아이템!$E625)*100+ROW()/1000)</f>
        <v/>
      </c>
      <c r="L628" s="46" t="str">
        <f>IF($K628="","",RANK($K628,$K$6:$K$1005,1))</f>
        <v/>
      </c>
    </row>
    <row r="629" ht="15" customHeight="1" s="41">
      <c r="J629" s="57" t="b">
        <f>IF(액션아이템!$C626="",FALSE(),OR(액션아이템!$F626="진행중",액션아이템!$F626="보류"))</f>
        <v>0</v>
      </c>
      <c r="K629" s="46" t="str">
        <f>IF($J629=FALSE(),"",IF(액션아이템!$E626="",99999999,액션아이템!$E626)*100+ROW()/1000)</f>
        <v/>
      </c>
      <c r="L629" s="46" t="str">
        <f>IF($K629="","",RANK($K629,$K$6:$K$1005,1))</f>
        <v/>
      </c>
    </row>
    <row r="630" ht="15" customHeight="1" s="41">
      <c r="J630" s="57" t="b">
        <f>IF(액션아이템!$C627="",FALSE(),OR(액션아이템!$F627="진행중",액션아이템!$F627="보류"))</f>
        <v>0</v>
      </c>
      <c r="K630" s="46" t="str">
        <f>IF($J630=FALSE(),"",IF(액션아이템!$E627="",99999999,액션아이템!$E627)*100+ROW()/1000)</f>
        <v/>
      </c>
      <c r="L630" s="46" t="str">
        <f>IF($K630="","",RANK($K630,$K$6:$K$1005,1))</f>
        <v/>
      </c>
    </row>
    <row r="631" ht="15" customHeight="1" s="41">
      <c r="J631" s="57" t="b">
        <f>IF(액션아이템!$C628="",FALSE(),OR(액션아이템!$F628="진행중",액션아이템!$F628="보류"))</f>
        <v>0</v>
      </c>
      <c r="K631" s="46" t="str">
        <f>IF($J631=FALSE(),"",IF(액션아이템!$E628="",99999999,액션아이템!$E628)*100+ROW()/1000)</f>
        <v/>
      </c>
      <c r="L631" s="46" t="str">
        <f>IF($K631="","",RANK($K631,$K$6:$K$1005,1))</f>
        <v/>
      </c>
    </row>
    <row r="632" ht="15" customHeight="1" s="41">
      <c r="J632" s="57" t="b">
        <f>IF(액션아이템!$C629="",FALSE(),OR(액션아이템!$F629="진행중",액션아이템!$F629="보류"))</f>
        <v>0</v>
      </c>
      <c r="K632" s="46" t="str">
        <f>IF($J632=FALSE(),"",IF(액션아이템!$E629="",99999999,액션아이템!$E629)*100+ROW()/1000)</f>
        <v/>
      </c>
      <c r="L632" s="46" t="str">
        <f>IF($K632="","",RANK($K632,$K$6:$K$1005,1))</f>
        <v/>
      </c>
    </row>
    <row r="633" ht="15" customHeight="1" s="41">
      <c r="J633" s="57" t="b">
        <f>IF(액션아이템!$C630="",FALSE(),OR(액션아이템!$F630="진행중",액션아이템!$F630="보류"))</f>
        <v>0</v>
      </c>
      <c r="K633" s="46" t="str">
        <f>IF($J633=FALSE(),"",IF(액션아이템!$E630="",99999999,액션아이템!$E630)*100+ROW()/1000)</f>
        <v/>
      </c>
      <c r="L633" s="46" t="str">
        <f>IF($K633="","",RANK($K633,$K$6:$K$1005,1))</f>
        <v/>
      </c>
    </row>
    <row r="634" ht="15" customHeight="1" s="41">
      <c r="J634" s="57" t="b">
        <f>IF(액션아이템!$C631="",FALSE(),OR(액션아이템!$F631="진행중",액션아이템!$F631="보류"))</f>
        <v>0</v>
      </c>
      <c r="K634" s="46" t="str">
        <f>IF($J634=FALSE(),"",IF(액션아이템!$E631="",99999999,액션아이템!$E631)*100+ROW()/1000)</f>
        <v/>
      </c>
      <c r="L634" s="46" t="str">
        <f>IF($K634="","",RANK($K634,$K$6:$K$1005,1))</f>
        <v/>
      </c>
    </row>
    <row r="635" ht="15" customHeight="1" s="41">
      <c r="J635" s="57" t="b">
        <f>IF(액션아이템!$C632="",FALSE(),OR(액션아이템!$F632="진행중",액션아이템!$F632="보류"))</f>
        <v>0</v>
      </c>
      <c r="K635" s="46" t="str">
        <f>IF($J635=FALSE(),"",IF(액션아이템!$E632="",99999999,액션아이템!$E632)*100+ROW()/1000)</f>
        <v/>
      </c>
      <c r="L635" s="46" t="str">
        <f>IF($K635="","",RANK($K635,$K$6:$K$1005,1))</f>
        <v/>
      </c>
    </row>
    <row r="636" ht="15" customHeight="1" s="41">
      <c r="J636" s="57" t="b">
        <f>IF(액션아이템!$C633="",FALSE(),OR(액션아이템!$F633="진행중",액션아이템!$F633="보류"))</f>
        <v>0</v>
      </c>
      <c r="K636" s="46" t="str">
        <f>IF($J636=FALSE(),"",IF(액션아이템!$E633="",99999999,액션아이템!$E633)*100+ROW()/1000)</f>
        <v/>
      </c>
      <c r="L636" s="46" t="str">
        <f>IF($K636="","",RANK($K636,$K$6:$K$1005,1))</f>
        <v/>
      </c>
    </row>
    <row r="637" ht="15" customHeight="1" s="41">
      <c r="J637" s="57" t="b">
        <f>IF(액션아이템!$C634="",FALSE(),OR(액션아이템!$F634="진행중",액션아이템!$F634="보류"))</f>
        <v>0</v>
      </c>
      <c r="K637" s="46" t="str">
        <f>IF($J637=FALSE(),"",IF(액션아이템!$E634="",99999999,액션아이템!$E634)*100+ROW()/1000)</f>
        <v/>
      </c>
      <c r="L637" s="46" t="str">
        <f>IF($K637="","",RANK($K637,$K$6:$K$1005,1))</f>
        <v/>
      </c>
    </row>
    <row r="638" ht="15" customHeight="1" s="41">
      <c r="J638" s="57" t="b">
        <f>IF(액션아이템!$C635="",FALSE(),OR(액션아이템!$F635="진행중",액션아이템!$F635="보류"))</f>
        <v>0</v>
      </c>
      <c r="K638" s="46" t="str">
        <f>IF($J638=FALSE(),"",IF(액션아이템!$E635="",99999999,액션아이템!$E635)*100+ROW()/1000)</f>
        <v/>
      </c>
      <c r="L638" s="46" t="str">
        <f>IF($K638="","",RANK($K638,$K$6:$K$1005,1))</f>
        <v/>
      </c>
    </row>
    <row r="639" ht="15" customHeight="1" s="41">
      <c r="J639" s="57" t="b">
        <f>IF(액션아이템!$C636="",FALSE(),OR(액션아이템!$F636="진행중",액션아이템!$F636="보류"))</f>
        <v>0</v>
      </c>
      <c r="K639" s="46" t="str">
        <f>IF($J639=FALSE(),"",IF(액션아이템!$E636="",99999999,액션아이템!$E636)*100+ROW()/1000)</f>
        <v/>
      </c>
      <c r="L639" s="46" t="str">
        <f>IF($K639="","",RANK($K639,$K$6:$K$1005,1))</f>
        <v/>
      </c>
    </row>
    <row r="640" ht="15" customHeight="1" s="41">
      <c r="J640" s="57" t="b">
        <f>IF(액션아이템!$C637="",FALSE(),OR(액션아이템!$F637="진행중",액션아이템!$F637="보류"))</f>
        <v>0</v>
      </c>
      <c r="K640" s="46" t="str">
        <f>IF($J640=FALSE(),"",IF(액션아이템!$E637="",99999999,액션아이템!$E637)*100+ROW()/1000)</f>
        <v/>
      </c>
      <c r="L640" s="46" t="str">
        <f>IF($K640="","",RANK($K640,$K$6:$K$1005,1))</f>
        <v/>
      </c>
    </row>
    <row r="641" ht="15" customHeight="1" s="41">
      <c r="J641" s="57" t="b">
        <f>IF(액션아이템!$C638="",FALSE(),OR(액션아이템!$F638="진행중",액션아이템!$F638="보류"))</f>
        <v>0</v>
      </c>
      <c r="K641" s="46" t="str">
        <f>IF($J641=FALSE(),"",IF(액션아이템!$E638="",99999999,액션아이템!$E638)*100+ROW()/1000)</f>
        <v/>
      </c>
      <c r="L641" s="46" t="str">
        <f>IF($K641="","",RANK($K641,$K$6:$K$1005,1))</f>
        <v/>
      </c>
    </row>
    <row r="642" ht="15" customHeight="1" s="41">
      <c r="J642" s="57" t="b">
        <f>IF(액션아이템!$C639="",FALSE(),OR(액션아이템!$F639="진행중",액션아이템!$F639="보류"))</f>
        <v>0</v>
      </c>
      <c r="K642" s="46" t="str">
        <f>IF($J642=FALSE(),"",IF(액션아이템!$E639="",99999999,액션아이템!$E639)*100+ROW()/1000)</f>
        <v/>
      </c>
      <c r="L642" s="46" t="str">
        <f>IF($K642="","",RANK($K642,$K$6:$K$1005,1))</f>
        <v/>
      </c>
    </row>
    <row r="643" ht="15" customHeight="1" s="41">
      <c r="J643" s="57" t="b">
        <f>IF(액션아이템!$C640="",FALSE(),OR(액션아이템!$F640="진행중",액션아이템!$F640="보류"))</f>
        <v>0</v>
      </c>
      <c r="K643" s="46" t="str">
        <f>IF($J643=FALSE(),"",IF(액션아이템!$E640="",99999999,액션아이템!$E640)*100+ROW()/1000)</f>
        <v/>
      </c>
      <c r="L643" s="46" t="str">
        <f>IF($K643="","",RANK($K643,$K$6:$K$1005,1))</f>
        <v/>
      </c>
    </row>
    <row r="644" ht="15" customHeight="1" s="41">
      <c r="J644" s="57" t="b">
        <f>IF(액션아이템!$C641="",FALSE(),OR(액션아이템!$F641="진행중",액션아이템!$F641="보류"))</f>
        <v>0</v>
      </c>
      <c r="K644" s="46" t="str">
        <f>IF($J644=FALSE(),"",IF(액션아이템!$E641="",99999999,액션아이템!$E641)*100+ROW()/1000)</f>
        <v/>
      </c>
      <c r="L644" s="46" t="str">
        <f>IF($K644="","",RANK($K644,$K$6:$K$1005,1))</f>
        <v/>
      </c>
    </row>
    <row r="645" ht="15" customHeight="1" s="41">
      <c r="J645" s="57" t="b">
        <f>IF(액션아이템!$C642="",FALSE(),OR(액션아이템!$F642="진행중",액션아이템!$F642="보류"))</f>
        <v>0</v>
      </c>
      <c r="K645" s="46" t="str">
        <f>IF($J645=FALSE(),"",IF(액션아이템!$E642="",99999999,액션아이템!$E642)*100+ROW()/1000)</f>
        <v/>
      </c>
      <c r="L645" s="46" t="str">
        <f>IF($K645="","",RANK($K645,$K$6:$K$1005,1))</f>
        <v/>
      </c>
    </row>
    <row r="646" ht="15" customHeight="1" s="41">
      <c r="J646" s="57" t="b">
        <f>IF(액션아이템!$C643="",FALSE(),OR(액션아이템!$F643="진행중",액션아이템!$F643="보류"))</f>
        <v>0</v>
      </c>
      <c r="K646" s="46" t="str">
        <f>IF($J646=FALSE(),"",IF(액션아이템!$E643="",99999999,액션아이템!$E643)*100+ROW()/1000)</f>
        <v/>
      </c>
      <c r="L646" s="46" t="str">
        <f>IF($K646="","",RANK($K646,$K$6:$K$1005,1))</f>
        <v/>
      </c>
    </row>
    <row r="647" ht="15" customHeight="1" s="41">
      <c r="J647" s="57" t="b">
        <f>IF(액션아이템!$C644="",FALSE(),OR(액션아이템!$F644="진행중",액션아이템!$F644="보류"))</f>
        <v>0</v>
      </c>
      <c r="K647" s="46" t="str">
        <f>IF($J647=FALSE(),"",IF(액션아이템!$E644="",99999999,액션아이템!$E644)*100+ROW()/1000)</f>
        <v/>
      </c>
      <c r="L647" s="46" t="str">
        <f>IF($K647="","",RANK($K647,$K$6:$K$1005,1))</f>
        <v/>
      </c>
    </row>
    <row r="648" ht="15" customHeight="1" s="41">
      <c r="J648" s="57" t="b">
        <f>IF(액션아이템!$C645="",FALSE(),OR(액션아이템!$F645="진행중",액션아이템!$F645="보류"))</f>
        <v>0</v>
      </c>
      <c r="K648" s="46" t="str">
        <f>IF($J648=FALSE(),"",IF(액션아이템!$E645="",99999999,액션아이템!$E645)*100+ROW()/1000)</f>
        <v/>
      </c>
      <c r="L648" s="46" t="str">
        <f>IF($K648="","",RANK($K648,$K$6:$K$1005,1))</f>
        <v/>
      </c>
    </row>
    <row r="649" ht="15" customHeight="1" s="41">
      <c r="J649" s="57" t="b">
        <f>IF(액션아이템!$C646="",FALSE(),OR(액션아이템!$F646="진행중",액션아이템!$F646="보류"))</f>
        <v>0</v>
      </c>
      <c r="K649" s="46" t="str">
        <f>IF($J649=FALSE(),"",IF(액션아이템!$E646="",99999999,액션아이템!$E646)*100+ROW()/1000)</f>
        <v/>
      </c>
      <c r="L649" s="46" t="str">
        <f>IF($K649="","",RANK($K649,$K$6:$K$1005,1))</f>
        <v/>
      </c>
    </row>
    <row r="650" ht="15" customHeight="1" s="41">
      <c r="J650" s="57" t="b">
        <f>IF(액션아이템!$C647="",FALSE(),OR(액션아이템!$F647="진행중",액션아이템!$F647="보류"))</f>
        <v>0</v>
      </c>
      <c r="K650" s="46" t="str">
        <f>IF($J650=FALSE(),"",IF(액션아이템!$E647="",99999999,액션아이템!$E647)*100+ROW()/1000)</f>
        <v/>
      </c>
      <c r="L650" s="46" t="str">
        <f>IF($K650="","",RANK($K650,$K$6:$K$1005,1))</f>
        <v/>
      </c>
    </row>
    <row r="651" ht="15" customHeight="1" s="41">
      <c r="J651" s="57" t="b">
        <f>IF(액션아이템!$C648="",FALSE(),OR(액션아이템!$F648="진행중",액션아이템!$F648="보류"))</f>
        <v>0</v>
      </c>
      <c r="K651" s="46" t="str">
        <f>IF($J651=FALSE(),"",IF(액션아이템!$E648="",99999999,액션아이템!$E648)*100+ROW()/1000)</f>
        <v/>
      </c>
      <c r="L651" s="46" t="str">
        <f>IF($K651="","",RANK($K651,$K$6:$K$1005,1))</f>
        <v/>
      </c>
    </row>
    <row r="652" ht="15" customHeight="1" s="41">
      <c r="J652" s="57" t="b">
        <f>IF(액션아이템!$C649="",FALSE(),OR(액션아이템!$F649="진행중",액션아이템!$F649="보류"))</f>
        <v>0</v>
      </c>
      <c r="K652" s="46" t="str">
        <f>IF($J652=FALSE(),"",IF(액션아이템!$E649="",99999999,액션아이템!$E649)*100+ROW()/1000)</f>
        <v/>
      </c>
      <c r="L652" s="46" t="str">
        <f>IF($K652="","",RANK($K652,$K$6:$K$1005,1))</f>
        <v/>
      </c>
    </row>
    <row r="653" ht="15" customHeight="1" s="41">
      <c r="J653" s="57" t="b">
        <f>IF(액션아이템!$C650="",FALSE(),OR(액션아이템!$F650="진행중",액션아이템!$F650="보류"))</f>
        <v>0</v>
      </c>
      <c r="K653" s="46" t="str">
        <f>IF($J653=FALSE(),"",IF(액션아이템!$E650="",99999999,액션아이템!$E650)*100+ROW()/1000)</f>
        <v/>
      </c>
      <c r="L653" s="46" t="str">
        <f>IF($K653="","",RANK($K653,$K$6:$K$1005,1))</f>
        <v/>
      </c>
    </row>
    <row r="654" ht="15" customHeight="1" s="41">
      <c r="J654" s="57" t="b">
        <f>IF(액션아이템!$C651="",FALSE(),OR(액션아이템!$F651="진행중",액션아이템!$F651="보류"))</f>
        <v>0</v>
      </c>
      <c r="K654" s="46" t="str">
        <f>IF($J654=FALSE(),"",IF(액션아이템!$E651="",99999999,액션아이템!$E651)*100+ROW()/1000)</f>
        <v/>
      </c>
      <c r="L654" s="46" t="str">
        <f>IF($K654="","",RANK($K654,$K$6:$K$1005,1))</f>
        <v/>
      </c>
    </row>
    <row r="655" ht="15" customHeight="1" s="41">
      <c r="J655" s="57" t="b">
        <f>IF(액션아이템!$C652="",FALSE(),OR(액션아이템!$F652="진행중",액션아이템!$F652="보류"))</f>
        <v>0</v>
      </c>
      <c r="K655" s="46" t="str">
        <f>IF($J655=FALSE(),"",IF(액션아이템!$E652="",99999999,액션아이템!$E652)*100+ROW()/1000)</f>
        <v/>
      </c>
      <c r="L655" s="46" t="str">
        <f>IF($K655="","",RANK($K655,$K$6:$K$1005,1))</f>
        <v/>
      </c>
    </row>
    <row r="656" ht="15" customHeight="1" s="41">
      <c r="J656" s="57" t="b">
        <f>IF(액션아이템!$C653="",FALSE(),OR(액션아이템!$F653="진행중",액션아이템!$F653="보류"))</f>
        <v>0</v>
      </c>
      <c r="K656" s="46" t="str">
        <f>IF($J656=FALSE(),"",IF(액션아이템!$E653="",99999999,액션아이템!$E653)*100+ROW()/1000)</f>
        <v/>
      </c>
      <c r="L656" s="46" t="str">
        <f>IF($K656="","",RANK($K656,$K$6:$K$1005,1))</f>
        <v/>
      </c>
    </row>
    <row r="657" ht="15" customHeight="1" s="41">
      <c r="J657" s="57" t="b">
        <f>IF(액션아이템!$C654="",FALSE(),OR(액션아이템!$F654="진행중",액션아이템!$F654="보류"))</f>
        <v>0</v>
      </c>
      <c r="K657" s="46" t="str">
        <f>IF($J657=FALSE(),"",IF(액션아이템!$E654="",99999999,액션아이템!$E654)*100+ROW()/1000)</f>
        <v/>
      </c>
      <c r="L657" s="46" t="str">
        <f>IF($K657="","",RANK($K657,$K$6:$K$1005,1))</f>
        <v/>
      </c>
    </row>
    <row r="658" ht="15" customHeight="1" s="41">
      <c r="J658" s="57" t="b">
        <f>IF(액션아이템!$C655="",FALSE(),OR(액션아이템!$F655="진행중",액션아이템!$F655="보류"))</f>
        <v>0</v>
      </c>
      <c r="K658" s="46" t="str">
        <f>IF($J658=FALSE(),"",IF(액션아이템!$E655="",99999999,액션아이템!$E655)*100+ROW()/1000)</f>
        <v/>
      </c>
      <c r="L658" s="46" t="str">
        <f>IF($K658="","",RANK($K658,$K$6:$K$1005,1))</f>
        <v/>
      </c>
    </row>
    <row r="659" ht="15" customHeight="1" s="41">
      <c r="J659" s="57" t="b">
        <f>IF(액션아이템!$C656="",FALSE(),OR(액션아이템!$F656="진행중",액션아이템!$F656="보류"))</f>
        <v>0</v>
      </c>
      <c r="K659" s="46" t="str">
        <f>IF($J659=FALSE(),"",IF(액션아이템!$E656="",99999999,액션아이템!$E656)*100+ROW()/1000)</f>
        <v/>
      </c>
      <c r="L659" s="46" t="str">
        <f>IF($K659="","",RANK($K659,$K$6:$K$1005,1))</f>
        <v/>
      </c>
    </row>
    <row r="660" ht="15" customHeight="1" s="41">
      <c r="J660" s="57" t="b">
        <f>IF(액션아이템!$C657="",FALSE(),OR(액션아이템!$F657="진행중",액션아이템!$F657="보류"))</f>
        <v>0</v>
      </c>
      <c r="K660" s="46" t="str">
        <f>IF($J660=FALSE(),"",IF(액션아이템!$E657="",99999999,액션아이템!$E657)*100+ROW()/1000)</f>
        <v/>
      </c>
      <c r="L660" s="46" t="str">
        <f>IF($K660="","",RANK($K660,$K$6:$K$1005,1))</f>
        <v/>
      </c>
    </row>
    <row r="661" ht="15" customHeight="1" s="41">
      <c r="J661" s="57" t="b">
        <f>IF(액션아이템!$C658="",FALSE(),OR(액션아이템!$F658="진행중",액션아이템!$F658="보류"))</f>
        <v>0</v>
      </c>
      <c r="K661" s="46" t="str">
        <f>IF($J661=FALSE(),"",IF(액션아이템!$E658="",99999999,액션아이템!$E658)*100+ROW()/1000)</f>
        <v/>
      </c>
      <c r="L661" s="46" t="str">
        <f>IF($K661="","",RANK($K661,$K$6:$K$1005,1))</f>
        <v/>
      </c>
    </row>
    <row r="662" ht="15" customHeight="1" s="41">
      <c r="J662" s="57" t="b">
        <f>IF(액션아이템!$C659="",FALSE(),OR(액션아이템!$F659="진행중",액션아이템!$F659="보류"))</f>
        <v>0</v>
      </c>
      <c r="K662" s="46" t="str">
        <f>IF($J662=FALSE(),"",IF(액션아이템!$E659="",99999999,액션아이템!$E659)*100+ROW()/1000)</f>
        <v/>
      </c>
      <c r="L662" s="46" t="str">
        <f>IF($K662="","",RANK($K662,$K$6:$K$1005,1))</f>
        <v/>
      </c>
    </row>
    <row r="663" ht="15" customHeight="1" s="41">
      <c r="J663" s="57" t="b">
        <f>IF(액션아이템!$C660="",FALSE(),OR(액션아이템!$F660="진행중",액션아이템!$F660="보류"))</f>
        <v>0</v>
      </c>
      <c r="K663" s="46" t="str">
        <f>IF($J663=FALSE(),"",IF(액션아이템!$E660="",99999999,액션아이템!$E660)*100+ROW()/1000)</f>
        <v/>
      </c>
      <c r="L663" s="46" t="str">
        <f>IF($K663="","",RANK($K663,$K$6:$K$1005,1))</f>
        <v/>
      </c>
    </row>
    <row r="664" ht="15" customHeight="1" s="41">
      <c r="J664" s="57" t="b">
        <f>IF(액션아이템!$C661="",FALSE(),OR(액션아이템!$F661="진행중",액션아이템!$F661="보류"))</f>
        <v>0</v>
      </c>
      <c r="K664" s="46" t="str">
        <f>IF($J664=FALSE(),"",IF(액션아이템!$E661="",99999999,액션아이템!$E661)*100+ROW()/1000)</f>
        <v/>
      </c>
      <c r="L664" s="46" t="str">
        <f>IF($K664="","",RANK($K664,$K$6:$K$1005,1))</f>
        <v/>
      </c>
    </row>
    <row r="665" ht="15" customHeight="1" s="41">
      <c r="J665" s="57" t="b">
        <f>IF(액션아이템!$C662="",FALSE(),OR(액션아이템!$F662="진행중",액션아이템!$F662="보류"))</f>
        <v>0</v>
      </c>
      <c r="K665" s="46" t="str">
        <f>IF($J665=FALSE(),"",IF(액션아이템!$E662="",99999999,액션아이템!$E662)*100+ROW()/1000)</f>
        <v/>
      </c>
      <c r="L665" s="46" t="str">
        <f>IF($K665="","",RANK($K665,$K$6:$K$1005,1))</f>
        <v/>
      </c>
    </row>
    <row r="666" ht="15" customHeight="1" s="41">
      <c r="J666" s="57" t="b">
        <f>IF(액션아이템!$C663="",FALSE(),OR(액션아이템!$F663="진행중",액션아이템!$F663="보류"))</f>
        <v>0</v>
      </c>
      <c r="K666" s="46" t="str">
        <f>IF($J666=FALSE(),"",IF(액션아이템!$E663="",99999999,액션아이템!$E663)*100+ROW()/1000)</f>
        <v/>
      </c>
      <c r="L666" s="46" t="str">
        <f>IF($K666="","",RANK($K666,$K$6:$K$1005,1))</f>
        <v/>
      </c>
    </row>
    <row r="667" ht="15" customHeight="1" s="41">
      <c r="J667" s="57" t="b">
        <f>IF(액션아이템!$C664="",FALSE(),OR(액션아이템!$F664="진행중",액션아이템!$F664="보류"))</f>
        <v>0</v>
      </c>
      <c r="K667" s="46" t="str">
        <f>IF($J667=FALSE(),"",IF(액션아이템!$E664="",99999999,액션아이템!$E664)*100+ROW()/1000)</f>
        <v/>
      </c>
      <c r="L667" s="46" t="str">
        <f>IF($K667="","",RANK($K667,$K$6:$K$1005,1))</f>
        <v/>
      </c>
    </row>
    <row r="668" ht="15" customHeight="1" s="41">
      <c r="J668" s="57" t="b">
        <f>IF(액션아이템!$C665="",FALSE(),OR(액션아이템!$F665="진행중",액션아이템!$F665="보류"))</f>
        <v>0</v>
      </c>
      <c r="K668" s="46" t="str">
        <f>IF($J668=FALSE(),"",IF(액션아이템!$E665="",99999999,액션아이템!$E665)*100+ROW()/1000)</f>
        <v/>
      </c>
      <c r="L668" s="46" t="str">
        <f>IF($K668="","",RANK($K668,$K$6:$K$1005,1))</f>
        <v/>
      </c>
    </row>
    <row r="669" ht="15" customHeight="1" s="41">
      <c r="J669" s="57" t="b">
        <f>IF(액션아이템!$C666="",FALSE(),OR(액션아이템!$F666="진행중",액션아이템!$F666="보류"))</f>
        <v>0</v>
      </c>
      <c r="K669" s="46" t="str">
        <f>IF($J669=FALSE(),"",IF(액션아이템!$E666="",99999999,액션아이템!$E666)*100+ROW()/1000)</f>
        <v/>
      </c>
      <c r="L669" s="46" t="str">
        <f>IF($K669="","",RANK($K669,$K$6:$K$1005,1))</f>
        <v/>
      </c>
    </row>
    <row r="670" ht="15" customHeight="1" s="41">
      <c r="J670" s="57" t="b">
        <f>IF(액션아이템!$C667="",FALSE(),OR(액션아이템!$F667="진행중",액션아이템!$F667="보류"))</f>
        <v>0</v>
      </c>
      <c r="K670" s="46" t="str">
        <f>IF($J670=FALSE(),"",IF(액션아이템!$E667="",99999999,액션아이템!$E667)*100+ROW()/1000)</f>
        <v/>
      </c>
      <c r="L670" s="46" t="str">
        <f>IF($K670="","",RANK($K670,$K$6:$K$1005,1))</f>
        <v/>
      </c>
    </row>
    <row r="671" ht="15" customHeight="1" s="41">
      <c r="J671" s="57" t="b">
        <f>IF(액션아이템!$C668="",FALSE(),OR(액션아이템!$F668="진행중",액션아이템!$F668="보류"))</f>
        <v>0</v>
      </c>
      <c r="K671" s="46" t="str">
        <f>IF($J671=FALSE(),"",IF(액션아이템!$E668="",99999999,액션아이템!$E668)*100+ROW()/1000)</f>
        <v/>
      </c>
      <c r="L671" s="46" t="str">
        <f>IF($K671="","",RANK($K671,$K$6:$K$1005,1))</f>
        <v/>
      </c>
    </row>
    <row r="672" ht="15" customHeight="1" s="41">
      <c r="J672" s="57" t="b">
        <f>IF(액션아이템!$C669="",FALSE(),OR(액션아이템!$F669="진행중",액션아이템!$F669="보류"))</f>
        <v>0</v>
      </c>
      <c r="K672" s="46" t="str">
        <f>IF($J672=FALSE(),"",IF(액션아이템!$E669="",99999999,액션아이템!$E669)*100+ROW()/1000)</f>
        <v/>
      </c>
      <c r="L672" s="46" t="str">
        <f>IF($K672="","",RANK($K672,$K$6:$K$1005,1))</f>
        <v/>
      </c>
    </row>
    <row r="673" ht="15" customHeight="1" s="41">
      <c r="J673" s="57" t="b">
        <f>IF(액션아이템!$C670="",FALSE(),OR(액션아이템!$F670="진행중",액션아이템!$F670="보류"))</f>
        <v>0</v>
      </c>
      <c r="K673" s="46" t="str">
        <f>IF($J673=FALSE(),"",IF(액션아이템!$E670="",99999999,액션아이템!$E670)*100+ROW()/1000)</f>
        <v/>
      </c>
      <c r="L673" s="46" t="str">
        <f>IF($K673="","",RANK($K673,$K$6:$K$1005,1))</f>
        <v/>
      </c>
    </row>
    <row r="674" ht="15" customHeight="1" s="41">
      <c r="J674" s="57" t="b">
        <f>IF(액션아이템!$C671="",FALSE(),OR(액션아이템!$F671="진행중",액션아이템!$F671="보류"))</f>
        <v>0</v>
      </c>
      <c r="K674" s="46" t="str">
        <f>IF($J674=FALSE(),"",IF(액션아이템!$E671="",99999999,액션아이템!$E671)*100+ROW()/1000)</f>
        <v/>
      </c>
      <c r="L674" s="46" t="str">
        <f>IF($K674="","",RANK($K674,$K$6:$K$1005,1))</f>
        <v/>
      </c>
    </row>
    <row r="675" ht="15" customHeight="1" s="41">
      <c r="J675" s="57" t="b">
        <f>IF(액션아이템!$C672="",FALSE(),OR(액션아이템!$F672="진행중",액션아이템!$F672="보류"))</f>
        <v>0</v>
      </c>
      <c r="K675" s="46" t="str">
        <f>IF($J675=FALSE(),"",IF(액션아이템!$E672="",99999999,액션아이템!$E672)*100+ROW()/1000)</f>
        <v/>
      </c>
      <c r="L675" s="46" t="str">
        <f>IF($K675="","",RANK($K675,$K$6:$K$1005,1))</f>
        <v/>
      </c>
    </row>
    <row r="676" ht="15" customHeight="1" s="41">
      <c r="J676" s="57" t="b">
        <f>IF(액션아이템!$C673="",FALSE(),OR(액션아이템!$F673="진행중",액션아이템!$F673="보류"))</f>
        <v>0</v>
      </c>
      <c r="K676" s="46" t="str">
        <f>IF($J676=FALSE(),"",IF(액션아이템!$E673="",99999999,액션아이템!$E673)*100+ROW()/1000)</f>
        <v/>
      </c>
      <c r="L676" s="46" t="str">
        <f>IF($K676="","",RANK($K676,$K$6:$K$1005,1))</f>
        <v/>
      </c>
    </row>
    <row r="677" ht="15" customHeight="1" s="41">
      <c r="J677" s="57" t="b">
        <f>IF(액션아이템!$C674="",FALSE(),OR(액션아이템!$F674="진행중",액션아이템!$F674="보류"))</f>
        <v>0</v>
      </c>
      <c r="K677" s="46" t="str">
        <f>IF($J677=FALSE(),"",IF(액션아이템!$E674="",99999999,액션아이템!$E674)*100+ROW()/1000)</f>
        <v/>
      </c>
      <c r="L677" s="46" t="str">
        <f>IF($K677="","",RANK($K677,$K$6:$K$1005,1))</f>
        <v/>
      </c>
    </row>
    <row r="678" ht="15" customHeight="1" s="41">
      <c r="J678" s="57" t="b">
        <f>IF(액션아이템!$C675="",FALSE(),OR(액션아이템!$F675="진행중",액션아이템!$F675="보류"))</f>
        <v>0</v>
      </c>
      <c r="K678" s="46" t="str">
        <f>IF($J678=FALSE(),"",IF(액션아이템!$E675="",99999999,액션아이템!$E675)*100+ROW()/1000)</f>
        <v/>
      </c>
      <c r="L678" s="46" t="str">
        <f>IF($K678="","",RANK($K678,$K$6:$K$1005,1))</f>
        <v/>
      </c>
    </row>
    <row r="679" ht="15" customHeight="1" s="41">
      <c r="J679" s="57" t="b">
        <f>IF(액션아이템!$C676="",FALSE(),OR(액션아이템!$F676="진행중",액션아이템!$F676="보류"))</f>
        <v>0</v>
      </c>
      <c r="K679" s="46" t="str">
        <f>IF($J679=FALSE(),"",IF(액션아이템!$E676="",99999999,액션아이템!$E676)*100+ROW()/1000)</f>
        <v/>
      </c>
      <c r="L679" s="46" t="str">
        <f>IF($K679="","",RANK($K679,$K$6:$K$1005,1))</f>
        <v/>
      </c>
    </row>
    <row r="680" ht="15" customHeight="1" s="41">
      <c r="J680" s="57" t="b">
        <f>IF(액션아이템!$C677="",FALSE(),OR(액션아이템!$F677="진행중",액션아이템!$F677="보류"))</f>
        <v>0</v>
      </c>
      <c r="K680" s="46" t="str">
        <f>IF($J680=FALSE(),"",IF(액션아이템!$E677="",99999999,액션아이템!$E677)*100+ROW()/1000)</f>
        <v/>
      </c>
      <c r="L680" s="46" t="str">
        <f>IF($K680="","",RANK($K680,$K$6:$K$1005,1))</f>
        <v/>
      </c>
    </row>
    <row r="681" ht="15" customHeight="1" s="41">
      <c r="J681" s="57" t="b">
        <f>IF(액션아이템!$C678="",FALSE(),OR(액션아이템!$F678="진행중",액션아이템!$F678="보류"))</f>
        <v>0</v>
      </c>
      <c r="K681" s="46" t="str">
        <f>IF($J681=FALSE(),"",IF(액션아이템!$E678="",99999999,액션아이템!$E678)*100+ROW()/1000)</f>
        <v/>
      </c>
      <c r="L681" s="46" t="str">
        <f>IF($K681="","",RANK($K681,$K$6:$K$1005,1))</f>
        <v/>
      </c>
    </row>
    <row r="682" ht="15" customHeight="1" s="41">
      <c r="J682" s="57" t="b">
        <f>IF(액션아이템!$C679="",FALSE(),OR(액션아이템!$F679="진행중",액션아이템!$F679="보류"))</f>
        <v>0</v>
      </c>
      <c r="K682" s="46" t="str">
        <f>IF($J682=FALSE(),"",IF(액션아이템!$E679="",99999999,액션아이템!$E679)*100+ROW()/1000)</f>
        <v/>
      </c>
      <c r="L682" s="46" t="str">
        <f>IF($K682="","",RANK($K682,$K$6:$K$1005,1))</f>
        <v/>
      </c>
    </row>
    <row r="683" ht="15" customHeight="1" s="41">
      <c r="J683" s="57" t="b">
        <f>IF(액션아이템!$C680="",FALSE(),OR(액션아이템!$F680="진행중",액션아이템!$F680="보류"))</f>
        <v>0</v>
      </c>
      <c r="K683" s="46" t="str">
        <f>IF($J683=FALSE(),"",IF(액션아이템!$E680="",99999999,액션아이템!$E680)*100+ROW()/1000)</f>
        <v/>
      </c>
      <c r="L683" s="46" t="str">
        <f>IF($K683="","",RANK($K683,$K$6:$K$1005,1))</f>
        <v/>
      </c>
    </row>
    <row r="684" ht="15" customHeight="1" s="41">
      <c r="J684" s="57" t="b">
        <f>IF(액션아이템!$C681="",FALSE(),OR(액션아이템!$F681="진행중",액션아이템!$F681="보류"))</f>
        <v>0</v>
      </c>
      <c r="K684" s="46" t="str">
        <f>IF($J684=FALSE(),"",IF(액션아이템!$E681="",99999999,액션아이템!$E681)*100+ROW()/1000)</f>
        <v/>
      </c>
      <c r="L684" s="46" t="str">
        <f>IF($K684="","",RANK($K684,$K$6:$K$1005,1))</f>
        <v/>
      </c>
    </row>
    <row r="685" ht="15" customHeight="1" s="41">
      <c r="J685" s="57" t="b">
        <f>IF(액션아이템!$C682="",FALSE(),OR(액션아이템!$F682="진행중",액션아이템!$F682="보류"))</f>
        <v>0</v>
      </c>
      <c r="K685" s="46" t="str">
        <f>IF($J685=FALSE(),"",IF(액션아이템!$E682="",99999999,액션아이템!$E682)*100+ROW()/1000)</f>
        <v/>
      </c>
      <c r="L685" s="46" t="str">
        <f>IF($K685="","",RANK($K685,$K$6:$K$1005,1))</f>
        <v/>
      </c>
    </row>
    <row r="686" ht="15" customHeight="1" s="41">
      <c r="J686" s="57" t="b">
        <f>IF(액션아이템!$C683="",FALSE(),OR(액션아이템!$F683="진행중",액션아이템!$F683="보류"))</f>
        <v>0</v>
      </c>
      <c r="K686" s="46" t="str">
        <f>IF($J686=FALSE(),"",IF(액션아이템!$E683="",99999999,액션아이템!$E683)*100+ROW()/1000)</f>
        <v/>
      </c>
      <c r="L686" s="46" t="str">
        <f>IF($K686="","",RANK($K686,$K$6:$K$1005,1))</f>
        <v/>
      </c>
    </row>
    <row r="687" ht="15" customHeight="1" s="41">
      <c r="J687" s="57" t="b">
        <f>IF(액션아이템!$C684="",FALSE(),OR(액션아이템!$F684="진행중",액션아이템!$F684="보류"))</f>
        <v>0</v>
      </c>
      <c r="K687" s="46" t="str">
        <f>IF($J687=FALSE(),"",IF(액션아이템!$E684="",99999999,액션아이템!$E684)*100+ROW()/1000)</f>
        <v/>
      </c>
      <c r="L687" s="46" t="str">
        <f>IF($K687="","",RANK($K687,$K$6:$K$1005,1))</f>
        <v/>
      </c>
    </row>
    <row r="688" ht="15" customHeight="1" s="41">
      <c r="J688" s="57" t="b">
        <f>IF(액션아이템!$C685="",FALSE(),OR(액션아이템!$F685="진행중",액션아이템!$F685="보류"))</f>
        <v>0</v>
      </c>
      <c r="K688" s="46" t="str">
        <f>IF($J688=FALSE(),"",IF(액션아이템!$E685="",99999999,액션아이템!$E685)*100+ROW()/1000)</f>
        <v/>
      </c>
      <c r="L688" s="46" t="str">
        <f>IF($K688="","",RANK($K688,$K$6:$K$1005,1))</f>
        <v/>
      </c>
    </row>
    <row r="689" ht="15" customHeight="1" s="41">
      <c r="J689" s="57" t="b">
        <f>IF(액션아이템!$C686="",FALSE(),OR(액션아이템!$F686="진행중",액션아이템!$F686="보류"))</f>
        <v>0</v>
      </c>
      <c r="K689" s="46" t="str">
        <f>IF($J689=FALSE(),"",IF(액션아이템!$E686="",99999999,액션아이템!$E686)*100+ROW()/1000)</f>
        <v/>
      </c>
      <c r="L689" s="46" t="str">
        <f>IF($K689="","",RANK($K689,$K$6:$K$1005,1))</f>
        <v/>
      </c>
    </row>
    <row r="690" ht="15" customHeight="1" s="41">
      <c r="J690" s="57" t="b">
        <f>IF(액션아이템!$C687="",FALSE(),OR(액션아이템!$F687="진행중",액션아이템!$F687="보류"))</f>
        <v>0</v>
      </c>
      <c r="K690" s="46" t="str">
        <f>IF($J690=FALSE(),"",IF(액션아이템!$E687="",99999999,액션아이템!$E687)*100+ROW()/1000)</f>
        <v/>
      </c>
      <c r="L690" s="46" t="str">
        <f>IF($K690="","",RANK($K690,$K$6:$K$1005,1))</f>
        <v/>
      </c>
    </row>
    <row r="691" ht="15" customHeight="1" s="41">
      <c r="J691" s="57" t="b">
        <f>IF(액션아이템!$C688="",FALSE(),OR(액션아이템!$F688="진행중",액션아이템!$F688="보류"))</f>
        <v>0</v>
      </c>
      <c r="K691" s="46" t="str">
        <f>IF($J691=FALSE(),"",IF(액션아이템!$E688="",99999999,액션아이템!$E688)*100+ROW()/1000)</f>
        <v/>
      </c>
      <c r="L691" s="46" t="str">
        <f>IF($K691="","",RANK($K691,$K$6:$K$1005,1))</f>
        <v/>
      </c>
    </row>
    <row r="692" ht="15" customHeight="1" s="41">
      <c r="J692" s="57" t="b">
        <f>IF(액션아이템!$C689="",FALSE(),OR(액션아이템!$F689="진행중",액션아이템!$F689="보류"))</f>
        <v>0</v>
      </c>
      <c r="K692" s="46" t="str">
        <f>IF($J692=FALSE(),"",IF(액션아이템!$E689="",99999999,액션아이템!$E689)*100+ROW()/1000)</f>
        <v/>
      </c>
      <c r="L692" s="46" t="str">
        <f>IF($K692="","",RANK($K692,$K$6:$K$1005,1))</f>
        <v/>
      </c>
    </row>
    <row r="693" ht="15" customHeight="1" s="41">
      <c r="J693" s="57" t="b">
        <f>IF(액션아이템!$C690="",FALSE(),OR(액션아이템!$F690="진행중",액션아이템!$F690="보류"))</f>
        <v>0</v>
      </c>
      <c r="K693" s="46" t="str">
        <f>IF($J693=FALSE(),"",IF(액션아이템!$E690="",99999999,액션아이템!$E690)*100+ROW()/1000)</f>
        <v/>
      </c>
      <c r="L693" s="46" t="str">
        <f>IF($K693="","",RANK($K693,$K$6:$K$1005,1))</f>
        <v/>
      </c>
    </row>
    <row r="694" ht="15" customHeight="1" s="41">
      <c r="J694" s="57" t="b">
        <f>IF(액션아이템!$C691="",FALSE(),OR(액션아이템!$F691="진행중",액션아이템!$F691="보류"))</f>
        <v>0</v>
      </c>
      <c r="K694" s="46" t="str">
        <f>IF($J694=FALSE(),"",IF(액션아이템!$E691="",99999999,액션아이템!$E691)*100+ROW()/1000)</f>
        <v/>
      </c>
      <c r="L694" s="46" t="str">
        <f>IF($K694="","",RANK($K694,$K$6:$K$1005,1))</f>
        <v/>
      </c>
    </row>
    <row r="695" ht="15" customHeight="1" s="41">
      <c r="J695" s="57" t="b">
        <f>IF(액션아이템!$C692="",FALSE(),OR(액션아이템!$F692="진행중",액션아이템!$F692="보류"))</f>
        <v>0</v>
      </c>
      <c r="K695" s="46" t="str">
        <f>IF($J695=FALSE(),"",IF(액션아이템!$E692="",99999999,액션아이템!$E692)*100+ROW()/1000)</f>
        <v/>
      </c>
      <c r="L695" s="46" t="str">
        <f>IF($K695="","",RANK($K695,$K$6:$K$1005,1))</f>
        <v/>
      </c>
    </row>
    <row r="696" ht="15" customHeight="1" s="41">
      <c r="J696" s="57" t="b">
        <f>IF(액션아이템!$C693="",FALSE(),OR(액션아이템!$F693="진행중",액션아이템!$F693="보류"))</f>
        <v>0</v>
      </c>
      <c r="K696" s="46" t="str">
        <f>IF($J696=FALSE(),"",IF(액션아이템!$E693="",99999999,액션아이템!$E693)*100+ROW()/1000)</f>
        <v/>
      </c>
      <c r="L696" s="46" t="str">
        <f>IF($K696="","",RANK($K696,$K$6:$K$1005,1))</f>
        <v/>
      </c>
    </row>
    <row r="697" ht="15" customHeight="1" s="41">
      <c r="J697" s="57" t="b">
        <f>IF(액션아이템!$C694="",FALSE(),OR(액션아이템!$F694="진행중",액션아이템!$F694="보류"))</f>
        <v>0</v>
      </c>
      <c r="K697" s="46" t="str">
        <f>IF($J697=FALSE(),"",IF(액션아이템!$E694="",99999999,액션아이템!$E694)*100+ROW()/1000)</f>
        <v/>
      </c>
      <c r="L697" s="46" t="str">
        <f>IF($K697="","",RANK($K697,$K$6:$K$1005,1))</f>
        <v/>
      </c>
    </row>
    <row r="698" ht="15" customHeight="1" s="41">
      <c r="J698" s="57" t="b">
        <f>IF(액션아이템!$C695="",FALSE(),OR(액션아이템!$F695="진행중",액션아이템!$F695="보류"))</f>
        <v>0</v>
      </c>
      <c r="K698" s="46" t="str">
        <f>IF($J698=FALSE(),"",IF(액션아이템!$E695="",99999999,액션아이템!$E695)*100+ROW()/1000)</f>
        <v/>
      </c>
      <c r="L698" s="46" t="str">
        <f>IF($K698="","",RANK($K698,$K$6:$K$1005,1))</f>
        <v/>
      </c>
    </row>
    <row r="699" ht="15" customHeight="1" s="41">
      <c r="J699" s="57" t="b">
        <f>IF(액션아이템!$C696="",FALSE(),OR(액션아이템!$F696="진행중",액션아이템!$F696="보류"))</f>
        <v>0</v>
      </c>
      <c r="K699" s="46" t="str">
        <f>IF($J699=FALSE(),"",IF(액션아이템!$E696="",99999999,액션아이템!$E696)*100+ROW()/1000)</f>
        <v/>
      </c>
      <c r="L699" s="46" t="str">
        <f>IF($K699="","",RANK($K699,$K$6:$K$1005,1))</f>
        <v/>
      </c>
    </row>
    <row r="700" ht="15" customHeight="1" s="41">
      <c r="J700" s="57" t="b">
        <f>IF(액션아이템!$C697="",FALSE(),OR(액션아이템!$F697="진행중",액션아이템!$F697="보류"))</f>
        <v>0</v>
      </c>
      <c r="K700" s="46" t="str">
        <f>IF($J700=FALSE(),"",IF(액션아이템!$E697="",99999999,액션아이템!$E697)*100+ROW()/1000)</f>
        <v/>
      </c>
      <c r="L700" s="46" t="str">
        <f>IF($K700="","",RANK($K700,$K$6:$K$1005,1))</f>
        <v/>
      </c>
    </row>
    <row r="701" ht="15" customHeight="1" s="41">
      <c r="J701" s="57" t="b">
        <f>IF(액션아이템!$C698="",FALSE(),OR(액션아이템!$F698="진행중",액션아이템!$F698="보류"))</f>
        <v>0</v>
      </c>
      <c r="K701" s="46" t="str">
        <f>IF($J701=FALSE(),"",IF(액션아이템!$E698="",99999999,액션아이템!$E698)*100+ROW()/1000)</f>
        <v/>
      </c>
      <c r="L701" s="46" t="str">
        <f>IF($K701="","",RANK($K701,$K$6:$K$1005,1))</f>
        <v/>
      </c>
    </row>
    <row r="702" ht="15" customHeight="1" s="41">
      <c r="J702" s="57" t="b">
        <f>IF(액션아이템!$C699="",FALSE(),OR(액션아이템!$F699="진행중",액션아이템!$F699="보류"))</f>
        <v>0</v>
      </c>
      <c r="K702" s="46" t="str">
        <f>IF($J702=FALSE(),"",IF(액션아이템!$E699="",99999999,액션아이템!$E699)*100+ROW()/1000)</f>
        <v/>
      </c>
      <c r="L702" s="46" t="str">
        <f>IF($K702="","",RANK($K702,$K$6:$K$1005,1))</f>
        <v/>
      </c>
    </row>
    <row r="703" ht="15" customHeight="1" s="41">
      <c r="J703" s="57" t="b">
        <f>IF(액션아이템!$C700="",FALSE(),OR(액션아이템!$F700="진행중",액션아이템!$F700="보류"))</f>
        <v>0</v>
      </c>
      <c r="K703" s="46" t="str">
        <f>IF($J703=FALSE(),"",IF(액션아이템!$E700="",99999999,액션아이템!$E700)*100+ROW()/1000)</f>
        <v/>
      </c>
      <c r="L703" s="46" t="str">
        <f>IF($K703="","",RANK($K703,$K$6:$K$1005,1))</f>
        <v/>
      </c>
    </row>
    <row r="704" ht="15" customHeight="1" s="41">
      <c r="J704" s="57" t="b">
        <f>IF(액션아이템!$C701="",FALSE(),OR(액션아이템!$F701="진행중",액션아이템!$F701="보류"))</f>
        <v>0</v>
      </c>
      <c r="K704" s="46" t="str">
        <f>IF($J704=FALSE(),"",IF(액션아이템!$E701="",99999999,액션아이템!$E701)*100+ROW()/1000)</f>
        <v/>
      </c>
      <c r="L704" s="46" t="str">
        <f>IF($K704="","",RANK($K704,$K$6:$K$1005,1))</f>
        <v/>
      </c>
    </row>
    <row r="705" ht="15" customHeight="1" s="41">
      <c r="J705" s="57" t="b">
        <f>IF(액션아이템!$C702="",FALSE(),OR(액션아이템!$F702="진행중",액션아이템!$F702="보류"))</f>
        <v>0</v>
      </c>
      <c r="K705" s="46" t="str">
        <f>IF($J705=FALSE(),"",IF(액션아이템!$E702="",99999999,액션아이템!$E702)*100+ROW()/1000)</f>
        <v/>
      </c>
      <c r="L705" s="46" t="str">
        <f>IF($K705="","",RANK($K705,$K$6:$K$1005,1))</f>
        <v/>
      </c>
    </row>
    <row r="706" ht="15" customHeight="1" s="41">
      <c r="J706" s="57" t="b">
        <f>IF(액션아이템!$C703="",FALSE(),OR(액션아이템!$F703="진행중",액션아이템!$F703="보류"))</f>
        <v>0</v>
      </c>
      <c r="K706" s="46" t="str">
        <f>IF($J706=FALSE(),"",IF(액션아이템!$E703="",99999999,액션아이템!$E703)*100+ROW()/1000)</f>
        <v/>
      </c>
      <c r="L706" s="46" t="str">
        <f>IF($K706="","",RANK($K706,$K$6:$K$1005,1))</f>
        <v/>
      </c>
    </row>
    <row r="707" ht="15" customHeight="1" s="41">
      <c r="J707" s="57" t="b">
        <f>IF(액션아이템!$C704="",FALSE(),OR(액션아이템!$F704="진행중",액션아이템!$F704="보류"))</f>
        <v>0</v>
      </c>
      <c r="K707" s="46" t="str">
        <f>IF($J707=FALSE(),"",IF(액션아이템!$E704="",99999999,액션아이템!$E704)*100+ROW()/1000)</f>
        <v/>
      </c>
      <c r="L707" s="46" t="str">
        <f>IF($K707="","",RANK($K707,$K$6:$K$1005,1))</f>
        <v/>
      </c>
    </row>
    <row r="708" ht="15" customHeight="1" s="41">
      <c r="J708" s="57" t="b">
        <f>IF(액션아이템!$C705="",FALSE(),OR(액션아이템!$F705="진행중",액션아이템!$F705="보류"))</f>
        <v>0</v>
      </c>
      <c r="K708" s="46" t="str">
        <f>IF($J708=FALSE(),"",IF(액션아이템!$E705="",99999999,액션아이템!$E705)*100+ROW()/1000)</f>
        <v/>
      </c>
      <c r="L708" s="46" t="str">
        <f>IF($K708="","",RANK($K708,$K$6:$K$1005,1))</f>
        <v/>
      </c>
    </row>
    <row r="709" ht="15" customHeight="1" s="41">
      <c r="J709" s="57" t="b">
        <f>IF(액션아이템!$C706="",FALSE(),OR(액션아이템!$F706="진행중",액션아이템!$F706="보류"))</f>
        <v>0</v>
      </c>
      <c r="K709" s="46" t="str">
        <f>IF($J709=FALSE(),"",IF(액션아이템!$E706="",99999999,액션아이템!$E706)*100+ROW()/1000)</f>
        <v/>
      </c>
      <c r="L709" s="46" t="str">
        <f>IF($K709="","",RANK($K709,$K$6:$K$1005,1))</f>
        <v/>
      </c>
    </row>
    <row r="710" ht="15" customHeight="1" s="41">
      <c r="J710" s="57" t="b">
        <f>IF(액션아이템!$C707="",FALSE(),OR(액션아이템!$F707="진행중",액션아이템!$F707="보류"))</f>
        <v>0</v>
      </c>
      <c r="K710" s="46" t="str">
        <f>IF($J710=FALSE(),"",IF(액션아이템!$E707="",99999999,액션아이템!$E707)*100+ROW()/1000)</f>
        <v/>
      </c>
      <c r="L710" s="46" t="str">
        <f>IF($K710="","",RANK($K710,$K$6:$K$1005,1))</f>
        <v/>
      </c>
    </row>
    <row r="711" ht="15" customHeight="1" s="41">
      <c r="J711" s="57" t="b">
        <f>IF(액션아이템!$C708="",FALSE(),OR(액션아이템!$F708="진행중",액션아이템!$F708="보류"))</f>
        <v>0</v>
      </c>
      <c r="K711" s="46" t="str">
        <f>IF($J711=FALSE(),"",IF(액션아이템!$E708="",99999999,액션아이템!$E708)*100+ROW()/1000)</f>
        <v/>
      </c>
      <c r="L711" s="46" t="str">
        <f>IF($K711="","",RANK($K711,$K$6:$K$1005,1))</f>
        <v/>
      </c>
    </row>
    <row r="712" ht="15" customHeight="1" s="41">
      <c r="J712" s="57" t="b">
        <f>IF(액션아이템!$C709="",FALSE(),OR(액션아이템!$F709="진행중",액션아이템!$F709="보류"))</f>
        <v>0</v>
      </c>
      <c r="K712" s="46" t="str">
        <f>IF($J712=FALSE(),"",IF(액션아이템!$E709="",99999999,액션아이템!$E709)*100+ROW()/1000)</f>
        <v/>
      </c>
      <c r="L712" s="46" t="str">
        <f>IF($K712="","",RANK($K712,$K$6:$K$1005,1))</f>
        <v/>
      </c>
    </row>
    <row r="713" ht="15" customHeight="1" s="41">
      <c r="J713" s="57" t="b">
        <f>IF(액션아이템!$C710="",FALSE(),OR(액션아이템!$F710="진행중",액션아이템!$F710="보류"))</f>
        <v>0</v>
      </c>
      <c r="K713" s="46" t="str">
        <f>IF($J713=FALSE(),"",IF(액션아이템!$E710="",99999999,액션아이템!$E710)*100+ROW()/1000)</f>
        <v/>
      </c>
      <c r="L713" s="46" t="str">
        <f>IF($K713="","",RANK($K713,$K$6:$K$1005,1))</f>
        <v/>
      </c>
    </row>
    <row r="714" ht="15" customHeight="1" s="41">
      <c r="J714" s="57" t="b">
        <f>IF(액션아이템!$C711="",FALSE(),OR(액션아이템!$F711="진행중",액션아이템!$F711="보류"))</f>
        <v>0</v>
      </c>
      <c r="K714" s="46" t="str">
        <f>IF($J714=FALSE(),"",IF(액션아이템!$E711="",99999999,액션아이템!$E711)*100+ROW()/1000)</f>
        <v/>
      </c>
      <c r="L714" s="46" t="str">
        <f>IF($K714="","",RANK($K714,$K$6:$K$1005,1))</f>
        <v/>
      </c>
    </row>
    <row r="715" ht="15" customHeight="1" s="41">
      <c r="J715" s="57" t="b">
        <f>IF(액션아이템!$C712="",FALSE(),OR(액션아이템!$F712="진행중",액션아이템!$F712="보류"))</f>
        <v>0</v>
      </c>
      <c r="K715" s="46" t="str">
        <f>IF($J715=FALSE(),"",IF(액션아이템!$E712="",99999999,액션아이템!$E712)*100+ROW()/1000)</f>
        <v/>
      </c>
      <c r="L715" s="46" t="str">
        <f>IF($K715="","",RANK($K715,$K$6:$K$1005,1))</f>
        <v/>
      </c>
    </row>
    <row r="716" ht="15" customHeight="1" s="41">
      <c r="J716" s="57" t="b">
        <f>IF(액션아이템!$C713="",FALSE(),OR(액션아이템!$F713="진행중",액션아이템!$F713="보류"))</f>
        <v>0</v>
      </c>
      <c r="K716" s="46" t="str">
        <f>IF($J716=FALSE(),"",IF(액션아이템!$E713="",99999999,액션아이템!$E713)*100+ROW()/1000)</f>
        <v/>
      </c>
      <c r="L716" s="46" t="str">
        <f>IF($K716="","",RANK($K716,$K$6:$K$1005,1))</f>
        <v/>
      </c>
    </row>
    <row r="717" ht="15" customHeight="1" s="41">
      <c r="J717" s="57" t="b">
        <f>IF(액션아이템!$C714="",FALSE(),OR(액션아이템!$F714="진행중",액션아이템!$F714="보류"))</f>
        <v>0</v>
      </c>
      <c r="K717" s="46" t="str">
        <f>IF($J717=FALSE(),"",IF(액션아이템!$E714="",99999999,액션아이템!$E714)*100+ROW()/1000)</f>
        <v/>
      </c>
      <c r="L717" s="46" t="str">
        <f>IF($K717="","",RANK($K717,$K$6:$K$1005,1))</f>
        <v/>
      </c>
    </row>
    <row r="718" ht="15" customHeight="1" s="41">
      <c r="J718" s="57" t="b">
        <f>IF(액션아이템!$C715="",FALSE(),OR(액션아이템!$F715="진행중",액션아이템!$F715="보류"))</f>
        <v>0</v>
      </c>
      <c r="K718" s="46" t="str">
        <f>IF($J718=FALSE(),"",IF(액션아이템!$E715="",99999999,액션아이템!$E715)*100+ROW()/1000)</f>
        <v/>
      </c>
      <c r="L718" s="46" t="str">
        <f>IF($K718="","",RANK($K718,$K$6:$K$1005,1))</f>
        <v/>
      </c>
    </row>
    <row r="719" ht="15" customHeight="1" s="41">
      <c r="J719" s="57" t="b">
        <f>IF(액션아이템!$C716="",FALSE(),OR(액션아이템!$F716="진행중",액션아이템!$F716="보류"))</f>
        <v>0</v>
      </c>
      <c r="K719" s="46" t="str">
        <f>IF($J719=FALSE(),"",IF(액션아이템!$E716="",99999999,액션아이템!$E716)*100+ROW()/1000)</f>
        <v/>
      </c>
      <c r="L719" s="46" t="str">
        <f>IF($K719="","",RANK($K719,$K$6:$K$1005,1))</f>
        <v/>
      </c>
    </row>
    <row r="720" ht="15" customHeight="1" s="41">
      <c r="J720" s="57" t="b">
        <f>IF(액션아이템!$C717="",FALSE(),OR(액션아이템!$F717="진행중",액션아이템!$F717="보류"))</f>
        <v>0</v>
      </c>
      <c r="K720" s="46" t="str">
        <f>IF($J720=FALSE(),"",IF(액션아이템!$E717="",99999999,액션아이템!$E717)*100+ROW()/1000)</f>
        <v/>
      </c>
      <c r="L720" s="46" t="str">
        <f>IF($K720="","",RANK($K720,$K$6:$K$1005,1))</f>
        <v/>
      </c>
    </row>
    <row r="721" ht="15" customHeight="1" s="41">
      <c r="J721" s="57" t="b">
        <f>IF(액션아이템!$C718="",FALSE(),OR(액션아이템!$F718="진행중",액션아이템!$F718="보류"))</f>
        <v>0</v>
      </c>
      <c r="K721" s="46" t="str">
        <f>IF($J721=FALSE(),"",IF(액션아이템!$E718="",99999999,액션아이템!$E718)*100+ROW()/1000)</f>
        <v/>
      </c>
      <c r="L721" s="46" t="str">
        <f>IF($K721="","",RANK($K721,$K$6:$K$1005,1))</f>
        <v/>
      </c>
    </row>
    <row r="722" ht="15" customHeight="1" s="41">
      <c r="J722" s="57" t="b">
        <f>IF(액션아이템!$C719="",FALSE(),OR(액션아이템!$F719="진행중",액션아이템!$F719="보류"))</f>
        <v>0</v>
      </c>
      <c r="K722" s="46" t="str">
        <f>IF($J722=FALSE(),"",IF(액션아이템!$E719="",99999999,액션아이템!$E719)*100+ROW()/1000)</f>
        <v/>
      </c>
      <c r="L722" s="46" t="str">
        <f>IF($K722="","",RANK($K722,$K$6:$K$1005,1))</f>
        <v/>
      </c>
    </row>
    <row r="723" ht="15" customHeight="1" s="41">
      <c r="J723" s="57" t="b">
        <f>IF(액션아이템!$C720="",FALSE(),OR(액션아이템!$F720="진행중",액션아이템!$F720="보류"))</f>
        <v>0</v>
      </c>
      <c r="K723" s="46" t="str">
        <f>IF($J723=FALSE(),"",IF(액션아이템!$E720="",99999999,액션아이템!$E720)*100+ROW()/1000)</f>
        <v/>
      </c>
      <c r="L723" s="46" t="str">
        <f>IF($K723="","",RANK($K723,$K$6:$K$1005,1))</f>
        <v/>
      </c>
    </row>
    <row r="724" ht="15" customHeight="1" s="41">
      <c r="J724" s="57" t="b">
        <f>IF(액션아이템!$C721="",FALSE(),OR(액션아이템!$F721="진행중",액션아이템!$F721="보류"))</f>
        <v>0</v>
      </c>
      <c r="K724" s="46" t="str">
        <f>IF($J724=FALSE(),"",IF(액션아이템!$E721="",99999999,액션아이템!$E721)*100+ROW()/1000)</f>
        <v/>
      </c>
      <c r="L724" s="46" t="str">
        <f>IF($K724="","",RANK($K724,$K$6:$K$1005,1))</f>
        <v/>
      </c>
    </row>
    <row r="725" ht="15" customHeight="1" s="41">
      <c r="J725" s="57" t="b">
        <f>IF(액션아이템!$C722="",FALSE(),OR(액션아이템!$F722="진행중",액션아이템!$F722="보류"))</f>
        <v>0</v>
      </c>
      <c r="K725" s="46" t="str">
        <f>IF($J725=FALSE(),"",IF(액션아이템!$E722="",99999999,액션아이템!$E722)*100+ROW()/1000)</f>
        <v/>
      </c>
      <c r="L725" s="46" t="str">
        <f>IF($K725="","",RANK($K725,$K$6:$K$1005,1))</f>
        <v/>
      </c>
    </row>
    <row r="726" ht="15" customHeight="1" s="41">
      <c r="J726" s="57" t="b">
        <f>IF(액션아이템!$C723="",FALSE(),OR(액션아이템!$F723="진행중",액션아이템!$F723="보류"))</f>
        <v>0</v>
      </c>
      <c r="K726" s="46" t="str">
        <f>IF($J726=FALSE(),"",IF(액션아이템!$E723="",99999999,액션아이템!$E723)*100+ROW()/1000)</f>
        <v/>
      </c>
      <c r="L726" s="46" t="str">
        <f>IF($K726="","",RANK($K726,$K$6:$K$1005,1))</f>
        <v/>
      </c>
    </row>
    <row r="727" ht="15" customHeight="1" s="41">
      <c r="J727" s="57" t="b">
        <f>IF(액션아이템!$C724="",FALSE(),OR(액션아이템!$F724="진행중",액션아이템!$F724="보류"))</f>
        <v>0</v>
      </c>
      <c r="K727" s="46" t="str">
        <f>IF($J727=FALSE(),"",IF(액션아이템!$E724="",99999999,액션아이템!$E724)*100+ROW()/1000)</f>
        <v/>
      </c>
      <c r="L727" s="46" t="str">
        <f>IF($K727="","",RANK($K727,$K$6:$K$1005,1))</f>
        <v/>
      </c>
    </row>
    <row r="728" ht="15" customHeight="1" s="41">
      <c r="J728" s="57" t="b">
        <f>IF(액션아이템!$C725="",FALSE(),OR(액션아이템!$F725="진행중",액션아이템!$F725="보류"))</f>
        <v>0</v>
      </c>
      <c r="K728" s="46" t="str">
        <f>IF($J728=FALSE(),"",IF(액션아이템!$E725="",99999999,액션아이템!$E725)*100+ROW()/1000)</f>
        <v/>
      </c>
      <c r="L728" s="46" t="str">
        <f>IF($K728="","",RANK($K728,$K$6:$K$1005,1))</f>
        <v/>
      </c>
    </row>
    <row r="729" ht="15" customHeight="1" s="41">
      <c r="J729" s="57" t="b">
        <f>IF(액션아이템!$C726="",FALSE(),OR(액션아이템!$F726="진행중",액션아이템!$F726="보류"))</f>
        <v>0</v>
      </c>
      <c r="K729" s="46" t="str">
        <f>IF($J729=FALSE(),"",IF(액션아이템!$E726="",99999999,액션아이템!$E726)*100+ROW()/1000)</f>
        <v/>
      </c>
      <c r="L729" s="46" t="str">
        <f>IF($K729="","",RANK($K729,$K$6:$K$1005,1))</f>
        <v/>
      </c>
    </row>
    <row r="730" ht="15" customHeight="1" s="41">
      <c r="J730" s="57" t="b">
        <f>IF(액션아이템!$C727="",FALSE(),OR(액션아이템!$F727="진행중",액션아이템!$F727="보류"))</f>
        <v>0</v>
      </c>
      <c r="K730" s="46" t="str">
        <f>IF($J730=FALSE(),"",IF(액션아이템!$E727="",99999999,액션아이템!$E727)*100+ROW()/1000)</f>
        <v/>
      </c>
      <c r="L730" s="46" t="str">
        <f>IF($K730="","",RANK($K730,$K$6:$K$1005,1))</f>
        <v/>
      </c>
    </row>
    <row r="731" ht="15" customHeight="1" s="41">
      <c r="J731" s="57" t="b">
        <f>IF(액션아이템!$C728="",FALSE(),OR(액션아이템!$F728="진행중",액션아이템!$F728="보류"))</f>
        <v>0</v>
      </c>
      <c r="K731" s="46" t="str">
        <f>IF($J731=FALSE(),"",IF(액션아이템!$E728="",99999999,액션아이템!$E728)*100+ROW()/1000)</f>
        <v/>
      </c>
      <c r="L731" s="46" t="str">
        <f>IF($K731="","",RANK($K731,$K$6:$K$1005,1))</f>
        <v/>
      </c>
    </row>
    <row r="732" ht="15" customHeight="1" s="41">
      <c r="J732" s="57" t="b">
        <f>IF(액션아이템!$C729="",FALSE(),OR(액션아이템!$F729="진행중",액션아이템!$F729="보류"))</f>
        <v>0</v>
      </c>
      <c r="K732" s="46" t="str">
        <f>IF($J732=FALSE(),"",IF(액션아이템!$E729="",99999999,액션아이템!$E729)*100+ROW()/1000)</f>
        <v/>
      </c>
      <c r="L732" s="46" t="str">
        <f>IF($K732="","",RANK($K732,$K$6:$K$1005,1))</f>
        <v/>
      </c>
    </row>
    <row r="733" ht="15" customHeight="1" s="41">
      <c r="J733" s="57" t="b">
        <f>IF(액션아이템!$C730="",FALSE(),OR(액션아이템!$F730="진행중",액션아이템!$F730="보류"))</f>
        <v>0</v>
      </c>
      <c r="K733" s="46" t="str">
        <f>IF($J733=FALSE(),"",IF(액션아이템!$E730="",99999999,액션아이템!$E730)*100+ROW()/1000)</f>
        <v/>
      </c>
      <c r="L733" s="46" t="str">
        <f>IF($K733="","",RANK($K733,$K$6:$K$1005,1))</f>
        <v/>
      </c>
    </row>
    <row r="734" ht="15" customHeight="1" s="41">
      <c r="J734" s="57" t="b">
        <f>IF(액션아이템!$C731="",FALSE(),OR(액션아이템!$F731="진행중",액션아이템!$F731="보류"))</f>
        <v>0</v>
      </c>
      <c r="K734" s="46" t="str">
        <f>IF($J734=FALSE(),"",IF(액션아이템!$E731="",99999999,액션아이템!$E731)*100+ROW()/1000)</f>
        <v/>
      </c>
      <c r="L734" s="46" t="str">
        <f>IF($K734="","",RANK($K734,$K$6:$K$1005,1))</f>
        <v/>
      </c>
    </row>
    <row r="735" ht="15" customHeight="1" s="41">
      <c r="J735" s="57" t="b">
        <f>IF(액션아이템!$C732="",FALSE(),OR(액션아이템!$F732="진행중",액션아이템!$F732="보류"))</f>
        <v>0</v>
      </c>
      <c r="K735" s="46" t="str">
        <f>IF($J735=FALSE(),"",IF(액션아이템!$E732="",99999999,액션아이템!$E732)*100+ROW()/1000)</f>
        <v/>
      </c>
      <c r="L735" s="46" t="str">
        <f>IF($K735="","",RANK($K735,$K$6:$K$1005,1))</f>
        <v/>
      </c>
    </row>
    <row r="736" ht="15" customHeight="1" s="41">
      <c r="J736" s="57" t="b">
        <f>IF(액션아이템!$C733="",FALSE(),OR(액션아이템!$F733="진행중",액션아이템!$F733="보류"))</f>
        <v>0</v>
      </c>
      <c r="K736" s="46" t="str">
        <f>IF($J736=FALSE(),"",IF(액션아이템!$E733="",99999999,액션아이템!$E733)*100+ROW()/1000)</f>
        <v/>
      </c>
      <c r="L736" s="46" t="str">
        <f>IF($K736="","",RANK($K736,$K$6:$K$1005,1))</f>
        <v/>
      </c>
    </row>
    <row r="737" ht="15" customHeight="1" s="41">
      <c r="J737" s="57" t="b">
        <f>IF(액션아이템!$C734="",FALSE(),OR(액션아이템!$F734="진행중",액션아이템!$F734="보류"))</f>
        <v>0</v>
      </c>
      <c r="K737" s="46" t="str">
        <f>IF($J737=FALSE(),"",IF(액션아이템!$E734="",99999999,액션아이템!$E734)*100+ROW()/1000)</f>
        <v/>
      </c>
      <c r="L737" s="46" t="str">
        <f>IF($K737="","",RANK($K737,$K$6:$K$1005,1))</f>
        <v/>
      </c>
    </row>
    <row r="738" ht="15" customHeight="1" s="41">
      <c r="J738" s="57" t="b">
        <f>IF(액션아이템!$C735="",FALSE(),OR(액션아이템!$F735="진행중",액션아이템!$F735="보류"))</f>
        <v>0</v>
      </c>
      <c r="K738" s="46" t="str">
        <f>IF($J738=FALSE(),"",IF(액션아이템!$E735="",99999999,액션아이템!$E735)*100+ROW()/1000)</f>
        <v/>
      </c>
      <c r="L738" s="46" t="str">
        <f>IF($K738="","",RANK($K738,$K$6:$K$1005,1))</f>
        <v/>
      </c>
    </row>
    <row r="739" ht="15" customHeight="1" s="41">
      <c r="J739" s="57" t="b">
        <f>IF(액션아이템!$C736="",FALSE(),OR(액션아이템!$F736="진행중",액션아이템!$F736="보류"))</f>
        <v>0</v>
      </c>
      <c r="K739" s="46" t="str">
        <f>IF($J739=FALSE(),"",IF(액션아이템!$E736="",99999999,액션아이템!$E736)*100+ROW()/1000)</f>
        <v/>
      </c>
      <c r="L739" s="46" t="str">
        <f>IF($K739="","",RANK($K739,$K$6:$K$1005,1))</f>
        <v/>
      </c>
    </row>
    <row r="740" ht="15" customHeight="1" s="41">
      <c r="J740" s="57" t="b">
        <f>IF(액션아이템!$C737="",FALSE(),OR(액션아이템!$F737="진행중",액션아이템!$F737="보류"))</f>
        <v>0</v>
      </c>
      <c r="K740" s="46" t="str">
        <f>IF($J740=FALSE(),"",IF(액션아이템!$E737="",99999999,액션아이템!$E737)*100+ROW()/1000)</f>
        <v/>
      </c>
      <c r="L740" s="46" t="str">
        <f>IF($K740="","",RANK($K740,$K$6:$K$1005,1))</f>
        <v/>
      </c>
    </row>
    <row r="741" ht="15" customHeight="1" s="41">
      <c r="J741" s="57" t="b">
        <f>IF(액션아이템!$C738="",FALSE(),OR(액션아이템!$F738="진행중",액션아이템!$F738="보류"))</f>
        <v>0</v>
      </c>
      <c r="K741" s="46" t="str">
        <f>IF($J741=FALSE(),"",IF(액션아이템!$E738="",99999999,액션아이템!$E738)*100+ROW()/1000)</f>
        <v/>
      </c>
      <c r="L741" s="46" t="str">
        <f>IF($K741="","",RANK($K741,$K$6:$K$1005,1))</f>
        <v/>
      </c>
    </row>
    <row r="742" ht="15" customHeight="1" s="41">
      <c r="J742" s="57" t="b">
        <f>IF(액션아이템!$C739="",FALSE(),OR(액션아이템!$F739="진행중",액션아이템!$F739="보류"))</f>
        <v>0</v>
      </c>
      <c r="K742" s="46" t="str">
        <f>IF($J742=FALSE(),"",IF(액션아이템!$E739="",99999999,액션아이템!$E739)*100+ROW()/1000)</f>
        <v/>
      </c>
      <c r="L742" s="46" t="str">
        <f>IF($K742="","",RANK($K742,$K$6:$K$1005,1))</f>
        <v/>
      </c>
    </row>
    <row r="743" ht="15" customHeight="1" s="41">
      <c r="J743" s="57" t="b">
        <f>IF(액션아이템!$C740="",FALSE(),OR(액션아이템!$F740="진행중",액션아이템!$F740="보류"))</f>
        <v>0</v>
      </c>
      <c r="K743" s="46" t="str">
        <f>IF($J743=FALSE(),"",IF(액션아이템!$E740="",99999999,액션아이템!$E740)*100+ROW()/1000)</f>
        <v/>
      </c>
      <c r="L743" s="46" t="str">
        <f>IF($K743="","",RANK($K743,$K$6:$K$1005,1))</f>
        <v/>
      </c>
    </row>
    <row r="744" ht="15" customHeight="1" s="41">
      <c r="J744" s="57" t="b">
        <f>IF(액션아이템!$C741="",FALSE(),OR(액션아이템!$F741="진행중",액션아이템!$F741="보류"))</f>
        <v>0</v>
      </c>
      <c r="K744" s="46" t="str">
        <f>IF($J744=FALSE(),"",IF(액션아이템!$E741="",99999999,액션아이템!$E741)*100+ROW()/1000)</f>
        <v/>
      </c>
      <c r="L744" s="46" t="str">
        <f>IF($K744="","",RANK($K744,$K$6:$K$1005,1))</f>
        <v/>
      </c>
    </row>
    <row r="745" ht="15" customHeight="1" s="41">
      <c r="J745" s="57" t="b">
        <f>IF(액션아이템!$C742="",FALSE(),OR(액션아이템!$F742="진행중",액션아이템!$F742="보류"))</f>
        <v>0</v>
      </c>
      <c r="K745" s="46" t="str">
        <f>IF($J745=FALSE(),"",IF(액션아이템!$E742="",99999999,액션아이템!$E742)*100+ROW()/1000)</f>
        <v/>
      </c>
      <c r="L745" s="46" t="str">
        <f>IF($K745="","",RANK($K745,$K$6:$K$1005,1))</f>
        <v/>
      </c>
    </row>
    <row r="746" ht="15" customHeight="1" s="41">
      <c r="J746" s="57" t="b">
        <f>IF(액션아이템!$C743="",FALSE(),OR(액션아이템!$F743="진행중",액션아이템!$F743="보류"))</f>
        <v>0</v>
      </c>
      <c r="K746" s="46" t="str">
        <f>IF($J746=FALSE(),"",IF(액션아이템!$E743="",99999999,액션아이템!$E743)*100+ROW()/1000)</f>
        <v/>
      </c>
      <c r="L746" s="46" t="str">
        <f>IF($K746="","",RANK($K746,$K$6:$K$1005,1))</f>
        <v/>
      </c>
    </row>
    <row r="747" ht="15" customHeight="1" s="41">
      <c r="J747" s="57" t="b">
        <f>IF(액션아이템!$C744="",FALSE(),OR(액션아이템!$F744="진행중",액션아이템!$F744="보류"))</f>
        <v>0</v>
      </c>
      <c r="K747" s="46" t="str">
        <f>IF($J747=FALSE(),"",IF(액션아이템!$E744="",99999999,액션아이템!$E744)*100+ROW()/1000)</f>
        <v/>
      </c>
      <c r="L747" s="46" t="str">
        <f>IF($K747="","",RANK($K747,$K$6:$K$1005,1))</f>
        <v/>
      </c>
    </row>
    <row r="748" ht="15" customHeight="1" s="41">
      <c r="J748" s="57" t="b">
        <f>IF(액션아이템!$C745="",FALSE(),OR(액션아이템!$F745="진행중",액션아이템!$F745="보류"))</f>
        <v>0</v>
      </c>
      <c r="K748" s="46" t="str">
        <f>IF($J748=FALSE(),"",IF(액션아이템!$E745="",99999999,액션아이템!$E745)*100+ROW()/1000)</f>
        <v/>
      </c>
      <c r="L748" s="46" t="str">
        <f>IF($K748="","",RANK($K748,$K$6:$K$1005,1))</f>
        <v/>
      </c>
    </row>
    <row r="749" ht="15" customHeight="1" s="41">
      <c r="J749" s="57" t="b">
        <f>IF(액션아이템!$C746="",FALSE(),OR(액션아이템!$F746="진행중",액션아이템!$F746="보류"))</f>
        <v>0</v>
      </c>
      <c r="K749" s="46" t="str">
        <f>IF($J749=FALSE(),"",IF(액션아이템!$E746="",99999999,액션아이템!$E746)*100+ROW()/1000)</f>
        <v/>
      </c>
      <c r="L749" s="46" t="str">
        <f>IF($K749="","",RANK($K749,$K$6:$K$1005,1))</f>
        <v/>
      </c>
    </row>
    <row r="750" ht="15" customHeight="1" s="41">
      <c r="J750" s="57" t="b">
        <f>IF(액션아이템!$C747="",FALSE(),OR(액션아이템!$F747="진행중",액션아이템!$F747="보류"))</f>
        <v>0</v>
      </c>
      <c r="K750" s="46" t="str">
        <f>IF($J750=FALSE(),"",IF(액션아이템!$E747="",99999999,액션아이템!$E747)*100+ROW()/1000)</f>
        <v/>
      </c>
      <c r="L750" s="46" t="str">
        <f>IF($K750="","",RANK($K750,$K$6:$K$1005,1))</f>
        <v/>
      </c>
    </row>
    <row r="751" ht="15" customHeight="1" s="41">
      <c r="J751" s="57" t="b">
        <f>IF(액션아이템!$C748="",FALSE(),OR(액션아이템!$F748="진행중",액션아이템!$F748="보류"))</f>
        <v>0</v>
      </c>
      <c r="K751" s="46" t="str">
        <f>IF($J751=FALSE(),"",IF(액션아이템!$E748="",99999999,액션아이템!$E748)*100+ROW()/1000)</f>
        <v/>
      </c>
      <c r="L751" s="46" t="str">
        <f>IF($K751="","",RANK($K751,$K$6:$K$1005,1))</f>
        <v/>
      </c>
    </row>
    <row r="752" ht="15" customHeight="1" s="41">
      <c r="J752" s="57" t="b">
        <f>IF(액션아이템!$C749="",FALSE(),OR(액션아이템!$F749="진행중",액션아이템!$F749="보류"))</f>
        <v>0</v>
      </c>
      <c r="K752" s="46" t="str">
        <f>IF($J752=FALSE(),"",IF(액션아이템!$E749="",99999999,액션아이템!$E749)*100+ROW()/1000)</f>
        <v/>
      </c>
      <c r="L752" s="46" t="str">
        <f>IF($K752="","",RANK($K752,$K$6:$K$1005,1))</f>
        <v/>
      </c>
    </row>
    <row r="753" ht="15" customHeight="1" s="41">
      <c r="J753" s="57" t="b">
        <f>IF(액션아이템!$C750="",FALSE(),OR(액션아이템!$F750="진행중",액션아이템!$F750="보류"))</f>
        <v>0</v>
      </c>
      <c r="K753" s="46" t="str">
        <f>IF($J753=FALSE(),"",IF(액션아이템!$E750="",99999999,액션아이템!$E750)*100+ROW()/1000)</f>
        <v/>
      </c>
      <c r="L753" s="46" t="str">
        <f>IF($K753="","",RANK($K753,$K$6:$K$1005,1))</f>
        <v/>
      </c>
    </row>
    <row r="754" ht="15" customHeight="1" s="41">
      <c r="J754" s="57" t="b">
        <f>IF(액션아이템!$C751="",FALSE(),OR(액션아이템!$F751="진행중",액션아이템!$F751="보류"))</f>
        <v>0</v>
      </c>
      <c r="K754" s="46" t="str">
        <f>IF($J754=FALSE(),"",IF(액션아이템!$E751="",99999999,액션아이템!$E751)*100+ROW()/1000)</f>
        <v/>
      </c>
      <c r="L754" s="46" t="str">
        <f>IF($K754="","",RANK($K754,$K$6:$K$1005,1))</f>
        <v/>
      </c>
    </row>
    <row r="755" ht="15" customHeight="1" s="41">
      <c r="J755" s="57" t="b">
        <f>IF(액션아이템!$C752="",FALSE(),OR(액션아이템!$F752="진행중",액션아이템!$F752="보류"))</f>
        <v>0</v>
      </c>
      <c r="K755" s="46" t="str">
        <f>IF($J755=FALSE(),"",IF(액션아이템!$E752="",99999999,액션아이템!$E752)*100+ROW()/1000)</f>
        <v/>
      </c>
      <c r="L755" s="46" t="str">
        <f>IF($K755="","",RANK($K755,$K$6:$K$1005,1))</f>
        <v/>
      </c>
    </row>
    <row r="756" ht="15" customHeight="1" s="41">
      <c r="J756" s="57" t="b">
        <f>IF(액션아이템!$C753="",FALSE(),OR(액션아이템!$F753="진행중",액션아이템!$F753="보류"))</f>
        <v>0</v>
      </c>
      <c r="K756" s="46" t="str">
        <f>IF($J756=FALSE(),"",IF(액션아이템!$E753="",99999999,액션아이템!$E753)*100+ROW()/1000)</f>
        <v/>
      </c>
      <c r="L756" s="46" t="str">
        <f>IF($K756="","",RANK($K756,$K$6:$K$1005,1))</f>
        <v/>
      </c>
    </row>
    <row r="757" ht="15" customHeight="1" s="41">
      <c r="J757" s="57" t="b">
        <f>IF(액션아이템!$C754="",FALSE(),OR(액션아이템!$F754="진행중",액션아이템!$F754="보류"))</f>
        <v>0</v>
      </c>
      <c r="K757" s="46" t="str">
        <f>IF($J757=FALSE(),"",IF(액션아이템!$E754="",99999999,액션아이템!$E754)*100+ROW()/1000)</f>
        <v/>
      </c>
      <c r="L757" s="46" t="str">
        <f>IF($K757="","",RANK($K757,$K$6:$K$1005,1))</f>
        <v/>
      </c>
    </row>
    <row r="758" ht="15" customHeight="1" s="41">
      <c r="J758" s="57" t="b">
        <f>IF(액션아이템!$C755="",FALSE(),OR(액션아이템!$F755="진행중",액션아이템!$F755="보류"))</f>
        <v>0</v>
      </c>
      <c r="K758" s="46" t="str">
        <f>IF($J758=FALSE(),"",IF(액션아이템!$E755="",99999999,액션아이템!$E755)*100+ROW()/1000)</f>
        <v/>
      </c>
      <c r="L758" s="46" t="str">
        <f>IF($K758="","",RANK($K758,$K$6:$K$1005,1))</f>
        <v/>
      </c>
    </row>
    <row r="759" ht="15" customHeight="1" s="41">
      <c r="J759" s="57" t="b">
        <f>IF(액션아이템!$C756="",FALSE(),OR(액션아이템!$F756="진행중",액션아이템!$F756="보류"))</f>
        <v>0</v>
      </c>
      <c r="K759" s="46" t="str">
        <f>IF($J759=FALSE(),"",IF(액션아이템!$E756="",99999999,액션아이템!$E756)*100+ROW()/1000)</f>
        <v/>
      </c>
      <c r="L759" s="46" t="str">
        <f>IF($K759="","",RANK($K759,$K$6:$K$1005,1))</f>
        <v/>
      </c>
    </row>
    <row r="760" ht="15" customHeight="1" s="41">
      <c r="J760" s="57" t="b">
        <f>IF(액션아이템!$C757="",FALSE(),OR(액션아이템!$F757="진행중",액션아이템!$F757="보류"))</f>
        <v>0</v>
      </c>
      <c r="K760" s="46" t="str">
        <f>IF($J760=FALSE(),"",IF(액션아이템!$E757="",99999999,액션아이템!$E757)*100+ROW()/1000)</f>
        <v/>
      </c>
      <c r="L760" s="46" t="str">
        <f>IF($K760="","",RANK($K760,$K$6:$K$1005,1))</f>
        <v/>
      </c>
    </row>
    <row r="761" ht="15" customHeight="1" s="41">
      <c r="J761" s="57" t="b">
        <f>IF(액션아이템!$C758="",FALSE(),OR(액션아이템!$F758="진행중",액션아이템!$F758="보류"))</f>
        <v>0</v>
      </c>
      <c r="K761" s="46" t="str">
        <f>IF($J761=FALSE(),"",IF(액션아이템!$E758="",99999999,액션아이템!$E758)*100+ROW()/1000)</f>
        <v/>
      </c>
      <c r="L761" s="46" t="str">
        <f>IF($K761="","",RANK($K761,$K$6:$K$1005,1))</f>
        <v/>
      </c>
    </row>
    <row r="762" ht="15" customHeight="1" s="41">
      <c r="J762" s="57" t="b">
        <f>IF(액션아이템!$C759="",FALSE(),OR(액션아이템!$F759="진행중",액션아이템!$F759="보류"))</f>
        <v>0</v>
      </c>
      <c r="K762" s="46" t="str">
        <f>IF($J762=FALSE(),"",IF(액션아이템!$E759="",99999999,액션아이템!$E759)*100+ROW()/1000)</f>
        <v/>
      </c>
      <c r="L762" s="46" t="str">
        <f>IF($K762="","",RANK($K762,$K$6:$K$1005,1))</f>
        <v/>
      </c>
    </row>
    <row r="763" ht="15" customHeight="1" s="41">
      <c r="J763" s="57" t="b">
        <f>IF(액션아이템!$C760="",FALSE(),OR(액션아이템!$F760="진행중",액션아이템!$F760="보류"))</f>
        <v>0</v>
      </c>
      <c r="K763" s="46" t="str">
        <f>IF($J763=FALSE(),"",IF(액션아이템!$E760="",99999999,액션아이템!$E760)*100+ROW()/1000)</f>
        <v/>
      </c>
      <c r="L763" s="46" t="str">
        <f>IF($K763="","",RANK($K763,$K$6:$K$1005,1))</f>
        <v/>
      </c>
    </row>
    <row r="764" ht="15" customHeight="1" s="41">
      <c r="J764" s="57" t="b">
        <f>IF(액션아이템!$C761="",FALSE(),OR(액션아이템!$F761="진행중",액션아이템!$F761="보류"))</f>
        <v>0</v>
      </c>
      <c r="K764" s="46" t="str">
        <f>IF($J764=FALSE(),"",IF(액션아이템!$E761="",99999999,액션아이템!$E761)*100+ROW()/1000)</f>
        <v/>
      </c>
      <c r="L764" s="46" t="str">
        <f>IF($K764="","",RANK($K764,$K$6:$K$1005,1))</f>
        <v/>
      </c>
    </row>
    <row r="765" ht="15" customHeight="1" s="41">
      <c r="J765" s="57" t="b">
        <f>IF(액션아이템!$C762="",FALSE(),OR(액션아이템!$F762="진행중",액션아이템!$F762="보류"))</f>
        <v>0</v>
      </c>
      <c r="K765" s="46" t="str">
        <f>IF($J765=FALSE(),"",IF(액션아이템!$E762="",99999999,액션아이템!$E762)*100+ROW()/1000)</f>
        <v/>
      </c>
      <c r="L765" s="46" t="str">
        <f>IF($K765="","",RANK($K765,$K$6:$K$1005,1))</f>
        <v/>
      </c>
    </row>
    <row r="766" ht="15" customHeight="1" s="41">
      <c r="J766" s="57" t="b">
        <f>IF(액션아이템!$C763="",FALSE(),OR(액션아이템!$F763="진행중",액션아이템!$F763="보류"))</f>
        <v>0</v>
      </c>
      <c r="K766" s="46" t="str">
        <f>IF($J766=FALSE(),"",IF(액션아이템!$E763="",99999999,액션아이템!$E763)*100+ROW()/1000)</f>
        <v/>
      </c>
      <c r="L766" s="46" t="str">
        <f>IF($K766="","",RANK($K766,$K$6:$K$1005,1))</f>
        <v/>
      </c>
    </row>
    <row r="767" ht="15" customHeight="1" s="41">
      <c r="J767" s="57" t="b">
        <f>IF(액션아이템!$C764="",FALSE(),OR(액션아이템!$F764="진행중",액션아이템!$F764="보류"))</f>
        <v>0</v>
      </c>
      <c r="K767" s="46" t="str">
        <f>IF($J767=FALSE(),"",IF(액션아이템!$E764="",99999999,액션아이템!$E764)*100+ROW()/1000)</f>
        <v/>
      </c>
      <c r="L767" s="46" t="str">
        <f>IF($K767="","",RANK($K767,$K$6:$K$1005,1))</f>
        <v/>
      </c>
    </row>
    <row r="768" ht="15" customHeight="1" s="41">
      <c r="J768" s="57" t="b">
        <f>IF(액션아이템!$C765="",FALSE(),OR(액션아이템!$F765="진행중",액션아이템!$F765="보류"))</f>
        <v>0</v>
      </c>
      <c r="K768" s="46" t="str">
        <f>IF($J768=FALSE(),"",IF(액션아이템!$E765="",99999999,액션아이템!$E765)*100+ROW()/1000)</f>
        <v/>
      </c>
      <c r="L768" s="46" t="str">
        <f>IF($K768="","",RANK($K768,$K$6:$K$1005,1))</f>
        <v/>
      </c>
    </row>
    <row r="769" ht="15" customHeight="1" s="41">
      <c r="J769" s="57" t="b">
        <f>IF(액션아이템!$C766="",FALSE(),OR(액션아이템!$F766="진행중",액션아이템!$F766="보류"))</f>
        <v>0</v>
      </c>
      <c r="K769" s="46" t="str">
        <f>IF($J769=FALSE(),"",IF(액션아이템!$E766="",99999999,액션아이템!$E766)*100+ROW()/1000)</f>
        <v/>
      </c>
      <c r="L769" s="46" t="str">
        <f>IF($K769="","",RANK($K769,$K$6:$K$1005,1))</f>
        <v/>
      </c>
    </row>
    <row r="770" ht="15" customHeight="1" s="41">
      <c r="J770" s="57" t="b">
        <f>IF(액션아이템!$C767="",FALSE(),OR(액션아이템!$F767="진행중",액션아이템!$F767="보류"))</f>
        <v>0</v>
      </c>
      <c r="K770" s="46" t="str">
        <f>IF($J770=FALSE(),"",IF(액션아이템!$E767="",99999999,액션아이템!$E767)*100+ROW()/1000)</f>
        <v/>
      </c>
      <c r="L770" s="46" t="str">
        <f>IF($K770="","",RANK($K770,$K$6:$K$1005,1))</f>
        <v/>
      </c>
    </row>
    <row r="771" ht="15" customHeight="1" s="41">
      <c r="J771" s="57" t="b">
        <f>IF(액션아이템!$C768="",FALSE(),OR(액션아이템!$F768="진행중",액션아이템!$F768="보류"))</f>
        <v>0</v>
      </c>
      <c r="K771" s="46" t="str">
        <f>IF($J771=FALSE(),"",IF(액션아이템!$E768="",99999999,액션아이템!$E768)*100+ROW()/1000)</f>
        <v/>
      </c>
      <c r="L771" s="46" t="str">
        <f>IF($K771="","",RANK($K771,$K$6:$K$1005,1))</f>
        <v/>
      </c>
    </row>
    <row r="772" ht="15" customHeight="1" s="41">
      <c r="J772" s="57" t="b">
        <f>IF(액션아이템!$C769="",FALSE(),OR(액션아이템!$F769="진행중",액션아이템!$F769="보류"))</f>
        <v>0</v>
      </c>
      <c r="K772" s="46" t="str">
        <f>IF($J772=FALSE(),"",IF(액션아이템!$E769="",99999999,액션아이템!$E769)*100+ROW()/1000)</f>
        <v/>
      </c>
      <c r="L772" s="46" t="str">
        <f>IF($K772="","",RANK($K772,$K$6:$K$1005,1))</f>
        <v/>
      </c>
    </row>
    <row r="773" ht="15" customHeight="1" s="41">
      <c r="J773" s="57" t="b">
        <f>IF(액션아이템!$C770="",FALSE(),OR(액션아이템!$F770="진행중",액션아이템!$F770="보류"))</f>
        <v>0</v>
      </c>
      <c r="K773" s="46" t="str">
        <f>IF($J773=FALSE(),"",IF(액션아이템!$E770="",99999999,액션아이템!$E770)*100+ROW()/1000)</f>
        <v/>
      </c>
      <c r="L773" s="46" t="str">
        <f>IF($K773="","",RANK($K773,$K$6:$K$1005,1))</f>
        <v/>
      </c>
    </row>
    <row r="774" ht="15" customHeight="1" s="41">
      <c r="J774" s="57" t="b">
        <f>IF(액션아이템!$C771="",FALSE(),OR(액션아이템!$F771="진행중",액션아이템!$F771="보류"))</f>
        <v>0</v>
      </c>
      <c r="K774" s="46" t="str">
        <f>IF($J774=FALSE(),"",IF(액션아이템!$E771="",99999999,액션아이템!$E771)*100+ROW()/1000)</f>
        <v/>
      </c>
      <c r="L774" s="46" t="str">
        <f>IF($K774="","",RANK($K774,$K$6:$K$1005,1))</f>
        <v/>
      </c>
    </row>
    <row r="775" ht="15" customHeight="1" s="41">
      <c r="J775" s="57" t="b">
        <f>IF(액션아이템!$C772="",FALSE(),OR(액션아이템!$F772="진행중",액션아이템!$F772="보류"))</f>
        <v>0</v>
      </c>
      <c r="K775" s="46" t="str">
        <f>IF($J775=FALSE(),"",IF(액션아이템!$E772="",99999999,액션아이템!$E772)*100+ROW()/1000)</f>
        <v/>
      </c>
      <c r="L775" s="46" t="str">
        <f>IF($K775="","",RANK($K775,$K$6:$K$1005,1))</f>
        <v/>
      </c>
    </row>
    <row r="776" ht="15" customHeight="1" s="41">
      <c r="J776" s="57" t="b">
        <f>IF(액션아이템!$C773="",FALSE(),OR(액션아이템!$F773="진행중",액션아이템!$F773="보류"))</f>
        <v>0</v>
      </c>
      <c r="K776" s="46" t="str">
        <f>IF($J776=FALSE(),"",IF(액션아이템!$E773="",99999999,액션아이템!$E773)*100+ROW()/1000)</f>
        <v/>
      </c>
      <c r="L776" s="46" t="str">
        <f>IF($K776="","",RANK($K776,$K$6:$K$1005,1))</f>
        <v/>
      </c>
    </row>
    <row r="777" ht="15" customHeight="1" s="41">
      <c r="J777" s="57" t="b">
        <f>IF(액션아이템!$C774="",FALSE(),OR(액션아이템!$F774="진행중",액션아이템!$F774="보류"))</f>
        <v>0</v>
      </c>
      <c r="K777" s="46" t="str">
        <f>IF($J777=FALSE(),"",IF(액션아이템!$E774="",99999999,액션아이템!$E774)*100+ROW()/1000)</f>
        <v/>
      </c>
      <c r="L777" s="46" t="str">
        <f>IF($K777="","",RANK($K777,$K$6:$K$1005,1))</f>
        <v/>
      </c>
    </row>
    <row r="778" ht="15" customHeight="1" s="41">
      <c r="J778" s="57" t="b">
        <f>IF(액션아이템!$C775="",FALSE(),OR(액션아이템!$F775="진행중",액션아이템!$F775="보류"))</f>
        <v>0</v>
      </c>
      <c r="K778" s="46" t="str">
        <f>IF($J778=FALSE(),"",IF(액션아이템!$E775="",99999999,액션아이템!$E775)*100+ROW()/1000)</f>
        <v/>
      </c>
      <c r="L778" s="46" t="str">
        <f>IF($K778="","",RANK($K778,$K$6:$K$1005,1))</f>
        <v/>
      </c>
    </row>
    <row r="779" ht="15" customHeight="1" s="41">
      <c r="J779" s="57" t="b">
        <f>IF(액션아이템!$C776="",FALSE(),OR(액션아이템!$F776="진행중",액션아이템!$F776="보류"))</f>
        <v>0</v>
      </c>
      <c r="K779" s="46" t="str">
        <f>IF($J779=FALSE(),"",IF(액션아이템!$E776="",99999999,액션아이템!$E776)*100+ROW()/1000)</f>
        <v/>
      </c>
      <c r="L779" s="46" t="str">
        <f>IF($K779="","",RANK($K779,$K$6:$K$1005,1))</f>
        <v/>
      </c>
    </row>
    <row r="780" ht="15" customHeight="1" s="41">
      <c r="J780" s="57" t="b">
        <f>IF(액션아이템!$C777="",FALSE(),OR(액션아이템!$F777="진행중",액션아이템!$F777="보류"))</f>
        <v>0</v>
      </c>
      <c r="K780" s="46" t="str">
        <f>IF($J780=FALSE(),"",IF(액션아이템!$E777="",99999999,액션아이템!$E777)*100+ROW()/1000)</f>
        <v/>
      </c>
      <c r="L780" s="46" t="str">
        <f>IF($K780="","",RANK($K780,$K$6:$K$1005,1))</f>
        <v/>
      </c>
    </row>
    <row r="781" ht="15" customHeight="1" s="41">
      <c r="J781" s="57" t="b">
        <f>IF(액션아이템!$C778="",FALSE(),OR(액션아이템!$F778="진행중",액션아이템!$F778="보류"))</f>
        <v>0</v>
      </c>
      <c r="K781" s="46" t="str">
        <f>IF($J781=FALSE(),"",IF(액션아이템!$E778="",99999999,액션아이템!$E778)*100+ROW()/1000)</f>
        <v/>
      </c>
      <c r="L781" s="46" t="str">
        <f>IF($K781="","",RANK($K781,$K$6:$K$1005,1))</f>
        <v/>
      </c>
    </row>
    <row r="782" ht="15" customHeight="1" s="41">
      <c r="J782" s="57" t="b">
        <f>IF(액션아이템!$C779="",FALSE(),OR(액션아이템!$F779="진행중",액션아이템!$F779="보류"))</f>
        <v>0</v>
      </c>
      <c r="K782" s="46" t="str">
        <f>IF($J782=FALSE(),"",IF(액션아이템!$E779="",99999999,액션아이템!$E779)*100+ROW()/1000)</f>
        <v/>
      </c>
      <c r="L782" s="46" t="str">
        <f>IF($K782="","",RANK($K782,$K$6:$K$1005,1))</f>
        <v/>
      </c>
    </row>
    <row r="783" ht="15" customHeight="1" s="41">
      <c r="J783" s="57" t="b">
        <f>IF(액션아이템!$C780="",FALSE(),OR(액션아이템!$F780="진행중",액션아이템!$F780="보류"))</f>
        <v>0</v>
      </c>
      <c r="K783" s="46" t="str">
        <f>IF($J783=FALSE(),"",IF(액션아이템!$E780="",99999999,액션아이템!$E780)*100+ROW()/1000)</f>
        <v/>
      </c>
      <c r="L783" s="46" t="str">
        <f>IF($K783="","",RANK($K783,$K$6:$K$1005,1))</f>
        <v/>
      </c>
    </row>
    <row r="784" ht="15" customHeight="1" s="41">
      <c r="J784" s="57" t="b">
        <f>IF(액션아이템!$C781="",FALSE(),OR(액션아이템!$F781="진행중",액션아이템!$F781="보류"))</f>
        <v>0</v>
      </c>
      <c r="K784" s="46" t="str">
        <f>IF($J784=FALSE(),"",IF(액션아이템!$E781="",99999999,액션아이템!$E781)*100+ROW()/1000)</f>
        <v/>
      </c>
      <c r="L784" s="46" t="str">
        <f>IF($K784="","",RANK($K784,$K$6:$K$1005,1))</f>
        <v/>
      </c>
    </row>
    <row r="785" ht="15" customHeight="1" s="41">
      <c r="J785" s="57" t="b">
        <f>IF(액션아이템!$C782="",FALSE(),OR(액션아이템!$F782="진행중",액션아이템!$F782="보류"))</f>
        <v>0</v>
      </c>
      <c r="K785" s="46" t="str">
        <f>IF($J785=FALSE(),"",IF(액션아이템!$E782="",99999999,액션아이템!$E782)*100+ROW()/1000)</f>
        <v/>
      </c>
      <c r="L785" s="46" t="str">
        <f>IF($K785="","",RANK($K785,$K$6:$K$1005,1))</f>
        <v/>
      </c>
    </row>
    <row r="786" ht="15" customHeight="1" s="41">
      <c r="J786" s="57" t="b">
        <f>IF(액션아이템!$C783="",FALSE(),OR(액션아이템!$F783="진행중",액션아이템!$F783="보류"))</f>
        <v>0</v>
      </c>
      <c r="K786" s="46" t="str">
        <f>IF($J786=FALSE(),"",IF(액션아이템!$E783="",99999999,액션아이템!$E783)*100+ROW()/1000)</f>
        <v/>
      </c>
      <c r="L786" s="46" t="str">
        <f>IF($K786="","",RANK($K786,$K$6:$K$1005,1))</f>
        <v/>
      </c>
    </row>
    <row r="787" ht="15" customHeight="1" s="41">
      <c r="J787" s="57" t="b">
        <f>IF(액션아이템!$C784="",FALSE(),OR(액션아이템!$F784="진행중",액션아이템!$F784="보류"))</f>
        <v>0</v>
      </c>
      <c r="K787" s="46" t="str">
        <f>IF($J787=FALSE(),"",IF(액션아이템!$E784="",99999999,액션아이템!$E784)*100+ROW()/1000)</f>
        <v/>
      </c>
      <c r="L787" s="46" t="str">
        <f>IF($K787="","",RANK($K787,$K$6:$K$1005,1))</f>
        <v/>
      </c>
    </row>
    <row r="788" ht="15" customHeight="1" s="41">
      <c r="J788" s="57" t="b">
        <f>IF(액션아이템!$C785="",FALSE(),OR(액션아이템!$F785="진행중",액션아이템!$F785="보류"))</f>
        <v>0</v>
      </c>
      <c r="K788" s="46" t="str">
        <f>IF($J788=FALSE(),"",IF(액션아이템!$E785="",99999999,액션아이템!$E785)*100+ROW()/1000)</f>
        <v/>
      </c>
      <c r="L788" s="46" t="str">
        <f>IF($K788="","",RANK($K788,$K$6:$K$1005,1))</f>
        <v/>
      </c>
    </row>
    <row r="789" ht="15" customHeight="1" s="41">
      <c r="J789" s="57" t="b">
        <f>IF(액션아이템!$C786="",FALSE(),OR(액션아이템!$F786="진행중",액션아이템!$F786="보류"))</f>
        <v>0</v>
      </c>
      <c r="K789" s="46" t="str">
        <f>IF($J789=FALSE(),"",IF(액션아이템!$E786="",99999999,액션아이템!$E786)*100+ROW()/1000)</f>
        <v/>
      </c>
      <c r="L789" s="46" t="str">
        <f>IF($K789="","",RANK($K789,$K$6:$K$1005,1))</f>
        <v/>
      </c>
    </row>
    <row r="790" ht="15" customHeight="1" s="41">
      <c r="J790" s="57" t="b">
        <f>IF(액션아이템!$C787="",FALSE(),OR(액션아이템!$F787="진행중",액션아이템!$F787="보류"))</f>
        <v>0</v>
      </c>
      <c r="K790" s="46" t="str">
        <f>IF($J790=FALSE(),"",IF(액션아이템!$E787="",99999999,액션아이템!$E787)*100+ROW()/1000)</f>
        <v/>
      </c>
      <c r="L790" s="46" t="str">
        <f>IF($K790="","",RANK($K790,$K$6:$K$1005,1))</f>
        <v/>
      </c>
    </row>
    <row r="791" ht="15" customHeight="1" s="41">
      <c r="J791" s="57" t="b">
        <f>IF(액션아이템!$C788="",FALSE(),OR(액션아이템!$F788="진행중",액션아이템!$F788="보류"))</f>
        <v>0</v>
      </c>
      <c r="K791" s="46" t="str">
        <f>IF($J791=FALSE(),"",IF(액션아이템!$E788="",99999999,액션아이템!$E788)*100+ROW()/1000)</f>
        <v/>
      </c>
      <c r="L791" s="46" t="str">
        <f>IF($K791="","",RANK($K791,$K$6:$K$1005,1))</f>
        <v/>
      </c>
    </row>
    <row r="792" ht="15" customHeight="1" s="41">
      <c r="J792" s="57" t="b">
        <f>IF(액션아이템!$C789="",FALSE(),OR(액션아이템!$F789="진행중",액션아이템!$F789="보류"))</f>
        <v>0</v>
      </c>
      <c r="K792" s="46" t="str">
        <f>IF($J792=FALSE(),"",IF(액션아이템!$E789="",99999999,액션아이템!$E789)*100+ROW()/1000)</f>
        <v/>
      </c>
      <c r="L792" s="46" t="str">
        <f>IF($K792="","",RANK($K792,$K$6:$K$1005,1))</f>
        <v/>
      </c>
    </row>
    <row r="793" ht="15" customHeight="1" s="41">
      <c r="J793" s="57" t="b">
        <f>IF(액션아이템!$C790="",FALSE(),OR(액션아이템!$F790="진행중",액션아이템!$F790="보류"))</f>
        <v>0</v>
      </c>
      <c r="K793" s="46" t="str">
        <f>IF($J793=FALSE(),"",IF(액션아이템!$E790="",99999999,액션아이템!$E790)*100+ROW()/1000)</f>
        <v/>
      </c>
      <c r="L793" s="46" t="str">
        <f>IF($K793="","",RANK($K793,$K$6:$K$1005,1))</f>
        <v/>
      </c>
    </row>
    <row r="794" ht="15" customHeight="1" s="41">
      <c r="J794" s="57" t="b">
        <f>IF(액션아이템!$C791="",FALSE(),OR(액션아이템!$F791="진행중",액션아이템!$F791="보류"))</f>
        <v>0</v>
      </c>
      <c r="K794" s="46" t="str">
        <f>IF($J794=FALSE(),"",IF(액션아이템!$E791="",99999999,액션아이템!$E791)*100+ROW()/1000)</f>
        <v/>
      </c>
      <c r="L794" s="46" t="str">
        <f>IF($K794="","",RANK($K794,$K$6:$K$1005,1))</f>
        <v/>
      </c>
    </row>
    <row r="795" ht="15" customHeight="1" s="41">
      <c r="J795" s="57" t="b">
        <f>IF(액션아이템!$C792="",FALSE(),OR(액션아이템!$F792="진행중",액션아이템!$F792="보류"))</f>
        <v>0</v>
      </c>
      <c r="K795" s="46" t="str">
        <f>IF($J795=FALSE(),"",IF(액션아이템!$E792="",99999999,액션아이템!$E792)*100+ROW()/1000)</f>
        <v/>
      </c>
      <c r="L795" s="46" t="str">
        <f>IF($K795="","",RANK($K795,$K$6:$K$1005,1))</f>
        <v/>
      </c>
    </row>
    <row r="796" ht="15" customHeight="1" s="41">
      <c r="J796" s="57" t="b">
        <f>IF(액션아이템!$C793="",FALSE(),OR(액션아이템!$F793="진행중",액션아이템!$F793="보류"))</f>
        <v>0</v>
      </c>
      <c r="K796" s="46" t="str">
        <f>IF($J796=FALSE(),"",IF(액션아이템!$E793="",99999999,액션아이템!$E793)*100+ROW()/1000)</f>
        <v/>
      </c>
      <c r="L796" s="46" t="str">
        <f>IF($K796="","",RANK($K796,$K$6:$K$1005,1))</f>
        <v/>
      </c>
    </row>
    <row r="797" ht="15" customHeight="1" s="41">
      <c r="J797" s="57" t="b">
        <f>IF(액션아이템!$C794="",FALSE(),OR(액션아이템!$F794="진행중",액션아이템!$F794="보류"))</f>
        <v>0</v>
      </c>
      <c r="K797" s="46" t="str">
        <f>IF($J797=FALSE(),"",IF(액션아이템!$E794="",99999999,액션아이템!$E794)*100+ROW()/1000)</f>
        <v/>
      </c>
      <c r="L797" s="46" t="str">
        <f>IF($K797="","",RANK($K797,$K$6:$K$1005,1))</f>
        <v/>
      </c>
    </row>
    <row r="798" ht="15" customHeight="1" s="41">
      <c r="J798" s="57" t="b">
        <f>IF(액션아이템!$C795="",FALSE(),OR(액션아이템!$F795="진행중",액션아이템!$F795="보류"))</f>
        <v>0</v>
      </c>
      <c r="K798" s="46" t="str">
        <f>IF($J798=FALSE(),"",IF(액션아이템!$E795="",99999999,액션아이템!$E795)*100+ROW()/1000)</f>
        <v/>
      </c>
      <c r="L798" s="46" t="str">
        <f>IF($K798="","",RANK($K798,$K$6:$K$1005,1))</f>
        <v/>
      </c>
    </row>
    <row r="799" ht="15" customHeight="1" s="41">
      <c r="J799" s="57" t="b">
        <f>IF(액션아이템!$C796="",FALSE(),OR(액션아이템!$F796="진행중",액션아이템!$F796="보류"))</f>
        <v>0</v>
      </c>
      <c r="K799" s="46" t="str">
        <f>IF($J799=FALSE(),"",IF(액션아이템!$E796="",99999999,액션아이템!$E796)*100+ROW()/1000)</f>
        <v/>
      </c>
      <c r="L799" s="46" t="str">
        <f>IF($K799="","",RANK($K799,$K$6:$K$1005,1))</f>
        <v/>
      </c>
    </row>
    <row r="800" ht="15" customHeight="1" s="41">
      <c r="J800" s="57" t="b">
        <f>IF(액션아이템!$C797="",FALSE(),OR(액션아이템!$F797="진행중",액션아이템!$F797="보류"))</f>
        <v>0</v>
      </c>
      <c r="K800" s="46" t="str">
        <f>IF($J800=FALSE(),"",IF(액션아이템!$E797="",99999999,액션아이템!$E797)*100+ROW()/1000)</f>
        <v/>
      </c>
      <c r="L800" s="46" t="str">
        <f>IF($K800="","",RANK($K800,$K$6:$K$1005,1))</f>
        <v/>
      </c>
    </row>
    <row r="801" ht="15" customHeight="1" s="41">
      <c r="J801" s="57" t="b">
        <f>IF(액션아이템!$C798="",FALSE(),OR(액션아이템!$F798="진행중",액션아이템!$F798="보류"))</f>
        <v>0</v>
      </c>
      <c r="K801" s="46" t="str">
        <f>IF($J801=FALSE(),"",IF(액션아이템!$E798="",99999999,액션아이템!$E798)*100+ROW()/1000)</f>
        <v/>
      </c>
      <c r="L801" s="46" t="str">
        <f>IF($K801="","",RANK($K801,$K$6:$K$1005,1))</f>
        <v/>
      </c>
    </row>
    <row r="802" ht="15" customHeight="1" s="41">
      <c r="J802" s="57" t="b">
        <f>IF(액션아이템!$C799="",FALSE(),OR(액션아이템!$F799="진행중",액션아이템!$F799="보류"))</f>
        <v>0</v>
      </c>
      <c r="K802" s="46" t="str">
        <f>IF($J802=FALSE(),"",IF(액션아이템!$E799="",99999999,액션아이템!$E799)*100+ROW()/1000)</f>
        <v/>
      </c>
      <c r="L802" s="46" t="str">
        <f>IF($K802="","",RANK($K802,$K$6:$K$1005,1))</f>
        <v/>
      </c>
    </row>
    <row r="803" ht="15" customHeight="1" s="41">
      <c r="J803" s="57" t="b">
        <f>IF(액션아이템!$C800="",FALSE(),OR(액션아이템!$F800="진행중",액션아이템!$F800="보류"))</f>
        <v>0</v>
      </c>
      <c r="K803" s="46" t="str">
        <f>IF($J803=FALSE(),"",IF(액션아이템!$E800="",99999999,액션아이템!$E800)*100+ROW()/1000)</f>
        <v/>
      </c>
      <c r="L803" s="46" t="str">
        <f>IF($K803="","",RANK($K803,$K$6:$K$1005,1))</f>
        <v/>
      </c>
    </row>
    <row r="804" ht="15" customHeight="1" s="41">
      <c r="J804" s="57" t="b">
        <f>IF(액션아이템!$C801="",FALSE(),OR(액션아이템!$F801="진행중",액션아이템!$F801="보류"))</f>
        <v>0</v>
      </c>
      <c r="K804" s="46" t="str">
        <f>IF($J804=FALSE(),"",IF(액션아이템!$E801="",99999999,액션아이템!$E801)*100+ROW()/1000)</f>
        <v/>
      </c>
      <c r="L804" s="46" t="str">
        <f>IF($K804="","",RANK($K804,$K$6:$K$1005,1))</f>
        <v/>
      </c>
    </row>
    <row r="805" ht="15" customHeight="1" s="41">
      <c r="J805" s="57" t="b">
        <f>IF(액션아이템!$C802="",FALSE(),OR(액션아이템!$F802="진행중",액션아이템!$F802="보류"))</f>
        <v>0</v>
      </c>
      <c r="K805" s="46" t="str">
        <f>IF($J805=FALSE(),"",IF(액션아이템!$E802="",99999999,액션아이템!$E802)*100+ROW()/1000)</f>
        <v/>
      </c>
      <c r="L805" s="46" t="str">
        <f>IF($K805="","",RANK($K805,$K$6:$K$1005,1))</f>
        <v/>
      </c>
    </row>
    <row r="806" ht="15" customHeight="1" s="41">
      <c r="J806" s="57" t="b">
        <f>IF(액션아이템!$C803="",FALSE(),OR(액션아이템!$F803="진행중",액션아이템!$F803="보류"))</f>
        <v>0</v>
      </c>
      <c r="K806" s="46" t="str">
        <f>IF($J806=FALSE(),"",IF(액션아이템!$E803="",99999999,액션아이템!$E803)*100+ROW()/1000)</f>
        <v/>
      </c>
      <c r="L806" s="46" t="str">
        <f>IF($K806="","",RANK($K806,$K$6:$K$1005,1))</f>
        <v/>
      </c>
    </row>
    <row r="807" ht="15" customHeight="1" s="41">
      <c r="J807" s="57" t="b">
        <f>IF(액션아이템!$C804="",FALSE(),OR(액션아이템!$F804="진행중",액션아이템!$F804="보류"))</f>
        <v>0</v>
      </c>
      <c r="K807" s="46" t="str">
        <f>IF($J807=FALSE(),"",IF(액션아이템!$E804="",99999999,액션아이템!$E804)*100+ROW()/1000)</f>
        <v/>
      </c>
      <c r="L807" s="46" t="str">
        <f>IF($K807="","",RANK($K807,$K$6:$K$1005,1))</f>
        <v/>
      </c>
    </row>
    <row r="808" ht="15" customHeight="1" s="41">
      <c r="J808" s="57" t="b">
        <f>IF(액션아이템!$C805="",FALSE(),OR(액션아이템!$F805="진행중",액션아이템!$F805="보류"))</f>
        <v>0</v>
      </c>
      <c r="K808" s="46" t="str">
        <f>IF($J808=FALSE(),"",IF(액션아이템!$E805="",99999999,액션아이템!$E805)*100+ROW()/1000)</f>
        <v/>
      </c>
      <c r="L808" s="46" t="str">
        <f>IF($K808="","",RANK($K808,$K$6:$K$1005,1))</f>
        <v/>
      </c>
    </row>
    <row r="809" ht="15" customHeight="1" s="41">
      <c r="J809" s="57" t="b">
        <f>IF(액션아이템!$C806="",FALSE(),OR(액션아이템!$F806="진행중",액션아이템!$F806="보류"))</f>
        <v>0</v>
      </c>
      <c r="K809" s="46" t="str">
        <f>IF($J809=FALSE(),"",IF(액션아이템!$E806="",99999999,액션아이템!$E806)*100+ROW()/1000)</f>
        <v/>
      </c>
      <c r="L809" s="46" t="str">
        <f>IF($K809="","",RANK($K809,$K$6:$K$1005,1))</f>
        <v/>
      </c>
    </row>
    <row r="810" ht="15" customHeight="1" s="41">
      <c r="J810" s="57" t="b">
        <f>IF(액션아이템!$C807="",FALSE(),OR(액션아이템!$F807="진행중",액션아이템!$F807="보류"))</f>
        <v>0</v>
      </c>
      <c r="K810" s="46" t="str">
        <f>IF($J810=FALSE(),"",IF(액션아이템!$E807="",99999999,액션아이템!$E807)*100+ROW()/1000)</f>
        <v/>
      </c>
      <c r="L810" s="46" t="str">
        <f>IF($K810="","",RANK($K810,$K$6:$K$1005,1))</f>
        <v/>
      </c>
    </row>
    <row r="811" ht="15" customHeight="1" s="41">
      <c r="J811" s="57" t="b">
        <f>IF(액션아이템!$C808="",FALSE(),OR(액션아이템!$F808="진행중",액션아이템!$F808="보류"))</f>
        <v>0</v>
      </c>
      <c r="K811" s="46" t="str">
        <f>IF($J811=FALSE(),"",IF(액션아이템!$E808="",99999999,액션아이템!$E808)*100+ROW()/1000)</f>
        <v/>
      </c>
      <c r="L811" s="46" t="str">
        <f>IF($K811="","",RANK($K811,$K$6:$K$1005,1))</f>
        <v/>
      </c>
    </row>
    <row r="812" ht="15" customHeight="1" s="41">
      <c r="J812" s="57" t="b">
        <f>IF(액션아이템!$C809="",FALSE(),OR(액션아이템!$F809="진행중",액션아이템!$F809="보류"))</f>
        <v>0</v>
      </c>
      <c r="K812" s="46" t="str">
        <f>IF($J812=FALSE(),"",IF(액션아이템!$E809="",99999999,액션아이템!$E809)*100+ROW()/1000)</f>
        <v/>
      </c>
      <c r="L812" s="46" t="str">
        <f>IF($K812="","",RANK($K812,$K$6:$K$1005,1))</f>
        <v/>
      </c>
    </row>
    <row r="813" ht="15" customHeight="1" s="41">
      <c r="J813" s="57" t="b">
        <f>IF(액션아이템!$C810="",FALSE(),OR(액션아이템!$F810="진행중",액션아이템!$F810="보류"))</f>
        <v>0</v>
      </c>
      <c r="K813" s="46" t="str">
        <f>IF($J813=FALSE(),"",IF(액션아이템!$E810="",99999999,액션아이템!$E810)*100+ROW()/1000)</f>
        <v/>
      </c>
      <c r="L813" s="46" t="str">
        <f>IF($K813="","",RANK($K813,$K$6:$K$1005,1))</f>
        <v/>
      </c>
    </row>
    <row r="814" ht="15" customHeight="1" s="41">
      <c r="J814" s="57" t="b">
        <f>IF(액션아이템!$C811="",FALSE(),OR(액션아이템!$F811="진행중",액션아이템!$F811="보류"))</f>
        <v>0</v>
      </c>
      <c r="K814" s="46" t="str">
        <f>IF($J814=FALSE(),"",IF(액션아이템!$E811="",99999999,액션아이템!$E811)*100+ROW()/1000)</f>
        <v/>
      </c>
      <c r="L814" s="46" t="str">
        <f>IF($K814="","",RANK($K814,$K$6:$K$1005,1))</f>
        <v/>
      </c>
    </row>
    <row r="815" ht="15" customHeight="1" s="41">
      <c r="J815" s="57" t="b">
        <f>IF(액션아이템!$C812="",FALSE(),OR(액션아이템!$F812="진행중",액션아이템!$F812="보류"))</f>
        <v>0</v>
      </c>
      <c r="K815" s="46" t="str">
        <f>IF($J815=FALSE(),"",IF(액션아이템!$E812="",99999999,액션아이템!$E812)*100+ROW()/1000)</f>
        <v/>
      </c>
      <c r="L815" s="46" t="str">
        <f>IF($K815="","",RANK($K815,$K$6:$K$1005,1))</f>
        <v/>
      </c>
    </row>
    <row r="816" ht="15" customHeight="1" s="41">
      <c r="J816" s="57" t="b">
        <f>IF(액션아이템!$C813="",FALSE(),OR(액션아이템!$F813="진행중",액션아이템!$F813="보류"))</f>
        <v>0</v>
      </c>
      <c r="K816" s="46" t="str">
        <f>IF($J816=FALSE(),"",IF(액션아이템!$E813="",99999999,액션아이템!$E813)*100+ROW()/1000)</f>
        <v/>
      </c>
      <c r="L816" s="46" t="str">
        <f>IF($K816="","",RANK($K816,$K$6:$K$1005,1))</f>
        <v/>
      </c>
    </row>
    <row r="817" ht="15" customHeight="1" s="41">
      <c r="J817" s="57" t="b">
        <f>IF(액션아이템!$C814="",FALSE(),OR(액션아이템!$F814="진행중",액션아이템!$F814="보류"))</f>
        <v>0</v>
      </c>
      <c r="K817" s="46" t="str">
        <f>IF($J817=FALSE(),"",IF(액션아이템!$E814="",99999999,액션아이템!$E814)*100+ROW()/1000)</f>
        <v/>
      </c>
      <c r="L817" s="46" t="str">
        <f>IF($K817="","",RANK($K817,$K$6:$K$1005,1))</f>
        <v/>
      </c>
    </row>
    <row r="818" ht="15" customHeight="1" s="41">
      <c r="J818" s="57" t="b">
        <f>IF(액션아이템!$C815="",FALSE(),OR(액션아이템!$F815="진행중",액션아이템!$F815="보류"))</f>
        <v>0</v>
      </c>
      <c r="K818" s="46" t="str">
        <f>IF($J818=FALSE(),"",IF(액션아이템!$E815="",99999999,액션아이템!$E815)*100+ROW()/1000)</f>
        <v/>
      </c>
      <c r="L818" s="46" t="str">
        <f>IF($K818="","",RANK($K818,$K$6:$K$1005,1))</f>
        <v/>
      </c>
    </row>
    <row r="819" ht="15" customHeight="1" s="41">
      <c r="J819" s="57" t="b">
        <f>IF(액션아이템!$C816="",FALSE(),OR(액션아이템!$F816="진행중",액션아이템!$F816="보류"))</f>
        <v>0</v>
      </c>
      <c r="K819" s="46" t="str">
        <f>IF($J819=FALSE(),"",IF(액션아이템!$E816="",99999999,액션아이템!$E816)*100+ROW()/1000)</f>
        <v/>
      </c>
      <c r="L819" s="46" t="str">
        <f>IF($K819="","",RANK($K819,$K$6:$K$1005,1))</f>
        <v/>
      </c>
    </row>
    <row r="820" ht="15" customHeight="1" s="41">
      <c r="J820" s="57" t="b">
        <f>IF(액션아이템!$C817="",FALSE(),OR(액션아이템!$F817="진행중",액션아이템!$F817="보류"))</f>
        <v>0</v>
      </c>
      <c r="K820" s="46" t="str">
        <f>IF($J820=FALSE(),"",IF(액션아이템!$E817="",99999999,액션아이템!$E817)*100+ROW()/1000)</f>
        <v/>
      </c>
      <c r="L820" s="46" t="str">
        <f>IF($K820="","",RANK($K820,$K$6:$K$1005,1))</f>
        <v/>
      </c>
    </row>
    <row r="821" ht="15" customHeight="1" s="41">
      <c r="J821" s="57" t="b">
        <f>IF(액션아이템!$C818="",FALSE(),OR(액션아이템!$F818="진행중",액션아이템!$F818="보류"))</f>
        <v>0</v>
      </c>
      <c r="K821" s="46" t="str">
        <f>IF($J821=FALSE(),"",IF(액션아이템!$E818="",99999999,액션아이템!$E818)*100+ROW()/1000)</f>
        <v/>
      </c>
      <c r="L821" s="46" t="str">
        <f>IF($K821="","",RANK($K821,$K$6:$K$1005,1))</f>
        <v/>
      </c>
    </row>
    <row r="822" ht="15" customHeight="1" s="41">
      <c r="J822" s="57" t="b">
        <f>IF(액션아이템!$C819="",FALSE(),OR(액션아이템!$F819="진행중",액션아이템!$F819="보류"))</f>
        <v>0</v>
      </c>
      <c r="K822" s="46" t="str">
        <f>IF($J822=FALSE(),"",IF(액션아이템!$E819="",99999999,액션아이템!$E819)*100+ROW()/1000)</f>
        <v/>
      </c>
      <c r="L822" s="46" t="str">
        <f>IF($K822="","",RANK($K822,$K$6:$K$1005,1))</f>
        <v/>
      </c>
    </row>
    <row r="823" ht="15" customHeight="1" s="41">
      <c r="J823" s="57" t="b">
        <f>IF(액션아이템!$C820="",FALSE(),OR(액션아이템!$F820="진행중",액션아이템!$F820="보류"))</f>
        <v>0</v>
      </c>
      <c r="K823" s="46" t="str">
        <f>IF($J823=FALSE(),"",IF(액션아이템!$E820="",99999999,액션아이템!$E820)*100+ROW()/1000)</f>
        <v/>
      </c>
      <c r="L823" s="46" t="str">
        <f>IF($K823="","",RANK($K823,$K$6:$K$1005,1))</f>
        <v/>
      </c>
    </row>
    <row r="824" ht="15" customHeight="1" s="41">
      <c r="J824" s="57" t="b">
        <f>IF(액션아이템!$C821="",FALSE(),OR(액션아이템!$F821="진행중",액션아이템!$F821="보류"))</f>
        <v>0</v>
      </c>
      <c r="K824" s="46" t="str">
        <f>IF($J824=FALSE(),"",IF(액션아이템!$E821="",99999999,액션아이템!$E821)*100+ROW()/1000)</f>
        <v/>
      </c>
      <c r="L824" s="46" t="str">
        <f>IF($K824="","",RANK($K824,$K$6:$K$1005,1))</f>
        <v/>
      </c>
    </row>
    <row r="825" ht="15" customHeight="1" s="41">
      <c r="J825" s="57" t="b">
        <f>IF(액션아이템!$C822="",FALSE(),OR(액션아이템!$F822="진행중",액션아이템!$F822="보류"))</f>
        <v>0</v>
      </c>
      <c r="K825" s="46" t="str">
        <f>IF($J825=FALSE(),"",IF(액션아이템!$E822="",99999999,액션아이템!$E822)*100+ROW()/1000)</f>
        <v/>
      </c>
      <c r="L825" s="46" t="str">
        <f>IF($K825="","",RANK($K825,$K$6:$K$1005,1))</f>
        <v/>
      </c>
    </row>
    <row r="826" ht="15" customHeight="1" s="41">
      <c r="J826" s="57" t="b">
        <f>IF(액션아이템!$C823="",FALSE(),OR(액션아이템!$F823="진행중",액션아이템!$F823="보류"))</f>
        <v>0</v>
      </c>
      <c r="K826" s="46" t="str">
        <f>IF($J826=FALSE(),"",IF(액션아이템!$E823="",99999999,액션아이템!$E823)*100+ROW()/1000)</f>
        <v/>
      </c>
      <c r="L826" s="46" t="str">
        <f>IF($K826="","",RANK($K826,$K$6:$K$1005,1))</f>
        <v/>
      </c>
    </row>
    <row r="827" ht="15" customHeight="1" s="41">
      <c r="J827" s="57" t="b">
        <f>IF(액션아이템!$C824="",FALSE(),OR(액션아이템!$F824="진행중",액션아이템!$F824="보류"))</f>
        <v>0</v>
      </c>
      <c r="K827" s="46" t="str">
        <f>IF($J827=FALSE(),"",IF(액션아이템!$E824="",99999999,액션아이템!$E824)*100+ROW()/1000)</f>
        <v/>
      </c>
      <c r="L827" s="46" t="str">
        <f>IF($K827="","",RANK($K827,$K$6:$K$1005,1))</f>
        <v/>
      </c>
    </row>
    <row r="828" ht="15" customHeight="1" s="41">
      <c r="J828" s="57" t="b">
        <f>IF(액션아이템!$C825="",FALSE(),OR(액션아이템!$F825="진행중",액션아이템!$F825="보류"))</f>
        <v>0</v>
      </c>
      <c r="K828" s="46" t="str">
        <f>IF($J828=FALSE(),"",IF(액션아이템!$E825="",99999999,액션아이템!$E825)*100+ROW()/1000)</f>
        <v/>
      </c>
      <c r="L828" s="46" t="str">
        <f>IF($K828="","",RANK($K828,$K$6:$K$1005,1))</f>
        <v/>
      </c>
    </row>
    <row r="829" ht="15" customHeight="1" s="41">
      <c r="J829" s="57" t="b">
        <f>IF(액션아이템!$C826="",FALSE(),OR(액션아이템!$F826="진행중",액션아이템!$F826="보류"))</f>
        <v>0</v>
      </c>
      <c r="K829" s="46" t="str">
        <f>IF($J829=FALSE(),"",IF(액션아이템!$E826="",99999999,액션아이템!$E826)*100+ROW()/1000)</f>
        <v/>
      </c>
      <c r="L829" s="46" t="str">
        <f>IF($K829="","",RANK($K829,$K$6:$K$1005,1))</f>
        <v/>
      </c>
    </row>
    <row r="830" ht="15" customHeight="1" s="41">
      <c r="J830" s="57" t="b">
        <f>IF(액션아이템!$C827="",FALSE(),OR(액션아이템!$F827="진행중",액션아이템!$F827="보류"))</f>
        <v>0</v>
      </c>
      <c r="K830" s="46" t="str">
        <f>IF($J830=FALSE(),"",IF(액션아이템!$E827="",99999999,액션아이템!$E827)*100+ROW()/1000)</f>
        <v/>
      </c>
      <c r="L830" s="46" t="str">
        <f>IF($K830="","",RANK($K830,$K$6:$K$1005,1))</f>
        <v/>
      </c>
    </row>
    <row r="831" ht="15" customHeight="1" s="41">
      <c r="J831" s="57" t="b">
        <f>IF(액션아이템!$C828="",FALSE(),OR(액션아이템!$F828="진행중",액션아이템!$F828="보류"))</f>
        <v>0</v>
      </c>
      <c r="K831" s="46" t="str">
        <f>IF($J831=FALSE(),"",IF(액션아이템!$E828="",99999999,액션아이템!$E828)*100+ROW()/1000)</f>
        <v/>
      </c>
      <c r="L831" s="46" t="str">
        <f>IF($K831="","",RANK($K831,$K$6:$K$1005,1))</f>
        <v/>
      </c>
    </row>
    <row r="832" ht="15" customHeight="1" s="41">
      <c r="J832" s="57" t="b">
        <f>IF(액션아이템!$C829="",FALSE(),OR(액션아이템!$F829="진행중",액션아이템!$F829="보류"))</f>
        <v>0</v>
      </c>
      <c r="K832" s="46" t="str">
        <f>IF($J832=FALSE(),"",IF(액션아이템!$E829="",99999999,액션아이템!$E829)*100+ROW()/1000)</f>
        <v/>
      </c>
      <c r="L832" s="46" t="str">
        <f>IF($K832="","",RANK($K832,$K$6:$K$1005,1))</f>
        <v/>
      </c>
    </row>
    <row r="833" ht="15" customHeight="1" s="41">
      <c r="J833" s="57" t="b">
        <f>IF(액션아이템!$C830="",FALSE(),OR(액션아이템!$F830="진행중",액션아이템!$F830="보류"))</f>
        <v>0</v>
      </c>
      <c r="K833" s="46" t="str">
        <f>IF($J833=FALSE(),"",IF(액션아이템!$E830="",99999999,액션아이템!$E830)*100+ROW()/1000)</f>
        <v/>
      </c>
      <c r="L833" s="46" t="str">
        <f>IF($K833="","",RANK($K833,$K$6:$K$1005,1))</f>
        <v/>
      </c>
    </row>
    <row r="834" ht="15" customHeight="1" s="41">
      <c r="J834" s="57" t="b">
        <f>IF(액션아이템!$C831="",FALSE(),OR(액션아이템!$F831="진행중",액션아이템!$F831="보류"))</f>
        <v>0</v>
      </c>
      <c r="K834" s="46" t="str">
        <f>IF($J834=FALSE(),"",IF(액션아이템!$E831="",99999999,액션아이템!$E831)*100+ROW()/1000)</f>
        <v/>
      </c>
      <c r="L834" s="46" t="str">
        <f>IF($K834="","",RANK($K834,$K$6:$K$1005,1))</f>
        <v/>
      </c>
    </row>
    <row r="835" ht="15" customHeight="1" s="41">
      <c r="J835" s="57" t="b">
        <f>IF(액션아이템!$C832="",FALSE(),OR(액션아이템!$F832="진행중",액션아이템!$F832="보류"))</f>
        <v>0</v>
      </c>
      <c r="K835" s="46" t="str">
        <f>IF($J835=FALSE(),"",IF(액션아이템!$E832="",99999999,액션아이템!$E832)*100+ROW()/1000)</f>
        <v/>
      </c>
      <c r="L835" s="46" t="str">
        <f>IF($K835="","",RANK($K835,$K$6:$K$1005,1))</f>
        <v/>
      </c>
    </row>
    <row r="836" ht="15" customHeight="1" s="41">
      <c r="J836" s="57" t="b">
        <f>IF(액션아이템!$C833="",FALSE(),OR(액션아이템!$F833="진행중",액션아이템!$F833="보류"))</f>
        <v>0</v>
      </c>
      <c r="K836" s="46" t="str">
        <f>IF($J836=FALSE(),"",IF(액션아이템!$E833="",99999999,액션아이템!$E833)*100+ROW()/1000)</f>
        <v/>
      </c>
      <c r="L836" s="46" t="str">
        <f>IF($K836="","",RANK($K836,$K$6:$K$1005,1))</f>
        <v/>
      </c>
    </row>
    <row r="837" ht="15" customHeight="1" s="41">
      <c r="J837" s="57" t="b">
        <f>IF(액션아이템!$C834="",FALSE(),OR(액션아이템!$F834="진행중",액션아이템!$F834="보류"))</f>
        <v>0</v>
      </c>
      <c r="K837" s="46" t="str">
        <f>IF($J837=FALSE(),"",IF(액션아이템!$E834="",99999999,액션아이템!$E834)*100+ROW()/1000)</f>
        <v/>
      </c>
      <c r="L837" s="46" t="str">
        <f>IF($K837="","",RANK($K837,$K$6:$K$1005,1))</f>
        <v/>
      </c>
    </row>
    <row r="838" ht="15" customHeight="1" s="41">
      <c r="J838" s="57" t="b">
        <f>IF(액션아이템!$C835="",FALSE(),OR(액션아이템!$F835="진행중",액션아이템!$F835="보류"))</f>
        <v>0</v>
      </c>
      <c r="K838" s="46" t="str">
        <f>IF($J838=FALSE(),"",IF(액션아이템!$E835="",99999999,액션아이템!$E835)*100+ROW()/1000)</f>
        <v/>
      </c>
      <c r="L838" s="46" t="str">
        <f>IF($K838="","",RANK($K838,$K$6:$K$1005,1))</f>
        <v/>
      </c>
    </row>
    <row r="839" ht="15" customHeight="1" s="41">
      <c r="J839" s="57" t="b">
        <f>IF(액션아이템!$C836="",FALSE(),OR(액션아이템!$F836="진행중",액션아이템!$F836="보류"))</f>
        <v>0</v>
      </c>
      <c r="K839" s="46" t="str">
        <f>IF($J839=FALSE(),"",IF(액션아이템!$E836="",99999999,액션아이템!$E836)*100+ROW()/1000)</f>
        <v/>
      </c>
      <c r="L839" s="46" t="str">
        <f>IF($K839="","",RANK($K839,$K$6:$K$1005,1))</f>
        <v/>
      </c>
    </row>
    <row r="840" ht="15" customHeight="1" s="41">
      <c r="J840" s="57" t="b">
        <f>IF(액션아이템!$C837="",FALSE(),OR(액션아이템!$F837="진행중",액션아이템!$F837="보류"))</f>
        <v>0</v>
      </c>
      <c r="K840" s="46" t="str">
        <f>IF($J840=FALSE(),"",IF(액션아이템!$E837="",99999999,액션아이템!$E837)*100+ROW()/1000)</f>
        <v/>
      </c>
      <c r="L840" s="46" t="str">
        <f>IF($K840="","",RANK($K840,$K$6:$K$1005,1))</f>
        <v/>
      </c>
    </row>
    <row r="841" ht="15" customHeight="1" s="41">
      <c r="J841" s="57" t="b">
        <f>IF(액션아이템!$C838="",FALSE(),OR(액션아이템!$F838="진행중",액션아이템!$F838="보류"))</f>
        <v>0</v>
      </c>
      <c r="K841" s="46" t="str">
        <f>IF($J841=FALSE(),"",IF(액션아이템!$E838="",99999999,액션아이템!$E838)*100+ROW()/1000)</f>
        <v/>
      </c>
      <c r="L841" s="46" t="str">
        <f>IF($K841="","",RANK($K841,$K$6:$K$1005,1))</f>
        <v/>
      </c>
    </row>
    <row r="842" ht="15" customHeight="1" s="41">
      <c r="J842" s="57" t="b">
        <f>IF(액션아이템!$C839="",FALSE(),OR(액션아이템!$F839="진행중",액션아이템!$F839="보류"))</f>
        <v>0</v>
      </c>
      <c r="K842" s="46" t="str">
        <f>IF($J842=FALSE(),"",IF(액션아이템!$E839="",99999999,액션아이템!$E839)*100+ROW()/1000)</f>
        <v/>
      </c>
      <c r="L842" s="46" t="str">
        <f>IF($K842="","",RANK($K842,$K$6:$K$1005,1))</f>
        <v/>
      </c>
    </row>
    <row r="843" ht="15" customHeight="1" s="41">
      <c r="J843" s="57" t="b">
        <f>IF(액션아이템!$C840="",FALSE(),OR(액션아이템!$F840="진행중",액션아이템!$F840="보류"))</f>
        <v>0</v>
      </c>
      <c r="K843" s="46" t="str">
        <f>IF($J843=FALSE(),"",IF(액션아이템!$E840="",99999999,액션아이템!$E840)*100+ROW()/1000)</f>
        <v/>
      </c>
      <c r="L843" s="46" t="str">
        <f>IF($K843="","",RANK($K843,$K$6:$K$1005,1))</f>
        <v/>
      </c>
    </row>
    <row r="844" ht="15" customHeight="1" s="41">
      <c r="J844" s="57" t="b">
        <f>IF(액션아이템!$C841="",FALSE(),OR(액션아이템!$F841="진행중",액션아이템!$F841="보류"))</f>
        <v>0</v>
      </c>
      <c r="K844" s="46" t="str">
        <f>IF($J844=FALSE(),"",IF(액션아이템!$E841="",99999999,액션아이템!$E841)*100+ROW()/1000)</f>
        <v/>
      </c>
      <c r="L844" s="46" t="str">
        <f>IF($K844="","",RANK($K844,$K$6:$K$1005,1))</f>
        <v/>
      </c>
    </row>
    <row r="845" ht="15" customHeight="1" s="41">
      <c r="J845" s="57" t="b">
        <f>IF(액션아이템!$C842="",FALSE(),OR(액션아이템!$F842="진행중",액션아이템!$F842="보류"))</f>
        <v>0</v>
      </c>
      <c r="K845" s="46" t="str">
        <f>IF($J845=FALSE(),"",IF(액션아이템!$E842="",99999999,액션아이템!$E842)*100+ROW()/1000)</f>
        <v/>
      </c>
      <c r="L845" s="46" t="str">
        <f>IF($K845="","",RANK($K845,$K$6:$K$1005,1))</f>
        <v/>
      </c>
    </row>
    <row r="846" ht="15" customHeight="1" s="41">
      <c r="J846" s="57" t="b">
        <f>IF(액션아이템!$C843="",FALSE(),OR(액션아이템!$F843="진행중",액션아이템!$F843="보류"))</f>
        <v>0</v>
      </c>
      <c r="K846" s="46" t="str">
        <f>IF($J846=FALSE(),"",IF(액션아이템!$E843="",99999999,액션아이템!$E843)*100+ROW()/1000)</f>
        <v/>
      </c>
      <c r="L846" s="46" t="str">
        <f>IF($K846="","",RANK($K846,$K$6:$K$1005,1))</f>
        <v/>
      </c>
    </row>
    <row r="847" ht="15" customHeight="1" s="41">
      <c r="J847" s="57" t="b">
        <f>IF(액션아이템!$C844="",FALSE(),OR(액션아이템!$F844="진행중",액션아이템!$F844="보류"))</f>
        <v>0</v>
      </c>
      <c r="K847" s="46" t="str">
        <f>IF($J847=FALSE(),"",IF(액션아이템!$E844="",99999999,액션아이템!$E844)*100+ROW()/1000)</f>
        <v/>
      </c>
      <c r="L847" s="46" t="str">
        <f>IF($K847="","",RANK($K847,$K$6:$K$1005,1))</f>
        <v/>
      </c>
    </row>
    <row r="848" ht="15" customHeight="1" s="41">
      <c r="J848" s="57" t="b">
        <f>IF(액션아이템!$C845="",FALSE(),OR(액션아이템!$F845="진행중",액션아이템!$F845="보류"))</f>
        <v>0</v>
      </c>
      <c r="K848" s="46" t="str">
        <f>IF($J848=FALSE(),"",IF(액션아이템!$E845="",99999999,액션아이템!$E845)*100+ROW()/1000)</f>
        <v/>
      </c>
      <c r="L848" s="46" t="str">
        <f>IF($K848="","",RANK($K848,$K$6:$K$1005,1))</f>
        <v/>
      </c>
    </row>
    <row r="849" ht="15" customHeight="1" s="41">
      <c r="J849" s="57" t="b">
        <f>IF(액션아이템!$C846="",FALSE(),OR(액션아이템!$F846="진행중",액션아이템!$F846="보류"))</f>
        <v>0</v>
      </c>
      <c r="K849" s="46" t="str">
        <f>IF($J849=FALSE(),"",IF(액션아이템!$E846="",99999999,액션아이템!$E846)*100+ROW()/1000)</f>
        <v/>
      </c>
      <c r="L849" s="46" t="str">
        <f>IF($K849="","",RANK($K849,$K$6:$K$1005,1))</f>
        <v/>
      </c>
    </row>
    <row r="850" ht="15" customHeight="1" s="41">
      <c r="J850" s="57" t="b">
        <f>IF(액션아이템!$C847="",FALSE(),OR(액션아이템!$F847="진행중",액션아이템!$F847="보류"))</f>
        <v>0</v>
      </c>
      <c r="K850" s="46" t="str">
        <f>IF($J850=FALSE(),"",IF(액션아이템!$E847="",99999999,액션아이템!$E847)*100+ROW()/1000)</f>
        <v/>
      </c>
      <c r="L850" s="46" t="str">
        <f>IF($K850="","",RANK($K850,$K$6:$K$1005,1))</f>
        <v/>
      </c>
    </row>
    <row r="851" ht="15" customHeight="1" s="41">
      <c r="J851" s="57" t="b">
        <f>IF(액션아이템!$C848="",FALSE(),OR(액션아이템!$F848="진행중",액션아이템!$F848="보류"))</f>
        <v>0</v>
      </c>
      <c r="K851" s="46" t="str">
        <f>IF($J851=FALSE(),"",IF(액션아이템!$E848="",99999999,액션아이템!$E848)*100+ROW()/1000)</f>
        <v/>
      </c>
      <c r="L851" s="46" t="str">
        <f>IF($K851="","",RANK($K851,$K$6:$K$1005,1))</f>
        <v/>
      </c>
    </row>
    <row r="852" ht="15" customHeight="1" s="41">
      <c r="J852" s="57" t="b">
        <f>IF(액션아이템!$C849="",FALSE(),OR(액션아이템!$F849="진행중",액션아이템!$F849="보류"))</f>
        <v>0</v>
      </c>
      <c r="K852" s="46" t="str">
        <f>IF($J852=FALSE(),"",IF(액션아이템!$E849="",99999999,액션아이템!$E849)*100+ROW()/1000)</f>
        <v/>
      </c>
      <c r="L852" s="46" t="str">
        <f>IF($K852="","",RANK($K852,$K$6:$K$1005,1))</f>
        <v/>
      </c>
    </row>
    <row r="853" ht="15" customHeight="1" s="41">
      <c r="J853" s="57" t="b">
        <f>IF(액션아이템!$C850="",FALSE(),OR(액션아이템!$F850="진행중",액션아이템!$F850="보류"))</f>
        <v>0</v>
      </c>
      <c r="K853" s="46" t="str">
        <f>IF($J853=FALSE(),"",IF(액션아이템!$E850="",99999999,액션아이템!$E850)*100+ROW()/1000)</f>
        <v/>
      </c>
      <c r="L853" s="46" t="str">
        <f>IF($K853="","",RANK($K853,$K$6:$K$1005,1))</f>
        <v/>
      </c>
    </row>
    <row r="854" ht="15" customHeight="1" s="41">
      <c r="J854" s="57" t="b">
        <f>IF(액션아이템!$C851="",FALSE(),OR(액션아이템!$F851="진행중",액션아이템!$F851="보류"))</f>
        <v>0</v>
      </c>
      <c r="K854" s="46" t="str">
        <f>IF($J854=FALSE(),"",IF(액션아이템!$E851="",99999999,액션아이템!$E851)*100+ROW()/1000)</f>
        <v/>
      </c>
      <c r="L854" s="46" t="str">
        <f>IF($K854="","",RANK($K854,$K$6:$K$1005,1))</f>
        <v/>
      </c>
    </row>
    <row r="855" ht="15" customHeight="1" s="41">
      <c r="J855" s="57" t="b">
        <f>IF(액션아이템!$C852="",FALSE(),OR(액션아이템!$F852="진행중",액션아이템!$F852="보류"))</f>
        <v>0</v>
      </c>
      <c r="K855" s="46" t="str">
        <f>IF($J855=FALSE(),"",IF(액션아이템!$E852="",99999999,액션아이템!$E852)*100+ROW()/1000)</f>
        <v/>
      </c>
      <c r="L855" s="46" t="str">
        <f>IF($K855="","",RANK($K855,$K$6:$K$1005,1))</f>
        <v/>
      </c>
    </row>
    <row r="856" ht="15" customHeight="1" s="41">
      <c r="J856" s="57" t="b">
        <f>IF(액션아이템!$C853="",FALSE(),OR(액션아이템!$F853="진행중",액션아이템!$F853="보류"))</f>
        <v>0</v>
      </c>
      <c r="K856" s="46" t="str">
        <f>IF($J856=FALSE(),"",IF(액션아이템!$E853="",99999999,액션아이템!$E853)*100+ROW()/1000)</f>
        <v/>
      </c>
      <c r="L856" s="46" t="str">
        <f>IF($K856="","",RANK($K856,$K$6:$K$1005,1))</f>
        <v/>
      </c>
    </row>
    <row r="857" ht="15" customHeight="1" s="41">
      <c r="J857" s="57" t="b">
        <f>IF(액션아이템!$C854="",FALSE(),OR(액션아이템!$F854="진행중",액션아이템!$F854="보류"))</f>
        <v>0</v>
      </c>
      <c r="K857" s="46" t="str">
        <f>IF($J857=FALSE(),"",IF(액션아이템!$E854="",99999999,액션아이템!$E854)*100+ROW()/1000)</f>
        <v/>
      </c>
      <c r="L857" s="46" t="str">
        <f>IF($K857="","",RANK($K857,$K$6:$K$1005,1))</f>
        <v/>
      </c>
    </row>
    <row r="858" ht="15" customHeight="1" s="41">
      <c r="J858" s="57" t="b">
        <f>IF(액션아이템!$C855="",FALSE(),OR(액션아이템!$F855="진행중",액션아이템!$F855="보류"))</f>
        <v>0</v>
      </c>
      <c r="K858" s="46" t="str">
        <f>IF($J858=FALSE(),"",IF(액션아이템!$E855="",99999999,액션아이템!$E855)*100+ROW()/1000)</f>
        <v/>
      </c>
      <c r="L858" s="46" t="str">
        <f>IF($K858="","",RANK($K858,$K$6:$K$1005,1))</f>
        <v/>
      </c>
    </row>
    <row r="859" ht="15" customHeight="1" s="41">
      <c r="J859" s="57" t="b">
        <f>IF(액션아이템!$C856="",FALSE(),OR(액션아이템!$F856="진행중",액션아이템!$F856="보류"))</f>
        <v>0</v>
      </c>
      <c r="K859" s="46" t="str">
        <f>IF($J859=FALSE(),"",IF(액션아이템!$E856="",99999999,액션아이템!$E856)*100+ROW()/1000)</f>
        <v/>
      </c>
      <c r="L859" s="46" t="str">
        <f>IF($K859="","",RANK($K859,$K$6:$K$1005,1))</f>
        <v/>
      </c>
    </row>
    <row r="860" ht="15" customHeight="1" s="41">
      <c r="J860" s="57" t="b">
        <f>IF(액션아이템!$C857="",FALSE(),OR(액션아이템!$F857="진행중",액션아이템!$F857="보류"))</f>
        <v>0</v>
      </c>
      <c r="K860" s="46" t="str">
        <f>IF($J860=FALSE(),"",IF(액션아이템!$E857="",99999999,액션아이템!$E857)*100+ROW()/1000)</f>
        <v/>
      </c>
      <c r="L860" s="46" t="str">
        <f>IF($K860="","",RANK($K860,$K$6:$K$1005,1))</f>
        <v/>
      </c>
    </row>
    <row r="861" ht="15" customHeight="1" s="41">
      <c r="J861" s="57" t="b">
        <f>IF(액션아이템!$C858="",FALSE(),OR(액션아이템!$F858="진행중",액션아이템!$F858="보류"))</f>
        <v>0</v>
      </c>
      <c r="K861" s="46" t="str">
        <f>IF($J861=FALSE(),"",IF(액션아이템!$E858="",99999999,액션아이템!$E858)*100+ROW()/1000)</f>
        <v/>
      </c>
      <c r="L861" s="46" t="str">
        <f>IF($K861="","",RANK($K861,$K$6:$K$1005,1))</f>
        <v/>
      </c>
    </row>
    <row r="862" ht="15" customHeight="1" s="41">
      <c r="J862" s="57" t="b">
        <f>IF(액션아이템!$C859="",FALSE(),OR(액션아이템!$F859="진행중",액션아이템!$F859="보류"))</f>
        <v>0</v>
      </c>
      <c r="K862" s="46" t="str">
        <f>IF($J862=FALSE(),"",IF(액션아이템!$E859="",99999999,액션아이템!$E859)*100+ROW()/1000)</f>
        <v/>
      </c>
      <c r="L862" s="46" t="str">
        <f>IF($K862="","",RANK($K862,$K$6:$K$1005,1))</f>
        <v/>
      </c>
    </row>
    <row r="863" ht="15" customHeight="1" s="41">
      <c r="J863" s="57" t="b">
        <f>IF(액션아이템!$C860="",FALSE(),OR(액션아이템!$F860="진행중",액션아이템!$F860="보류"))</f>
        <v>0</v>
      </c>
      <c r="K863" s="46" t="str">
        <f>IF($J863=FALSE(),"",IF(액션아이템!$E860="",99999999,액션아이템!$E860)*100+ROW()/1000)</f>
        <v/>
      </c>
      <c r="L863" s="46" t="str">
        <f>IF($K863="","",RANK($K863,$K$6:$K$1005,1))</f>
        <v/>
      </c>
    </row>
    <row r="864" ht="15" customHeight="1" s="41">
      <c r="J864" s="57" t="b">
        <f>IF(액션아이템!$C861="",FALSE(),OR(액션아이템!$F861="진행중",액션아이템!$F861="보류"))</f>
        <v>0</v>
      </c>
      <c r="K864" s="46" t="str">
        <f>IF($J864=FALSE(),"",IF(액션아이템!$E861="",99999999,액션아이템!$E861)*100+ROW()/1000)</f>
        <v/>
      </c>
      <c r="L864" s="46" t="str">
        <f>IF($K864="","",RANK($K864,$K$6:$K$1005,1))</f>
        <v/>
      </c>
    </row>
    <row r="865" ht="15" customHeight="1" s="41">
      <c r="J865" s="57" t="b">
        <f>IF(액션아이템!$C862="",FALSE(),OR(액션아이템!$F862="진행중",액션아이템!$F862="보류"))</f>
        <v>0</v>
      </c>
      <c r="K865" s="46" t="str">
        <f>IF($J865=FALSE(),"",IF(액션아이템!$E862="",99999999,액션아이템!$E862)*100+ROW()/1000)</f>
        <v/>
      </c>
      <c r="L865" s="46" t="str">
        <f>IF($K865="","",RANK($K865,$K$6:$K$1005,1))</f>
        <v/>
      </c>
    </row>
    <row r="866" ht="15" customHeight="1" s="41">
      <c r="J866" s="57" t="b">
        <f>IF(액션아이템!$C863="",FALSE(),OR(액션아이템!$F863="진행중",액션아이템!$F863="보류"))</f>
        <v>0</v>
      </c>
      <c r="K866" s="46" t="str">
        <f>IF($J866=FALSE(),"",IF(액션아이템!$E863="",99999999,액션아이템!$E863)*100+ROW()/1000)</f>
        <v/>
      </c>
      <c r="L866" s="46" t="str">
        <f>IF($K866="","",RANK($K866,$K$6:$K$1005,1))</f>
        <v/>
      </c>
    </row>
    <row r="867" ht="15" customHeight="1" s="41">
      <c r="J867" s="57" t="b">
        <f>IF(액션아이템!$C864="",FALSE(),OR(액션아이템!$F864="진행중",액션아이템!$F864="보류"))</f>
        <v>0</v>
      </c>
      <c r="K867" s="46" t="str">
        <f>IF($J867=FALSE(),"",IF(액션아이템!$E864="",99999999,액션아이템!$E864)*100+ROW()/1000)</f>
        <v/>
      </c>
      <c r="L867" s="46" t="str">
        <f>IF($K867="","",RANK($K867,$K$6:$K$1005,1))</f>
        <v/>
      </c>
    </row>
    <row r="868" ht="15" customHeight="1" s="41">
      <c r="J868" s="57" t="b">
        <f>IF(액션아이템!$C865="",FALSE(),OR(액션아이템!$F865="진행중",액션아이템!$F865="보류"))</f>
        <v>0</v>
      </c>
      <c r="K868" s="46" t="str">
        <f>IF($J868=FALSE(),"",IF(액션아이템!$E865="",99999999,액션아이템!$E865)*100+ROW()/1000)</f>
        <v/>
      </c>
      <c r="L868" s="46" t="str">
        <f>IF($K868="","",RANK($K868,$K$6:$K$1005,1))</f>
        <v/>
      </c>
    </row>
    <row r="869" ht="15" customHeight="1" s="41">
      <c r="J869" s="57" t="b">
        <f>IF(액션아이템!$C866="",FALSE(),OR(액션아이템!$F866="진행중",액션아이템!$F866="보류"))</f>
        <v>0</v>
      </c>
      <c r="K869" s="46" t="str">
        <f>IF($J869=FALSE(),"",IF(액션아이템!$E866="",99999999,액션아이템!$E866)*100+ROW()/1000)</f>
        <v/>
      </c>
      <c r="L869" s="46" t="str">
        <f>IF($K869="","",RANK($K869,$K$6:$K$1005,1))</f>
        <v/>
      </c>
    </row>
    <row r="870" ht="15" customHeight="1" s="41">
      <c r="J870" s="57" t="b">
        <f>IF(액션아이템!$C867="",FALSE(),OR(액션아이템!$F867="진행중",액션아이템!$F867="보류"))</f>
        <v>0</v>
      </c>
      <c r="K870" s="46" t="str">
        <f>IF($J870=FALSE(),"",IF(액션아이템!$E867="",99999999,액션아이템!$E867)*100+ROW()/1000)</f>
        <v/>
      </c>
      <c r="L870" s="46" t="str">
        <f>IF($K870="","",RANK($K870,$K$6:$K$1005,1))</f>
        <v/>
      </c>
    </row>
    <row r="871" ht="15" customHeight="1" s="41">
      <c r="J871" s="57" t="b">
        <f>IF(액션아이템!$C868="",FALSE(),OR(액션아이템!$F868="진행중",액션아이템!$F868="보류"))</f>
        <v>0</v>
      </c>
      <c r="K871" s="46" t="str">
        <f>IF($J871=FALSE(),"",IF(액션아이템!$E868="",99999999,액션아이템!$E868)*100+ROW()/1000)</f>
        <v/>
      </c>
      <c r="L871" s="46" t="str">
        <f>IF($K871="","",RANK($K871,$K$6:$K$1005,1))</f>
        <v/>
      </c>
    </row>
    <row r="872" ht="15" customHeight="1" s="41">
      <c r="J872" s="57" t="b">
        <f>IF(액션아이템!$C869="",FALSE(),OR(액션아이템!$F869="진행중",액션아이템!$F869="보류"))</f>
        <v>0</v>
      </c>
      <c r="K872" s="46" t="str">
        <f>IF($J872=FALSE(),"",IF(액션아이템!$E869="",99999999,액션아이템!$E869)*100+ROW()/1000)</f>
        <v/>
      </c>
      <c r="L872" s="46" t="str">
        <f>IF($K872="","",RANK($K872,$K$6:$K$1005,1))</f>
        <v/>
      </c>
    </row>
    <row r="873" ht="15" customHeight="1" s="41">
      <c r="J873" s="57" t="b">
        <f>IF(액션아이템!$C870="",FALSE(),OR(액션아이템!$F870="진행중",액션아이템!$F870="보류"))</f>
        <v>0</v>
      </c>
      <c r="K873" s="46" t="str">
        <f>IF($J873=FALSE(),"",IF(액션아이템!$E870="",99999999,액션아이템!$E870)*100+ROW()/1000)</f>
        <v/>
      </c>
      <c r="L873" s="46" t="str">
        <f>IF($K873="","",RANK($K873,$K$6:$K$1005,1))</f>
        <v/>
      </c>
    </row>
    <row r="874" ht="15" customHeight="1" s="41">
      <c r="J874" s="57" t="b">
        <f>IF(액션아이템!$C871="",FALSE(),OR(액션아이템!$F871="진행중",액션아이템!$F871="보류"))</f>
        <v>0</v>
      </c>
      <c r="K874" s="46" t="str">
        <f>IF($J874=FALSE(),"",IF(액션아이템!$E871="",99999999,액션아이템!$E871)*100+ROW()/1000)</f>
        <v/>
      </c>
      <c r="L874" s="46" t="str">
        <f>IF($K874="","",RANK($K874,$K$6:$K$1005,1))</f>
        <v/>
      </c>
    </row>
    <row r="875" ht="15" customHeight="1" s="41">
      <c r="J875" s="57" t="b">
        <f>IF(액션아이템!$C872="",FALSE(),OR(액션아이템!$F872="진행중",액션아이템!$F872="보류"))</f>
        <v>0</v>
      </c>
      <c r="K875" s="46" t="str">
        <f>IF($J875=FALSE(),"",IF(액션아이템!$E872="",99999999,액션아이템!$E872)*100+ROW()/1000)</f>
        <v/>
      </c>
      <c r="L875" s="46" t="str">
        <f>IF($K875="","",RANK($K875,$K$6:$K$1005,1))</f>
        <v/>
      </c>
    </row>
    <row r="876" ht="15" customHeight="1" s="41">
      <c r="J876" s="57" t="b">
        <f>IF(액션아이템!$C873="",FALSE(),OR(액션아이템!$F873="진행중",액션아이템!$F873="보류"))</f>
        <v>0</v>
      </c>
      <c r="K876" s="46" t="str">
        <f>IF($J876=FALSE(),"",IF(액션아이템!$E873="",99999999,액션아이템!$E873)*100+ROW()/1000)</f>
        <v/>
      </c>
      <c r="L876" s="46" t="str">
        <f>IF($K876="","",RANK($K876,$K$6:$K$1005,1))</f>
        <v/>
      </c>
    </row>
    <row r="877" ht="15" customHeight="1" s="41">
      <c r="J877" s="57" t="b">
        <f>IF(액션아이템!$C874="",FALSE(),OR(액션아이템!$F874="진행중",액션아이템!$F874="보류"))</f>
        <v>0</v>
      </c>
      <c r="K877" s="46" t="str">
        <f>IF($J877=FALSE(),"",IF(액션아이템!$E874="",99999999,액션아이템!$E874)*100+ROW()/1000)</f>
        <v/>
      </c>
      <c r="L877" s="46" t="str">
        <f>IF($K877="","",RANK($K877,$K$6:$K$1005,1))</f>
        <v/>
      </c>
    </row>
    <row r="878" ht="15" customHeight="1" s="41">
      <c r="J878" s="57" t="b">
        <f>IF(액션아이템!$C875="",FALSE(),OR(액션아이템!$F875="진행중",액션아이템!$F875="보류"))</f>
        <v>0</v>
      </c>
      <c r="K878" s="46" t="str">
        <f>IF($J878=FALSE(),"",IF(액션아이템!$E875="",99999999,액션아이템!$E875)*100+ROW()/1000)</f>
        <v/>
      </c>
      <c r="L878" s="46" t="str">
        <f>IF($K878="","",RANK($K878,$K$6:$K$1005,1))</f>
        <v/>
      </c>
    </row>
    <row r="879" ht="15" customHeight="1" s="41">
      <c r="J879" s="57" t="b">
        <f>IF(액션아이템!$C876="",FALSE(),OR(액션아이템!$F876="진행중",액션아이템!$F876="보류"))</f>
        <v>0</v>
      </c>
      <c r="K879" s="46" t="str">
        <f>IF($J879=FALSE(),"",IF(액션아이템!$E876="",99999999,액션아이템!$E876)*100+ROW()/1000)</f>
        <v/>
      </c>
      <c r="L879" s="46" t="str">
        <f>IF($K879="","",RANK($K879,$K$6:$K$1005,1))</f>
        <v/>
      </c>
    </row>
    <row r="880" ht="15" customHeight="1" s="41">
      <c r="J880" s="57" t="b">
        <f>IF(액션아이템!$C877="",FALSE(),OR(액션아이템!$F877="진행중",액션아이템!$F877="보류"))</f>
        <v>0</v>
      </c>
      <c r="K880" s="46" t="str">
        <f>IF($J880=FALSE(),"",IF(액션아이템!$E877="",99999999,액션아이템!$E877)*100+ROW()/1000)</f>
        <v/>
      </c>
      <c r="L880" s="46" t="str">
        <f>IF($K880="","",RANK($K880,$K$6:$K$1005,1))</f>
        <v/>
      </c>
    </row>
    <row r="881" ht="15" customHeight="1" s="41">
      <c r="J881" s="57" t="b">
        <f>IF(액션아이템!$C878="",FALSE(),OR(액션아이템!$F878="진행중",액션아이템!$F878="보류"))</f>
        <v>0</v>
      </c>
      <c r="K881" s="46" t="str">
        <f>IF($J881=FALSE(),"",IF(액션아이템!$E878="",99999999,액션아이템!$E878)*100+ROW()/1000)</f>
        <v/>
      </c>
      <c r="L881" s="46" t="str">
        <f>IF($K881="","",RANK($K881,$K$6:$K$1005,1))</f>
        <v/>
      </c>
    </row>
    <row r="882" ht="15" customHeight="1" s="41">
      <c r="J882" s="57" t="b">
        <f>IF(액션아이템!$C879="",FALSE(),OR(액션아이템!$F879="진행중",액션아이템!$F879="보류"))</f>
        <v>0</v>
      </c>
      <c r="K882" s="46" t="str">
        <f>IF($J882=FALSE(),"",IF(액션아이템!$E879="",99999999,액션아이템!$E879)*100+ROW()/1000)</f>
        <v/>
      </c>
      <c r="L882" s="46" t="str">
        <f>IF($K882="","",RANK($K882,$K$6:$K$1005,1))</f>
        <v/>
      </c>
    </row>
    <row r="883" ht="15" customHeight="1" s="41">
      <c r="J883" s="57" t="b">
        <f>IF(액션아이템!$C880="",FALSE(),OR(액션아이템!$F880="진행중",액션아이템!$F880="보류"))</f>
        <v>0</v>
      </c>
      <c r="K883" s="46" t="str">
        <f>IF($J883=FALSE(),"",IF(액션아이템!$E880="",99999999,액션아이템!$E880)*100+ROW()/1000)</f>
        <v/>
      </c>
      <c r="L883" s="46" t="str">
        <f>IF($K883="","",RANK($K883,$K$6:$K$1005,1))</f>
        <v/>
      </c>
    </row>
    <row r="884" ht="15" customHeight="1" s="41">
      <c r="J884" s="57" t="b">
        <f>IF(액션아이템!$C881="",FALSE(),OR(액션아이템!$F881="진행중",액션아이템!$F881="보류"))</f>
        <v>0</v>
      </c>
      <c r="K884" s="46" t="str">
        <f>IF($J884=FALSE(),"",IF(액션아이템!$E881="",99999999,액션아이템!$E881)*100+ROW()/1000)</f>
        <v/>
      </c>
      <c r="L884" s="46" t="str">
        <f>IF($K884="","",RANK($K884,$K$6:$K$1005,1))</f>
        <v/>
      </c>
    </row>
    <row r="885" ht="15" customHeight="1" s="41">
      <c r="J885" s="57" t="b">
        <f>IF(액션아이템!$C882="",FALSE(),OR(액션아이템!$F882="진행중",액션아이템!$F882="보류"))</f>
        <v>0</v>
      </c>
      <c r="K885" s="46" t="str">
        <f>IF($J885=FALSE(),"",IF(액션아이템!$E882="",99999999,액션아이템!$E882)*100+ROW()/1000)</f>
        <v/>
      </c>
      <c r="L885" s="46" t="str">
        <f>IF($K885="","",RANK($K885,$K$6:$K$1005,1))</f>
        <v/>
      </c>
    </row>
    <row r="886" ht="15" customHeight="1" s="41">
      <c r="J886" s="57" t="b">
        <f>IF(액션아이템!$C883="",FALSE(),OR(액션아이템!$F883="진행중",액션아이템!$F883="보류"))</f>
        <v>0</v>
      </c>
      <c r="K886" s="46" t="str">
        <f>IF($J886=FALSE(),"",IF(액션아이템!$E883="",99999999,액션아이템!$E883)*100+ROW()/1000)</f>
        <v/>
      </c>
      <c r="L886" s="46" t="str">
        <f>IF($K886="","",RANK($K886,$K$6:$K$1005,1))</f>
        <v/>
      </c>
    </row>
    <row r="887" ht="15" customHeight="1" s="41">
      <c r="J887" s="57" t="b">
        <f>IF(액션아이템!$C884="",FALSE(),OR(액션아이템!$F884="진행중",액션아이템!$F884="보류"))</f>
        <v>0</v>
      </c>
      <c r="K887" s="46" t="str">
        <f>IF($J887=FALSE(),"",IF(액션아이템!$E884="",99999999,액션아이템!$E884)*100+ROW()/1000)</f>
        <v/>
      </c>
      <c r="L887" s="46" t="str">
        <f>IF($K887="","",RANK($K887,$K$6:$K$1005,1))</f>
        <v/>
      </c>
    </row>
    <row r="888" ht="15" customHeight="1" s="41">
      <c r="J888" s="57" t="b">
        <f>IF(액션아이템!$C885="",FALSE(),OR(액션아이템!$F885="진행중",액션아이템!$F885="보류"))</f>
        <v>0</v>
      </c>
      <c r="K888" s="46" t="str">
        <f>IF($J888=FALSE(),"",IF(액션아이템!$E885="",99999999,액션아이템!$E885)*100+ROW()/1000)</f>
        <v/>
      </c>
      <c r="L888" s="46" t="str">
        <f>IF($K888="","",RANK($K888,$K$6:$K$1005,1))</f>
        <v/>
      </c>
    </row>
    <row r="889" ht="15" customHeight="1" s="41">
      <c r="J889" s="57" t="b">
        <f>IF(액션아이템!$C886="",FALSE(),OR(액션아이템!$F886="진행중",액션아이템!$F886="보류"))</f>
        <v>0</v>
      </c>
      <c r="K889" s="46" t="str">
        <f>IF($J889=FALSE(),"",IF(액션아이템!$E886="",99999999,액션아이템!$E886)*100+ROW()/1000)</f>
        <v/>
      </c>
      <c r="L889" s="46" t="str">
        <f>IF($K889="","",RANK($K889,$K$6:$K$1005,1))</f>
        <v/>
      </c>
    </row>
    <row r="890" ht="15" customHeight="1" s="41">
      <c r="J890" s="57" t="b">
        <f>IF(액션아이템!$C887="",FALSE(),OR(액션아이템!$F887="진행중",액션아이템!$F887="보류"))</f>
        <v>0</v>
      </c>
      <c r="K890" s="46" t="str">
        <f>IF($J890=FALSE(),"",IF(액션아이템!$E887="",99999999,액션아이템!$E887)*100+ROW()/1000)</f>
        <v/>
      </c>
      <c r="L890" s="46" t="str">
        <f>IF($K890="","",RANK($K890,$K$6:$K$1005,1))</f>
        <v/>
      </c>
    </row>
    <row r="891" ht="15" customHeight="1" s="41">
      <c r="J891" s="57" t="b">
        <f>IF(액션아이템!$C888="",FALSE(),OR(액션아이템!$F888="진행중",액션아이템!$F888="보류"))</f>
        <v>0</v>
      </c>
      <c r="K891" s="46" t="str">
        <f>IF($J891=FALSE(),"",IF(액션아이템!$E888="",99999999,액션아이템!$E888)*100+ROW()/1000)</f>
        <v/>
      </c>
      <c r="L891" s="46" t="str">
        <f>IF($K891="","",RANK($K891,$K$6:$K$1005,1))</f>
        <v/>
      </c>
    </row>
    <row r="892" ht="15" customHeight="1" s="41">
      <c r="J892" s="57" t="b">
        <f>IF(액션아이템!$C889="",FALSE(),OR(액션아이템!$F889="진행중",액션아이템!$F889="보류"))</f>
        <v>0</v>
      </c>
      <c r="K892" s="46" t="str">
        <f>IF($J892=FALSE(),"",IF(액션아이템!$E889="",99999999,액션아이템!$E889)*100+ROW()/1000)</f>
        <v/>
      </c>
      <c r="L892" s="46" t="str">
        <f>IF($K892="","",RANK($K892,$K$6:$K$1005,1))</f>
        <v/>
      </c>
    </row>
    <row r="893" ht="15" customHeight="1" s="41">
      <c r="J893" s="57" t="b">
        <f>IF(액션아이템!$C890="",FALSE(),OR(액션아이템!$F890="진행중",액션아이템!$F890="보류"))</f>
        <v>0</v>
      </c>
      <c r="K893" s="46" t="str">
        <f>IF($J893=FALSE(),"",IF(액션아이템!$E890="",99999999,액션아이템!$E890)*100+ROW()/1000)</f>
        <v/>
      </c>
      <c r="L893" s="46" t="str">
        <f>IF($K893="","",RANK($K893,$K$6:$K$1005,1))</f>
        <v/>
      </c>
    </row>
    <row r="894" ht="15" customHeight="1" s="41">
      <c r="J894" s="57" t="b">
        <f>IF(액션아이템!$C891="",FALSE(),OR(액션아이템!$F891="진행중",액션아이템!$F891="보류"))</f>
        <v>0</v>
      </c>
      <c r="K894" s="46" t="str">
        <f>IF($J894=FALSE(),"",IF(액션아이템!$E891="",99999999,액션아이템!$E891)*100+ROW()/1000)</f>
        <v/>
      </c>
      <c r="L894" s="46" t="str">
        <f>IF($K894="","",RANK($K894,$K$6:$K$1005,1))</f>
        <v/>
      </c>
    </row>
    <row r="895" ht="15" customHeight="1" s="41">
      <c r="J895" s="57" t="b">
        <f>IF(액션아이템!$C892="",FALSE(),OR(액션아이템!$F892="진행중",액션아이템!$F892="보류"))</f>
        <v>0</v>
      </c>
      <c r="K895" s="46" t="str">
        <f>IF($J895=FALSE(),"",IF(액션아이템!$E892="",99999999,액션아이템!$E892)*100+ROW()/1000)</f>
        <v/>
      </c>
      <c r="L895" s="46" t="str">
        <f>IF($K895="","",RANK($K895,$K$6:$K$1005,1))</f>
        <v/>
      </c>
    </row>
    <row r="896" ht="15" customHeight="1" s="41">
      <c r="J896" s="57" t="b">
        <f>IF(액션아이템!$C893="",FALSE(),OR(액션아이템!$F893="진행중",액션아이템!$F893="보류"))</f>
        <v>0</v>
      </c>
      <c r="K896" s="46" t="str">
        <f>IF($J896=FALSE(),"",IF(액션아이템!$E893="",99999999,액션아이템!$E893)*100+ROW()/1000)</f>
        <v/>
      </c>
      <c r="L896" s="46" t="str">
        <f>IF($K896="","",RANK($K896,$K$6:$K$1005,1))</f>
        <v/>
      </c>
    </row>
    <row r="897" ht="15" customHeight="1" s="41">
      <c r="J897" s="57" t="b">
        <f>IF(액션아이템!$C894="",FALSE(),OR(액션아이템!$F894="진행중",액션아이템!$F894="보류"))</f>
        <v>0</v>
      </c>
      <c r="K897" s="46" t="str">
        <f>IF($J897=FALSE(),"",IF(액션아이템!$E894="",99999999,액션아이템!$E894)*100+ROW()/1000)</f>
        <v/>
      </c>
      <c r="L897" s="46" t="str">
        <f>IF($K897="","",RANK($K897,$K$6:$K$1005,1))</f>
        <v/>
      </c>
    </row>
    <row r="898" ht="15" customHeight="1" s="41">
      <c r="J898" s="57" t="b">
        <f>IF(액션아이템!$C895="",FALSE(),OR(액션아이템!$F895="진행중",액션아이템!$F895="보류"))</f>
        <v>0</v>
      </c>
      <c r="K898" s="46" t="str">
        <f>IF($J898=FALSE(),"",IF(액션아이템!$E895="",99999999,액션아이템!$E895)*100+ROW()/1000)</f>
        <v/>
      </c>
      <c r="L898" s="46" t="str">
        <f>IF($K898="","",RANK($K898,$K$6:$K$1005,1))</f>
        <v/>
      </c>
    </row>
    <row r="899" ht="15" customHeight="1" s="41">
      <c r="J899" s="57" t="b">
        <f>IF(액션아이템!$C896="",FALSE(),OR(액션아이템!$F896="진행중",액션아이템!$F896="보류"))</f>
        <v>0</v>
      </c>
      <c r="K899" s="46" t="str">
        <f>IF($J899=FALSE(),"",IF(액션아이템!$E896="",99999999,액션아이템!$E896)*100+ROW()/1000)</f>
        <v/>
      </c>
      <c r="L899" s="46" t="str">
        <f>IF($K899="","",RANK($K899,$K$6:$K$1005,1))</f>
        <v/>
      </c>
    </row>
    <row r="900" ht="15" customHeight="1" s="41">
      <c r="J900" s="57" t="b">
        <f>IF(액션아이템!$C897="",FALSE(),OR(액션아이템!$F897="진행중",액션아이템!$F897="보류"))</f>
        <v>0</v>
      </c>
      <c r="K900" s="46" t="str">
        <f>IF($J900=FALSE(),"",IF(액션아이템!$E897="",99999999,액션아이템!$E897)*100+ROW()/1000)</f>
        <v/>
      </c>
      <c r="L900" s="46" t="str">
        <f>IF($K900="","",RANK($K900,$K$6:$K$1005,1))</f>
        <v/>
      </c>
    </row>
    <row r="901" ht="15" customHeight="1" s="41">
      <c r="J901" s="57" t="b">
        <f>IF(액션아이템!$C898="",FALSE(),OR(액션아이템!$F898="진행중",액션아이템!$F898="보류"))</f>
        <v>0</v>
      </c>
      <c r="K901" s="46" t="str">
        <f>IF($J901=FALSE(),"",IF(액션아이템!$E898="",99999999,액션아이템!$E898)*100+ROW()/1000)</f>
        <v/>
      </c>
      <c r="L901" s="46" t="str">
        <f>IF($K901="","",RANK($K901,$K$6:$K$1005,1))</f>
        <v/>
      </c>
    </row>
    <row r="902" ht="15" customHeight="1" s="41">
      <c r="J902" s="57" t="b">
        <f>IF(액션아이템!$C899="",FALSE(),OR(액션아이템!$F899="진행중",액션아이템!$F899="보류"))</f>
        <v>0</v>
      </c>
      <c r="K902" s="46" t="str">
        <f>IF($J902=FALSE(),"",IF(액션아이템!$E899="",99999999,액션아이템!$E899)*100+ROW()/1000)</f>
        <v/>
      </c>
      <c r="L902" s="46" t="str">
        <f>IF($K902="","",RANK($K902,$K$6:$K$1005,1))</f>
        <v/>
      </c>
    </row>
    <row r="903" ht="15" customHeight="1" s="41">
      <c r="J903" s="57" t="b">
        <f>IF(액션아이템!$C900="",FALSE(),OR(액션아이템!$F900="진행중",액션아이템!$F900="보류"))</f>
        <v>0</v>
      </c>
      <c r="K903" s="46" t="str">
        <f>IF($J903=FALSE(),"",IF(액션아이템!$E900="",99999999,액션아이템!$E900)*100+ROW()/1000)</f>
        <v/>
      </c>
      <c r="L903" s="46" t="str">
        <f>IF($K903="","",RANK($K903,$K$6:$K$1005,1))</f>
        <v/>
      </c>
    </row>
    <row r="904" ht="15" customHeight="1" s="41">
      <c r="J904" s="57" t="b">
        <f>IF(액션아이템!$C901="",FALSE(),OR(액션아이템!$F901="진행중",액션아이템!$F901="보류"))</f>
        <v>0</v>
      </c>
      <c r="K904" s="46" t="str">
        <f>IF($J904=FALSE(),"",IF(액션아이템!$E901="",99999999,액션아이템!$E901)*100+ROW()/1000)</f>
        <v/>
      </c>
      <c r="L904" s="46" t="str">
        <f>IF($K904="","",RANK($K904,$K$6:$K$1005,1))</f>
        <v/>
      </c>
    </row>
    <row r="905" ht="15" customHeight="1" s="41">
      <c r="J905" s="57" t="b">
        <f>IF(액션아이템!$C902="",FALSE(),OR(액션아이템!$F902="진행중",액션아이템!$F902="보류"))</f>
        <v>0</v>
      </c>
      <c r="K905" s="46" t="str">
        <f>IF($J905=FALSE(),"",IF(액션아이템!$E902="",99999999,액션아이템!$E902)*100+ROW()/1000)</f>
        <v/>
      </c>
      <c r="L905" s="46" t="str">
        <f>IF($K905="","",RANK($K905,$K$6:$K$1005,1))</f>
        <v/>
      </c>
    </row>
    <row r="906" ht="15" customHeight="1" s="41">
      <c r="J906" s="57" t="b">
        <f>IF(액션아이템!$C903="",FALSE(),OR(액션아이템!$F903="진행중",액션아이템!$F903="보류"))</f>
        <v>0</v>
      </c>
      <c r="K906" s="46" t="str">
        <f>IF($J906=FALSE(),"",IF(액션아이템!$E903="",99999999,액션아이템!$E903)*100+ROW()/1000)</f>
        <v/>
      </c>
      <c r="L906" s="46" t="str">
        <f>IF($K906="","",RANK($K906,$K$6:$K$1005,1))</f>
        <v/>
      </c>
    </row>
    <row r="907" ht="15" customHeight="1" s="41">
      <c r="J907" s="57" t="b">
        <f>IF(액션아이템!$C904="",FALSE(),OR(액션아이템!$F904="진행중",액션아이템!$F904="보류"))</f>
        <v>0</v>
      </c>
      <c r="K907" s="46" t="str">
        <f>IF($J907=FALSE(),"",IF(액션아이템!$E904="",99999999,액션아이템!$E904)*100+ROW()/1000)</f>
        <v/>
      </c>
      <c r="L907" s="46" t="str">
        <f>IF($K907="","",RANK($K907,$K$6:$K$1005,1))</f>
        <v/>
      </c>
    </row>
    <row r="908" ht="15" customHeight="1" s="41">
      <c r="J908" s="57" t="b">
        <f>IF(액션아이템!$C905="",FALSE(),OR(액션아이템!$F905="진행중",액션아이템!$F905="보류"))</f>
        <v>0</v>
      </c>
      <c r="K908" s="46" t="str">
        <f>IF($J908=FALSE(),"",IF(액션아이템!$E905="",99999999,액션아이템!$E905)*100+ROW()/1000)</f>
        <v/>
      </c>
      <c r="L908" s="46" t="str">
        <f>IF($K908="","",RANK($K908,$K$6:$K$1005,1))</f>
        <v/>
      </c>
    </row>
    <row r="909" ht="15" customHeight="1" s="41">
      <c r="J909" s="57" t="b">
        <f>IF(액션아이템!$C906="",FALSE(),OR(액션아이템!$F906="진행중",액션아이템!$F906="보류"))</f>
        <v>0</v>
      </c>
      <c r="K909" s="46" t="str">
        <f>IF($J909=FALSE(),"",IF(액션아이템!$E906="",99999999,액션아이템!$E906)*100+ROW()/1000)</f>
        <v/>
      </c>
      <c r="L909" s="46" t="str">
        <f>IF($K909="","",RANK($K909,$K$6:$K$1005,1))</f>
        <v/>
      </c>
    </row>
    <row r="910" ht="15" customHeight="1" s="41">
      <c r="J910" s="57" t="b">
        <f>IF(액션아이템!$C907="",FALSE(),OR(액션아이템!$F907="진행중",액션아이템!$F907="보류"))</f>
        <v>0</v>
      </c>
      <c r="K910" s="46" t="str">
        <f>IF($J910=FALSE(),"",IF(액션아이템!$E907="",99999999,액션아이템!$E907)*100+ROW()/1000)</f>
        <v/>
      </c>
      <c r="L910" s="46" t="str">
        <f>IF($K910="","",RANK($K910,$K$6:$K$1005,1))</f>
        <v/>
      </c>
    </row>
    <row r="911" ht="15" customHeight="1" s="41">
      <c r="J911" s="57" t="b">
        <f>IF(액션아이템!$C908="",FALSE(),OR(액션아이템!$F908="진행중",액션아이템!$F908="보류"))</f>
        <v>0</v>
      </c>
      <c r="K911" s="46" t="str">
        <f>IF($J911=FALSE(),"",IF(액션아이템!$E908="",99999999,액션아이템!$E908)*100+ROW()/1000)</f>
        <v/>
      </c>
      <c r="L911" s="46" t="str">
        <f>IF($K911="","",RANK($K911,$K$6:$K$1005,1))</f>
        <v/>
      </c>
    </row>
    <row r="912" ht="15" customHeight="1" s="41">
      <c r="J912" s="57" t="b">
        <f>IF(액션아이템!$C909="",FALSE(),OR(액션아이템!$F909="진행중",액션아이템!$F909="보류"))</f>
        <v>0</v>
      </c>
      <c r="K912" s="46" t="str">
        <f>IF($J912=FALSE(),"",IF(액션아이템!$E909="",99999999,액션아이템!$E909)*100+ROW()/1000)</f>
        <v/>
      </c>
      <c r="L912" s="46" t="str">
        <f>IF($K912="","",RANK($K912,$K$6:$K$1005,1))</f>
        <v/>
      </c>
    </row>
    <row r="913" ht="15" customHeight="1" s="41">
      <c r="J913" s="57" t="b">
        <f>IF(액션아이템!$C910="",FALSE(),OR(액션아이템!$F910="진행중",액션아이템!$F910="보류"))</f>
        <v>0</v>
      </c>
      <c r="K913" s="46" t="str">
        <f>IF($J913=FALSE(),"",IF(액션아이템!$E910="",99999999,액션아이템!$E910)*100+ROW()/1000)</f>
        <v/>
      </c>
      <c r="L913" s="46" t="str">
        <f>IF($K913="","",RANK($K913,$K$6:$K$1005,1))</f>
        <v/>
      </c>
    </row>
    <row r="914" ht="15" customHeight="1" s="41">
      <c r="J914" s="57" t="b">
        <f>IF(액션아이템!$C911="",FALSE(),OR(액션아이템!$F911="진행중",액션아이템!$F911="보류"))</f>
        <v>0</v>
      </c>
      <c r="K914" s="46" t="str">
        <f>IF($J914=FALSE(),"",IF(액션아이템!$E911="",99999999,액션아이템!$E911)*100+ROW()/1000)</f>
        <v/>
      </c>
      <c r="L914" s="46" t="str">
        <f>IF($K914="","",RANK($K914,$K$6:$K$1005,1))</f>
        <v/>
      </c>
    </row>
    <row r="915" ht="15" customHeight="1" s="41">
      <c r="J915" s="57" t="b">
        <f>IF(액션아이템!$C912="",FALSE(),OR(액션아이템!$F912="진행중",액션아이템!$F912="보류"))</f>
        <v>0</v>
      </c>
      <c r="K915" s="46" t="str">
        <f>IF($J915=FALSE(),"",IF(액션아이템!$E912="",99999999,액션아이템!$E912)*100+ROW()/1000)</f>
        <v/>
      </c>
      <c r="L915" s="46" t="str">
        <f>IF($K915="","",RANK($K915,$K$6:$K$1005,1))</f>
        <v/>
      </c>
    </row>
    <row r="916" ht="15" customHeight="1" s="41">
      <c r="J916" s="57" t="b">
        <f>IF(액션아이템!$C913="",FALSE(),OR(액션아이템!$F913="진행중",액션아이템!$F913="보류"))</f>
        <v>0</v>
      </c>
      <c r="K916" s="46" t="str">
        <f>IF($J916=FALSE(),"",IF(액션아이템!$E913="",99999999,액션아이템!$E913)*100+ROW()/1000)</f>
        <v/>
      </c>
      <c r="L916" s="46" t="str">
        <f>IF($K916="","",RANK($K916,$K$6:$K$1005,1))</f>
        <v/>
      </c>
    </row>
    <row r="917" ht="15" customHeight="1" s="41">
      <c r="J917" s="57" t="b">
        <f>IF(액션아이템!$C914="",FALSE(),OR(액션아이템!$F914="진행중",액션아이템!$F914="보류"))</f>
        <v>0</v>
      </c>
      <c r="K917" s="46" t="str">
        <f>IF($J917=FALSE(),"",IF(액션아이템!$E914="",99999999,액션아이템!$E914)*100+ROW()/1000)</f>
        <v/>
      </c>
      <c r="L917" s="46" t="str">
        <f>IF($K917="","",RANK($K917,$K$6:$K$1005,1))</f>
        <v/>
      </c>
    </row>
    <row r="918" ht="15" customHeight="1" s="41">
      <c r="J918" s="57" t="b">
        <f>IF(액션아이템!$C915="",FALSE(),OR(액션아이템!$F915="진행중",액션아이템!$F915="보류"))</f>
        <v>0</v>
      </c>
      <c r="K918" s="46" t="str">
        <f>IF($J918=FALSE(),"",IF(액션아이템!$E915="",99999999,액션아이템!$E915)*100+ROW()/1000)</f>
        <v/>
      </c>
      <c r="L918" s="46" t="str">
        <f>IF($K918="","",RANK($K918,$K$6:$K$1005,1))</f>
        <v/>
      </c>
    </row>
    <row r="919" ht="15" customHeight="1" s="41">
      <c r="J919" s="57" t="b">
        <f>IF(액션아이템!$C916="",FALSE(),OR(액션아이템!$F916="진행중",액션아이템!$F916="보류"))</f>
        <v>0</v>
      </c>
      <c r="K919" s="46" t="str">
        <f>IF($J919=FALSE(),"",IF(액션아이템!$E916="",99999999,액션아이템!$E916)*100+ROW()/1000)</f>
        <v/>
      </c>
      <c r="L919" s="46" t="str">
        <f>IF($K919="","",RANK($K919,$K$6:$K$1005,1))</f>
        <v/>
      </c>
    </row>
    <row r="920" ht="15" customHeight="1" s="41">
      <c r="J920" s="57" t="b">
        <f>IF(액션아이템!$C917="",FALSE(),OR(액션아이템!$F917="진행중",액션아이템!$F917="보류"))</f>
        <v>0</v>
      </c>
      <c r="K920" s="46" t="str">
        <f>IF($J920=FALSE(),"",IF(액션아이템!$E917="",99999999,액션아이템!$E917)*100+ROW()/1000)</f>
        <v/>
      </c>
      <c r="L920" s="46" t="str">
        <f>IF($K920="","",RANK($K920,$K$6:$K$1005,1))</f>
        <v/>
      </c>
    </row>
    <row r="921" ht="15" customHeight="1" s="41">
      <c r="J921" s="57" t="b">
        <f>IF(액션아이템!$C918="",FALSE(),OR(액션아이템!$F918="진행중",액션아이템!$F918="보류"))</f>
        <v>0</v>
      </c>
      <c r="K921" s="46" t="str">
        <f>IF($J921=FALSE(),"",IF(액션아이템!$E918="",99999999,액션아이템!$E918)*100+ROW()/1000)</f>
        <v/>
      </c>
      <c r="L921" s="46" t="str">
        <f>IF($K921="","",RANK($K921,$K$6:$K$1005,1))</f>
        <v/>
      </c>
    </row>
    <row r="922" ht="15" customHeight="1" s="41">
      <c r="J922" s="57" t="b">
        <f>IF(액션아이템!$C919="",FALSE(),OR(액션아이템!$F919="진행중",액션아이템!$F919="보류"))</f>
        <v>0</v>
      </c>
      <c r="K922" s="46" t="str">
        <f>IF($J922=FALSE(),"",IF(액션아이템!$E919="",99999999,액션아이템!$E919)*100+ROW()/1000)</f>
        <v/>
      </c>
      <c r="L922" s="46" t="str">
        <f>IF($K922="","",RANK($K922,$K$6:$K$1005,1))</f>
        <v/>
      </c>
    </row>
    <row r="923" ht="15" customHeight="1" s="41">
      <c r="J923" s="57" t="b">
        <f>IF(액션아이템!$C920="",FALSE(),OR(액션아이템!$F920="진행중",액션아이템!$F920="보류"))</f>
        <v>0</v>
      </c>
      <c r="K923" s="46" t="str">
        <f>IF($J923=FALSE(),"",IF(액션아이템!$E920="",99999999,액션아이템!$E920)*100+ROW()/1000)</f>
        <v/>
      </c>
      <c r="L923" s="46" t="str">
        <f>IF($K923="","",RANK($K923,$K$6:$K$1005,1))</f>
        <v/>
      </c>
    </row>
    <row r="924" ht="15" customHeight="1" s="41">
      <c r="J924" s="57" t="b">
        <f>IF(액션아이템!$C921="",FALSE(),OR(액션아이템!$F921="진행중",액션아이템!$F921="보류"))</f>
        <v>0</v>
      </c>
      <c r="K924" s="46" t="str">
        <f>IF($J924=FALSE(),"",IF(액션아이템!$E921="",99999999,액션아이템!$E921)*100+ROW()/1000)</f>
        <v/>
      </c>
      <c r="L924" s="46" t="str">
        <f>IF($K924="","",RANK($K924,$K$6:$K$1005,1))</f>
        <v/>
      </c>
    </row>
    <row r="925" ht="15" customHeight="1" s="41">
      <c r="J925" s="57" t="b">
        <f>IF(액션아이템!$C922="",FALSE(),OR(액션아이템!$F922="진행중",액션아이템!$F922="보류"))</f>
        <v>0</v>
      </c>
      <c r="K925" s="46" t="str">
        <f>IF($J925=FALSE(),"",IF(액션아이템!$E922="",99999999,액션아이템!$E922)*100+ROW()/1000)</f>
        <v/>
      </c>
      <c r="L925" s="46" t="str">
        <f>IF($K925="","",RANK($K925,$K$6:$K$1005,1))</f>
        <v/>
      </c>
    </row>
    <row r="926" ht="15" customHeight="1" s="41">
      <c r="J926" s="57" t="b">
        <f>IF(액션아이템!$C923="",FALSE(),OR(액션아이템!$F923="진행중",액션아이템!$F923="보류"))</f>
        <v>0</v>
      </c>
      <c r="K926" s="46" t="str">
        <f>IF($J926=FALSE(),"",IF(액션아이템!$E923="",99999999,액션아이템!$E923)*100+ROW()/1000)</f>
        <v/>
      </c>
      <c r="L926" s="46" t="str">
        <f>IF($K926="","",RANK($K926,$K$6:$K$1005,1))</f>
        <v/>
      </c>
    </row>
    <row r="927" ht="15" customHeight="1" s="41">
      <c r="J927" s="57" t="b">
        <f>IF(액션아이템!$C924="",FALSE(),OR(액션아이템!$F924="진행중",액션아이템!$F924="보류"))</f>
        <v>0</v>
      </c>
      <c r="K927" s="46" t="str">
        <f>IF($J927=FALSE(),"",IF(액션아이템!$E924="",99999999,액션아이템!$E924)*100+ROW()/1000)</f>
        <v/>
      </c>
      <c r="L927" s="46" t="str">
        <f>IF($K927="","",RANK($K927,$K$6:$K$1005,1))</f>
        <v/>
      </c>
    </row>
    <row r="928" ht="15" customHeight="1" s="41">
      <c r="J928" s="57" t="b">
        <f>IF(액션아이템!$C925="",FALSE(),OR(액션아이템!$F925="진행중",액션아이템!$F925="보류"))</f>
        <v>0</v>
      </c>
      <c r="K928" s="46" t="str">
        <f>IF($J928=FALSE(),"",IF(액션아이템!$E925="",99999999,액션아이템!$E925)*100+ROW()/1000)</f>
        <v/>
      </c>
      <c r="L928" s="46" t="str">
        <f>IF($K928="","",RANK($K928,$K$6:$K$1005,1))</f>
        <v/>
      </c>
    </row>
    <row r="929" ht="15" customHeight="1" s="41">
      <c r="J929" s="57" t="b">
        <f>IF(액션아이템!$C926="",FALSE(),OR(액션아이템!$F926="진행중",액션아이템!$F926="보류"))</f>
        <v>0</v>
      </c>
      <c r="K929" s="46" t="str">
        <f>IF($J929=FALSE(),"",IF(액션아이템!$E926="",99999999,액션아이템!$E926)*100+ROW()/1000)</f>
        <v/>
      </c>
      <c r="L929" s="46" t="str">
        <f>IF($K929="","",RANK($K929,$K$6:$K$1005,1))</f>
        <v/>
      </c>
    </row>
    <row r="930" ht="15" customHeight="1" s="41">
      <c r="J930" s="57" t="b">
        <f>IF(액션아이템!$C927="",FALSE(),OR(액션아이템!$F927="진행중",액션아이템!$F927="보류"))</f>
        <v>0</v>
      </c>
      <c r="K930" s="46" t="str">
        <f>IF($J930=FALSE(),"",IF(액션아이템!$E927="",99999999,액션아이템!$E927)*100+ROW()/1000)</f>
        <v/>
      </c>
      <c r="L930" s="46" t="str">
        <f>IF($K930="","",RANK($K930,$K$6:$K$1005,1))</f>
        <v/>
      </c>
    </row>
    <row r="931" ht="15" customHeight="1" s="41">
      <c r="J931" s="57" t="b">
        <f>IF(액션아이템!$C928="",FALSE(),OR(액션아이템!$F928="진행중",액션아이템!$F928="보류"))</f>
        <v>0</v>
      </c>
      <c r="K931" s="46" t="str">
        <f>IF($J931=FALSE(),"",IF(액션아이템!$E928="",99999999,액션아이템!$E928)*100+ROW()/1000)</f>
        <v/>
      </c>
      <c r="L931" s="46" t="str">
        <f>IF($K931="","",RANK($K931,$K$6:$K$1005,1))</f>
        <v/>
      </c>
    </row>
    <row r="932" ht="15" customHeight="1" s="41">
      <c r="J932" s="57" t="b">
        <f>IF(액션아이템!$C929="",FALSE(),OR(액션아이템!$F929="진행중",액션아이템!$F929="보류"))</f>
        <v>0</v>
      </c>
      <c r="K932" s="46" t="str">
        <f>IF($J932=FALSE(),"",IF(액션아이템!$E929="",99999999,액션아이템!$E929)*100+ROW()/1000)</f>
        <v/>
      </c>
      <c r="L932" s="46" t="str">
        <f>IF($K932="","",RANK($K932,$K$6:$K$1005,1))</f>
        <v/>
      </c>
    </row>
    <row r="933" ht="15" customHeight="1" s="41">
      <c r="J933" s="57" t="b">
        <f>IF(액션아이템!$C930="",FALSE(),OR(액션아이템!$F930="진행중",액션아이템!$F930="보류"))</f>
        <v>0</v>
      </c>
      <c r="K933" s="46" t="str">
        <f>IF($J933=FALSE(),"",IF(액션아이템!$E930="",99999999,액션아이템!$E930)*100+ROW()/1000)</f>
        <v/>
      </c>
      <c r="L933" s="46" t="str">
        <f>IF($K933="","",RANK($K933,$K$6:$K$1005,1))</f>
        <v/>
      </c>
    </row>
    <row r="934" ht="15" customHeight="1" s="41">
      <c r="J934" s="57" t="b">
        <f>IF(액션아이템!$C931="",FALSE(),OR(액션아이템!$F931="진행중",액션아이템!$F931="보류"))</f>
        <v>0</v>
      </c>
      <c r="K934" s="46" t="str">
        <f>IF($J934=FALSE(),"",IF(액션아이템!$E931="",99999999,액션아이템!$E931)*100+ROW()/1000)</f>
        <v/>
      </c>
      <c r="L934" s="46" t="str">
        <f>IF($K934="","",RANK($K934,$K$6:$K$1005,1))</f>
        <v/>
      </c>
    </row>
    <row r="935" ht="15" customHeight="1" s="41">
      <c r="J935" s="57" t="b">
        <f>IF(액션아이템!$C932="",FALSE(),OR(액션아이템!$F932="진행중",액션아이템!$F932="보류"))</f>
        <v>0</v>
      </c>
      <c r="K935" s="46" t="str">
        <f>IF($J935=FALSE(),"",IF(액션아이템!$E932="",99999999,액션아이템!$E932)*100+ROW()/1000)</f>
        <v/>
      </c>
      <c r="L935" s="46" t="str">
        <f>IF($K935="","",RANK($K935,$K$6:$K$1005,1))</f>
        <v/>
      </c>
    </row>
    <row r="936" ht="15" customHeight="1" s="41">
      <c r="J936" s="57" t="b">
        <f>IF(액션아이템!$C933="",FALSE(),OR(액션아이템!$F933="진행중",액션아이템!$F933="보류"))</f>
        <v>0</v>
      </c>
      <c r="K936" s="46" t="str">
        <f>IF($J936=FALSE(),"",IF(액션아이템!$E933="",99999999,액션아이템!$E933)*100+ROW()/1000)</f>
        <v/>
      </c>
      <c r="L936" s="46" t="str">
        <f>IF($K936="","",RANK($K936,$K$6:$K$1005,1))</f>
        <v/>
      </c>
    </row>
    <row r="937" ht="15" customHeight="1" s="41">
      <c r="J937" s="57" t="b">
        <f>IF(액션아이템!$C934="",FALSE(),OR(액션아이템!$F934="진행중",액션아이템!$F934="보류"))</f>
        <v>0</v>
      </c>
      <c r="K937" s="46" t="str">
        <f>IF($J937=FALSE(),"",IF(액션아이템!$E934="",99999999,액션아이템!$E934)*100+ROW()/1000)</f>
        <v/>
      </c>
      <c r="L937" s="46" t="str">
        <f>IF($K937="","",RANK($K937,$K$6:$K$1005,1))</f>
        <v/>
      </c>
    </row>
    <row r="938" ht="15" customHeight="1" s="41">
      <c r="J938" s="57" t="b">
        <f>IF(액션아이템!$C935="",FALSE(),OR(액션아이템!$F935="진행중",액션아이템!$F935="보류"))</f>
        <v>0</v>
      </c>
      <c r="K938" s="46" t="str">
        <f>IF($J938=FALSE(),"",IF(액션아이템!$E935="",99999999,액션아이템!$E935)*100+ROW()/1000)</f>
        <v/>
      </c>
      <c r="L938" s="46" t="str">
        <f>IF($K938="","",RANK($K938,$K$6:$K$1005,1))</f>
        <v/>
      </c>
    </row>
    <row r="939" ht="15" customHeight="1" s="41">
      <c r="J939" s="57" t="b">
        <f>IF(액션아이템!$C936="",FALSE(),OR(액션아이템!$F936="진행중",액션아이템!$F936="보류"))</f>
        <v>0</v>
      </c>
      <c r="K939" s="46" t="str">
        <f>IF($J939=FALSE(),"",IF(액션아이템!$E936="",99999999,액션아이템!$E936)*100+ROW()/1000)</f>
        <v/>
      </c>
      <c r="L939" s="46" t="str">
        <f>IF($K939="","",RANK($K939,$K$6:$K$1005,1))</f>
        <v/>
      </c>
    </row>
    <row r="940" ht="15" customHeight="1" s="41">
      <c r="J940" s="57" t="b">
        <f>IF(액션아이템!$C937="",FALSE(),OR(액션아이템!$F937="진행중",액션아이템!$F937="보류"))</f>
        <v>0</v>
      </c>
      <c r="K940" s="46" t="str">
        <f>IF($J940=FALSE(),"",IF(액션아이템!$E937="",99999999,액션아이템!$E937)*100+ROW()/1000)</f>
        <v/>
      </c>
      <c r="L940" s="46" t="str">
        <f>IF($K940="","",RANK($K940,$K$6:$K$1005,1))</f>
        <v/>
      </c>
    </row>
    <row r="941" ht="15" customHeight="1" s="41">
      <c r="J941" s="57" t="b">
        <f>IF(액션아이템!$C938="",FALSE(),OR(액션아이템!$F938="진행중",액션아이템!$F938="보류"))</f>
        <v>0</v>
      </c>
      <c r="K941" s="46" t="str">
        <f>IF($J941=FALSE(),"",IF(액션아이템!$E938="",99999999,액션아이템!$E938)*100+ROW()/1000)</f>
        <v/>
      </c>
      <c r="L941" s="46" t="str">
        <f>IF($K941="","",RANK($K941,$K$6:$K$1005,1))</f>
        <v/>
      </c>
    </row>
    <row r="942" ht="15" customHeight="1" s="41">
      <c r="J942" s="57" t="b">
        <f>IF(액션아이템!$C939="",FALSE(),OR(액션아이템!$F939="진행중",액션아이템!$F939="보류"))</f>
        <v>0</v>
      </c>
      <c r="K942" s="46" t="str">
        <f>IF($J942=FALSE(),"",IF(액션아이템!$E939="",99999999,액션아이템!$E939)*100+ROW()/1000)</f>
        <v/>
      </c>
      <c r="L942" s="46" t="str">
        <f>IF($K942="","",RANK($K942,$K$6:$K$1005,1))</f>
        <v/>
      </c>
    </row>
    <row r="943" ht="15" customHeight="1" s="41">
      <c r="J943" s="57" t="b">
        <f>IF(액션아이템!$C940="",FALSE(),OR(액션아이템!$F940="진행중",액션아이템!$F940="보류"))</f>
        <v>0</v>
      </c>
      <c r="K943" s="46" t="str">
        <f>IF($J943=FALSE(),"",IF(액션아이템!$E940="",99999999,액션아이템!$E940)*100+ROW()/1000)</f>
        <v/>
      </c>
      <c r="L943" s="46" t="str">
        <f>IF($K943="","",RANK($K943,$K$6:$K$1005,1))</f>
        <v/>
      </c>
    </row>
    <row r="944" ht="15" customHeight="1" s="41">
      <c r="J944" s="57" t="b">
        <f>IF(액션아이템!$C941="",FALSE(),OR(액션아이템!$F941="진행중",액션아이템!$F941="보류"))</f>
        <v>0</v>
      </c>
      <c r="K944" s="46" t="str">
        <f>IF($J944=FALSE(),"",IF(액션아이템!$E941="",99999999,액션아이템!$E941)*100+ROW()/1000)</f>
        <v/>
      </c>
      <c r="L944" s="46" t="str">
        <f>IF($K944="","",RANK($K944,$K$6:$K$1005,1))</f>
        <v/>
      </c>
    </row>
    <row r="945" ht="15" customHeight="1" s="41">
      <c r="J945" s="57" t="b">
        <f>IF(액션아이템!$C942="",FALSE(),OR(액션아이템!$F942="진행중",액션아이템!$F942="보류"))</f>
        <v>0</v>
      </c>
      <c r="K945" s="46" t="str">
        <f>IF($J945=FALSE(),"",IF(액션아이템!$E942="",99999999,액션아이템!$E942)*100+ROW()/1000)</f>
        <v/>
      </c>
      <c r="L945" s="46" t="str">
        <f>IF($K945="","",RANK($K945,$K$6:$K$1005,1))</f>
        <v/>
      </c>
    </row>
    <row r="946" ht="15" customHeight="1" s="41">
      <c r="J946" s="57" t="b">
        <f>IF(액션아이템!$C943="",FALSE(),OR(액션아이템!$F943="진행중",액션아이템!$F943="보류"))</f>
        <v>0</v>
      </c>
      <c r="K946" s="46" t="str">
        <f>IF($J946=FALSE(),"",IF(액션아이템!$E943="",99999999,액션아이템!$E943)*100+ROW()/1000)</f>
        <v/>
      </c>
      <c r="L946" s="46" t="str">
        <f>IF($K946="","",RANK($K946,$K$6:$K$1005,1))</f>
        <v/>
      </c>
    </row>
    <row r="947" ht="15" customHeight="1" s="41">
      <c r="J947" s="57" t="b">
        <f>IF(액션아이템!$C944="",FALSE(),OR(액션아이템!$F944="진행중",액션아이템!$F944="보류"))</f>
        <v>0</v>
      </c>
      <c r="K947" s="46" t="str">
        <f>IF($J947=FALSE(),"",IF(액션아이템!$E944="",99999999,액션아이템!$E944)*100+ROW()/1000)</f>
        <v/>
      </c>
      <c r="L947" s="46" t="str">
        <f>IF($K947="","",RANK($K947,$K$6:$K$1005,1))</f>
        <v/>
      </c>
    </row>
    <row r="948" ht="15" customHeight="1" s="41">
      <c r="J948" s="57" t="b">
        <f>IF(액션아이템!$C945="",FALSE(),OR(액션아이템!$F945="진행중",액션아이템!$F945="보류"))</f>
        <v>0</v>
      </c>
      <c r="K948" s="46" t="str">
        <f>IF($J948=FALSE(),"",IF(액션아이템!$E945="",99999999,액션아이템!$E945)*100+ROW()/1000)</f>
        <v/>
      </c>
      <c r="L948" s="46" t="str">
        <f>IF($K948="","",RANK($K948,$K$6:$K$1005,1))</f>
        <v/>
      </c>
    </row>
    <row r="949" ht="15" customHeight="1" s="41">
      <c r="J949" s="57" t="b">
        <f>IF(액션아이템!$C946="",FALSE(),OR(액션아이템!$F946="진행중",액션아이템!$F946="보류"))</f>
        <v>0</v>
      </c>
      <c r="K949" s="46" t="str">
        <f>IF($J949=FALSE(),"",IF(액션아이템!$E946="",99999999,액션아이템!$E946)*100+ROW()/1000)</f>
        <v/>
      </c>
      <c r="L949" s="46" t="str">
        <f>IF($K949="","",RANK($K949,$K$6:$K$1005,1))</f>
        <v/>
      </c>
    </row>
    <row r="950" ht="15" customHeight="1" s="41">
      <c r="J950" s="57" t="b">
        <f>IF(액션아이템!$C947="",FALSE(),OR(액션아이템!$F947="진행중",액션아이템!$F947="보류"))</f>
        <v>0</v>
      </c>
      <c r="K950" s="46" t="str">
        <f>IF($J950=FALSE(),"",IF(액션아이템!$E947="",99999999,액션아이템!$E947)*100+ROW()/1000)</f>
        <v/>
      </c>
      <c r="L950" s="46" t="str">
        <f>IF($K950="","",RANK($K950,$K$6:$K$1005,1))</f>
        <v/>
      </c>
    </row>
    <row r="951" ht="15" customHeight="1" s="41">
      <c r="J951" s="57" t="b">
        <f>IF(액션아이템!$C948="",FALSE(),OR(액션아이템!$F948="진행중",액션아이템!$F948="보류"))</f>
        <v>0</v>
      </c>
      <c r="K951" s="46" t="str">
        <f>IF($J951=FALSE(),"",IF(액션아이템!$E948="",99999999,액션아이템!$E948)*100+ROW()/1000)</f>
        <v/>
      </c>
      <c r="L951" s="46" t="str">
        <f>IF($K951="","",RANK($K951,$K$6:$K$1005,1))</f>
        <v/>
      </c>
    </row>
    <row r="952" ht="15" customHeight="1" s="41">
      <c r="J952" s="57" t="b">
        <f>IF(액션아이템!$C949="",FALSE(),OR(액션아이템!$F949="진행중",액션아이템!$F949="보류"))</f>
        <v>0</v>
      </c>
      <c r="K952" s="46" t="str">
        <f>IF($J952=FALSE(),"",IF(액션아이템!$E949="",99999999,액션아이템!$E949)*100+ROW()/1000)</f>
        <v/>
      </c>
      <c r="L952" s="46" t="str">
        <f>IF($K952="","",RANK($K952,$K$6:$K$1005,1))</f>
        <v/>
      </c>
    </row>
    <row r="953" ht="15" customHeight="1" s="41">
      <c r="J953" s="57" t="b">
        <f>IF(액션아이템!$C950="",FALSE(),OR(액션아이템!$F950="진행중",액션아이템!$F950="보류"))</f>
        <v>0</v>
      </c>
      <c r="K953" s="46" t="str">
        <f>IF($J953=FALSE(),"",IF(액션아이템!$E950="",99999999,액션아이템!$E950)*100+ROW()/1000)</f>
        <v/>
      </c>
      <c r="L953" s="46" t="str">
        <f>IF($K953="","",RANK($K953,$K$6:$K$1005,1))</f>
        <v/>
      </c>
    </row>
    <row r="954" ht="15" customHeight="1" s="41">
      <c r="J954" s="57" t="b">
        <f>IF(액션아이템!$C951="",FALSE(),OR(액션아이템!$F951="진행중",액션아이템!$F951="보류"))</f>
        <v>0</v>
      </c>
      <c r="K954" s="46" t="str">
        <f>IF($J954=FALSE(),"",IF(액션아이템!$E951="",99999999,액션아이템!$E951)*100+ROW()/1000)</f>
        <v/>
      </c>
      <c r="L954" s="46" t="str">
        <f>IF($K954="","",RANK($K954,$K$6:$K$1005,1))</f>
        <v/>
      </c>
    </row>
    <row r="955" ht="15" customHeight="1" s="41">
      <c r="J955" s="57" t="b">
        <f>IF(액션아이템!$C952="",FALSE(),OR(액션아이템!$F952="진행중",액션아이템!$F952="보류"))</f>
        <v>0</v>
      </c>
      <c r="K955" s="46" t="str">
        <f>IF($J955=FALSE(),"",IF(액션아이템!$E952="",99999999,액션아이템!$E952)*100+ROW()/1000)</f>
        <v/>
      </c>
      <c r="L955" s="46" t="str">
        <f>IF($K955="","",RANK($K955,$K$6:$K$1005,1))</f>
        <v/>
      </c>
    </row>
    <row r="956" ht="15" customHeight="1" s="41">
      <c r="J956" s="57" t="b">
        <f>IF(액션아이템!$C953="",FALSE(),OR(액션아이템!$F953="진행중",액션아이템!$F953="보류"))</f>
        <v>0</v>
      </c>
      <c r="K956" s="46" t="str">
        <f>IF($J956=FALSE(),"",IF(액션아이템!$E953="",99999999,액션아이템!$E953)*100+ROW()/1000)</f>
        <v/>
      </c>
      <c r="L956" s="46" t="str">
        <f>IF($K956="","",RANK($K956,$K$6:$K$1005,1))</f>
        <v/>
      </c>
    </row>
    <row r="957" ht="15" customHeight="1" s="41">
      <c r="J957" s="57" t="b">
        <f>IF(액션아이템!$C954="",FALSE(),OR(액션아이템!$F954="진행중",액션아이템!$F954="보류"))</f>
        <v>0</v>
      </c>
      <c r="K957" s="46" t="str">
        <f>IF($J957=FALSE(),"",IF(액션아이템!$E954="",99999999,액션아이템!$E954)*100+ROW()/1000)</f>
        <v/>
      </c>
      <c r="L957" s="46" t="str">
        <f>IF($K957="","",RANK($K957,$K$6:$K$1005,1))</f>
        <v/>
      </c>
    </row>
    <row r="958" ht="15" customHeight="1" s="41">
      <c r="J958" s="57" t="b">
        <f>IF(액션아이템!$C955="",FALSE(),OR(액션아이템!$F955="진행중",액션아이템!$F955="보류"))</f>
        <v>0</v>
      </c>
      <c r="K958" s="46" t="str">
        <f>IF($J958=FALSE(),"",IF(액션아이템!$E955="",99999999,액션아이템!$E955)*100+ROW()/1000)</f>
        <v/>
      </c>
      <c r="L958" s="46" t="str">
        <f>IF($K958="","",RANK($K958,$K$6:$K$1005,1))</f>
        <v/>
      </c>
    </row>
    <row r="959" ht="15" customHeight="1" s="41">
      <c r="J959" s="57" t="b">
        <f>IF(액션아이템!$C956="",FALSE(),OR(액션아이템!$F956="진행중",액션아이템!$F956="보류"))</f>
        <v>0</v>
      </c>
      <c r="K959" s="46" t="str">
        <f>IF($J959=FALSE(),"",IF(액션아이템!$E956="",99999999,액션아이템!$E956)*100+ROW()/1000)</f>
        <v/>
      </c>
      <c r="L959" s="46" t="str">
        <f>IF($K959="","",RANK($K959,$K$6:$K$1005,1))</f>
        <v/>
      </c>
    </row>
    <row r="960" ht="15" customHeight="1" s="41">
      <c r="J960" s="57" t="b">
        <f>IF(액션아이템!$C957="",FALSE(),OR(액션아이템!$F957="진행중",액션아이템!$F957="보류"))</f>
        <v>0</v>
      </c>
      <c r="K960" s="46" t="str">
        <f>IF($J960=FALSE(),"",IF(액션아이템!$E957="",99999999,액션아이템!$E957)*100+ROW()/1000)</f>
        <v/>
      </c>
      <c r="L960" s="46" t="str">
        <f>IF($K960="","",RANK($K960,$K$6:$K$1005,1))</f>
        <v/>
      </c>
    </row>
    <row r="961" ht="15" customHeight="1" s="41">
      <c r="J961" s="57" t="b">
        <f>IF(액션아이템!$C958="",FALSE(),OR(액션아이템!$F958="진행중",액션아이템!$F958="보류"))</f>
        <v>0</v>
      </c>
      <c r="K961" s="46" t="str">
        <f>IF($J961=FALSE(),"",IF(액션아이템!$E958="",99999999,액션아이템!$E958)*100+ROW()/1000)</f>
        <v/>
      </c>
      <c r="L961" s="46" t="str">
        <f>IF($K961="","",RANK($K961,$K$6:$K$1005,1))</f>
        <v/>
      </c>
    </row>
    <row r="962" ht="15" customHeight="1" s="41">
      <c r="J962" s="57" t="b">
        <f>IF(액션아이템!$C959="",FALSE(),OR(액션아이템!$F959="진행중",액션아이템!$F959="보류"))</f>
        <v>0</v>
      </c>
      <c r="K962" s="46" t="str">
        <f>IF($J962=FALSE(),"",IF(액션아이템!$E959="",99999999,액션아이템!$E959)*100+ROW()/1000)</f>
        <v/>
      </c>
      <c r="L962" s="46" t="str">
        <f>IF($K962="","",RANK($K962,$K$6:$K$1005,1))</f>
        <v/>
      </c>
    </row>
    <row r="963" ht="15" customHeight="1" s="41">
      <c r="J963" s="57" t="b">
        <f>IF(액션아이템!$C960="",FALSE(),OR(액션아이템!$F960="진행중",액션아이템!$F960="보류"))</f>
        <v>0</v>
      </c>
      <c r="K963" s="46" t="str">
        <f>IF($J963=FALSE(),"",IF(액션아이템!$E960="",99999999,액션아이템!$E960)*100+ROW()/1000)</f>
        <v/>
      </c>
      <c r="L963" s="46" t="str">
        <f>IF($K963="","",RANK($K963,$K$6:$K$1005,1))</f>
        <v/>
      </c>
    </row>
    <row r="964" ht="15" customHeight="1" s="41">
      <c r="J964" s="57" t="b">
        <f>IF(액션아이템!$C961="",FALSE(),OR(액션아이템!$F961="진행중",액션아이템!$F961="보류"))</f>
        <v>0</v>
      </c>
      <c r="K964" s="46" t="str">
        <f>IF($J964=FALSE(),"",IF(액션아이템!$E961="",99999999,액션아이템!$E961)*100+ROW()/1000)</f>
        <v/>
      </c>
      <c r="L964" s="46" t="str">
        <f>IF($K964="","",RANK($K964,$K$6:$K$1005,1))</f>
        <v/>
      </c>
    </row>
    <row r="965" ht="15" customHeight="1" s="41">
      <c r="J965" s="57" t="b">
        <f>IF(액션아이템!$C962="",FALSE(),OR(액션아이템!$F962="진행중",액션아이템!$F962="보류"))</f>
        <v>0</v>
      </c>
      <c r="K965" s="46" t="str">
        <f>IF($J965=FALSE(),"",IF(액션아이템!$E962="",99999999,액션아이템!$E962)*100+ROW()/1000)</f>
        <v/>
      </c>
      <c r="L965" s="46" t="str">
        <f>IF($K965="","",RANK($K965,$K$6:$K$1005,1))</f>
        <v/>
      </c>
    </row>
    <row r="966" ht="15" customHeight="1" s="41">
      <c r="J966" s="57" t="b">
        <f>IF(액션아이템!$C963="",FALSE(),OR(액션아이템!$F963="진행중",액션아이템!$F963="보류"))</f>
        <v>0</v>
      </c>
      <c r="K966" s="46" t="str">
        <f>IF($J966=FALSE(),"",IF(액션아이템!$E963="",99999999,액션아이템!$E963)*100+ROW()/1000)</f>
        <v/>
      </c>
      <c r="L966" s="46" t="str">
        <f>IF($K966="","",RANK($K966,$K$6:$K$1005,1))</f>
        <v/>
      </c>
    </row>
    <row r="967" ht="15" customHeight="1" s="41">
      <c r="J967" s="57" t="b">
        <f>IF(액션아이템!$C964="",FALSE(),OR(액션아이템!$F964="진행중",액션아이템!$F964="보류"))</f>
        <v>0</v>
      </c>
      <c r="K967" s="46" t="str">
        <f>IF($J967=FALSE(),"",IF(액션아이템!$E964="",99999999,액션아이템!$E964)*100+ROW()/1000)</f>
        <v/>
      </c>
      <c r="L967" s="46" t="str">
        <f>IF($K967="","",RANK($K967,$K$6:$K$1005,1))</f>
        <v/>
      </c>
    </row>
    <row r="968" ht="15" customHeight="1" s="41">
      <c r="J968" s="57" t="b">
        <f>IF(액션아이템!$C965="",FALSE(),OR(액션아이템!$F965="진행중",액션아이템!$F965="보류"))</f>
        <v>0</v>
      </c>
      <c r="K968" s="46" t="str">
        <f>IF($J968=FALSE(),"",IF(액션아이템!$E965="",99999999,액션아이템!$E965)*100+ROW()/1000)</f>
        <v/>
      </c>
      <c r="L968" s="46" t="str">
        <f>IF($K968="","",RANK($K968,$K$6:$K$1005,1))</f>
        <v/>
      </c>
    </row>
    <row r="969" ht="15" customHeight="1" s="41">
      <c r="J969" s="57" t="b">
        <f>IF(액션아이템!$C966="",FALSE(),OR(액션아이템!$F966="진행중",액션아이템!$F966="보류"))</f>
        <v>0</v>
      </c>
      <c r="K969" s="46" t="str">
        <f>IF($J969=FALSE(),"",IF(액션아이템!$E966="",99999999,액션아이템!$E966)*100+ROW()/1000)</f>
        <v/>
      </c>
      <c r="L969" s="46" t="str">
        <f>IF($K969="","",RANK($K969,$K$6:$K$1005,1))</f>
        <v/>
      </c>
    </row>
    <row r="970" ht="15" customHeight="1" s="41">
      <c r="J970" s="57" t="b">
        <f>IF(액션아이템!$C967="",FALSE(),OR(액션아이템!$F967="진행중",액션아이템!$F967="보류"))</f>
        <v>0</v>
      </c>
      <c r="K970" s="46" t="str">
        <f>IF($J970=FALSE(),"",IF(액션아이템!$E967="",99999999,액션아이템!$E967)*100+ROW()/1000)</f>
        <v/>
      </c>
      <c r="L970" s="46" t="str">
        <f>IF($K970="","",RANK($K970,$K$6:$K$1005,1))</f>
        <v/>
      </c>
    </row>
    <row r="971" ht="15" customHeight="1" s="41">
      <c r="J971" s="57" t="b">
        <f>IF(액션아이템!$C968="",FALSE(),OR(액션아이템!$F968="진행중",액션아이템!$F968="보류"))</f>
        <v>0</v>
      </c>
      <c r="K971" s="46" t="str">
        <f>IF($J971=FALSE(),"",IF(액션아이템!$E968="",99999999,액션아이템!$E968)*100+ROW()/1000)</f>
        <v/>
      </c>
      <c r="L971" s="46" t="str">
        <f>IF($K971="","",RANK($K971,$K$6:$K$1005,1))</f>
        <v/>
      </c>
    </row>
    <row r="972" ht="15" customHeight="1" s="41">
      <c r="J972" s="57" t="b">
        <f>IF(액션아이템!$C969="",FALSE(),OR(액션아이템!$F969="진행중",액션아이템!$F969="보류"))</f>
        <v>0</v>
      </c>
      <c r="K972" s="46" t="str">
        <f>IF($J972=FALSE(),"",IF(액션아이템!$E969="",99999999,액션아이템!$E969)*100+ROW()/1000)</f>
        <v/>
      </c>
      <c r="L972" s="46" t="str">
        <f>IF($K972="","",RANK($K972,$K$6:$K$1005,1))</f>
        <v/>
      </c>
    </row>
    <row r="973" ht="15" customHeight="1" s="41">
      <c r="J973" s="57" t="b">
        <f>IF(액션아이템!$C970="",FALSE(),OR(액션아이템!$F970="진행중",액션아이템!$F970="보류"))</f>
        <v>0</v>
      </c>
      <c r="K973" s="46" t="str">
        <f>IF($J973=FALSE(),"",IF(액션아이템!$E970="",99999999,액션아이템!$E970)*100+ROW()/1000)</f>
        <v/>
      </c>
      <c r="L973" s="46" t="str">
        <f>IF($K973="","",RANK($K973,$K$6:$K$1005,1))</f>
        <v/>
      </c>
    </row>
    <row r="974" ht="15" customHeight="1" s="41">
      <c r="J974" s="57" t="b">
        <f>IF(액션아이템!$C971="",FALSE(),OR(액션아이템!$F971="진행중",액션아이템!$F971="보류"))</f>
        <v>0</v>
      </c>
      <c r="K974" s="46" t="str">
        <f>IF($J974=FALSE(),"",IF(액션아이템!$E971="",99999999,액션아이템!$E971)*100+ROW()/1000)</f>
        <v/>
      </c>
      <c r="L974" s="46" t="str">
        <f>IF($K974="","",RANK($K974,$K$6:$K$1005,1))</f>
        <v/>
      </c>
    </row>
    <row r="975" ht="15" customHeight="1" s="41">
      <c r="J975" s="57" t="b">
        <f>IF(액션아이템!$C972="",FALSE(),OR(액션아이템!$F972="진행중",액션아이템!$F972="보류"))</f>
        <v>0</v>
      </c>
      <c r="K975" s="46" t="str">
        <f>IF($J975=FALSE(),"",IF(액션아이템!$E972="",99999999,액션아이템!$E972)*100+ROW()/1000)</f>
        <v/>
      </c>
      <c r="L975" s="46" t="str">
        <f>IF($K975="","",RANK($K975,$K$6:$K$1005,1))</f>
        <v/>
      </c>
    </row>
    <row r="976" ht="15" customHeight="1" s="41">
      <c r="J976" s="57" t="b">
        <f>IF(액션아이템!$C973="",FALSE(),OR(액션아이템!$F973="진행중",액션아이템!$F973="보류"))</f>
        <v>0</v>
      </c>
      <c r="K976" s="46" t="str">
        <f>IF($J976=FALSE(),"",IF(액션아이템!$E973="",99999999,액션아이템!$E973)*100+ROW()/1000)</f>
        <v/>
      </c>
      <c r="L976" s="46" t="str">
        <f>IF($K976="","",RANK($K976,$K$6:$K$1005,1))</f>
        <v/>
      </c>
    </row>
    <row r="977" ht="15" customHeight="1" s="41">
      <c r="J977" s="57" t="b">
        <f>IF(액션아이템!$C974="",FALSE(),OR(액션아이템!$F974="진행중",액션아이템!$F974="보류"))</f>
        <v>0</v>
      </c>
      <c r="K977" s="46" t="str">
        <f>IF($J977=FALSE(),"",IF(액션아이템!$E974="",99999999,액션아이템!$E974)*100+ROW()/1000)</f>
        <v/>
      </c>
      <c r="L977" s="46" t="str">
        <f>IF($K977="","",RANK($K977,$K$6:$K$1005,1))</f>
        <v/>
      </c>
    </row>
    <row r="978" ht="15" customHeight="1" s="41">
      <c r="J978" s="57" t="b">
        <f>IF(액션아이템!$C975="",FALSE(),OR(액션아이템!$F975="진행중",액션아이템!$F975="보류"))</f>
        <v>0</v>
      </c>
      <c r="K978" s="46" t="str">
        <f>IF($J978=FALSE(),"",IF(액션아이템!$E975="",99999999,액션아이템!$E975)*100+ROW()/1000)</f>
        <v/>
      </c>
      <c r="L978" s="46" t="str">
        <f>IF($K978="","",RANK($K978,$K$6:$K$1005,1))</f>
        <v/>
      </c>
    </row>
    <row r="979" ht="15" customHeight="1" s="41">
      <c r="J979" s="57" t="b">
        <f>IF(액션아이템!$C976="",FALSE(),OR(액션아이템!$F976="진행중",액션아이템!$F976="보류"))</f>
        <v>0</v>
      </c>
      <c r="K979" s="46" t="str">
        <f>IF($J979=FALSE(),"",IF(액션아이템!$E976="",99999999,액션아이템!$E976)*100+ROW()/1000)</f>
        <v/>
      </c>
      <c r="L979" s="46" t="str">
        <f>IF($K979="","",RANK($K979,$K$6:$K$1005,1))</f>
        <v/>
      </c>
    </row>
    <row r="980" ht="15" customHeight="1" s="41">
      <c r="J980" s="57" t="b">
        <f>IF(액션아이템!$C977="",FALSE(),OR(액션아이템!$F977="진행중",액션아이템!$F977="보류"))</f>
        <v>0</v>
      </c>
      <c r="K980" s="46" t="str">
        <f>IF($J980=FALSE(),"",IF(액션아이템!$E977="",99999999,액션아이템!$E977)*100+ROW()/1000)</f>
        <v/>
      </c>
      <c r="L980" s="46" t="str">
        <f>IF($K980="","",RANK($K980,$K$6:$K$1005,1))</f>
        <v/>
      </c>
    </row>
    <row r="981" ht="15" customHeight="1" s="41">
      <c r="J981" s="57" t="b">
        <f>IF(액션아이템!$C978="",FALSE(),OR(액션아이템!$F978="진행중",액션아이템!$F978="보류"))</f>
        <v>0</v>
      </c>
      <c r="K981" s="46" t="str">
        <f>IF($J981=FALSE(),"",IF(액션아이템!$E978="",99999999,액션아이템!$E978)*100+ROW()/1000)</f>
        <v/>
      </c>
      <c r="L981" s="46" t="str">
        <f>IF($K981="","",RANK($K981,$K$6:$K$1005,1))</f>
        <v/>
      </c>
    </row>
    <row r="982" ht="15" customHeight="1" s="41">
      <c r="J982" s="57" t="b">
        <f>IF(액션아이템!$C979="",FALSE(),OR(액션아이템!$F979="진행중",액션아이템!$F979="보류"))</f>
        <v>0</v>
      </c>
      <c r="K982" s="46" t="str">
        <f>IF($J982=FALSE(),"",IF(액션아이템!$E979="",99999999,액션아이템!$E979)*100+ROW()/1000)</f>
        <v/>
      </c>
      <c r="L982" s="46" t="str">
        <f>IF($K982="","",RANK($K982,$K$6:$K$1005,1))</f>
        <v/>
      </c>
    </row>
    <row r="983" ht="15" customHeight="1" s="41">
      <c r="J983" s="57" t="b">
        <f>IF(액션아이템!$C980="",FALSE(),OR(액션아이템!$F980="진행중",액션아이템!$F980="보류"))</f>
        <v>0</v>
      </c>
      <c r="K983" s="46" t="str">
        <f>IF($J983=FALSE(),"",IF(액션아이템!$E980="",99999999,액션아이템!$E980)*100+ROW()/1000)</f>
        <v/>
      </c>
      <c r="L983" s="46" t="str">
        <f>IF($K983="","",RANK($K983,$K$6:$K$1005,1))</f>
        <v/>
      </c>
    </row>
    <row r="984" ht="15" customHeight="1" s="41">
      <c r="J984" s="57" t="b">
        <f>IF(액션아이템!$C981="",FALSE(),OR(액션아이템!$F981="진행중",액션아이템!$F981="보류"))</f>
        <v>0</v>
      </c>
      <c r="K984" s="46" t="str">
        <f>IF($J984=FALSE(),"",IF(액션아이템!$E981="",99999999,액션아이템!$E981)*100+ROW()/1000)</f>
        <v/>
      </c>
      <c r="L984" s="46" t="str">
        <f>IF($K984="","",RANK($K984,$K$6:$K$1005,1))</f>
        <v/>
      </c>
    </row>
    <row r="985" ht="15" customHeight="1" s="41">
      <c r="J985" s="57" t="b">
        <f>IF(액션아이템!$C982="",FALSE(),OR(액션아이템!$F982="진행중",액션아이템!$F982="보류"))</f>
        <v>0</v>
      </c>
      <c r="K985" s="46" t="str">
        <f>IF($J985=FALSE(),"",IF(액션아이템!$E982="",99999999,액션아이템!$E982)*100+ROW()/1000)</f>
        <v/>
      </c>
      <c r="L985" s="46" t="str">
        <f>IF($K985="","",RANK($K985,$K$6:$K$1005,1))</f>
        <v/>
      </c>
    </row>
    <row r="986" ht="15" customHeight="1" s="41">
      <c r="J986" s="57" t="b">
        <f>IF(액션아이템!$C983="",FALSE(),OR(액션아이템!$F983="진행중",액션아이템!$F983="보류"))</f>
        <v>0</v>
      </c>
      <c r="K986" s="46" t="str">
        <f>IF($J986=FALSE(),"",IF(액션아이템!$E983="",99999999,액션아이템!$E983)*100+ROW()/1000)</f>
        <v/>
      </c>
      <c r="L986" s="46" t="str">
        <f>IF($K986="","",RANK($K986,$K$6:$K$1005,1))</f>
        <v/>
      </c>
    </row>
    <row r="987" ht="15" customHeight="1" s="41">
      <c r="J987" s="57" t="b">
        <f>IF(액션아이템!$C984="",FALSE(),OR(액션아이템!$F984="진행중",액션아이템!$F984="보류"))</f>
        <v>0</v>
      </c>
      <c r="K987" s="46" t="str">
        <f>IF($J987=FALSE(),"",IF(액션아이템!$E984="",99999999,액션아이템!$E984)*100+ROW()/1000)</f>
        <v/>
      </c>
      <c r="L987" s="46" t="str">
        <f>IF($K987="","",RANK($K987,$K$6:$K$1005,1))</f>
        <v/>
      </c>
    </row>
    <row r="988" ht="15" customHeight="1" s="41">
      <c r="J988" s="57" t="b">
        <f>IF(액션아이템!$C985="",FALSE(),OR(액션아이템!$F985="진행중",액션아이템!$F985="보류"))</f>
        <v>0</v>
      </c>
      <c r="K988" s="46" t="str">
        <f>IF($J988=FALSE(),"",IF(액션아이템!$E985="",99999999,액션아이템!$E985)*100+ROW()/1000)</f>
        <v/>
      </c>
      <c r="L988" s="46" t="str">
        <f>IF($K988="","",RANK($K988,$K$6:$K$1005,1))</f>
        <v/>
      </c>
    </row>
    <row r="989" ht="15" customHeight="1" s="41">
      <c r="J989" s="57" t="b">
        <f>IF(액션아이템!$C986="",FALSE(),OR(액션아이템!$F986="진행중",액션아이템!$F986="보류"))</f>
        <v>0</v>
      </c>
      <c r="K989" s="46" t="str">
        <f>IF($J989=FALSE(),"",IF(액션아이템!$E986="",99999999,액션아이템!$E986)*100+ROW()/1000)</f>
        <v/>
      </c>
      <c r="L989" s="46" t="str">
        <f>IF($K989="","",RANK($K989,$K$6:$K$1005,1))</f>
        <v/>
      </c>
    </row>
    <row r="990" ht="15" customHeight="1" s="41">
      <c r="J990" s="57" t="b">
        <f>IF(액션아이템!$C987="",FALSE(),OR(액션아이템!$F987="진행중",액션아이템!$F987="보류"))</f>
        <v>0</v>
      </c>
      <c r="K990" s="46" t="str">
        <f>IF($J990=FALSE(),"",IF(액션아이템!$E987="",99999999,액션아이템!$E987)*100+ROW()/1000)</f>
        <v/>
      </c>
      <c r="L990" s="46" t="str">
        <f>IF($K990="","",RANK($K990,$K$6:$K$1005,1))</f>
        <v/>
      </c>
    </row>
    <row r="991" ht="15" customHeight="1" s="41">
      <c r="J991" s="57" t="b">
        <f>IF(액션아이템!$C988="",FALSE(),OR(액션아이템!$F988="진행중",액션아이템!$F988="보류"))</f>
        <v>0</v>
      </c>
      <c r="K991" s="46" t="str">
        <f>IF($J991=FALSE(),"",IF(액션아이템!$E988="",99999999,액션아이템!$E988)*100+ROW()/1000)</f>
        <v/>
      </c>
      <c r="L991" s="46" t="str">
        <f>IF($K991="","",RANK($K991,$K$6:$K$1005,1))</f>
        <v/>
      </c>
    </row>
    <row r="992" ht="15" customHeight="1" s="41">
      <c r="J992" s="57" t="b">
        <f>IF(액션아이템!$C989="",FALSE(),OR(액션아이템!$F989="진행중",액션아이템!$F989="보류"))</f>
        <v>0</v>
      </c>
      <c r="K992" s="46" t="str">
        <f>IF($J992=FALSE(),"",IF(액션아이템!$E989="",99999999,액션아이템!$E989)*100+ROW()/1000)</f>
        <v/>
      </c>
      <c r="L992" s="46" t="str">
        <f>IF($K992="","",RANK($K992,$K$6:$K$1005,1))</f>
        <v/>
      </c>
    </row>
    <row r="993" ht="15" customHeight="1" s="41">
      <c r="J993" s="57" t="b">
        <f>IF(액션아이템!$C990="",FALSE(),OR(액션아이템!$F990="진행중",액션아이템!$F990="보류"))</f>
        <v>0</v>
      </c>
      <c r="K993" s="46" t="str">
        <f>IF($J993=FALSE(),"",IF(액션아이템!$E990="",99999999,액션아이템!$E990)*100+ROW()/1000)</f>
        <v/>
      </c>
      <c r="L993" s="46" t="str">
        <f>IF($K993="","",RANK($K993,$K$6:$K$1005,1))</f>
        <v/>
      </c>
    </row>
    <row r="994" ht="15" customHeight="1" s="41">
      <c r="J994" s="57" t="b">
        <f>IF(액션아이템!$C991="",FALSE(),OR(액션아이템!$F991="진행중",액션아이템!$F991="보류"))</f>
        <v>0</v>
      </c>
      <c r="K994" s="46" t="str">
        <f>IF($J994=FALSE(),"",IF(액션아이템!$E991="",99999999,액션아이템!$E991)*100+ROW()/1000)</f>
        <v/>
      </c>
      <c r="L994" s="46" t="str">
        <f>IF($K994="","",RANK($K994,$K$6:$K$1005,1))</f>
        <v/>
      </c>
    </row>
    <row r="995" ht="15" customHeight="1" s="41">
      <c r="J995" s="57" t="b">
        <f>IF(액션아이템!$C992="",FALSE(),OR(액션아이템!$F992="진행중",액션아이템!$F992="보류"))</f>
        <v>0</v>
      </c>
      <c r="K995" s="46" t="str">
        <f>IF($J995=FALSE(),"",IF(액션아이템!$E992="",99999999,액션아이템!$E992)*100+ROW()/1000)</f>
        <v/>
      </c>
      <c r="L995" s="46" t="str">
        <f>IF($K995="","",RANK($K995,$K$6:$K$1005,1))</f>
        <v/>
      </c>
    </row>
    <row r="996" ht="15" customHeight="1" s="41">
      <c r="J996" s="57" t="b">
        <f>IF(액션아이템!$C993="",FALSE(),OR(액션아이템!$F993="진행중",액션아이템!$F993="보류"))</f>
        <v>0</v>
      </c>
      <c r="K996" s="46" t="str">
        <f>IF($J996=FALSE(),"",IF(액션아이템!$E993="",99999999,액션아이템!$E993)*100+ROW()/1000)</f>
        <v/>
      </c>
      <c r="L996" s="46" t="str">
        <f>IF($K996="","",RANK($K996,$K$6:$K$1005,1))</f>
        <v/>
      </c>
    </row>
    <row r="997" ht="15" customHeight="1" s="41">
      <c r="J997" s="57" t="b">
        <f>IF(액션아이템!$C994="",FALSE(),OR(액션아이템!$F994="진행중",액션아이템!$F994="보류"))</f>
        <v>0</v>
      </c>
      <c r="K997" s="46" t="str">
        <f>IF($J997=FALSE(),"",IF(액션아이템!$E994="",99999999,액션아이템!$E994)*100+ROW()/1000)</f>
        <v/>
      </c>
      <c r="L997" s="46" t="str">
        <f>IF($K997="","",RANK($K997,$K$6:$K$1005,1))</f>
        <v/>
      </c>
    </row>
    <row r="998" ht="15" customHeight="1" s="41">
      <c r="J998" s="57" t="b">
        <f>IF(액션아이템!$C995="",FALSE(),OR(액션아이템!$F995="진행중",액션아이템!$F995="보류"))</f>
        <v>0</v>
      </c>
      <c r="K998" s="46" t="str">
        <f>IF($J998=FALSE(),"",IF(액션아이템!$E995="",99999999,액션아이템!$E995)*100+ROW()/1000)</f>
        <v/>
      </c>
      <c r="L998" s="46" t="str">
        <f>IF($K998="","",RANK($K998,$K$6:$K$1005,1))</f>
        <v/>
      </c>
    </row>
    <row r="999" ht="15" customHeight="1" s="41">
      <c r="J999" s="57" t="b">
        <f>IF(액션아이템!$C996="",FALSE(),OR(액션아이템!$F996="진행중",액션아이템!$F996="보류"))</f>
        <v>0</v>
      </c>
      <c r="K999" s="46" t="str">
        <f>IF($J999=FALSE(),"",IF(액션아이템!$E996="",99999999,액션아이템!$E996)*100+ROW()/1000)</f>
        <v/>
      </c>
      <c r="L999" s="46" t="str">
        <f>IF($K999="","",RANK($K999,$K$6:$K$1005,1))</f>
        <v/>
      </c>
    </row>
    <row r="1000" ht="15" customHeight="1" s="41">
      <c r="J1000" s="57" t="b">
        <f>IF(액션아이템!$C997="",FALSE(),OR(액션아이템!$F997="진행중",액션아이템!$F997="보류"))</f>
        <v>0</v>
      </c>
      <c r="K1000" s="46" t="str">
        <f>IF($J1000=FALSE(),"",IF(액션아이템!$E997="",99999999,액션아이템!$E997)*100+ROW()/1000)</f>
        <v/>
      </c>
      <c r="L1000" s="46" t="str">
        <f>IF($K1000="","",RANK($K1000,$K$6:$K$1005,1))</f>
        <v/>
      </c>
    </row>
    <row r="1001" ht="15" customHeight="1" s="41">
      <c r="J1001" s="57" t="b">
        <f>IF(액션아이템!$C998="",FALSE(),OR(액션아이템!$F998="진행중",액션아이템!$F998="보류"))</f>
        <v>0</v>
      </c>
      <c r="K1001" s="46" t="str">
        <f>IF($J1001=FALSE(),"",IF(액션아이템!$E998="",99999999,액션아이템!$E998)*100+ROW()/1000)</f>
        <v/>
      </c>
      <c r="L1001" s="46" t="str">
        <f>IF($K1001="","",RANK($K1001,$K$6:$K$1005,1))</f>
        <v/>
      </c>
    </row>
    <row r="1002" ht="15" customHeight="1" s="41">
      <c r="J1002" s="57" t="b">
        <f>IF(액션아이템!$C999="",FALSE(),OR(액션아이템!$F999="진행중",액션아이템!$F999="보류"))</f>
        <v>0</v>
      </c>
      <c r="K1002" s="46" t="str">
        <f>IF($J1002=FALSE(),"",IF(액션아이템!$E999="",99999999,액션아이템!$E999)*100+ROW()/1000)</f>
        <v/>
      </c>
      <c r="L1002" s="46" t="str">
        <f>IF($K1002="","",RANK($K1002,$K$6:$K$1005,1))</f>
        <v/>
      </c>
    </row>
    <row r="1003" ht="15" customHeight="1" s="41">
      <c r="J1003" s="57" t="b">
        <f>IF(액션아이템!$C1000="",FALSE(),OR(액션아이템!$F1000="진행중",액션아이템!$F1000="보류"))</f>
        <v>0</v>
      </c>
      <c r="K1003" s="46" t="str">
        <f>IF($J1003=FALSE(),"",IF(액션아이템!$E1000="",99999999,액션아이템!$E1000)*100+ROW()/1000)</f>
        <v/>
      </c>
      <c r="L1003" s="46" t="str">
        <f>IF($K1003="","",RANK($K1003,$K$6:$K$1005,1))</f>
        <v/>
      </c>
    </row>
    <row r="1004" ht="15" customHeight="1" s="41">
      <c r="J1004" s="57" t="b">
        <f>IF(액션아이템!$C1001="",FALSE(),OR(액션아이템!$F1001="진행중",액션아이템!$F1001="보류"))</f>
        <v>0</v>
      </c>
      <c r="K1004" s="46" t="str">
        <f>IF($J1004=FALSE(),"",IF(액션아이템!$E1001="",99999999,액션아이템!$E1001)*100+ROW()/1000)</f>
        <v/>
      </c>
      <c r="L1004" s="46" t="str">
        <f>IF($K1004="","",RANK($K1004,$K$6:$K$1005,1))</f>
        <v/>
      </c>
    </row>
    <row r="1005" ht="15" customHeight="1" s="41">
      <c r="J1005" s="57" t="b">
        <f>IF(액션아이템!$C1002="",FALSE(),OR(액션아이템!$F1002="진행중",액션아이템!$F1002="보류"))</f>
        <v>0</v>
      </c>
      <c r="K1005" s="46" t="str">
        <f>IF($J1005=FALSE(),"",IF(액션아이템!$E1002="",99999999,액션아이템!$E1002)*100+ROW()/1000)</f>
        <v/>
      </c>
      <c r="L1005" s="46" t="str">
        <f>IF($K1005="","",RANK($K1005,$K$6:$K$1005,1))</f>
        <v/>
      </c>
    </row>
  </sheetData>
  <mergeCells count="1">
    <mergeCell ref="A1:H1"/>
  </mergeCells>
  <conditionalFormatting sqref="A6:H85">
    <cfRule type="expression" rank="0" priority="2" equalAverage="0" aboveAverage="0" dxfId="0" text="" percent="0" bottom="0">
      <formula>AND($F6&lt;&gt;"",$F6&lt;0)</formula>
    </cfRule>
    <cfRule type="expression" rank="0" priority="3" equalAverage="0" aboveAverage="0" dxfId="1" text="" percent="0" bottom="0">
      <formula>AND($F6&lt;&gt;"",$F6&gt;=0,$F6&lt;=사용안내!$C$16)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40" min="1" max="1"/>
    <col width="20" customWidth="1" style="40" min="2" max="2"/>
    <col width="11" customWidth="1" style="40" min="3" max="3"/>
    <col width="12" customWidth="1" style="40" min="4" max="4"/>
    <col width="11" customWidth="1" style="40" min="5" max="5"/>
    <col width="13" customWidth="1" style="40" min="6" max="6"/>
    <col width="12" customWidth="1" style="40" min="7" max="7"/>
  </cols>
  <sheetData>
    <row r="1" ht="25.5" customHeight="1" s="41">
      <c r="A1" s="42" t="inlineStr">
        <is>
          <t>담당자별현황</t>
        </is>
      </c>
    </row>
    <row r="2"/>
    <row r="3" ht="15" customHeight="1" s="41">
      <c r="A3" s="48" t="inlineStr">
        <is>
          <t>담당자</t>
        </is>
      </c>
      <c r="B3" s="48" t="inlineStr">
        <is>
          <t>소속</t>
        </is>
      </c>
      <c r="C3" s="48" t="inlineStr">
        <is>
          <t>전체</t>
        </is>
      </c>
      <c r="D3" s="48" t="inlineStr">
        <is>
          <t>진행중</t>
        </is>
      </c>
      <c r="E3" s="48" t="inlineStr">
        <is>
          <t>완료</t>
        </is>
      </c>
      <c r="F3" s="48" t="inlineStr">
        <is>
          <t>기한 초과</t>
        </is>
      </c>
      <c r="G3" s="48" t="inlineStr">
        <is>
          <t>완료율</t>
        </is>
      </c>
    </row>
    <row r="4" ht="15" customHeight="1" s="41">
      <c r="A4" s="52" t="str">
        <f>IF(구성원목록!$A3="","",구성원목록!$A3)</f>
        <v>김팀장</v>
      </c>
      <c r="B4" s="52" t="str">
        <f>IF($A4="","",구성원목록!$B3)</f>
        <v>기획팀</v>
      </c>
      <c r="C4" s="62" t="n">
        <f>IF($A4="","",COUNTIFS(액션아이템!$D$3:$D$1002,$A4))</f>
        <v>1</v>
      </c>
      <c r="D4" s="62" t="n">
        <f>IF($A4="","",COUNTIFS(액션아이템!$D$3:$D$1002,$A4,액션아이템!$F$3:$F$1002,"진행중"))</f>
        <v>1</v>
      </c>
      <c r="E4" s="62" t="n">
        <f>IF($A4="","",COUNTIFS(액션아이템!$D$3:$D$1002,$A4,액션아이템!$F$3:$F$1002,"완료"))</f>
        <v>0</v>
      </c>
      <c r="F4" s="62" t="n">
        <f>IF($A4="","",COUNTIFS(액션아이템!$D$3:$D$1002,$A4,액션아이템!$H$3:$H$1002,"&lt;0"))</f>
        <v>1</v>
      </c>
      <c r="G4" s="65" t="n">
        <f>IF($A4="","",IF($C4=0,"",$E4/$C4))</f>
        <v>0</v>
      </c>
    </row>
    <row r="5" ht="15" customHeight="1" s="41">
      <c r="A5" s="52" t="str">
        <f>IF(구성원목록!$A4="","",구성원목록!$A4)</f>
        <v>이대리</v>
      </c>
      <c r="B5" s="52" t="str">
        <f>IF($A5="","",구성원목록!$B4)</f>
        <v>개발팀</v>
      </c>
      <c r="C5" s="62" t="n">
        <f>IF($A5="","",COUNTIFS(액션아이템!$D$3:$D$1002,$A5))</f>
        <v>1</v>
      </c>
      <c r="D5" s="62" t="n">
        <f>IF($A5="","",COUNTIFS(액션아이템!$D$3:$D$1002,$A5,액션아이템!$F$3:$F$1002,"진행중"))</f>
        <v>1</v>
      </c>
      <c r="E5" s="62" t="n">
        <f>IF($A5="","",COUNTIFS(액션아이템!$D$3:$D$1002,$A5,액션아이템!$F$3:$F$1002,"완료"))</f>
        <v>0</v>
      </c>
      <c r="F5" s="62" t="n">
        <f>IF($A5="","",COUNTIFS(액션아이템!$D$3:$D$1002,$A5,액션아이템!$H$3:$H$1002,"&lt;0"))</f>
        <v>0</v>
      </c>
      <c r="G5" s="65" t="n">
        <f>IF($A5="","",IF($C5=0,"",$E5/$C5))</f>
        <v>0</v>
      </c>
    </row>
    <row r="6" ht="15" customHeight="1" s="41">
      <c r="A6" s="52" t="str">
        <f>IF(구성원목록!$A5="","",구성원목록!$A5)</f>
        <v>박주임</v>
      </c>
      <c r="B6" s="52" t="str">
        <f>IF($A6="","",구성원목록!$B5)</f>
        <v>디자인팀</v>
      </c>
      <c r="C6" s="62" t="n">
        <f>IF($A6="","",COUNTIFS(액션아이템!$D$3:$D$1002,$A6))</f>
        <v>2</v>
      </c>
      <c r="D6" s="62" t="n">
        <f>IF($A6="","",COUNTIFS(액션아이템!$D$3:$D$1002,$A6,액션아이템!$F$3:$F$1002,"진행중"))</f>
        <v>1</v>
      </c>
      <c r="E6" s="62" t="n">
        <f>IF($A6="","",COUNTIFS(액션아이템!$D$3:$D$1002,$A6,액션아이템!$F$3:$F$1002,"완료"))</f>
        <v>1</v>
      </c>
      <c r="F6" s="62" t="n">
        <f>IF($A6="","",COUNTIFS(액션아이템!$D$3:$D$1002,$A6,액션아이템!$H$3:$H$1002,"&lt;0"))</f>
        <v>0</v>
      </c>
      <c r="G6" s="65" t="n">
        <f>IF($A6="","",IF($C6=0,"",$E6/$C6))</f>
        <v>0.5</v>
      </c>
    </row>
    <row r="7" ht="15" customHeight="1" s="41">
      <c r="A7" s="52" t="str">
        <f>IF(구성원목록!$A6="","",구성원목록!$A6)</f>
        <v/>
      </c>
      <c r="B7" s="52" t="str">
        <f>IF($A7="","",구성원목록!$B6)</f>
        <v/>
      </c>
      <c r="C7" s="62" t="str">
        <f>IF($A7="","",COUNTIFS(액션아이템!$D$3:$D$1002,$A7))</f>
        <v/>
      </c>
      <c r="D7" s="62" t="str">
        <f>IF($A7="","",COUNTIFS(액션아이템!$D$3:$D$1002,$A7,액션아이템!$F$3:$F$1002,"진행중"))</f>
        <v/>
      </c>
      <c r="E7" s="62" t="str">
        <f>IF($A7="","",COUNTIFS(액션아이템!$D$3:$D$1002,$A7,액션아이템!$F$3:$F$1002,"완료"))</f>
        <v/>
      </c>
      <c r="F7" s="62" t="str">
        <f>IF($A7="","",COUNTIFS(액션아이템!$D$3:$D$1002,$A7,액션아이템!$H$3:$H$1002,"&lt;0"))</f>
        <v/>
      </c>
      <c r="G7" s="65" t="str">
        <f>IF($A7="","",IF($C7=0,"",$E7/$C7))</f>
        <v/>
      </c>
    </row>
    <row r="8" ht="15" customHeight="1" s="41">
      <c r="A8" s="52" t="str">
        <f>IF(구성원목록!$A7="","",구성원목록!$A7)</f>
        <v/>
      </c>
      <c r="B8" s="52" t="str">
        <f>IF($A8="","",구성원목록!$B7)</f>
        <v/>
      </c>
      <c r="C8" s="62" t="str">
        <f>IF($A8="","",COUNTIFS(액션아이템!$D$3:$D$1002,$A8))</f>
        <v/>
      </c>
      <c r="D8" s="62" t="str">
        <f>IF($A8="","",COUNTIFS(액션아이템!$D$3:$D$1002,$A8,액션아이템!$F$3:$F$1002,"진행중"))</f>
        <v/>
      </c>
      <c r="E8" s="62" t="str">
        <f>IF($A8="","",COUNTIFS(액션아이템!$D$3:$D$1002,$A8,액션아이템!$F$3:$F$1002,"완료"))</f>
        <v/>
      </c>
      <c r="F8" s="62" t="str">
        <f>IF($A8="","",COUNTIFS(액션아이템!$D$3:$D$1002,$A8,액션아이템!$H$3:$H$1002,"&lt;0"))</f>
        <v/>
      </c>
      <c r="G8" s="65" t="str">
        <f>IF($A8="","",IF($C8=0,"",$E8/$C8))</f>
        <v/>
      </c>
    </row>
    <row r="9" ht="15" customHeight="1" s="41">
      <c r="A9" s="52" t="str">
        <f>IF(구성원목록!$A8="","",구성원목록!$A8)</f>
        <v/>
      </c>
      <c r="B9" s="52" t="str">
        <f>IF($A9="","",구성원목록!$B8)</f>
        <v/>
      </c>
      <c r="C9" s="62" t="str">
        <f>IF($A9="","",COUNTIFS(액션아이템!$D$3:$D$1002,$A9))</f>
        <v/>
      </c>
      <c r="D9" s="62" t="str">
        <f>IF($A9="","",COUNTIFS(액션아이템!$D$3:$D$1002,$A9,액션아이템!$F$3:$F$1002,"진행중"))</f>
        <v/>
      </c>
      <c r="E9" s="62" t="str">
        <f>IF($A9="","",COUNTIFS(액션아이템!$D$3:$D$1002,$A9,액션아이템!$F$3:$F$1002,"완료"))</f>
        <v/>
      </c>
      <c r="F9" s="62" t="str">
        <f>IF($A9="","",COUNTIFS(액션아이템!$D$3:$D$1002,$A9,액션아이템!$H$3:$H$1002,"&lt;0"))</f>
        <v/>
      </c>
      <c r="G9" s="65" t="str">
        <f>IF($A9="","",IF($C9=0,"",$E9/$C9))</f>
        <v/>
      </c>
    </row>
    <row r="10" ht="15" customHeight="1" s="41">
      <c r="A10" s="52" t="str">
        <f>IF(구성원목록!$A9="","",구성원목록!$A9)</f>
        <v/>
      </c>
      <c r="B10" s="52" t="str">
        <f>IF($A10="","",구성원목록!$B9)</f>
        <v/>
      </c>
      <c r="C10" s="62" t="str">
        <f>IF($A10="","",COUNTIFS(액션아이템!$D$3:$D$1002,$A10))</f>
        <v/>
      </c>
      <c r="D10" s="62" t="str">
        <f>IF($A10="","",COUNTIFS(액션아이템!$D$3:$D$1002,$A10,액션아이템!$F$3:$F$1002,"진행중"))</f>
        <v/>
      </c>
      <c r="E10" s="62" t="str">
        <f>IF($A10="","",COUNTIFS(액션아이템!$D$3:$D$1002,$A10,액션아이템!$F$3:$F$1002,"완료"))</f>
        <v/>
      </c>
      <c r="F10" s="62" t="str">
        <f>IF($A10="","",COUNTIFS(액션아이템!$D$3:$D$1002,$A10,액션아이템!$H$3:$H$1002,"&lt;0"))</f>
        <v/>
      </c>
      <c r="G10" s="65" t="str">
        <f>IF($A10="","",IF($C10=0,"",$E10/$C10))</f>
        <v/>
      </c>
    </row>
    <row r="11" ht="15" customHeight="1" s="41">
      <c r="A11" s="52" t="str">
        <f>IF(구성원목록!$A10="","",구성원목록!$A10)</f>
        <v/>
      </c>
      <c r="B11" s="52" t="str">
        <f>IF($A11="","",구성원목록!$B10)</f>
        <v/>
      </c>
      <c r="C11" s="62" t="str">
        <f>IF($A11="","",COUNTIFS(액션아이템!$D$3:$D$1002,$A11))</f>
        <v/>
      </c>
      <c r="D11" s="62" t="str">
        <f>IF($A11="","",COUNTIFS(액션아이템!$D$3:$D$1002,$A11,액션아이템!$F$3:$F$1002,"진행중"))</f>
        <v/>
      </c>
      <c r="E11" s="62" t="str">
        <f>IF($A11="","",COUNTIFS(액션아이템!$D$3:$D$1002,$A11,액션아이템!$F$3:$F$1002,"완료"))</f>
        <v/>
      </c>
      <c r="F11" s="62" t="str">
        <f>IF($A11="","",COUNTIFS(액션아이템!$D$3:$D$1002,$A11,액션아이템!$H$3:$H$1002,"&lt;0"))</f>
        <v/>
      </c>
      <c r="G11" s="65" t="str">
        <f>IF($A11="","",IF($C11=0,"",$E11/$C11))</f>
        <v/>
      </c>
    </row>
    <row r="12" ht="15" customHeight="1" s="41">
      <c r="A12" s="52" t="str">
        <f>IF(구성원목록!$A11="","",구성원목록!$A11)</f>
        <v/>
      </c>
      <c r="B12" s="52" t="str">
        <f>IF($A12="","",구성원목록!$B11)</f>
        <v/>
      </c>
      <c r="C12" s="62" t="str">
        <f>IF($A12="","",COUNTIFS(액션아이템!$D$3:$D$1002,$A12))</f>
        <v/>
      </c>
      <c r="D12" s="62" t="str">
        <f>IF($A12="","",COUNTIFS(액션아이템!$D$3:$D$1002,$A12,액션아이템!$F$3:$F$1002,"진행중"))</f>
        <v/>
      </c>
      <c r="E12" s="62" t="str">
        <f>IF($A12="","",COUNTIFS(액션아이템!$D$3:$D$1002,$A12,액션아이템!$F$3:$F$1002,"완료"))</f>
        <v/>
      </c>
      <c r="F12" s="62" t="str">
        <f>IF($A12="","",COUNTIFS(액션아이템!$D$3:$D$1002,$A12,액션아이템!$H$3:$H$1002,"&lt;0"))</f>
        <v/>
      </c>
      <c r="G12" s="65" t="str">
        <f>IF($A12="","",IF($C12=0,"",$E12/$C12))</f>
        <v/>
      </c>
    </row>
    <row r="13" ht="15" customHeight="1" s="41">
      <c r="A13" s="52" t="str">
        <f>IF(구성원목록!$A12="","",구성원목록!$A12)</f>
        <v/>
      </c>
      <c r="B13" s="52" t="str">
        <f>IF($A13="","",구성원목록!$B12)</f>
        <v/>
      </c>
      <c r="C13" s="62" t="str">
        <f>IF($A13="","",COUNTIFS(액션아이템!$D$3:$D$1002,$A13))</f>
        <v/>
      </c>
      <c r="D13" s="62" t="str">
        <f>IF($A13="","",COUNTIFS(액션아이템!$D$3:$D$1002,$A13,액션아이템!$F$3:$F$1002,"진행중"))</f>
        <v/>
      </c>
      <c r="E13" s="62" t="str">
        <f>IF($A13="","",COUNTIFS(액션아이템!$D$3:$D$1002,$A13,액션아이템!$F$3:$F$1002,"완료"))</f>
        <v/>
      </c>
      <c r="F13" s="62" t="str">
        <f>IF($A13="","",COUNTIFS(액션아이템!$D$3:$D$1002,$A13,액션아이템!$H$3:$H$1002,"&lt;0"))</f>
        <v/>
      </c>
      <c r="G13" s="65" t="str">
        <f>IF($A13="","",IF($C13=0,"",$E13/$C13))</f>
        <v/>
      </c>
    </row>
    <row r="14" ht="15" customHeight="1" s="41">
      <c r="A14" s="52" t="str">
        <f>IF(구성원목록!$A13="","",구성원목록!$A13)</f>
        <v/>
      </c>
      <c r="B14" s="52" t="str">
        <f>IF($A14="","",구성원목록!$B13)</f>
        <v/>
      </c>
      <c r="C14" s="62" t="str">
        <f>IF($A14="","",COUNTIFS(액션아이템!$D$3:$D$1002,$A14))</f>
        <v/>
      </c>
      <c r="D14" s="62" t="str">
        <f>IF($A14="","",COUNTIFS(액션아이템!$D$3:$D$1002,$A14,액션아이템!$F$3:$F$1002,"진행중"))</f>
        <v/>
      </c>
      <c r="E14" s="62" t="str">
        <f>IF($A14="","",COUNTIFS(액션아이템!$D$3:$D$1002,$A14,액션아이템!$F$3:$F$1002,"완료"))</f>
        <v/>
      </c>
      <c r="F14" s="62" t="str">
        <f>IF($A14="","",COUNTIFS(액션아이템!$D$3:$D$1002,$A14,액션아이템!$H$3:$H$1002,"&lt;0"))</f>
        <v/>
      </c>
      <c r="G14" s="65" t="str">
        <f>IF($A14="","",IF($C14=0,"",$E14/$C14))</f>
        <v/>
      </c>
    </row>
    <row r="15" ht="15" customHeight="1" s="41">
      <c r="A15" s="52" t="str">
        <f>IF(구성원목록!$A14="","",구성원목록!$A14)</f>
        <v/>
      </c>
      <c r="B15" s="52" t="str">
        <f>IF($A15="","",구성원목록!$B14)</f>
        <v/>
      </c>
      <c r="C15" s="62" t="str">
        <f>IF($A15="","",COUNTIFS(액션아이템!$D$3:$D$1002,$A15))</f>
        <v/>
      </c>
      <c r="D15" s="62" t="str">
        <f>IF($A15="","",COUNTIFS(액션아이템!$D$3:$D$1002,$A15,액션아이템!$F$3:$F$1002,"진행중"))</f>
        <v/>
      </c>
      <c r="E15" s="62" t="str">
        <f>IF($A15="","",COUNTIFS(액션아이템!$D$3:$D$1002,$A15,액션아이템!$F$3:$F$1002,"완료"))</f>
        <v/>
      </c>
      <c r="F15" s="62" t="str">
        <f>IF($A15="","",COUNTIFS(액션아이템!$D$3:$D$1002,$A15,액션아이템!$H$3:$H$1002,"&lt;0"))</f>
        <v/>
      </c>
      <c r="G15" s="65" t="str">
        <f>IF($A15="","",IF($C15=0,"",$E15/$C15))</f>
        <v/>
      </c>
    </row>
    <row r="16" ht="15" customHeight="1" s="41">
      <c r="A16" s="52" t="str">
        <f>IF(구성원목록!$A15="","",구성원목록!$A15)</f>
        <v/>
      </c>
      <c r="B16" s="52" t="str">
        <f>IF($A16="","",구성원목록!$B15)</f>
        <v/>
      </c>
      <c r="C16" s="62" t="str">
        <f>IF($A16="","",COUNTIFS(액션아이템!$D$3:$D$1002,$A16))</f>
        <v/>
      </c>
      <c r="D16" s="62" t="str">
        <f>IF($A16="","",COUNTIFS(액션아이템!$D$3:$D$1002,$A16,액션아이템!$F$3:$F$1002,"진행중"))</f>
        <v/>
      </c>
      <c r="E16" s="62" t="str">
        <f>IF($A16="","",COUNTIFS(액션아이템!$D$3:$D$1002,$A16,액션아이템!$F$3:$F$1002,"완료"))</f>
        <v/>
      </c>
      <c r="F16" s="62" t="str">
        <f>IF($A16="","",COUNTIFS(액션아이템!$D$3:$D$1002,$A16,액션아이템!$H$3:$H$1002,"&lt;0"))</f>
        <v/>
      </c>
      <c r="G16" s="65" t="str">
        <f>IF($A16="","",IF($C16=0,"",$E16/$C16))</f>
        <v/>
      </c>
    </row>
    <row r="17" ht="15" customHeight="1" s="41">
      <c r="A17" s="52" t="str">
        <f>IF(구성원목록!$A16="","",구성원목록!$A16)</f>
        <v/>
      </c>
      <c r="B17" s="52" t="str">
        <f>IF($A17="","",구성원목록!$B16)</f>
        <v/>
      </c>
      <c r="C17" s="62" t="str">
        <f>IF($A17="","",COUNTIFS(액션아이템!$D$3:$D$1002,$A17))</f>
        <v/>
      </c>
      <c r="D17" s="62" t="str">
        <f>IF($A17="","",COUNTIFS(액션아이템!$D$3:$D$1002,$A17,액션아이템!$F$3:$F$1002,"진행중"))</f>
        <v/>
      </c>
      <c r="E17" s="62" t="str">
        <f>IF($A17="","",COUNTIFS(액션아이템!$D$3:$D$1002,$A17,액션아이템!$F$3:$F$1002,"완료"))</f>
        <v/>
      </c>
      <c r="F17" s="62" t="str">
        <f>IF($A17="","",COUNTIFS(액션아이템!$D$3:$D$1002,$A17,액션아이템!$H$3:$H$1002,"&lt;0"))</f>
        <v/>
      </c>
      <c r="G17" s="65" t="str">
        <f>IF($A17="","",IF($C17=0,"",$E17/$C17))</f>
        <v/>
      </c>
    </row>
    <row r="18" ht="15" customHeight="1" s="41">
      <c r="A18" s="52" t="str">
        <f>IF(구성원목록!$A17="","",구성원목록!$A17)</f>
        <v/>
      </c>
      <c r="B18" s="52" t="str">
        <f>IF($A18="","",구성원목록!$B17)</f>
        <v/>
      </c>
      <c r="C18" s="62" t="str">
        <f>IF($A18="","",COUNTIFS(액션아이템!$D$3:$D$1002,$A18))</f>
        <v/>
      </c>
      <c r="D18" s="62" t="str">
        <f>IF($A18="","",COUNTIFS(액션아이템!$D$3:$D$1002,$A18,액션아이템!$F$3:$F$1002,"진행중"))</f>
        <v/>
      </c>
      <c r="E18" s="62" t="str">
        <f>IF($A18="","",COUNTIFS(액션아이템!$D$3:$D$1002,$A18,액션아이템!$F$3:$F$1002,"완료"))</f>
        <v/>
      </c>
      <c r="F18" s="62" t="str">
        <f>IF($A18="","",COUNTIFS(액션아이템!$D$3:$D$1002,$A18,액션아이템!$H$3:$H$1002,"&lt;0"))</f>
        <v/>
      </c>
      <c r="G18" s="65" t="str">
        <f>IF($A18="","",IF($C18=0,"",$E18/$C18))</f>
        <v/>
      </c>
    </row>
    <row r="19" ht="15" customHeight="1" s="41">
      <c r="A19" s="52" t="str">
        <f>IF(구성원목록!$A18="","",구성원목록!$A18)</f>
        <v/>
      </c>
      <c r="B19" s="52" t="str">
        <f>IF($A19="","",구성원목록!$B18)</f>
        <v/>
      </c>
      <c r="C19" s="62" t="str">
        <f>IF($A19="","",COUNTIFS(액션아이템!$D$3:$D$1002,$A19))</f>
        <v/>
      </c>
      <c r="D19" s="62" t="str">
        <f>IF($A19="","",COUNTIFS(액션아이템!$D$3:$D$1002,$A19,액션아이템!$F$3:$F$1002,"진행중"))</f>
        <v/>
      </c>
      <c r="E19" s="62" t="str">
        <f>IF($A19="","",COUNTIFS(액션아이템!$D$3:$D$1002,$A19,액션아이템!$F$3:$F$1002,"완료"))</f>
        <v/>
      </c>
      <c r="F19" s="62" t="str">
        <f>IF($A19="","",COUNTIFS(액션아이템!$D$3:$D$1002,$A19,액션아이템!$H$3:$H$1002,"&lt;0"))</f>
        <v/>
      </c>
      <c r="G19" s="65" t="str">
        <f>IF($A19="","",IF($C19=0,"",$E19/$C19))</f>
        <v/>
      </c>
    </row>
    <row r="20" ht="15" customHeight="1" s="41">
      <c r="A20" s="52" t="str">
        <f>IF(구성원목록!$A19="","",구성원목록!$A19)</f>
        <v/>
      </c>
      <c r="B20" s="52" t="str">
        <f>IF($A20="","",구성원목록!$B19)</f>
        <v/>
      </c>
      <c r="C20" s="62" t="str">
        <f>IF($A20="","",COUNTIFS(액션아이템!$D$3:$D$1002,$A20))</f>
        <v/>
      </c>
      <c r="D20" s="62" t="str">
        <f>IF($A20="","",COUNTIFS(액션아이템!$D$3:$D$1002,$A20,액션아이템!$F$3:$F$1002,"진행중"))</f>
        <v/>
      </c>
      <c r="E20" s="62" t="str">
        <f>IF($A20="","",COUNTIFS(액션아이템!$D$3:$D$1002,$A20,액션아이템!$F$3:$F$1002,"완료"))</f>
        <v/>
      </c>
      <c r="F20" s="62" t="str">
        <f>IF($A20="","",COUNTIFS(액션아이템!$D$3:$D$1002,$A20,액션아이템!$H$3:$H$1002,"&lt;0"))</f>
        <v/>
      </c>
      <c r="G20" s="65" t="str">
        <f>IF($A20="","",IF($C20=0,"",$E20/$C20))</f>
        <v/>
      </c>
    </row>
    <row r="21" ht="15" customHeight="1" s="41">
      <c r="A21" s="52" t="str">
        <f>IF(구성원목록!$A20="","",구성원목록!$A20)</f>
        <v/>
      </c>
      <c r="B21" s="52" t="str">
        <f>IF($A21="","",구성원목록!$B20)</f>
        <v/>
      </c>
      <c r="C21" s="62" t="str">
        <f>IF($A21="","",COUNTIFS(액션아이템!$D$3:$D$1002,$A21))</f>
        <v/>
      </c>
      <c r="D21" s="62" t="str">
        <f>IF($A21="","",COUNTIFS(액션아이템!$D$3:$D$1002,$A21,액션아이템!$F$3:$F$1002,"진행중"))</f>
        <v/>
      </c>
      <c r="E21" s="62" t="str">
        <f>IF($A21="","",COUNTIFS(액션아이템!$D$3:$D$1002,$A21,액션아이템!$F$3:$F$1002,"완료"))</f>
        <v/>
      </c>
      <c r="F21" s="62" t="str">
        <f>IF($A21="","",COUNTIFS(액션아이템!$D$3:$D$1002,$A21,액션아이템!$H$3:$H$1002,"&lt;0"))</f>
        <v/>
      </c>
      <c r="G21" s="65" t="str">
        <f>IF($A21="","",IF($C21=0,"",$E21/$C21))</f>
        <v/>
      </c>
    </row>
    <row r="22" ht="15" customHeight="1" s="41">
      <c r="A22" s="52" t="str">
        <f>IF(구성원목록!$A21="","",구성원목록!$A21)</f>
        <v/>
      </c>
      <c r="B22" s="52" t="str">
        <f>IF($A22="","",구성원목록!$B21)</f>
        <v/>
      </c>
      <c r="C22" s="62" t="str">
        <f>IF($A22="","",COUNTIFS(액션아이템!$D$3:$D$1002,$A22))</f>
        <v/>
      </c>
      <c r="D22" s="62" t="str">
        <f>IF($A22="","",COUNTIFS(액션아이템!$D$3:$D$1002,$A22,액션아이템!$F$3:$F$1002,"진행중"))</f>
        <v/>
      </c>
      <c r="E22" s="62" t="str">
        <f>IF($A22="","",COUNTIFS(액션아이템!$D$3:$D$1002,$A22,액션아이템!$F$3:$F$1002,"완료"))</f>
        <v/>
      </c>
      <c r="F22" s="62" t="str">
        <f>IF($A22="","",COUNTIFS(액션아이템!$D$3:$D$1002,$A22,액션아이템!$H$3:$H$1002,"&lt;0"))</f>
        <v/>
      </c>
      <c r="G22" s="65" t="str">
        <f>IF($A22="","",IF($C22=0,"",$E22/$C22))</f>
        <v/>
      </c>
    </row>
    <row r="23" ht="15" customHeight="1" s="41">
      <c r="A23" s="52" t="str">
        <f>IF(구성원목록!$A22="","",구성원목록!$A22)</f>
        <v/>
      </c>
      <c r="B23" s="52" t="str">
        <f>IF($A23="","",구성원목록!$B22)</f>
        <v/>
      </c>
      <c r="C23" s="62" t="str">
        <f>IF($A23="","",COUNTIFS(액션아이템!$D$3:$D$1002,$A23))</f>
        <v/>
      </c>
      <c r="D23" s="62" t="str">
        <f>IF($A23="","",COUNTIFS(액션아이템!$D$3:$D$1002,$A23,액션아이템!$F$3:$F$1002,"진행중"))</f>
        <v/>
      </c>
      <c r="E23" s="62" t="str">
        <f>IF($A23="","",COUNTIFS(액션아이템!$D$3:$D$1002,$A23,액션아이템!$F$3:$F$1002,"완료"))</f>
        <v/>
      </c>
      <c r="F23" s="62" t="str">
        <f>IF($A23="","",COUNTIFS(액션아이템!$D$3:$D$1002,$A23,액션아이템!$H$3:$H$1002,"&lt;0"))</f>
        <v/>
      </c>
      <c r="G23" s="65" t="str">
        <f>IF($A23="","",IF($C23=0,"",$E23/$C23))</f>
        <v/>
      </c>
    </row>
    <row r="24" ht="15" customHeight="1" s="41">
      <c r="A24" s="52" t="str">
        <f>IF(구성원목록!$A23="","",구성원목록!$A23)</f>
        <v/>
      </c>
      <c r="B24" s="52" t="str">
        <f>IF($A24="","",구성원목록!$B23)</f>
        <v/>
      </c>
      <c r="C24" s="62" t="str">
        <f>IF($A24="","",COUNTIFS(액션아이템!$D$3:$D$1002,$A24))</f>
        <v/>
      </c>
      <c r="D24" s="62" t="str">
        <f>IF($A24="","",COUNTIFS(액션아이템!$D$3:$D$1002,$A24,액션아이템!$F$3:$F$1002,"진행중"))</f>
        <v/>
      </c>
      <c r="E24" s="62" t="str">
        <f>IF($A24="","",COUNTIFS(액션아이템!$D$3:$D$1002,$A24,액션아이템!$F$3:$F$1002,"완료"))</f>
        <v/>
      </c>
      <c r="F24" s="62" t="str">
        <f>IF($A24="","",COUNTIFS(액션아이템!$D$3:$D$1002,$A24,액션아이템!$H$3:$H$1002,"&lt;0"))</f>
        <v/>
      </c>
      <c r="G24" s="65" t="str">
        <f>IF($A24="","",IF($C24=0,"",$E24/$C24))</f>
        <v/>
      </c>
    </row>
    <row r="25" ht="15" customHeight="1" s="41">
      <c r="A25" s="52" t="str">
        <f>IF(구성원목록!$A24="","",구성원목록!$A24)</f>
        <v/>
      </c>
      <c r="B25" s="52" t="str">
        <f>IF($A25="","",구성원목록!$B24)</f>
        <v/>
      </c>
      <c r="C25" s="62" t="str">
        <f>IF($A25="","",COUNTIFS(액션아이템!$D$3:$D$1002,$A25))</f>
        <v/>
      </c>
      <c r="D25" s="62" t="str">
        <f>IF($A25="","",COUNTIFS(액션아이템!$D$3:$D$1002,$A25,액션아이템!$F$3:$F$1002,"진행중"))</f>
        <v/>
      </c>
      <c r="E25" s="62" t="str">
        <f>IF($A25="","",COUNTIFS(액션아이템!$D$3:$D$1002,$A25,액션아이템!$F$3:$F$1002,"완료"))</f>
        <v/>
      </c>
      <c r="F25" s="62" t="str">
        <f>IF($A25="","",COUNTIFS(액션아이템!$D$3:$D$1002,$A25,액션아이템!$H$3:$H$1002,"&lt;0"))</f>
        <v/>
      </c>
      <c r="G25" s="65" t="str">
        <f>IF($A25="","",IF($C25=0,"",$E25/$C25))</f>
        <v/>
      </c>
    </row>
    <row r="26" ht="15" customHeight="1" s="41">
      <c r="A26" s="52" t="str">
        <f>IF(구성원목록!$A25="","",구성원목록!$A25)</f>
        <v/>
      </c>
      <c r="B26" s="52" t="str">
        <f>IF($A26="","",구성원목록!$B25)</f>
        <v/>
      </c>
      <c r="C26" s="62" t="str">
        <f>IF($A26="","",COUNTIFS(액션아이템!$D$3:$D$1002,$A26))</f>
        <v/>
      </c>
      <c r="D26" s="62" t="str">
        <f>IF($A26="","",COUNTIFS(액션아이템!$D$3:$D$1002,$A26,액션아이템!$F$3:$F$1002,"진행중"))</f>
        <v/>
      </c>
      <c r="E26" s="62" t="str">
        <f>IF($A26="","",COUNTIFS(액션아이템!$D$3:$D$1002,$A26,액션아이템!$F$3:$F$1002,"완료"))</f>
        <v/>
      </c>
      <c r="F26" s="62" t="str">
        <f>IF($A26="","",COUNTIFS(액션아이템!$D$3:$D$1002,$A26,액션아이템!$H$3:$H$1002,"&lt;0"))</f>
        <v/>
      </c>
      <c r="G26" s="65" t="str">
        <f>IF($A26="","",IF($C26=0,"",$E26/$C26))</f>
        <v/>
      </c>
    </row>
    <row r="27" ht="15" customHeight="1" s="41">
      <c r="A27" s="52" t="str">
        <f>IF(구성원목록!$A26="","",구성원목록!$A26)</f>
        <v/>
      </c>
      <c r="B27" s="52" t="str">
        <f>IF($A27="","",구성원목록!$B26)</f>
        <v/>
      </c>
      <c r="C27" s="62" t="str">
        <f>IF($A27="","",COUNTIFS(액션아이템!$D$3:$D$1002,$A27))</f>
        <v/>
      </c>
      <c r="D27" s="62" t="str">
        <f>IF($A27="","",COUNTIFS(액션아이템!$D$3:$D$1002,$A27,액션아이템!$F$3:$F$1002,"진행중"))</f>
        <v/>
      </c>
      <c r="E27" s="62" t="str">
        <f>IF($A27="","",COUNTIFS(액션아이템!$D$3:$D$1002,$A27,액션아이템!$F$3:$F$1002,"완료"))</f>
        <v/>
      </c>
      <c r="F27" s="62" t="str">
        <f>IF($A27="","",COUNTIFS(액션아이템!$D$3:$D$1002,$A27,액션아이템!$H$3:$H$1002,"&lt;0"))</f>
        <v/>
      </c>
      <c r="G27" s="65" t="str">
        <f>IF($A27="","",IF($C27=0,"",$E27/$C27))</f>
        <v/>
      </c>
    </row>
    <row r="28" ht="15" customHeight="1" s="41">
      <c r="A28" s="52" t="str">
        <f>IF(구성원목록!$A27="","",구성원목록!$A27)</f>
        <v/>
      </c>
      <c r="B28" s="52" t="str">
        <f>IF($A28="","",구성원목록!$B27)</f>
        <v/>
      </c>
      <c r="C28" s="62" t="str">
        <f>IF($A28="","",COUNTIFS(액션아이템!$D$3:$D$1002,$A28))</f>
        <v/>
      </c>
      <c r="D28" s="62" t="str">
        <f>IF($A28="","",COUNTIFS(액션아이템!$D$3:$D$1002,$A28,액션아이템!$F$3:$F$1002,"진행중"))</f>
        <v/>
      </c>
      <c r="E28" s="62" t="str">
        <f>IF($A28="","",COUNTIFS(액션아이템!$D$3:$D$1002,$A28,액션아이템!$F$3:$F$1002,"완료"))</f>
        <v/>
      </c>
      <c r="F28" s="62" t="str">
        <f>IF($A28="","",COUNTIFS(액션아이템!$D$3:$D$1002,$A28,액션아이템!$H$3:$H$1002,"&lt;0"))</f>
        <v/>
      </c>
      <c r="G28" s="65" t="str">
        <f>IF($A28="","",IF($C28=0,"",$E28/$C28))</f>
        <v/>
      </c>
    </row>
    <row r="29" ht="15" customHeight="1" s="41">
      <c r="A29" s="52" t="str">
        <f>IF(구성원목록!$A28="","",구성원목록!$A28)</f>
        <v/>
      </c>
      <c r="B29" s="52" t="str">
        <f>IF($A29="","",구성원목록!$B28)</f>
        <v/>
      </c>
      <c r="C29" s="62" t="str">
        <f>IF($A29="","",COUNTIFS(액션아이템!$D$3:$D$1002,$A29))</f>
        <v/>
      </c>
      <c r="D29" s="62" t="str">
        <f>IF($A29="","",COUNTIFS(액션아이템!$D$3:$D$1002,$A29,액션아이템!$F$3:$F$1002,"진행중"))</f>
        <v/>
      </c>
      <c r="E29" s="62" t="str">
        <f>IF($A29="","",COUNTIFS(액션아이템!$D$3:$D$1002,$A29,액션아이템!$F$3:$F$1002,"완료"))</f>
        <v/>
      </c>
      <c r="F29" s="62" t="str">
        <f>IF($A29="","",COUNTIFS(액션아이템!$D$3:$D$1002,$A29,액션아이템!$H$3:$H$1002,"&lt;0"))</f>
        <v/>
      </c>
      <c r="G29" s="65" t="str">
        <f>IF($A29="","",IF($C29=0,"",$E29/$C29))</f>
        <v/>
      </c>
    </row>
    <row r="30" ht="15" customHeight="1" s="41">
      <c r="A30" s="52" t="str">
        <f>IF(구성원목록!$A29="","",구성원목록!$A29)</f>
        <v/>
      </c>
      <c r="B30" s="52" t="str">
        <f>IF($A30="","",구성원목록!$B29)</f>
        <v/>
      </c>
      <c r="C30" s="62" t="str">
        <f>IF($A30="","",COUNTIFS(액션아이템!$D$3:$D$1002,$A30))</f>
        <v/>
      </c>
      <c r="D30" s="62" t="str">
        <f>IF($A30="","",COUNTIFS(액션아이템!$D$3:$D$1002,$A30,액션아이템!$F$3:$F$1002,"진행중"))</f>
        <v/>
      </c>
      <c r="E30" s="62" t="str">
        <f>IF($A30="","",COUNTIFS(액션아이템!$D$3:$D$1002,$A30,액션아이템!$F$3:$F$1002,"완료"))</f>
        <v/>
      </c>
      <c r="F30" s="62" t="str">
        <f>IF($A30="","",COUNTIFS(액션아이템!$D$3:$D$1002,$A30,액션아이템!$H$3:$H$1002,"&lt;0"))</f>
        <v/>
      </c>
      <c r="G30" s="65" t="str">
        <f>IF($A30="","",IF($C30=0,"",$E30/$C30))</f>
        <v/>
      </c>
    </row>
    <row r="31" ht="15" customHeight="1" s="41">
      <c r="A31" s="52" t="str">
        <f>IF(구성원목록!$A30="","",구성원목록!$A30)</f>
        <v/>
      </c>
      <c r="B31" s="52" t="str">
        <f>IF($A31="","",구성원목록!$B30)</f>
        <v/>
      </c>
      <c r="C31" s="62" t="str">
        <f>IF($A31="","",COUNTIFS(액션아이템!$D$3:$D$1002,$A31))</f>
        <v/>
      </c>
      <c r="D31" s="62" t="str">
        <f>IF($A31="","",COUNTIFS(액션아이템!$D$3:$D$1002,$A31,액션아이템!$F$3:$F$1002,"진행중"))</f>
        <v/>
      </c>
      <c r="E31" s="62" t="str">
        <f>IF($A31="","",COUNTIFS(액션아이템!$D$3:$D$1002,$A31,액션아이템!$F$3:$F$1002,"완료"))</f>
        <v/>
      </c>
      <c r="F31" s="62" t="str">
        <f>IF($A31="","",COUNTIFS(액션아이템!$D$3:$D$1002,$A31,액션아이템!$H$3:$H$1002,"&lt;0"))</f>
        <v/>
      </c>
      <c r="G31" s="65" t="str">
        <f>IF($A31="","",IF($C31=0,"",$E31/$C31))</f>
        <v/>
      </c>
    </row>
    <row r="32" ht="15" customHeight="1" s="41">
      <c r="A32" s="52" t="str">
        <f>IF(구성원목록!$A31="","",구성원목록!$A31)</f>
        <v/>
      </c>
      <c r="B32" s="52" t="str">
        <f>IF($A32="","",구성원목록!$B31)</f>
        <v/>
      </c>
      <c r="C32" s="62" t="str">
        <f>IF($A32="","",COUNTIFS(액션아이템!$D$3:$D$1002,$A32))</f>
        <v/>
      </c>
      <c r="D32" s="62" t="str">
        <f>IF($A32="","",COUNTIFS(액션아이템!$D$3:$D$1002,$A32,액션아이템!$F$3:$F$1002,"진행중"))</f>
        <v/>
      </c>
      <c r="E32" s="62" t="str">
        <f>IF($A32="","",COUNTIFS(액션아이템!$D$3:$D$1002,$A32,액션아이템!$F$3:$F$1002,"완료"))</f>
        <v/>
      </c>
      <c r="F32" s="62" t="str">
        <f>IF($A32="","",COUNTIFS(액션아이템!$D$3:$D$1002,$A32,액션아이템!$H$3:$H$1002,"&lt;0"))</f>
        <v/>
      </c>
      <c r="G32" s="65" t="str">
        <f>IF($A32="","",IF($C32=0,"",$E32/$C32))</f>
        <v/>
      </c>
    </row>
    <row r="33" ht="15" customHeight="1" s="41">
      <c r="A33" s="52" t="str">
        <f>IF(구성원목록!$A32="","",구성원목록!$A32)</f>
        <v/>
      </c>
      <c r="B33" s="52" t="str">
        <f>IF($A33="","",구성원목록!$B32)</f>
        <v/>
      </c>
      <c r="C33" s="62" t="str">
        <f>IF($A33="","",COUNTIFS(액션아이템!$D$3:$D$1002,$A33))</f>
        <v/>
      </c>
      <c r="D33" s="62" t="str">
        <f>IF($A33="","",COUNTIFS(액션아이템!$D$3:$D$1002,$A33,액션아이템!$F$3:$F$1002,"진행중"))</f>
        <v/>
      </c>
      <c r="E33" s="62" t="str">
        <f>IF($A33="","",COUNTIFS(액션아이템!$D$3:$D$1002,$A33,액션아이템!$F$3:$F$1002,"완료"))</f>
        <v/>
      </c>
      <c r="F33" s="62" t="str">
        <f>IF($A33="","",COUNTIFS(액션아이템!$D$3:$D$1002,$A33,액션아이템!$H$3:$H$1002,"&lt;0"))</f>
        <v/>
      </c>
      <c r="G33" s="65" t="str">
        <f>IF($A33="","",IF($C33=0,"",$E33/$C33))</f>
        <v/>
      </c>
    </row>
    <row r="34" ht="15" customHeight="1" s="41">
      <c r="A34" s="52" t="str">
        <f>IF(구성원목록!$A33="","",구성원목록!$A33)</f>
        <v/>
      </c>
      <c r="B34" s="52" t="str">
        <f>IF($A34="","",구성원목록!$B33)</f>
        <v/>
      </c>
      <c r="C34" s="62" t="str">
        <f>IF($A34="","",COUNTIFS(액션아이템!$D$3:$D$1002,$A34))</f>
        <v/>
      </c>
      <c r="D34" s="62" t="str">
        <f>IF($A34="","",COUNTIFS(액션아이템!$D$3:$D$1002,$A34,액션아이템!$F$3:$F$1002,"진행중"))</f>
        <v/>
      </c>
      <c r="E34" s="62" t="str">
        <f>IF($A34="","",COUNTIFS(액션아이템!$D$3:$D$1002,$A34,액션아이템!$F$3:$F$1002,"완료"))</f>
        <v/>
      </c>
      <c r="F34" s="62" t="str">
        <f>IF($A34="","",COUNTIFS(액션아이템!$D$3:$D$1002,$A34,액션아이템!$H$3:$H$1002,"&lt;0"))</f>
        <v/>
      </c>
      <c r="G34" s="65" t="str">
        <f>IF($A34="","",IF($C34=0,"",$E34/$C34))</f>
        <v/>
      </c>
    </row>
    <row r="35" ht="15" customHeight="1" s="41">
      <c r="A35" s="52" t="str">
        <f>IF(구성원목록!$A34="","",구성원목록!$A34)</f>
        <v/>
      </c>
      <c r="B35" s="52" t="str">
        <f>IF($A35="","",구성원목록!$B34)</f>
        <v/>
      </c>
      <c r="C35" s="62" t="str">
        <f>IF($A35="","",COUNTIFS(액션아이템!$D$3:$D$1002,$A35))</f>
        <v/>
      </c>
      <c r="D35" s="62" t="str">
        <f>IF($A35="","",COUNTIFS(액션아이템!$D$3:$D$1002,$A35,액션아이템!$F$3:$F$1002,"진행중"))</f>
        <v/>
      </c>
      <c r="E35" s="62" t="str">
        <f>IF($A35="","",COUNTIFS(액션아이템!$D$3:$D$1002,$A35,액션아이템!$F$3:$F$1002,"완료"))</f>
        <v/>
      </c>
      <c r="F35" s="62" t="str">
        <f>IF($A35="","",COUNTIFS(액션아이템!$D$3:$D$1002,$A35,액션아이템!$H$3:$H$1002,"&lt;0"))</f>
        <v/>
      </c>
      <c r="G35" s="65" t="str">
        <f>IF($A35="","",IF($C35=0,"",$E35/$C35))</f>
        <v/>
      </c>
    </row>
    <row r="36" ht="15" customHeight="1" s="41">
      <c r="A36" s="52" t="str">
        <f>IF(구성원목록!$A35="","",구성원목록!$A35)</f>
        <v/>
      </c>
      <c r="B36" s="52" t="str">
        <f>IF($A36="","",구성원목록!$B35)</f>
        <v/>
      </c>
      <c r="C36" s="62" t="str">
        <f>IF($A36="","",COUNTIFS(액션아이템!$D$3:$D$1002,$A36))</f>
        <v/>
      </c>
      <c r="D36" s="62" t="str">
        <f>IF($A36="","",COUNTIFS(액션아이템!$D$3:$D$1002,$A36,액션아이템!$F$3:$F$1002,"진행중"))</f>
        <v/>
      </c>
      <c r="E36" s="62" t="str">
        <f>IF($A36="","",COUNTIFS(액션아이템!$D$3:$D$1002,$A36,액션아이템!$F$3:$F$1002,"완료"))</f>
        <v/>
      </c>
      <c r="F36" s="62" t="str">
        <f>IF($A36="","",COUNTIFS(액션아이템!$D$3:$D$1002,$A36,액션아이템!$H$3:$H$1002,"&lt;0"))</f>
        <v/>
      </c>
      <c r="G36" s="65" t="str">
        <f>IF($A36="","",IF($C36=0,"",$E36/$C36))</f>
        <v/>
      </c>
    </row>
    <row r="37" ht="15" customHeight="1" s="41">
      <c r="A37" s="52" t="str">
        <f>IF(구성원목록!$A36="","",구성원목록!$A36)</f>
        <v/>
      </c>
      <c r="B37" s="52" t="str">
        <f>IF($A37="","",구성원목록!$B36)</f>
        <v/>
      </c>
      <c r="C37" s="62" t="str">
        <f>IF($A37="","",COUNTIFS(액션아이템!$D$3:$D$1002,$A37))</f>
        <v/>
      </c>
      <c r="D37" s="62" t="str">
        <f>IF($A37="","",COUNTIFS(액션아이템!$D$3:$D$1002,$A37,액션아이템!$F$3:$F$1002,"진행중"))</f>
        <v/>
      </c>
      <c r="E37" s="62" t="str">
        <f>IF($A37="","",COUNTIFS(액션아이템!$D$3:$D$1002,$A37,액션아이템!$F$3:$F$1002,"완료"))</f>
        <v/>
      </c>
      <c r="F37" s="62" t="str">
        <f>IF($A37="","",COUNTIFS(액션아이템!$D$3:$D$1002,$A37,액션아이템!$H$3:$H$1002,"&lt;0"))</f>
        <v/>
      </c>
      <c r="G37" s="65" t="str">
        <f>IF($A37="","",IF($C37=0,"",$E37/$C37))</f>
        <v/>
      </c>
    </row>
    <row r="38" ht="15" customHeight="1" s="41">
      <c r="A38" s="52" t="str">
        <f>IF(구성원목록!$A37="","",구성원목록!$A37)</f>
        <v/>
      </c>
      <c r="B38" s="52" t="str">
        <f>IF($A38="","",구성원목록!$B37)</f>
        <v/>
      </c>
      <c r="C38" s="62" t="str">
        <f>IF($A38="","",COUNTIFS(액션아이템!$D$3:$D$1002,$A38))</f>
        <v/>
      </c>
      <c r="D38" s="62" t="str">
        <f>IF($A38="","",COUNTIFS(액션아이템!$D$3:$D$1002,$A38,액션아이템!$F$3:$F$1002,"진행중"))</f>
        <v/>
      </c>
      <c r="E38" s="62" t="str">
        <f>IF($A38="","",COUNTIFS(액션아이템!$D$3:$D$1002,$A38,액션아이템!$F$3:$F$1002,"완료"))</f>
        <v/>
      </c>
      <c r="F38" s="62" t="str">
        <f>IF($A38="","",COUNTIFS(액션아이템!$D$3:$D$1002,$A38,액션아이템!$H$3:$H$1002,"&lt;0"))</f>
        <v/>
      </c>
      <c r="G38" s="65" t="str">
        <f>IF($A38="","",IF($C38=0,"",$E38/$C38))</f>
        <v/>
      </c>
    </row>
    <row r="39" ht="15" customHeight="1" s="41">
      <c r="A39" s="52" t="str">
        <f>IF(구성원목록!$A38="","",구성원목록!$A38)</f>
        <v/>
      </c>
      <c r="B39" s="52" t="str">
        <f>IF($A39="","",구성원목록!$B38)</f>
        <v/>
      </c>
      <c r="C39" s="62" t="str">
        <f>IF($A39="","",COUNTIFS(액션아이템!$D$3:$D$1002,$A39))</f>
        <v/>
      </c>
      <c r="D39" s="62" t="str">
        <f>IF($A39="","",COUNTIFS(액션아이템!$D$3:$D$1002,$A39,액션아이템!$F$3:$F$1002,"진행중"))</f>
        <v/>
      </c>
      <c r="E39" s="62" t="str">
        <f>IF($A39="","",COUNTIFS(액션아이템!$D$3:$D$1002,$A39,액션아이템!$F$3:$F$1002,"완료"))</f>
        <v/>
      </c>
      <c r="F39" s="62" t="str">
        <f>IF($A39="","",COUNTIFS(액션아이템!$D$3:$D$1002,$A39,액션아이템!$H$3:$H$1002,"&lt;0"))</f>
        <v/>
      </c>
      <c r="G39" s="65" t="str">
        <f>IF($A39="","",IF($C39=0,"",$E39/$C39))</f>
        <v/>
      </c>
    </row>
    <row r="40" ht="15" customHeight="1" s="41">
      <c r="A40" s="52" t="str">
        <f>IF(구성원목록!$A39="","",구성원목록!$A39)</f>
        <v/>
      </c>
      <c r="B40" s="52" t="str">
        <f>IF($A40="","",구성원목록!$B39)</f>
        <v/>
      </c>
      <c r="C40" s="62" t="str">
        <f>IF($A40="","",COUNTIFS(액션아이템!$D$3:$D$1002,$A40))</f>
        <v/>
      </c>
      <c r="D40" s="62" t="str">
        <f>IF($A40="","",COUNTIFS(액션아이템!$D$3:$D$1002,$A40,액션아이템!$F$3:$F$1002,"진행중"))</f>
        <v/>
      </c>
      <c r="E40" s="62" t="str">
        <f>IF($A40="","",COUNTIFS(액션아이템!$D$3:$D$1002,$A40,액션아이템!$F$3:$F$1002,"완료"))</f>
        <v/>
      </c>
      <c r="F40" s="62" t="str">
        <f>IF($A40="","",COUNTIFS(액션아이템!$D$3:$D$1002,$A40,액션아이템!$H$3:$H$1002,"&lt;0"))</f>
        <v/>
      </c>
      <c r="G40" s="65" t="str">
        <f>IF($A40="","",IF($C40=0,"",$E40/$C40))</f>
        <v/>
      </c>
    </row>
    <row r="41" ht="15" customHeight="1" s="41">
      <c r="A41" s="52" t="str">
        <f>IF(구성원목록!$A40="","",구성원목록!$A40)</f>
        <v/>
      </c>
      <c r="B41" s="52" t="str">
        <f>IF($A41="","",구성원목록!$B40)</f>
        <v/>
      </c>
      <c r="C41" s="62" t="str">
        <f>IF($A41="","",COUNTIFS(액션아이템!$D$3:$D$1002,$A41))</f>
        <v/>
      </c>
      <c r="D41" s="62" t="str">
        <f>IF($A41="","",COUNTIFS(액션아이템!$D$3:$D$1002,$A41,액션아이템!$F$3:$F$1002,"진행중"))</f>
        <v/>
      </c>
      <c r="E41" s="62" t="str">
        <f>IF($A41="","",COUNTIFS(액션아이템!$D$3:$D$1002,$A41,액션아이템!$F$3:$F$1002,"완료"))</f>
        <v/>
      </c>
      <c r="F41" s="62" t="str">
        <f>IF($A41="","",COUNTIFS(액션아이템!$D$3:$D$1002,$A41,액션아이템!$H$3:$H$1002,"&lt;0"))</f>
        <v/>
      </c>
      <c r="G41" s="65" t="str">
        <f>IF($A41="","",IF($C41=0,"",$E41/$C41))</f>
        <v/>
      </c>
    </row>
    <row r="42" ht="15" customHeight="1" s="41">
      <c r="A42" s="52" t="str">
        <f>IF(구성원목록!$A41="","",구성원목록!$A41)</f>
        <v/>
      </c>
      <c r="B42" s="52" t="str">
        <f>IF($A42="","",구성원목록!$B41)</f>
        <v/>
      </c>
      <c r="C42" s="62" t="str">
        <f>IF($A42="","",COUNTIFS(액션아이템!$D$3:$D$1002,$A42))</f>
        <v/>
      </c>
      <c r="D42" s="62" t="str">
        <f>IF($A42="","",COUNTIFS(액션아이템!$D$3:$D$1002,$A42,액션아이템!$F$3:$F$1002,"진행중"))</f>
        <v/>
      </c>
      <c r="E42" s="62" t="str">
        <f>IF($A42="","",COUNTIFS(액션아이템!$D$3:$D$1002,$A42,액션아이템!$F$3:$F$1002,"완료"))</f>
        <v/>
      </c>
      <c r="F42" s="62" t="str">
        <f>IF($A42="","",COUNTIFS(액션아이템!$D$3:$D$1002,$A42,액션아이템!$H$3:$H$1002,"&lt;0"))</f>
        <v/>
      </c>
      <c r="G42" s="65" t="str">
        <f>IF($A42="","",IF($C42=0,"",$E42/$C42))</f>
        <v/>
      </c>
    </row>
    <row r="43" ht="15" customHeight="1" s="41">
      <c r="A43" s="52" t="str">
        <f>IF(구성원목록!$A42="","",구성원목록!$A42)</f>
        <v/>
      </c>
      <c r="B43" s="52" t="str">
        <f>IF($A43="","",구성원목록!$B42)</f>
        <v/>
      </c>
      <c r="C43" s="62" t="str">
        <f>IF($A43="","",COUNTIFS(액션아이템!$D$3:$D$1002,$A43))</f>
        <v/>
      </c>
      <c r="D43" s="62" t="str">
        <f>IF($A43="","",COUNTIFS(액션아이템!$D$3:$D$1002,$A43,액션아이템!$F$3:$F$1002,"진행중"))</f>
        <v/>
      </c>
      <c r="E43" s="62" t="str">
        <f>IF($A43="","",COUNTIFS(액션아이템!$D$3:$D$1002,$A43,액션아이템!$F$3:$F$1002,"완료"))</f>
        <v/>
      </c>
      <c r="F43" s="62" t="str">
        <f>IF($A43="","",COUNTIFS(액션아이템!$D$3:$D$1002,$A43,액션아이템!$H$3:$H$1002,"&lt;0"))</f>
        <v/>
      </c>
      <c r="G43" s="65" t="str">
        <f>IF($A43="","",IF($C43=0,"",$E43/$C43))</f>
        <v/>
      </c>
    </row>
    <row r="44" ht="15" customHeight="1" s="41">
      <c r="A44" s="52" t="str">
        <f>IF(구성원목록!$A43="","",구성원목록!$A43)</f>
        <v/>
      </c>
      <c r="B44" s="52" t="str">
        <f>IF($A44="","",구성원목록!$B43)</f>
        <v/>
      </c>
      <c r="C44" s="62" t="str">
        <f>IF($A44="","",COUNTIFS(액션아이템!$D$3:$D$1002,$A44))</f>
        <v/>
      </c>
      <c r="D44" s="62" t="str">
        <f>IF($A44="","",COUNTIFS(액션아이템!$D$3:$D$1002,$A44,액션아이템!$F$3:$F$1002,"진행중"))</f>
        <v/>
      </c>
      <c r="E44" s="62" t="str">
        <f>IF($A44="","",COUNTIFS(액션아이템!$D$3:$D$1002,$A44,액션아이템!$F$3:$F$1002,"완료"))</f>
        <v/>
      </c>
      <c r="F44" s="62" t="str">
        <f>IF($A44="","",COUNTIFS(액션아이템!$D$3:$D$1002,$A44,액션아이템!$H$3:$H$1002,"&lt;0"))</f>
        <v/>
      </c>
      <c r="G44" s="65" t="str">
        <f>IF($A44="","",IF($C44=0,"",$E44/$C44))</f>
        <v/>
      </c>
    </row>
    <row r="45" ht="15" customHeight="1" s="41">
      <c r="A45" s="52" t="str">
        <f>IF(구성원목록!$A44="","",구성원목록!$A44)</f>
        <v/>
      </c>
      <c r="B45" s="52" t="str">
        <f>IF($A45="","",구성원목록!$B44)</f>
        <v/>
      </c>
      <c r="C45" s="62" t="str">
        <f>IF($A45="","",COUNTIFS(액션아이템!$D$3:$D$1002,$A45))</f>
        <v/>
      </c>
      <c r="D45" s="62" t="str">
        <f>IF($A45="","",COUNTIFS(액션아이템!$D$3:$D$1002,$A45,액션아이템!$F$3:$F$1002,"진행중"))</f>
        <v/>
      </c>
      <c r="E45" s="62" t="str">
        <f>IF($A45="","",COUNTIFS(액션아이템!$D$3:$D$1002,$A45,액션아이템!$F$3:$F$1002,"완료"))</f>
        <v/>
      </c>
      <c r="F45" s="62" t="str">
        <f>IF($A45="","",COUNTIFS(액션아이템!$D$3:$D$1002,$A45,액션아이템!$H$3:$H$1002,"&lt;0"))</f>
        <v/>
      </c>
      <c r="G45" s="65" t="str">
        <f>IF($A45="","",IF($C45=0,"",$E45/$C45))</f>
        <v/>
      </c>
    </row>
    <row r="46" ht="15" customHeight="1" s="41">
      <c r="A46" s="52" t="str">
        <f>IF(구성원목록!$A45="","",구성원목록!$A45)</f>
        <v/>
      </c>
      <c r="B46" s="52" t="str">
        <f>IF($A46="","",구성원목록!$B45)</f>
        <v/>
      </c>
      <c r="C46" s="62" t="str">
        <f>IF($A46="","",COUNTIFS(액션아이템!$D$3:$D$1002,$A46))</f>
        <v/>
      </c>
      <c r="D46" s="62" t="str">
        <f>IF($A46="","",COUNTIFS(액션아이템!$D$3:$D$1002,$A46,액션아이템!$F$3:$F$1002,"진행중"))</f>
        <v/>
      </c>
      <c r="E46" s="62" t="str">
        <f>IF($A46="","",COUNTIFS(액션아이템!$D$3:$D$1002,$A46,액션아이템!$F$3:$F$1002,"완료"))</f>
        <v/>
      </c>
      <c r="F46" s="62" t="str">
        <f>IF($A46="","",COUNTIFS(액션아이템!$D$3:$D$1002,$A46,액션아이템!$H$3:$H$1002,"&lt;0"))</f>
        <v/>
      </c>
      <c r="G46" s="65" t="str">
        <f>IF($A46="","",IF($C46=0,"",$E46/$C46))</f>
        <v/>
      </c>
    </row>
    <row r="47" ht="15" customHeight="1" s="41">
      <c r="A47" s="52" t="str">
        <f>IF(구성원목록!$A46="","",구성원목록!$A46)</f>
        <v/>
      </c>
      <c r="B47" s="52" t="str">
        <f>IF($A47="","",구성원목록!$B46)</f>
        <v/>
      </c>
      <c r="C47" s="62" t="str">
        <f>IF($A47="","",COUNTIFS(액션아이템!$D$3:$D$1002,$A47))</f>
        <v/>
      </c>
      <c r="D47" s="62" t="str">
        <f>IF($A47="","",COUNTIFS(액션아이템!$D$3:$D$1002,$A47,액션아이템!$F$3:$F$1002,"진행중"))</f>
        <v/>
      </c>
      <c r="E47" s="62" t="str">
        <f>IF($A47="","",COUNTIFS(액션아이템!$D$3:$D$1002,$A47,액션아이템!$F$3:$F$1002,"완료"))</f>
        <v/>
      </c>
      <c r="F47" s="62" t="str">
        <f>IF($A47="","",COUNTIFS(액션아이템!$D$3:$D$1002,$A47,액션아이템!$H$3:$H$1002,"&lt;0"))</f>
        <v/>
      </c>
      <c r="G47" s="65" t="str">
        <f>IF($A47="","",IF($C47=0,"",$E47/$C47))</f>
        <v/>
      </c>
    </row>
    <row r="48" ht="15" customHeight="1" s="41">
      <c r="A48" s="52" t="str">
        <f>IF(구성원목록!$A47="","",구성원목록!$A47)</f>
        <v/>
      </c>
      <c r="B48" s="52" t="str">
        <f>IF($A48="","",구성원목록!$B47)</f>
        <v/>
      </c>
      <c r="C48" s="62" t="str">
        <f>IF($A48="","",COUNTIFS(액션아이템!$D$3:$D$1002,$A48))</f>
        <v/>
      </c>
      <c r="D48" s="62" t="str">
        <f>IF($A48="","",COUNTIFS(액션아이템!$D$3:$D$1002,$A48,액션아이템!$F$3:$F$1002,"진행중"))</f>
        <v/>
      </c>
      <c r="E48" s="62" t="str">
        <f>IF($A48="","",COUNTIFS(액션아이템!$D$3:$D$1002,$A48,액션아이템!$F$3:$F$1002,"완료"))</f>
        <v/>
      </c>
      <c r="F48" s="62" t="str">
        <f>IF($A48="","",COUNTIFS(액션아이템!$D$3:$D$1002,$A48,액션아이템!$H$3:$H$1002,"&lt;0"))</f>
        <v/>
      </c>
      <c r="G48" s="65" t="str">
        <f>IF($A48="","",IF($C48=0,"",$E48/$C48))</f>
        <v/>
      </c>
    </row>
    <row r="49" ht="15" customHeight="1" s="41">
      <c r="A49" s="52" t="str">
        <f>IF(구성원목록!$A48="","",구성원목록!$A48)</f>
        <v/>
      </c>
      <c r="B49" s="52" t="str">
        <f>IF($A49="","",구성원목록!$B48)</f>
        <v/>
      </c>
      <c r="C49" s="62" t="str">
        <f>IF($A49="","",COUNTIFS(액션아이템!$D$3:$D$1002,$A49))</f>
        <v/>
      </c>
      <c r="D49" s="62" t="str">
        <f>IF($A49="","",COUNTIFS(액션아이템!$D$3:$D$1002,$A49,액션아이템!$F$3:$F$1002,"진행중"))</f>
        <v/>
      </c>
      <c r="E49" s="62" t="str">
        <f>IF($A49="","",COUNTIFS(액션아이템!$D$3:$D$1002,$A49,액션아이템!$F$3:$F$1002,"완료"))</f>
        <v/>
      </c>
      <c r="F49" s="62" t="str">
        <f>IF($A49="","",COUNTIFS(액션아이템!$D$3:$D$1002,$A49,액션아이템!$H$3:$H$1002,"&lt;0"))</f>
        <v/>
      </c>
      <c r="G49" s="65" t="str">
        <f>IF($A49="","",IF($C49=0,"",$E49/$C49))</f>
        <v/>
      </c>
    </row>
    <row r="50" ht="15" customHeight="1" s="41">
      <c r="A50" s="52" t="str">
        <f>IF(구성원목록!$A49="","",구성원목록!$A49)</f>
        <v/>
      </c>
      <c r="B50" s="52" t="str">
        <f>IF($A50="","",구성원목록!$B49)</f>
        <v/>
      </c>
      <c r="C50" s="62" t="str">
        <f>IF($A50="","",COUNTIFS(액션아이템!$D$3:$D$1002,$A50))</f>
        <v/>
      </c>
      <c r="D50" s="62" t="str">
        <f>IF($A50="","",COUNTIFS(액션아이템!$D$3:$D$1002,$A50,액션아이템!$F$3:$F$1002,"진행중"))</f>
        <v/>
      </c>
      <c r="E50" s="62" t="str">
        <f>IF($A50="","",COUNTIFS(액션아이템!$D$3:$D$1002,$A50,액션아이템!$F$3:$F$1002,"완료"))</f>
        <v/>
      </c>
      <c r="F50" s="62" t="str">
        <f>IF($A50="","",COUNTIFS(액션아이템!$D$3:$D$1002,$A50,액션아이템!$H$3:$H$1002,"&lt;0"))</f>
        <v/>
      </c>
      <c r="G50" s="65" t="str">
        <f>IF($A50="","",IF($C50=0,"",$E50/$C50))</f>
        <v/>
      </c>
    </row>
    <row r="51" ht="15" customHeight="1" s="41">
      <c r="A51" s="52" t="str">
        <f>IF(구성원목록!$A50="","",구성원목록!$A50)</f>
        <v/>
      </c>
      <c r="B51" s="52" t="str">
        <f>IF($A51="","",구성원목록!$B50)</f>
        <v/>
      </c>
      <c r="C51" s="62" t="str">
        <f>IF($A51="","",COUNTIFS(액션아이템!$D$3:$D$1002,$A51))</f>
        <v/>
      </c>
      <c r="D51" s="62" t="str">
        <f>IF($A51="","",COUNTIFS(액션아이템!$D$3:$D$1002,$A51,액션아이템!$F$3:$F$1002,"진행중"))</f>
        <v/>
      </c>
      <c r="E51" s="62" t="str">
        <f>IF($A51="","",COUNTIFS(액션아이템!$D$3:$D$1002,$A51,액션아이템!$F$3:$F$1002,"완료"))</f>
        <v/>
      </c>
      <c r="F51" s="62" t="str">
        <f>IF($A51="","",COUNTIFS(액션아이템!$D$3:$D$1002,$A51,액션아이템!$H$3:$H$1002,"&lt;0"))</f>
        <v/>
      </c>
      <c r="G51" s="65" t="str">
        <f>IF($A51="","",IF($C51=0,"",$E51/$C51))</f>
        <v/>
      </c>
    </row>
    <row r="52" ht="15" customHeight="1" s="41">
      <c r="A52" s="52" t="str">
        <f>IF(구성원목록!$A51="","",구성원목록!$A51)</f>
        <v/>
      </c>
      <c r="B52" s="52" t="str">
        <f>IF($A52="","",구성원목록!$B51)</f>
        <v/>
      </c>
      <c r="C52" s="62" t="str">
        <f>IF($A52="","",COUNTIFS(액션아이템!$D$3:$D$1002,$A52))</f>
        <v/>
      </c>
      <c r="D52" s="62" t="str">
        <f>IF($A52="","",COUNTIFS(액션아이템!$D$3:$D$1002,$A52,액션아이템!$F$3:$F$1002,"진행중"))</f>
        <v/>
      </c>
      <c r="E52" s="62" t="str">
        <f>IF($A52="","",COUNTIFS(액션아이템!$D$3:$D$1002,$A52,액션아이템!$F$3:$F$1002,"완료"))</f>
        <v/>
      </c>
      <c r="F52" s="62" t="str">
        <f>IF($A52="","",COUNTIFS(액션아이템!$D$3:$D$1002,$A52,액션아이템!$H$3:$H$1002,"&lt;0"))</f>
        <v/>
      </c>
      <c r="G52" s="65" t="str">
        <f>IF($A52="","",IF($C52=0,"",$E52/$C52))</f>
        <v/>
      </c>
    </row>
    <row r="53" ht="15" customHeight="1" s="41">
      <c r="A53" s="52" t="str">
        <f>IF(구성원목록!$A52="","",구성원목록!$A52)</f>
        <v/>
      </c>
      <c r="B53" s="52" t="str">
        <f>IF($A53="","",구성원목록!$B52)</f>
        <v/>
      </c>
      <c r="C53" s="62" t="str">
        <f>IF($A53="","",COUNTIFS(액션아이템!$D$3:$D$1002,$A53))</f>
        <v/>
      </c>
      <c r="D53" s="62" t="str">
        <f>IF($A53="","",COUNTIFS(액션아이템!$D$3:$D$1002,$A53,액션아이템!$F$3:$F$1002,"진행중"))</f>
        <v/>
      </c>
      <c r="E53" s="62" t="str">
        <f>IF($A53="","",COUNTIFS(액션아이템!$D$3:$D$1002,$A53,액션아이템!$F$3:$F$1002,"완료"))</f>
        <v/>
      </c>
      <c r="F53" s="62" t="str">
        <f>IF($A53="","",COUNTIFS(액션아이템!$D$3:$D$1002,$A53,액션아이템!$H$3:$H$1002,"&lt;0"))</f>
        <v/>
      </c>
      <c r="G53" s="65" t="str">
        <f>IF($A53="","",IF($C53=0,"",$E53/$C53))</f>
        <v/>
      </c>
    </row>
    <row r="54" ht="15" customHeight="1" s="41">
      <c r="A54" s="52" t="str">
        <f>IF(구성원목록!$A53="","",구성원목록!$A53)</f>
        <v/>
      </c>
      <c r="B54" s="52" t="str">
        <f>IF($A54="","",구성원목록!$B53)</f>
        <v/>
      </c>
      <c r="C54" s="62" t="str">
        <f>IF($A54="","",COUNTIFS(액션아이템!$D$3:$D$1002,$A54))</f>
        <v/>
      </c>
      <c r="D54" s="62" t="str">
        <f>IF($A54="","",COUNTIFS(액션아이템!$D$3:$D$1002,$A54,액션아이템!$F$3:$F$1002,"진행중"))</f>
        <v/>
      </c>
      <c r="E54" s="62" t="str">
        <f>IF($A54="","",COUNTIFS(액션아이템!$D$3:$D$1002,$A54,액션아이템!$F$3:$F$1002,"완료"))</f>
        <v/>
      </c>
      <c r="F54" s="62" t="str">
        <f>IF($A54="","",COUNTIFS(액션아이템!$D$3:$D$1002,$A54,액션아이템!$H$3:$H$1002,"&lt;0"))</f>
        <v/>
      </c>
      <c r="G54" s="65" t="str">
        <f>IF($A54="","",IF($C54=0,"",$E54/$C54))</f>
        <v/>
      </c>
    </row>
    <row r="55" ht="15" customHeight="1" s="41">
      <c r="A55" s="52" t="str">
        <f>IF(구성원목록!$A54="","",구성원목록!$A54)</f>
        <v/>
      </c>
      <c r="B55" s="52" t="str">
        <f>IF($A55="","",구성원목록!$B54)</f>
        <v/>
      </c>
      <c r="C55" s="62" t="str">
        <f>IF($A55="","",COUNTIFS(액션아이템!$D$3:$D$1002,$A55))</f>
        <v/>
      </c>
      <c r="D55" s="62" t="str">
        <f>IF($A55="","",COUNTIFS(액션아이템!$D$3:$D$1002,$A55,액션아이템!$F$3:$F$1002,"진행중"))</f>
        <v/>
      </c>
      <c r="E55" s="62" t="str">
        <f>IF($A55="","",COUNTIFS(액션아이템!$D$3:$D$1002,$A55,액션아이템!$F$3:$F$1002,"완료"))</f>
        <v/>
      </c>
      <c r="F55" s="62" t="str">
        <f>IF($A55="","",COUNTIFS(액션아이템!$D$3:$D$1002,$A55,액션아이템!$H$3:$H$1002,"&lt;0"))</f>
        <v/>
      </c>
      <c r="G55" s="65" t="str">
        <f>IF($A55="","",IF($C55=0,"",$E55/$C55))</f>
        <v/>
      </c>
    </row>
    <row r="56" ht="15" customHeight="1" s="41">
      <c r="A56" s="52" t="str">
        <f>IF(구성원목록!$A55="","",구성원목록!$A55)</f>
        <v/>
      </c>
      <c r="B56" s="52" t="str">
        <f>IF($A56="","",구성원목록!$B55)</f>
        <v/>
      </c>
      <c r="C56" s="62" t="str">
        <f>IF($A56="","",COUNTIFS(액션아이템!$D$3:$D$1002,$A56))</f>
        <v/>
      </c>
      <c r="D56" s="62" t="str">
        <f>IF($A56="","",COUNTIFS(액션아이템!$D$3:$D$1002,$A56,액션아이템!$F$3:$F$1002,"진행중"))</f>
        <v/>
      </c>
      <c r="E56" s="62" t="str">
        <f>IF($A56="","",COUNTIFS(액션아이템!$D$3:$D$1002,$A56,액션아이템!$F$3:$F$1002,"완료"))</f>
        <v/>
      </c>
      <c r="F56" s="62" t="str">
        <f>IF($A56="","",COUNTIFS(액션아이템!$D$3:$D$1002,$A56,액션아이템!$H$3:$H$1002,"&lt;0"))</f>
        <v/>
      </c>
      <c r="G56" s="65" t="str">
        <f>IF($A56="","",IF($C56=0,"",$E56/$C56))</f>
        <v/>
      </c>
    </row>
    <row r="57" ht="15" customHeight="1" s="41">
      <c r="A57" s="52" t="str">
        <f>IF(구성원목록!$A56="","",구성원목록!$A56)</f>
        <v/>
      </c>
      <c r="B57" s="52" t="str">
        <f>IF($A57="","",구성원목록!$B56)</f>
        <v/>
      </c>
      <c r="C57" s="62" t="str">
        <f>IF($A57="","",COUNTIFS(액션아이템!$D$3:$D$1002,$A57))</f>
        <v/>
      </c>
      <c r="D57" s="62" t="str">
        <f>IF($A57="","",COUNTIFS(액션아이템!$D$3:$D$1002,$A57,액션아이템!$F$3:$F$1002,"진행중"))</f>
        <v/>
      </c>
      <c r="E57" s="62" t="str">
        <f>IF($A57="","",COUNTIFS(액션아이템!$D$3:$D$1002,$A57,액션아이템!$F$3:$F$1002,"완료"))</f>
        <v/>
      </c>
      <c r="F57" s="62" t="str">
        <f>IF($A57="","",COUNTIFS(액션아이템!$D$3:$D$1002,$A57,액션아이템!$H$3:$H$1002,"&lt;0"))</f>
        <v/>
      </c>
      <c r="G57" s="65" t="str">
        <f>IF($A57="","",IF($C57=0,"",$E57/$C57))</f>
        <v/>
      </c>
    </row>
    <row r="58" ht="15" customHeight="1" s="41">
      <c r="A58" s="52" t="str">
        <f>IF(구성원목록!$A57="","",구성원목록!$A57)</f>
        <v/>
      </c>
      <c r="B58" s="52" t="str">
        <f>IF($A58="","",구성원목록!$B57)</f>
        <v/>
      </c>
      <c r="C58" s="62" t="str">
        <f>IF($A58="","",COUNTIFS(액션아이템!$D$3:$D$1002,$A58))</f>
        <v/>
      </c>
      <c r="D58" s="62" t="str">
        <f>IF($A58="","",COUNTIFS(액션아이템!$D$3:$D$1002,$A58,액션아이템!$F$3:$F$1002,"진행중"))</f>
        <v/>
      </c>
      <c r="E58" s="62" t="str">
        <f>IF($A58="","",COUNTIFS(액션아이템!$D$3:$D$1002,$A58,액션아이템!$F$3:$F$1002,"완료"))</f>
        <v/>
      </c>
      <c r="F58" s="62" t="str">
        <f>IF($A58="","",COUNTIFS(액션아이템!$D$3:$D$1002,$A58,액션아이템!$H$3:$H$1002,"&lt;0"))</f>
        <v/>
      </c>
      <c r="G58" s="65" t="str">
        <f>IF($A58="","",IF($C58=0,"",$E58/$C58))</f>
        <v/>
      </c>
    </row>
    <row r="59" ht="15" customHeight="1" s="41">
      <c r="A59" s="52" t="str">
        <f>IF(구성원목록!$A58="","",구성원목록!$A58)</f>
        <v/>
      </c>
      <c r="B59" s="52" t="str">
        <f>IF($A59="","",구성원목록!$B58)</f>
        <v/>
      </c>
      <c r="C59" s="62" t="str">
        <f>IF($A59="","",COUNTIFS(액션아이템!$D$3:$D$1002,$A59))</f>
        <v/>
      </c>
      <c r="D59" s="62" t="str">
        <f>IF($A59="","",COUNTIFS(액션아이템!$D$3:$D$1002,$A59,액션아이템!$F$3:$F$1002,"진행중"))</f>
        <v/>
      </c>
      <c r="E59" s="62" t="str">
        <f>IF($A59="","",COUNTIFS(액션아이템!$D$3:$D$1002,$A59,액션아이템!$F$3:$F$1002,"완료"))</f>
        <v/>
      </c>
      <c r="F59" s="62" t="str">
        <f>IF($A59="","",COUNTIFS(액션아이템!$D$3:$D$1002,$A59,액션아이템!$H$3:$H$1002,"&lt;0"))</f>
        <v/>
      </c>
      <c r="G59" s="65" t="str">
        <f>IF($A59="","",IF($C59=0,"",$E59/$C59))</f>
        <v/>
      </c>
    </row>
    <row r="60" ht="15" customHeight="1" s="41">
      <c r="A60" s="52" t="str">
        <f>IF(구성원목록!$A59="","",구성원목록!$A59)</f>
        <v/>
      </c>
      <c r="B60" s="52" t="str">
        <f>IF($A60="","",구성원목록!$B59)</f>
        <v/>
      </c>
      <c r="C60" s="62" t="str">
        <f>IF($A60="","",COUNTIFS(액션아이템!$D$3:$D$1002,$A60))</f>
        <v/>
      </c>
      <c r="D60" s="62" t="str">
        <f>IF($A60="","",COUNTIFS(액션아이템!$D$3:$D$1002,$A60,액션아이템!$F$3:$F$1002,"진행중"))</f>
        <v/>
      </c>
      <c r="E60" s="62" t="str">
        <f>IF($A60="","",COUNTIFS(액션아이템!$D$3:$D$1002,$A60,액션아이템!$F$3:$F$1002,"완료"))</f>
        <v/>
      </c>
      <c r="F60" s="62" t="str">
        <f>IF($A60="","",COUNTIFS(액션아이템!$D$3:$D$1002,$A60,액션아이템!$H$3:$H$1002,"&lt;0"))</f>
        <v/>
      </c>
      <c r="G60" s="65" t="str">
        <f>IF($A60="","",IF($C60=0,"",$E60/$C60))</f>
        <v/>
      </c>
    </row>
    <row r="61" ht="15" customHeight="1" s="41">
      <c r="A61" s="52" t="str">
        <f>IF(구성원목록!$A60="","",구성원목록!$A60)</f>
        <v/>
      </c>
      <c r="B61" s="52" t="str">
        <f>IF($A61="","",구성원목록!$B60)</f>
        <v/>
      </c>
      <c r="C61" s="62" t="str">
        <f>IF($A61="","",COUNTIFS(액션아이템!$D$3:$D$1002,$A61))</f>
        <v/>
      </c>
      <c r="D61" s="62" t="str">
        <f>IF($A61="","",COUNTIFS(액션아이템!$D$3:$D$1002,$A61,액션아이템!$F$3:$F$1002,"진행중"))</f>
        <v/>
      </c>
      <c r="E61" s="62" t="str">
        <f>IF($A61="","",COUNTIFS(액션아이템!$D$3:$D$1002,$A61,액션아이템!$F$3:$F$1002,"완료"))</f>
        <v/>
      </c>
      <c r="F61" s="62" t="str">
        <f>IF($A61="","",COUNTIFS(액션아이템!$D$3:$D$1002,$A61,액션아이템!$H$3:$H$1002,"&lt;0"))</f>
        <v/>
      </c>
      <c r="G61" s="65" t="str">
        <f>IF($A61="","",IF($C61=0,"",$E61/$C61))</f>
        <v/>
      </c>
    </row>
    <row r="62" ht="15" customHeight="1" s="41">
      <c r="A62" s="52" t="str">
        <f>IF(구성원목록!$A61="","",구성원목록!$A61)</f>
        <v/>
      </c>
      <c r="B62" s="52" t="str">
        <f>IF($A62="","",구성원목록!$B61)</f>
        <v/>
      </c>
      <c r="C62" s="62" t="str">
        <f>IF($A62="","",COUNTIFS(액션아이템!$D$3:$D$1002,$A62))</f>
        <v/>
      </c>
      <c r="D62" s="62" t="str">
        <f>IF($A62="","",COUNTIFS(액션아이템!$D$3:$D$1002,$A62,액션아이템!$F$3:$F$1002,"진행중"))</f>
        <v/>
      </c>
      <c r="E62" s="62" t="str">
        <f>IF($A62="","",COUNTIFS(액션아이템!$D$3:$D$1002,$A62,액션아이템!$F$3:$F$1002,"완료"))</f>
        <v/>
      </c>
      <c r="F62" s="62" t="str">
        <f>IF($A62="","",COUNTIFS(액션아이템!$D$3:$D$1002,$A62,액션아이템!$H$3:$H$1002,"&lt;0"))</f>
        <v/>
      </c>
      <c r="G62" s="65" t="str">
        <f>IF($A62="","",IF($C62=0,"",$E62/$C62))</f>
        <v/>
      </c>
    </row>
    <row r="63" ht="15" customHeight="1" s="41">
      <c r="A63" s="52" t="str">
        <f>IF(구성원목록!$A62="","",구성원목록!$A62)</f>
        <v/>
      </c>
      <c r="B63" s="52" t="str">
        <f>IF($A63="","",구성원목록!$B62)</f>
        <v/>
      </c>
      <c r="C63" s="62" t="str">
        <f>IF($A63="","",COUNTIFS(액션아이템!$D$3:$D$1002,$A63))</f>
        <v/>
      </c>
      <c r="D63" s="62" t="str">
        <f>IF($A63="","",COUNTIFS(액션아이템!$D$3:$D$1002,$A63,액션아이템!$F$3:$F$1002,"진행중"))</f>
        <v/>
      </c>
      <c r="E63" s="62" t="str">
        <f>IF($A63="","",COUNTIFS(액션아이템!$D$3:$D$1002,$A63,액션아이템!$F$3:$F$1002,"완료"))</f>
        <v/>
      </c>
      <c r="F63" s="62" t="str">
        <f>IF($A63="","",COUNTIFS(액션아이템!$D$3:$D$1002,$A63,액션아이템!$H$3:$H$1002,"&lt;0"))</f>
        <v/>
      </c>
      <c r="G63" s="65" t="str">
        <f>IF($A63="","",IF($C63=0,"",$E63/$C63))</f>
        <v/>
      </c>
    </row>
    <row r="64" ht="15" customHeight="1" s="41">
      <c r="A64" s="52" t="str">
        <f>IF(구성원목록!$A63="","",구성원목록!$A63)</f>
        <v/>
      </c>
      <c r="B64" s="52" t="str">
        <f>IF($A64="","",구성원목록!$B63)</f>
        <v/>
      </c>
      <c r="C64" s="62" t="str">
        <f>IF($A64="","",COUNTIFS(액션아이템!$D$3:$D$1002,$A64))</f>
        <v/>
      </c>
      <c r="D64" s="62" t="str">
        <f>IF($A64="","",COUNTIFS(액션아이템!$D$3:$D$1002,$A64,액션아이템!$F$3:$F$1002,"진행중"))</f>
        <v/>
      </c>
      <c r="E64" s="62" t="str">
        <f>IF($A64="","",COUNTIFS(액션아이템!$D$3:$D$1002,$A64,액션아이템!$F$3:$F$1002,"완료"))</f>
        <v/>
      </c>
      <c r="F64" s="62" t="str">
        <f>IF($A64="","",COUNTIFS(액션아이템!$D$3:$D$1002,$A64,액션아이템!$H$3:$H$1002,"&lt;0"))</f>
        <v/>
      </c>
      <c r="G64" s="65" t="str">
        <f>IF($A64="","",IF($C64=0,"",$E64/$C64))</f>
        <v/>
      </c>
    </row>
    <row r="65" ht="15" customHeight="1" s="41">
      <c r="A65" s="52" t="str">
        <f>IF(구성원목록!$A64="","",구성원목록!$A64)</f>
        <v/>
      </c>
      <c r="B65" s="52" t="str">
        <f>IF($A65="","",구성원목록!$B64)</f>
        <v/>
      </c>
      <c r="C65" s="62" t="str">
        <f>IF($A65="","",COUNTIFS(액션아이템!$D$3:$D$1002,$A65))</f>
        <v/>
      </c>
      <c r="D65" s="62" t="str">
        <f>IF($A65="","",COUNTIFS(액션아이템!$D$3:$D$1002,$A65,액션아이템!$F$3:$F$1002,"진행중"))</f>
        <v/>
      </c>
      <c r="E65" s="62" t="str">
        <f>IF($A65="","",COUNTIFS(액션아이템!$D$3:$D$1002,$A65,액션아이템!$F$3:$F$1002,"완료"))</f>
        <v/>
      </c>
      <c r="F65" s="62" t="str">
        <f>IF($A65="","",COUNTIFS(액션아이템!$D$3:$D$1002,$A65,액션아이템!$H$3:$H$1002,"&lt;0"))</f>
        <v/>
      </c>
      <c r="G65" s="65" t="str">
        <f>IF($A65="","",IF($C65=0,"",$E65/$C65))</f>
        <v/>
      </c>
    </row>
    <row r="66" ht="15" customHeight="1" s="41">
      <c r="A66" s="52" t="str">
        <f>IF(구성원목록!$A65="","",구성원목록!$A65)</f>
        <v/>
      </c>
      <c r="B66" s="52" t="str">
        <f>IF($A66="","",구성원목록!$B65)</f>
        <v/>
      </c>
      <c r="C66" s="62" t="str">
        <f>IF($A66="","",COUNTIFS(액션아이템!$D$3:$D$1002,$A66))</f>
        <v/>
      </c>
      <c r="D66" s="62" t="str">
        <f>IF($A66="","",COUNTIFS(액션아이템!$D$3:$D$1002,$A66,액션아이템!$F$3:$F$1002,"진행중"))</f>
        <v/>
      </c>
      <c r="E66" s="62" t="str">
        <f>IF($A66="","",COUNTIFS(액션아이템!$D$3:$D$1002,$A66,액션아이템!$F$3:$F$1002,"완료"))</f>
        <v/>
      </c>
      <c r="F66" s="62" t="str">
        <f>IF($A66="","",COUNTIFS(액션아이템!$D$3:$D$1002,$A66,액션아이템!$H$3:$H$1002,"&lt;0"))</f>
        <v/>
      </c>
      <c r="G66" s="65" t="str">
        <f>IF($A66="","",IF($C66=0,"",$E66/$C66))</f>
        <v/>
      </c>
    </row>
    <row r="67" ht="15" customHeight="1" s="41">
      <c r="A67" s="52" t="str">
        <f>IF(구성원목록!$A66="","",구성원목록!$A66)</f>
        <v/>
      </c>
      <c r="B67" s="52" t="str">
        <f>IF($A67="","",구성원목록!$B66)</f>
        <v/>
      </c>
      <c r="C67" s="62" t="str">
        <f>IF($A67="","",COUNTIFS(액션아이템!$D$3:$D$1002,$A67))</f>
        <v/>
      </c>
      <c r="D67" s="62" t="str">
        <f>IF($A67="","",COUNTIFS(액션아이템!$D$3:$D$1002,$A67,액션아이템!$F$3:$F$1002,"진행중"))</f>
        <v/>
      </c>
      <c r="E67" s="62" t="str">
        <f>IF($A67="","",COUNTIFS(액션아이템!$D$3:$D$1002,$A67,액션아이템!$F$3:$F$1002,"완료"))</f>
        <v/>
      </c>
      <c r="F67" s="62" t="str">
        <f>IF($A67="","",COUNTIFS(액션아이템!$D$3:$D$1002,$A67,액션아이템!$H$3:$H$1002,"&lt;0"))</f>
        <v/>
      </c>
      <c r="G67" s="65" t="str">
        <f>IF($A67="","",IF($C67=0,"",$E67/$C67))</f>
        <v/>
      </c>
    </row>
    <row r="68" ht="15" customHeight="1" s="41">
      <c r="A68" s="52" t="str">
        <f>IF(구성원목록!$A67="","",구성원목록!$A67)</f>
        <v/>
      </c>
      <c r="B68" s="52" t="str">
        <f>IF($A68="","",구성원목록!$B67)</f>
        <v/>
      </c>
      <c r="C68" s="62" t="str">
        <f>IF($A68="","",COUNTIFS(액션아이템!$D$3:$D$1002,$A68))</f>
        <v/>
      </c>
      <c r="D68" s="62" t="str">
        <f>IF($A68="","",COUNTIFS(액션아이템!$D$3:$D$1002,$A68,액션아이템!$F$3:$F$1002,"진행중"))</f>
        <v/>
      </c>
      <c r="E68" s="62" t="str">
        <f>IF($A68="","",COUNTIFS(액션아이템!$D$3:$D$1002,$A68,액션아이템!$F$3:$F$1002,"완료"))</f>
        <v/>
      </c>
      <c r="F68" s="62" t="str">
        <f>IF($A68="","",COUNTIFS(액션아이템!$D$3:$D$1002,$A68,액션아이템!$H$3:$H$1002,"&lt;0"))</f>
        <v/>
      </c>
      <c r="G68" s="65" t="str">
        <f>IF($A68="","",IF($C68=0,"",$E68/$C68))</f>
        <v/>
      </c>
    </row>
    <row r="69" ht="15" customHeight="1" s="41">
      <c r="A69" s="52" t="str">
        <f>IF(구성원목록!$A68="","",구성원목록!$A68)</f>
        <v/>
      </c>
      <c r="B69" s="52" t="str">
        <f>IF($A69="","",구성원목록!$B68)</f>
        <v/>
      </c>
      <c r="C69" s="62" t="str">
        <f>IF($A69="","",COUNTIFS(액션아이템!$D$3:$D$1002,$A69))</f>
        <v/>
      </c>
      <c r="D69" s="62" t="str">
        <f>IF($A69="","",COUNTIFS(액션아이템!$D$3:$D$1002,$A69,액션아이템!$F$3:$F$1002,"진행중"))</f>
        <v/>
      </c>
      <c r="E69" s="62" t="str">
        <f>IF($A69="","",COUNTIFS(액션아이템!$D$3:$D$1002,$A69,액션아이템!$F$3:$F$1002,"완료"))</f>
        <v/>
      </c>
      <c r="F69" s="62" t="str">
        <f>IF($A69="","",COUNTIFS(액션아이템!$D$3:$D$1002,$A69,액션아이템!$H$3:$H$1002,"&lt;0"))</f>
        <v/>
      </c>
      <c r="G69" s="65" t="str">
        <f>IF($A69="","",IF($C69=0,"",$E69/$C69))</f>
        <v/>
      </c>
    </row>
    <row r="70" ht="15" customHeight="1" s="41">
      <c r="A70" s="52" t="str">
        <f>IF(구성원목록!$A69="","",구성원목록!$A69)</f>
        <v/>
      </c>
      <c r="B70" s="52" t="str">
        <f>IF($A70="","",구성원목록!$B69)</f>
        <v/>
      </c>
      <c r="C70" s="62" t="str">
        <f>IF($A70="","",COUNTIFS(액션아이템!$D$3:$D$1002,$A70))</f>
        <v/>
      </c>
      <c r="D70" s="62" t="str">
        <f>IF($A70="","",COUNTIFS(액션아이템!$D$3:$D$1002,$A70,액션아이템!$F$3:$F$1002,"진행중"))</f>
        <v/>
      </c>
      <c r="E70" s="62" t="str">
        <f>IF($A70="","",COUNTIFS(액션아이템!$D$3:$D$1002,$A70,액션아이템!$F$3:$F$1002,"완료"))</f>
        <v/>
      </c>
      <c r="F70" s="62" t="str">
        <f>IF($A70="","",COUNTIFS(액션아이템!$D$3:$D$1002,$A70,액션아이템!$H$3:$H$1002,"&lt;0"))</f>
        <v/>
      </c>
      <c r="G70" s="65" t="str">
        <f>IF($A70="","",IF($C70=0,"",$E70/$C70))</f>
        <v/>
      </c>
    </row>
    <row r="71" ht="15" customHeight="1" s="41">
      <c r="A71" s="52" t="str">
        <f>IF(구성원목록!$A70="","",구성원목록!$A70)</f>
        <v/>
      </c>
      <c r="B71" s="52" t="str">
        <f>IF($A71="","",구성원목록!$B70)</f>
        <v/>
      </c>
      <c r="C71" s="62" t="str">
        <f>IF($A71="","",COUNTIFS(액션아이템!$D$3:$D$1002,$A71))</f>
        <v/>
      </c>
      <c r="D71" s="62" t="str">
        <f>IF($A71="","",COUNTIFS(액션아이템!$D$3:$D$1002,$A71,액션아이템!$F$3:$F$1002,"진행중"))</f>
        <v/>
      </c>
      <c r="E71" s="62" t="str">
        <f>IF($A71="","",COUNTIFS(액션아이템!$D$3:$D$1002,$A71,액션아이템!$F$3:$F$1002,"완료"))</f>
        <v/>
      </c>
      <c r="F71" s="62" t="str">
        <f>IF($A71="","",COUNTIFS(액션아이템!$D$3:$D$1002,$A71,액션아이템!$H$3:$H$1002,"&lt;0"))</f>
        <v/>
      </c>
      <c r="G71" s="65" t="str">
        <f>IF($A71="","",IF($C71=0,"",$E71/$C71))</f>
        <v/>
      </c>
    </row>
    <row r="72" ht="15" customHeight="1" s="41">
      <c r="A72" s="52" t="str">
        <f>IF(구성원목록!$A71="","",구성원목록!$A71)</f>
        <v/>
      </c>
      <c r="B72" s="52" t="str">
        <f>IF($A72="","",구성원목록!$B71)</f>
        <v/>
      </c>
      <c r="C72" s="62" t="str">
        <f>IF($A72="","",COUNTIFS(액션아이템!$D$3:$D$1002,$A72))</f>
        <v/>
      </c>
      <c r="D72" s="62" t="str">
        <f>IF($A72="","",COUNTIFS(액션아이템!$D$3:$D$1002,$A72,액션아이템!$F$3:$F$1002,"진행중"))</f>
        <v/>
      </c>
      <c r="E72" s="62" t="str">
        <f>IF($A72="","",COUNTIFS(액션아이템!$D$3:$D$1002,$A72,액션아이템!$F$3:$F$1002,"완료"))</f>
        <v/>
      </c>
      <c r="F72" s="62" t="str">
        <f>IF($A72="","",COUNTIFS(액션아이템!$D$3:$D$1002,$A72,액션아이템!$H$3:$H$1002,"&lt;0"))</f>
        <v/>
      </c>
      <c r="G72" s="65" t="str">
        <f>IF($A72="","",IF($C72=0,"",$E72/$C72))</f>
        <v/>
      </c>
    </row>
    <row r="73" ht="15" customHeight="1" s="41">
      <c r="A73" s="52" t="str">
        <f>IF(구성원목록!$A72="","",구성원목록!$A72)</f>
        <v/>
      </c>
      <c r="B73" s="52" t="str">
        <f>IF($A73="","",구성원목록!$B72)</f>
        <v/>
      </c>
      <c r="C73" s="62" t="str">
        <f>IF($A73="","",COUNTIFS(액션아이템!$D$3:$D$1002,$A73))</f>
        <v/>
      </c>
      <c r="D73" s="62" t="str">
        <f>IF($A73="","",COUNTIFS(액션아이템!$D$3:$D$1002,$A73,액션아이템!$F$3:$F$1002,"진행중"))</f>
        <v/>
      </c>
      <c r="E73" s="62" t="str">
        <f>IF($A73="","",COUNTIFS(액션아이템!$D$3:$D$1002,$A73,액션아이템!$F$3:$F$1002,"완료"))</f>
        <v/>
      </c>
      <c r="F73" s="62" t="str">
        <f>IF($A73="","",COUNTIFS(액션아이템!$D$3:$D$1002,$A73,액션아이템!$H$3:$H$1002,"&lt;0"))</f>
        <v/>
      </c>
      <c r="G73" s="65" t="str">
        <f>IF($A73="","",IF($C73=0,"",$E73/$C73))</f>
        <v/>
      </c>
    </row>
    <row r="74" ht="15" customHeight="1" s="41">
      <c r="A74" s="52" t="str">
        <f>IF(구성원목록!$A73="","",구성원목록!$A73)</f>
        <v/>
      </c>
      <c r="B74" s="52" t="str">
        <f>IF($A74="","",구성원목록!$B73)</f>
        <v/>
      </c>
      <c r="C74" s="62" t="str">
        <f>IF($A74="","",COUNTIFS(액션아이템!$D$3:$D$1002,$A74))</f>
        <v/>
      </c>
      <c r="D74" s="62" t="str">
        <f>IF($A74="","",COUNTIFS(액션아이템!$D$3:$D$1002,$A74,액션아이템!$F$3:$F$1002,"진행중"))</f>
        <v/>
      </c>
      <c r="E74" s="62" t="str">
        <f>IF($A74="","",COUNTIFS(액션아이템!$D$3:$D$1002,$A74,액션아이템!$F$3:$F$1002,"완료"))</f>
        <v/>
      </c>
      <c r="F74" s="62" t="str">
        <f>IF($A74="","",COUNTIFS(액션아이템!$D$3:$D$1002,$A74,액션아이템!$H$3:$H$1002,"&lt;0"))</f>
        <v/>
      </c>
      <c r="G74" s="65" t="str">
        <f>IF($A74="","",IF($C74=0,"",$E74/$C74))</f>
        <v/>
      </c>
    </row>
    <row r="75" ht="15" customHeight="1" s="41">
      <c r="A75" s="52" t="str">
        <f>IF(구성원목록!$A74="","",구성원목록!$A74)</f>
        <v/>
      </c>
      <c r="B75" s="52" t="str">
        <f>IF($A75="","",구성원목록!$B74)</f>
        <v/>
      </c>
      <c r="C75" s="62" t="str">
        <f>IF($A75="","",COUNTIFS(액션아이템!$D$3:$D$1002,$A75))</f>
        <v/>
      </c>
      <c r="D75" s="62" t="str">
        <f>IF($A75="","",COUNTIFS(액션아이템!$D$3:$D$1002,$A75,액션아이템!$F$3:$F$1002,"진행중"))</f>
        <v/>
      </c>
      <c r="E75" s="62" t="str">
        <f>IF($A75="","",COUNTIFS(액션아이템!$D$3:$D$1002,$A75,액션아이템!$F$3:$F$1002,"완료"))</f>
        <v/>
      </c>
      <c r="F75" s="62" t="str">
        <f>IF($A75="","",COUNTIFS(액션아이템!$D$3:$D$1002,$A75,액션아이템!$H$3:$H$1002,"&lt;0"))</f>
        <v/>
      </c>
      <c r="G75" s="65" t="str">
        <f>IF($A75="","",IF($C75=0,"",$E75/$C75))</f>
        <v/>
      </c>
    </row>
    <row r="76" ht="15" customHeight="1" s="41">
      <c r="A76" s="52" t="str">
        <f>IF(구성원목록!$A75="","",구성원목록!$A75)</f>
        <v/>
      </c>
      <c r="B76" s="52" t="str">
        <f>IF($A76="","",구성원목록!$B75)</f>
        <v/>
      </c>
      <c r="C76" s="62" t="str">
        <f>IF($A76="","",COUNTIFS(액션아이템!$D$3:$D$1002,$A76))</f>
        <v/>
      </c>
      <c r="D76" s="62" t="str">
        <f>IF($A76="","",COUNTIFS(액션아이템!$D$3:$D$1002,$A76,액션아이템!$F$3:$F$1002,"진행중"))</f>
        <v/>
      </c>
      <c r="E76" s="62" t="str">
        <f>IF($A76="","",COUNTIFS(액션아이템!$D$3:$D$1002,$A76,액션아이템!$F$3:$F$1002,"완료"))</f>
        <v/>
      </c>
      <c r="F76" s="62" t="str">
        <f>IF($A76="","",COUNTIFS(액션아이템!$D$3:$D$1002,$A76,액션아이템!$H$3:$H$1002,"&lt;0"))</f>
        <v/>
      </c>
      <c r="G76" s="65" t="str">
        <f>IF($A76="","",IF($C76=0,"",$E76/$C76))</f>
        <v/>
      </c>
    </row>
    <row r="77" ht="15" customHeight="1" s="41">
      <c r="A77" s="52" t="str">
        <f>IF(구성원목록!$A76="","",구성원목록!$A76)</f>
        <v/>
      </c>
      <c r="B77" s="52" t="str">
        <f>IF($A77="","",구성원목록!$B76)</f>
        <v/>
      </c>
      <c r="C77" s="62" t="str">
        <f>IF($A77="","",COUNTIFS(액션아이템!$D$3:$D$1002,$A77))</f>
        <v/>
      </c>
      <c r="D77" s="62" t="str">
        <f>IF($A77="","",COUNTIFS(액션아이템!$D$3:$D$1002,$A77,액션아이템!$F$3:$F$1002,"진행중"))</f>
        <v/>
      </c>
      <c r="E77" s="62" t="str">
        <f>IF($A77="","",COUNTIFS(액션아이템!$D$3:$D$1002,$A77,액션아이템!$F$3:$F$1002,"완료"))</f>
        <v/>
      </c>
      <c r="F77" s="62" t="str">
        <f>IF($A77="","",COUNTIFS(액션아이템!$D$3:$D$1002,$A77,액션아이템!$H$3:$H$1002,"&lt;0"))</f>
        <v/>
      </c>
      <c r="G77" s="65" t="str">
        <f>IF($A77="","",IF($C77=0,"",$E77/$C77))</f>
        <v/>
      </c>
    </row>
    <row r="78" ht="15" customHeight="1" s="41">
      <c r="A78" s="52" t="str">
        <f>IF(구성원목록!$A77="","",구성원목록!$A77)</f>
        <v/>
      </c>
      <c r="B78" s="52" t="str">
        <f>IF($A78="","",구성원목록!$B77)</f>
        <v/>
      </c>
      <c r="C78" s="62" t="str">
        <f>IF($A78="","",COUNTIFS(액션아이템!$D$3:$D$1002,$A78))</f>
        <v/>
      </c>
      <c r="D78" s="62" t="str">
        <f>IF($A78="","",COUNTIFS(액션아이템!$D$3:$D$1002,$A78,액션아이템!$F$3:$F$1002,"진행중"))</f>
        <v/>
      </c>
      <c r="E78" s="62" t="str">
        <f>IF($A78="","",COUNTIFS(액션아이템!$D$3:$D$1002,$A78,액션아이템!$F$3:$F$1002,"완료"))</f>
        <v/>
      </c>
      <c r="F78" s="62" t="str">
        <f>IF($A78="","",COUNTIFS(액션아이템!$D$3:$D$1002,$A78,액션아이템!$H$3:$H$1002,"&lt;0"))</f>
        <v/>
      </c>
      <c r="G78" s="65" t="str">
        <f>IF($A78="","",IF($C78=0,"",$E78/$C78))</f>
        <v/>
      </c>
    </row>
    <row r="79" ht="15" customHeight="1" s="41">
      <c r="A79" s="52" t="str">
        <f>IF(구성원목록!$A78="","",구성원목록!$A78)</f>
        <v/>
      </c>
      <c r="B79" s="52" t="str">
        <f>IF($A79="","",구성원목록!$B78)</f>
        <v/>
      </c>
      <c r="C79" s="62" t="str">
        <f>IF($A79="","",COUNTIFS(액션아이템!$D$3:$D$1002,$A79))</f>
        <v/>
      </c>
      <c r="D79" s="62" t="str">
        <f>IF($A79="","",COUNTIFS(액션아이템!$D$3:$D$1002,$A79,액션아이템!$F$3:$F$1002,"진행중"))</f>
        <v/>
      </c>
      <c r="E79" s="62" t="str">
        <f>IF($A79="","",COUNTIFS(액션아이템!$D$3:$D$1002,$A79,액션아이템!$F$3:$F$1002,"완료"))</f>
        <v/>
      </c>
      <c r="F79" s="62" t="str">
        <f>IF($A79="","",COUNTIFS(액션아이템!$D$3:$D$1002,$A79,액션아이템!$H$3:$H$1002,"&lt;0"))</f>
        <v/>
      </c>
      <c r="G79" s="65" t="str">
        <f>IF($A79="","",IF($C79=0,"",$E79/$C79))</f>
        <v/>
      </c>
    </row>
    <row r="80" ht="15" customHeight="1" s="41">
      <c r="A80" s="52" t="str">
        <f>IF(구성원목록!$A79="","",구성원목록!$A79)</f>
        <v/>
      </c>
      <c r="B80" s="52" t="str">
        <f>IF($A80="","",구성원목록!$B79)</f>
        <v/>
      </c>
      <c r="C80" s="62" t="str">
        <f>IF($A80="","",COUNTIFS(액션아이템!$D$3:$D$1002,$A80))</f>
        <v/>
      </c>
      <c r="D80" s="62" t="str">
        <f>IF($A80="","",COUNTIFS(액션아이템!$D$3:$D$1002,$A80,액션아이템!$F$3:$F$1002,"진행중"))</f>
        <v/>
      </c>
      <c r="E80" s="62" t="str">
        <f>IF($A80="","",COUNTIFS(액션아이템!$D$3:$D$1002,$A80,액션아이템!$F$3:$F$1002,"완료"))</f>
        <v/>
      </c>
      <c r="F80" s="62" t="str">
        <f>IF($A80="","",COUNTIFS(액션아이템!$D$3:$D$1002,$A80,액션아이템!$H$3:$H$1002,"&lt;0"))</f>
        <v/>
      </c>
      <c r="G80" s="65" t="str">
        <f>IF($A80="","",IF($C80=0,"",$E80/$C80))</f>
        <v/>
      </c>
    </row>
    <row r="81" ht="15" customHeight="1" s="41">
      <c r="A81" s="52" t="str">
        <f>IF(구성원목록!$A80="","",구성원목록!$A80)</f>
        <v/>
      </c>
      <c r="B81" s="52" t="str">
        <f>IF($A81="","",구성원목록!$B80)</f>
        <v/>
      </c>
      <c r="C81" s="62" t="str">
        <f>IF($A81="","",COUNTIFS(액션아이템!$D$3:$D$1002,$A81))</f>
        <v/>
      </c>
      <c r="D81" s="62" t="str">
        <f>IF($A81="","",COUNTIFS(액션아이템!$D$3:$D$1002,$A81,액션아이템!$F$3:$F$1002,"진행중"))</f>
        <v/>
      </c>
      <c r="E81" s="62" t="str">
        <f>IF($A81="","",COUNTIFS(액션아이템!$D$3:$D$1002,$A81,액션아이템!$F$3:$F$1002,"완료"))</f>
        <v/>
      </c>
      <c r="F81" s="62" t="str">
        <f>IF($A81="","",COUNTIFS(액션아이템!$D$3:$D$1002,$A81,액션아이템!$H$3:$H$1002,"&lt;0"))</f>
        <v/>
      </c>
      <c r="G81" s="65" t="str">
        <f>IF($A81="","",IF($C81=0,"",$E81/$C81))</f>
        <v/>
      </c>
    </row>
    <row r="82" ht="15" customHeight="1" s="41">
      <c r="A82" s="52" t="str">
        <f>IF(구성원목록!$A81="","",구성원목록!$A81)</f>
        <v/>
      </c>
      <c r="B82" s="52" t="str">
        <f>IF($A82="","",구성원목록!$B81)</f>
        <v/>
      </c>
      <c r="C82" s="62" t="str">
        <f>IF($A82="","",COUNTIFS(액션아이템!$D$3:$D$1002,$A82))</f>
        <v/>
      </c>
      <c r="D82" s="62" t="str">
        <f>IF($A82="","",COUNTIFS(액션아이템!$D$3:$D$1002,$A82,액션아이템!$F$3:$F$1002,"진행중"))</f>
        <v/>
      </c>
      <c r="E82" s="62" t="str">
        <f>IF($A82="","",COUNTIFS(액션아이템!$D$3:$D$1002,$A82,액션아이템!$F$3:$F$1002,"완료"))</f>
        <v/>
      </c>
      <c r="F82" s="62" t="str">
        <f>IF($A82="","",COUNTIFS(액션아이템!$D$3:$D$1002,$A82,액션아이템!$H$3:$H$1002,"&lt;0"))</f>
        <v/>
      </c>
      <c r="G82" s="65" t="str">
        <f>IF($A82="","",IF($C82=0,"",$E82/$C82))</f>
        <v/>
      </c>
    </row>
    <row r="83" ht="15" customHeight="1" s="41">
      <c r="A83" s="52" t="str">
        <f>IF(구성원목록!$A82="","",구성원목록!$A82)</f>
        <v/>
      </c>
      <c r="B83" s="52" t="str">
        <f>IF($A83="","",구성원목록!$B82)</f>
        <v/>
      </c>
      <c r="C83" s="62" t="str">
        <f>IF($A83="","",COUNTIFS(액션아이템!$D$3:$D$1002,$A83))</f>
        <v/>
      </c>
      <c r="D83" s="62" t="str">
        <f>IF($A83="","",COUNTIFS(액션아이템!$D$3:$D$1002,$A83,액션아이템!$F$3:$F$1002,"진행중"))</f>
        <v/>
      </c>
      <c r="E83" s="62" t="str">
        <f>IF($A83="","",COUNTIFS(액션아이템!$D$3:$D$1002,$A83,액션아이템!$F$3:$F$1002,"완료"))</f>
        <v/>
      </c>
      <c r="F83" s="62" t="str">
        <f>IF($A83="","",COUNTIFS(액션아이템!$D$3:$D$1002,$A83,액션아이템!$H$3:$H$1002,"&lt;0"))</f>
        <v/>
      </c>
      <c r="G83" s="65" t="str">
        <f>IF($A83="","",IF($C83=0,"",$E83/$C83))</f>
        <v/>
      </c>
    </row>
    <row r="84" ht="15" customHeight="1" s="41">
      <c r="A84" s="52" t="str">
        <f>IF(구성원목록!$A83="","",구성원목록!$A83)</f>
        <v/>
      </c>
      <c r="B84" s="52" t="str">
        <f>IF($A84="","",구성원목록!$B83)</f>
        <v/>
      </c>
      <c r="C84" s="62" t="str">
        <f>IF($A84="","",COUNTIFS(액션아이템!$D$3:$D$1002,$A84))</f>
        <v/>
      </c>
      <c r="D84" s="62" t="str">
        <f>IF($A84="","",COUNTIFS(액션아이템!$D$3:$D$1002,$A84,액션아이템!$F$3:$F$1002,"진행중"))</f>
        <v/>
      </c>
      <c r="E84" s="62" t="str">
        <f>IF($A84="","",COUNTIFS(액션아이템!$D$3:$D$1002,$A84,액션아이템!$F$3:$F$1002,"완료"))</f>
        <v/>
      </c>
      <c r="F84" s="62" t="str">
        <f>IF($A84="","",COUNTIFS(액션아이템!$D$3:$D$1002,$A84,액션아이템!$H$3:$H$1002,"&lt;0"))</f>
        <v/>
      </c>
      <c r="G84" s="65" t="str">
        <f>IF($A84="","",IF($C84=0,"",$E84/$C84))</f>
        <v/>
      </c>
    </row>
    <row r="85" ht="15" customHeight="1" s="41">
      <c r="A85" s="52" t="str">
        <f>IF(구성원목록!$A84="","",구성원목록!$A84)</f>
        <v/>
      </c>
      <c r="B85" s="52" t="str">
        <f>IF($A85="","",구성원목록!$B84)</f>
        <v/>
      </c>
      <c r="C85" s="62" t="str">
        <f>IF($A85="","",COUNTIFS(액션아이템!$D$3:$D$1002,$A85))</f>
        <v/>
      </c>
      <c r="D85" s="62" t="str">
        <f>IF($A85="","",COUNTIFS(액션아이템!$D$3:$D$1002,$A85,액션아이템!$F$3:$F$1002,"진행중"))</f>
        <v/>
      </c>
      <c r="E85" s="62" t="str">
        <f>IF($A85="","",COUNTIFS(액션아이템!$D$3:$D$1002,$A85,액션아이템!$F$3:$F$1002,"완료"))</f>
        <v/>
      </c>
      <c r="F85" s="62" t="str">
        <f>IF($A85="","",COUNTIFS(액션아이템!$D$3:$D$1002,$A85,액션아이템!$H$3:$H$1002,"&lt;0"))</f>
        <v/>
      </c>
      <c r="G85" s="65" t="str">
        <f>IF($A85="","",IF($C85=0,"",$E85/$C85))</f>
        <v/>
      </c>
    </row>
    <row r="86" ht="15" customHeight="1" s="41">
      <c r="A86" s="52" t="str">
        <f>IF(구성원목록!$A85="","",구성원목록!$A85)</f>
        <v/>
      </c>
      <c r="B86" s="52" t="str">
        <f>IF($A86="","",구성원목록!$B85)</f>
        <v/>
      </c>
      <c r="C86" s="62" t="str">
        <f>IF($A86="","",COUNTIFS(액션아이템!$D$3:$D$1002,$A86))</f>
        <v/>
      </c>
      <c r="D86" s="62" t="str">
        <f>IF($A86="","",COUNTIFS(액션아이템!$D$3:$D$1002,$A86,액션아이템!$F$3:$F$1002,"진행중"))</f>
        <v/>
      </c>
      <c r="E86" s="62" t="str">
        <f>IF($A86="","",COUNTIFS(액션아이템!$D$3:$D$1002,$A86,액션아이템!$F$3:$F$1002,"완료"))</f>
        <v/>
      </c>
      <c r="F86" s="62" t="str">
        <f>IF($A86="","",COUNTIFS(액션아이템!$D$3:$D$1002,$A86,액션아이템!$H$3:$H$1002,"&lt;0"))</f>
        <v/>
      </c>
      <c r="G86" s="65" t="str">
        <f>IF($A86="","",IF($C86=0,"",$E86/$C86))</f>
        <v/>
      </c>
    </row>
    <row r="87" ht="15" customHeight="1" s="41">
      <c r="A87" s="52" t="str">
        <f>IF(구성원목록!$A86="","",구성원목록!$A86)</f>
        <v/>
      </c>
      <c r="B87" s="52" t="str">
        <f>IF($A87="","",구성원목록!$B86)</f>
        <v/>
      </c>
      <c r="C87" s="62" t="str">
        <f>IF($A87="","",COUNTIFS(액션아이템!$D$3:$D$1002,$A87))</f>
        <v/>
      </c>
      <c r="D87" s="62" t="str">
        <f>IF($A87="","",COUNTIFS(액션아이템!$D$3:$D$1002,$A87,액션아이템!$F$3:$F$1002,"진행중"))</f>
        <v/>
      </c>
      <c r="E87" s="62" t="str">
        <f>IF($A87="","",COUNTIFS(액션아이템!$D$3:$D$1002,$A87,액션아이템!$F$3:$F$1002,"완료"))</f>
        <v/>
      </c>
      <c r="F87" s="62" t="str">
        <f>IF($A87="","",COUNTIFS(액션아이템!$D$3:$D$1002,$A87,액션아이템!$H$3:$H$1002,"&lt;0"))</f>
        <v/>
      </c>
      <c r="G87" s="65" t="str">
        <f>IF($A87="","",IF($C87=0,"",$E87/$C87))</f>
        <v/>
      </c>
    </row>
    <row r="88" ht="15" customHeight="1" s="41">
      <c r="A88" s="52" t="str">
        <f>IF(구성원목록!$A87="","",구성원목록!$A87)</f>
        <v/>
      </c>
      <c r="B88" s="52" t="str">
        <f>IF($A88="","",구성원목록!$B87)</f>
        <v/>
      </c>
      <c r="C88" s="62" t="str">
        <f>IF($A88="","",COUNTIFS(액션아이템!$D$3:$D$1002,$A88))</f>
        <v/>
      </c>
      <c r="D88" s="62" t="str">
        <f>IF($A88="","",COUNTIFS(액션아이템!$D$3:$D$1002,$A88,액션아이템!$F$3:$F$1002,"진행중"))</f>
        <v/>
      </c>
      <c r="E88" s="62" t="str">
        <f>IF($A88="","",COUNTIFS(액션아이템!$D$3:$D$1002,$A88,액션아이템!$F$3:$F$1002,"완료"))</f>
        <v/>
      </c>
      <c r="F88" s="62" t="str">
        <f>IF($A88="","",COUNTIFS(액션아이템!$D$3:$D$1002,$A88,액션아이템!$H$3:$H$1002,"&lt;0"))</f>
        <v/>
      </c>
      <c r="G88" s="65" t="str">
        <f>IF($A88="","",IF($C88=0,"",$E88/$C88))</f>
        <v/>
      </c>
    </row>
    <row r="89" ht="15" customHeight="1" s="41">
      <c r="A89" s="52" t="str">
        <f>IF(구성원목록!$A88="","",구성원목록!$A88)</f>
        <v/>
      </c>
      <c r="B89" s="52" t="str">
        <f>IF($A89="","",구성원목록!$B88)</f>
        <v/>
      </c>
      <c r="C89" s="62" t="str">
        <f>IF($A89="","",COUNTIFS(액션아이템!$D$3:$D$1002,$A89))</f>
        <v/>
      </c>
      <c r="D89" s="62" t="str">
        <f>IF($A89="","",COUNTIFS(액션아이템!$D$3:$D$1002,$A89,액션아이템!$F$3:$F$1002,"진행중"))</f>
        <v/>
      </c>
      <c r="E89" s="62" t="str">
        <f>IF($A89="","",COUNTIFS(액션아이템!$D$3:$D$1002,$A89,액션아이템!$F$3:$F$1002,"완료"))</f>
        <v/>
      </c>
      <c r="F89" s="62" t="str">
        <f>IF($A89="","",COUNTIFS(액션아이템!$D$3:$D$1002,$A89,액션아이템!$H$3:$H$1002,"&lt;0"))</f>
        <v/>
      </c>
      <c r="G89" s="65" t="str">
        <f>IF($A89="","",IF($C89=0,"",$E89/$C89))</f>
        <v/>
      </c>
    </row>
    <row r="90" ht="15" customHeight="1" s="41">
      <c r="A90" s="52" t="str">
        <f>IF(구성원목록!$A89="","",구성원목록!$A89)</f>
        <v/>
      </c>
      <c r="B90" s="52" t="str">
        <f>IF($A90="","",구성원목록!$B89)</f>
        <v/>
      </c>
      <c r="C90" s="62" t="str">
        <f>IF($A90="","",COUNTIFS(액션아이템!$D$3:$D$1002,$A90))</f>
        <v/>
      </c>
      <c r="D90" s="62" t="str">
        <f>IF($A90="","",COUNTIFS(액션아이템!$D$3:$D$1002,$A90,액션아이템!$F$3:$F$1002,"진행중"))</f>
        <v/>
      </c>
      <c r="E90" s="62" t="str">
        <f>IF($A90="","",COUNTIFS(액션아이템!$D$3:$D$1002,$A90,액션아이템!$F$3:$F$1002,"완료"))</f>
        <v/>
      </c>
      <c r="F90" s="62" t="str">
        <f>IF($A90="","",COUNTIFS(액션아이템!$D$3:$D$1002,$A90,액션아이템!$H$3:$H$1002,"&lt;0"))</f>
        <v/>
      </c>
      <c r="G90" s="65" t="str">
        <f>IF($A90="","",IF($C90=0,"",$E90/$C90))</f>
        <v/>
      </c>
    </row>
    <row r="91" ht="15" customHeight="1" s="41">
      <c r="A91" s="52" t="str">
        <f>IF(구성원목록!$A90="","",구성원목록!$A90)</f>
        <v/>
      </c>
      <c r="B91" s="52" t="str">
        <f>IF($A91="","",구성원목록!$B90)</f>
        <v/>
      </c>
      <c r="C91" s="62" t="str">
        <f>IF($A91="","",COUNTIFS(액션아이템!$D$3:$D$1002,$A91))</f>
        <v/>
      </c>
      <c r="D91" s="62" t="str">
        <f>IF($A91="","",COUNTIFS(액션아이템!$D$3:$D$1002,$A91,액션아이템!$F$3:$F$1002,"진행중"))</f>
        <v/>
      </c>
      <c r="E91" s="62" t="str">
        <f>IF($A91="","",COUNTIFS(액션아이템!$D$3:$D$1002,$A91,액션아이템!$F$3:$F$1002,"완료"))</f>
        <v/>
      </c>
      <c r="F91" s="62" t="str">
        <f>IF($A91="","",COUNTIFS(액션아이템!$D$3:$D$1002,$A91,액션아이템!$H$3:$H$1002,"&lt;0"))</f>
        <v/>
      </c>
      <c r="G91" s="65" t="str">
        <f>IF($A91="","",IF($C91=0,"",$E91/$C91))</f>
        <v/>
      </c>
    </row>
    <row r="92" ht="15" customHeight="1" s="41">
      <c r="A92" s="52" t="str">
        <f>IF(구성원목록!$A91="","",구성원목록!$A91)</f>
        <v/>
      </c>
      <c r="B92" s="52" t="str">
        <f>IF($A92="","",구성원목록!$B91)</f>
        <v/>
      </c>
      <c r="C92" s="62" t="str">
        <f>IF($A92="","",COUNTIFS(액션아이템!$D$3:$D$1002,$A92))</f>
        <v/>
      </c>
      <c r="D92" s="62" t="str">
        <f>IF($A92="","",COUNTIFS(액션아이템!$D$3:$D$1002,$A92,액션아이템!$F$3:$F$1002,"진행중"))</f>
        <v/>
      </c>
      <c r="E92" s="62" t="str">
        <f>IF($A92="","",COUNTIFS(액션아이템!$D$3:$D$1002,$A92,액션아이템!$F$3:$F$1002,"완료"))</f>
        <v/>
      </c>
      <c r="F92" s="62" t="str">
        <f>IF($A92="","",COUNTIFS(액션아이템!$D$3:$D$1002,$A92,액션아이템!$H$3:$H$1002,"&lt;0"))</f>
        <v/>
      </c>
      <c r="G92" s="65" t="str">
        <f>IF($A92="","",IF($C92=0,"",$E92/$C92))</f>
        <v/>
      </c>
    </row>
    <row r="93" ht="15" customHeight="1" s="41">
      <c r="A93" s="52" t="str">
        <f>IF(구성원목록!$A92="","",구성원목록!$A92)</f>
        <v/>
      </c>
      <c r="B93" s="52" t="str">
        <f>IF($A93="","",구성원목록!$B92)</f>
        <v/>
      </c>
      <c r="C93" s="62" t="str">
        <f>IF($A93="","",COUNTIFS(액션아이템!$D$3:$D$1002,$A93))</f>
        <v/>
      </c>
      <c r="D93" s="62" t="str">
        <f>IF($A93="","",COUNTIFS(액션아이템!$D$3:$D$1002,$A93,액션아이템!$F$3:$F$1002,"진행중"))</f>
        <v/>
      </c>
      <c r="E93" s="62" t="str">
        <f>IF($A93="","",COUNTIFS(액션아이템!$D$3:$D$1002,$A93,액션아이템!$F$3:$F$1002,"완료"))</f>
        <v/>
      </c>
      <c r="F93" s="62" t="str">
        <f>IF($A93="","",COUNTIFS(액션아이템!$D$3:$D$1002,$A93,액션아이템!$H$3:$H$1002,"&lt;0"))</f>
        <v/>
      </c>
      <c r="G93" s="65" t="str">
        <f>IF($A93="","",IF($C93=0,"",$E93/$C93))</f>
        <v/>
      </c>
    </row>
    <row r="94" ht="15" customHeight="1" s="41">
      <c r="A94" s="52" t="str">
        <f>IF(구성원목록!$A93="","",구성원목록!$A93)</f>
        <v/>
      </c>
      <c r="B94" s="52" t="str">
        <f>IF($A94="","",구성원목록!$B93)</f>
        <v/>
      </c>
      <c r="C94" s="62" t="str">
        <f>IF($A94="","",COUNTIFS(액션아이템!$D$3:$D$1002,$A94))</f>
        <v/>
      </c>
      <c r="D94" s="62" t="str">
        <f>IF($A94="","",COUNTIFS(액션아이템!$D$3:$D$1002,$A94,액션아이템!$F$3:$F$1002,"진행중"))</f>
        <v/>
      </c>
      <c r="E94" s="62" t="str">
        <f>IF($A94="","",COUNTIFS(액션아이템!$D$3:$D$1002,$A94,액션아이템!$F$3:$F$1002,"완료"))</f>
        <v/>
      </c>
      <c r="F94" s="62" t="str">
        <f>IF($A94="","",COUNTIFS(액션아이템!$D$3:$D$1002,$A94,액션아이템!$H$3:$H$1002,"&lt;0"))</f>
        <v/>
      </c>
      <c r="G94" s="65" t="str">
        <f>IF($A94="","",IF($C94=0,"",$E94/$C94))</f>
        <v/>
      </c>
    </row>
    <row r="95" ht="15" customHeight="1" s="41">
      <c r="A95" s="52" t="str">
        <f>IF(구성원목록!$A94="","",구성원목록!$A94)</f>
        <v/>
      </c>
      <c r="B95" s="52" t="str">
        <f>IF($A95="","",구성원목록!$B94)</f>
        <v/>
      </c>
      <c r="C95" s="62" t="str">
        <f>IF($A95="","",COUNTIFS(액션아이템!$D$3:$D$1002,$A95))</f>
        <v/>
      </c>
      <c r="D95" s="62" t="str">
        <f>IF($A95="","",COUNTIFS(액션아이템!$D$3:$D$1002,$A95,액션아이템!$F$3:$F$1002,"진행중"))</f>
        <v/>
      </c>
      <c r="E95" s="62" t="str">
        <f>IF($A95="","",COUNTIFS(액션아이템!$D$3:$D$1002,$A95,액션아이템!$F$3:$F$1002,"완료"))</f>
        <v/>
      </c>
      <c r="F95" s="62" t="str">
        <f>IF($A95="","",COUNTIFS(액션아이템!$D$3:$D$1002,$A95,액션아이템!$H$3:$H$1002,"&lt;0"))</f>
        <v/>
      </c>
      <c r="G95" s="65" t="str">
        <f>IF($A95="","",IF($C95=0,"",$E95/$C95))</f>
        <v/>
      </c>
    </row>
    <row r="96" ht="15" customHeight="1" s="41">
      <c r="A96" s="52" t="str">
        <f>IF(구성원목록!$A95="","",구성원목록!$A95)</f>
        <v/>
      </c>
      <c r="B96" s="52" t="str">
        <f>IF($A96="","",구성원목록!$B95)</f>
        <v/>
      </c>
      <c r="C96" s="62" t="str">
        <f>IF($A96="","",COUNTIFS(액션아이템!$D$3:$D$1002,$A96))</f>
        <v/>
      </c>
      <c r="D96" s="62" t="str">
        <f>IF($A96="","",COUNTIFS(액션아이템!$D$3:$D$1002,$A96,액션아이템!$F$3:$F$1002,"진행중"))</f>
        <v/>
      </c>
      <c r="E96" s="62" t="str">
        <f>IF($A96="","",COUNTIFS(액션아이템!$D$3:$D$1002,$A96,액션아이템!$F$3:$F$1002,"완료"))</f>
        <v/>
      </c>
      <c r="F96" s="62" t="str">
        <f>IF($A96="","",COUNTIFS(액션아이템!$D$3:$D$1002,$A96,액션아이템!$H$3:$H$1002,"&lt;0"))</f>
        <v/>
      </c>
      <c r="G96" s="65" t="str">
        <f>IF($A96="","",IF($C96=0,"",$E96/$C96))</f>
        <v/>
      </c>
    </row>
    <row r="97" ht="15" customHeight="1" s="41">
      <c r="A97" s="52" t="str">
        <f>IF(구성원목록!$A96="","",구성원목록!$A96)</f>
        <v/>
      </c>
      <c r="B97" s="52" t="str">
        <f>IF($A97="","",구성원목록!$B96)</f>
        <v/>
      </c>
      <c r="C97" s="62" t="str">
        <f>IF($A97="","",COUNTIFS(액션아이템!$D$3:$D$1002,$A97))</f>
        <v/>
      </c>
      <c r="D97" s="62" t="str">
        <f>IF($A97="","",COUNTIFS(액션아이템!$D$3:$D$1002,$A97,액션아이템!$F$3:$F$1002,"진행중"))</f>
        <v/>
      </c>
      <c r="E97" s="62" t="str">
        <f>IF($A97="","",COUNTIFS(액션아이템!$D$3:$D$1002,$A97,액션아이템!$F$3:$F$1002,"완료"))</f>
        <v/>
      </c>
      <c r="F97" s="62" t="str">
        <f>IF($A97="","",COUNTIFS(액션아이템!$D$3:$D$1002,$A97,액션아이템!$H$3:$H$1002,"&lt;0"))</f>
        <v/>
      </c>
      <c r="G97" s="65" t="str">
        <f>IF($A97="","",IF($C97=0,"",$E97/$C97))</f>
        <v/>
      </c>
    </row>
    <row r="98" ht="15" customHeight="1" s="41">
      <c r="A98" s="52" t="str">
        <f>IF(구성원목록!$A97="","",구성원목록!$A97)</f>
        <v/>
      </c>
      <c r="B98" s="52" t="str">
        <f>IF($A98="","",구성원목록!$B97)</f>
        <v/>
      </c>
      <c r="C98" s="62" t="str">
        <f>IF($A98="","",COUNTIFS(액션아이템!$D$3:$D$1002,$A98))</f>
        <v/>
      </c>
      <c r="D98" s="62" t="str">
        <f>IF($A98="","",COUNTIFS(액션아이템!$D$3:$D$1002,$A98,액션아이템!$F$3:$F$1002,"진행중"))</f>
        <v/>
      </c>
      <c r="E98" s="62" t="str">
        <f>IF($A98="","",COUNTIFS(액션아이템!$D$3:$D$1002,$A98,액션아이템!$F$3:$F$1002,"완료"))</f>
        <v/>
      </c>
      <c r="F98" s="62" t="str">
        <f>IF($A98="","",COUNTIFS(액션아이템!$D$3:$D$1002,$A98,액션아이템!$H$3:$H$1002,"&lt;0"))</f>
        <v/>
      </c>
      <c r="G98" s="65" t="str">
        <f>IF($A98="","",IF($C98=0,"",$E98/$C98))</f>
        <v/>
      </c>
    </row>
    <row r="99" ht="15" customHeight="1" s="41">
      <c r="A99" s="52" t="str">
        <f>IF(구성원목록!$A98="","",구성원목록!$A98)</f>
        <v/>
      </c>
      <c r="B99" s="52" t="str">
        <f>IF($A99="","",구성원목록!$B98)</f>
        <v/>
      </c>
      <c r="C99" s="62" t="str">
        <f>IF($A99="","",COUNTIFS(액션아이템!$D$3:$D$1002,$A99))</f>
        <v/>
      </c>
      <c r="D99" s="62" t="str">
        <f>IF($A99="","",COUNTIFS(액션아이템!$D$3:$D$1002,$A99,액션아이템!$F$3:$F$1002,"진행중"))</f>
        <v/>
      </c>
      <c r="E99" s="62" t="str">
        <f>IF($A99="","",COUNTIFS(액션아이템!$D$3:$D$1002,$A99,액션아이템!$F$3:$F$1002,"완료"))</f>
        <v/>
      </c>
      <c r="F99" s="62" t="str">
        <f>IF($A99="","",COUNTIFS(액션아이템!$D$3:$D$1002,$A99,액션아이템!$H$3:$H$1002,"&lt;0"))</f>
        <v/>
      </c>
      <c r="G99" s="65" t="str">
        <f>IF($A99="","",IF($C99=0,"",$E99/$C99))</f>
        <v/>
      </c>
    </row>
    <row r="100" ht="15" customHeight="1" s="41">
      <c r="A100" s="52" t="str">
        <f>IF(구성원목록!$A99="","",구성원목록!$A99)</f>
        <v/>
      </c>
      <c r="B100" s="52" t="str">
        <f>IF($A100="","",구성원목록!$B99)</f>
        <v/>
      </c>
      <c r="C100" s="62" t="str">
        <f>IF($A100="","",COUNTIFS(액션아이템!$D$3:$D$1002,$A100))</f>
        <v/>
      </c>
      <c r="D100" s="62" t="str">
        <f>IF($A100="","",COUNTIFS(액션아이템!$D$3:$D$1002,$A100,액션아이템!$F$3:$F$1002,"진행중"))</f>
        <v/>
      </c>
      <c r="E100" s="62" t="str">
        <f>IF($A100="","",COUNTIFS(액션아이템!$D$3:$D$1002,$A100,액션아이템!$F$3:$F$1002,"완료"))</f>
        <v/>
      </c>
      <c r="F100" s="62" t="str">
        <f>IF($A100="","",COUNTIFS(액션아이템!$D$3:$D$1002,$A100,액션아이템!$H$3:$H$1002,"&lt;0"))</f>
        <v/>
      </c>
      <c r="G100" s="65" t="str">
        <f>IF($A100="","",IF($C100=0,"",$E100/$C100))</f>
        <v/>
      </c>
    </row>
    <row r="101" ht="15" customHeight="1" s="41">
      <c r="A101" s="52" t="str">
        <f>IF(구성원목록!$A100="","",구성원목록!$A100)</f>
        <v/>
      </c>
      <c r="B101" s="52" t="str">
        <f>IF($A101="","",구성원목록!$B100)</f>
        <v/>
      </c>
      <c r="C101" s="62" t="str">
        <f>IF($A101="","",COUNTIFS(액션아이템!$D$3:$D$1002,$A101))</f>
        <v/>
      </c>
      <c r="D101" s="62" t="str">
        <f>IF($A101="","",COUNTIFS(액션아이템!$D$3:$D$1002,$A101,액션아이템!$F$3:$F$1002,"진행중"))</f>
        <v/>
      </c>
      <c r="E101" s="62" t="str">
        <f>IF($A101="","",COUNTIFS(액션아이템!$D$3:$D$1002,$A101,액션아이템!$F$3:$F$1002,"완료"))</f>
        <v/>
      </c>
      <c r="F101" s="62" t="str">
        <f>IF($A101="","",COUNTIFS(액션아이템!$D$3:$D$1002,$A101,액션아이템!$H$3:$H$1002,"&lt;0"))</f>
        <v/>
      </c>
      <c r="G101" s="65" t="str">
        <f>IF($A101="","",IF($C101=0,"",$E101/$C101))</f>
        <v/>
      </c>
    </row>
    <row r="102" ht="15" customHeight="1" s="41">
      <c r="A102" s="52" t="str">
        <f>IF(구성원목록!$A101="","",구성원목록!$A101)</f>
        <v/>
      </c>
      <c r="B102" s="52" t="str">
        <f>IF($A102="","",구성원목록!$B101)</f>
        <v/>
      </c>
      <c r="C102" s="62" t="str">
        <f>IF($A102="","",COUNTIFS(액션아이템!$D$3:$D$1002,$A102))</f>
        <v/>
      </c>
      <c r="D102" s="62" t="str">
        <f>IF($A102="","",COUNTIFS(액션아이템!$D$3:$D$1002,$A102,액션아이템!$F$3:$F$1002,"진행중"))</f>
        <v/>
      </c>
      <c r="E102" s="62" t="str">
        <f>IF($A102="","",COUNTIFS(액션아이템!$D$3:$D$1002,$A102,액션아이템!$F$3:$F$1002,"완료"))</f>
        <v/>
      </c>
      <c r="F102" s="62" t="str">
        <f>IF($A102="","",COUNTIFS(액션아이템!$D$3:$D$1002,$A102,액션아이템!$H$3:$H$1002,"&lt;0"))</f>
        <v/>
      </c>
      <c r="G102" s="65" t="str">
        <f>IF($A102="","",IF($C102=0,"",$E102/$C102))</f>
        <v/>
      </c>
    </row>
    <row r="103" ht="15" customHeight="1" s="41">
      <c r="A103" s="52" t="str">
        <f>IF(구성원목록!$A102="","",구성원목록!$A102)</f>
        <v/>
      </c>
      <c r="B103" s="52" t="str">
        <f>IF($A103="","",구성원목록!$B102)</f>
        <v/>
      </c>
      <c r="C103" s="62" t="str">
        <f>IF($A103="","",COUNTIFS(액션아이템!$D$3:$D$1002,$A103))</f>
        <v/>
      </c>
      <c r="D103" s="62" t="str">
        <f>IF($A103="","",COUNTIFS(액션아이템!$D$3:$D$1002,$A103,액션아이템!$F$3:$F$1002,"진행중"))</f>
        <v/>
      </c>
      <c r="E103" s="62" t="str">
        <f>IF($A103="","",COUNTIFS(액션아이템!$D$3:$D$1002,$A103,액션아이템!$F$3:$F$1002,"완료"))</f>
        <v/>
      </c>
      <c r="F103" s="62" t="str">
        <f>IF($A103="","",COUNTIFS(액션아이템!$D$3:$D$1002,$A103,액션아이템!$H$3:$H$1002,"&lt;0"))</f>
        <v/>
      </c>
      <c r="G103" s="65" t="str">
        <f>IF($A103="","",IF($C103=0,"",$E103/$C103))</f>
        <v/>
      </c>
    </row>
    <row r="104" ht="15" customHeight="1" s="41">
      <c r="A104" s="52" t="str">
        <f>IF(구성원목록!$A103="","",구성원목록!$A103)</f>
        <v/>
      </c>
      <c r="B104" s="52" t="str">
        <f>IF($A104="","",구성원목록!$B103)</f>
        <v/>
      </c>
      <c r="C104" s="62" t="str">
        <f>IF($A104="","",COUNTIFS(액션아이템!$D$3:$D$1002,$A104))</f>
        <v/>
      </c>
      <c r="D104" s="62" t="str">
        <f>IF($A104="","",COUNTIFS(액션아이템!$D$3:$D$1002,$A104,액션아이템!$F$3:$F$1002,"진행중"))</f>
        <v/>
      </c>
      <c r="E104" s="62" t="str">
        <f>IF($A104="","",COUNTIFS(액션아이템!$D$3:$D$1002,$A104,액션아이템!$F$3:$F$1002,"완료"))</f>
        <v/>
      </c>
      <c r="F104" s="62" t="str">
        <f>IF($A104="","",COUNTIFS(액션아이템!$D$3:$D$1002,$A104,액션아이템!$H$3:$H$1002,"&lt;0"))</f>
        <v/>
      </c>
      <c r="G104" s="65" t="str">
        <f>IF($A104="","",IF($C104=0,"",$E104/$C104))</f>
        <v/>
      </c>
    </row>
    <row r="105" ht="15" customHeight="1" s="41">
      <c r="A105" s="52" t="str">
        <f>IF(구성원목록!$A104="","",구성원목록!$A104)</f>
        <v/>
      </c>
      <c r="B105" s="52" t="str">
        <f>IF($A105="","",구성원목록!$B104)</f>
        <v/>
      </c>
      <c r="C105" s="62" t="str">
        <f>IF($A105="","",COUNTIFS(액션아이템!$D$3:$D$1002,$A105))</f>
        <v/>
      </c>
      <c r="D105" s="62" t="str">
        <f>IF($A105="","",COUNTIFS(액션아이템!$D$3:$D$1002,$A105,액션아이템!$F$3:$F$1002,"진행중"))</f>
        <v/>
      </c>
      <c r="E105" s="62" t="str">
        <f>IF($A105="","",COUNTIFS(액션아이템!$D$3:$D$1002,$A105,액션아이템!$F$3:$F$1002,"완료"))</f>
        <v/>
      </c>
      <c r="F105" s="62" t="str">
        <f>IF($A105="","",COUNTIFS(액션아이템!$D$3:$D$1002,$A105,액션아이템!$H$3:$H$1002,"&lt;0"))</f>
        <v/>
      </c>
      <c r="G105" s="65" t="str">
        <f>IF($A105="","",IF($C105=0,"",$E105/$C105))</f>
        <v/>
      </c>
    </row>
    <row r="106" ht="15" customHeight="1" s="41">
      <c r="A106" s="52" t="str">
        <f>IF(구성원목록!$A105="","",구성원목록!$A105)</f>
        <v/>
      </c>
      <c r="B106" s="52" t="str">
        <f>IF($A106="","",구성원목록!$B105)</f>
        <v/>
      </c>
      <c r="C106" s="62" t="str">
        <f>IF($A106="","",COUNTIFS(액션아이템!$D$3:$D$1002,$A106))</f>
        <v/>
      </c>
      <c r="D106" s="62" t="str">
        <f>IF($A106="","",COUNTIFS(액션아이템!$D$3:$D$1002,$A106,액션아이템!$F$3:$F$1002,"진행중"))</f>
        <v/>
      </c>
      <c r="E106" s="62" t="str">
        <f>IF($A106="","",COUNTIFS(액션아이템!$D$3:$D$1002,$A106,액션아이템!$F$3:$F$1002,"완료"))</f>
        <v/>
      </c>
      <c r="F106" s="62" t="str">
        <f>IF($A106="","",COUNTIFS(액션아이템!$D$3:$D$1002,$A106,액션아이템!$H$3:$H$1002,"&lt;0"))</f>
        <v/>
      </c>
      <c r="G106" s="65" t="str">
        <f>IF($A106="","",IF($C106=0,"",$E106/$C106))</f>
        <v/>
      </c>
    </row>
    <row r="107" ht="15" customHeight="1" s="41">
      <c r="A107" s="52" t="str">
        <f>IF(구성원목록!$A106="","",구성원목록!$A106)</f>
        <v/>
      </c>
      <c r="B107" s="52" t="str">
        <f>IF($A107="","",구성원목록!$B106)</f>
        <v/>
      </c>
      <c r="C107" s="62" t="str">
        <f>IF($A107="","",COUNTIFS(액션아이템!$D$3:$D$1002,$A107))</f>
        <v/>
      </c>
      <c r="D107" s="62" t="str">
        <f>IF($A107="","",COUNTIFS(액션아이템!$D$3:$D$1002,$A107,액션아이템!$F$3:$F$1002,"진행중"))</f>
        <v/>
      </c>
      <c r="E107" s="62" t="str">
        <f>IF($A107="","",COUNTIFS(액션아이템!$D$3:$D$1002,$A107,액션아이템!$F$3:$F$1002,"완료"))</f>
        <v/>
      </c>
      <c r="F107" s="62" t="str">
        <f>IF($A107="","",COUNTIFS(액션아이템!$D$3:$D$1002,$A107,액션아이템!$H$3:$H$1002,"&lt;0"))</f>
        <v/>
      </c>
      <c r="G107" s="65" t="str">
        <f>IF($A107="","",IF($C107=0,"",$E107/$C107))</f>
        <v/>
      </c>
    </row>
    <row r="108" ht="15" customHeight="1" s="41">
      <c r="A108" s="52" t="str">
        <f>IF(구성원목록!$A107="","",구성원목록!$A107)</f>
        <v/>
      </c>
      <c r="B108" s="52" t="str">
        <f>IF($A108="","",구성원목록!$B107)</f>
        <v/>
      </c>
      <c r="C108" s="62" t="str">
        <f>IF($A108="","",COUNTIFS(액션아이템!$D$3:$D$1002,$A108))</f>
        <v/>
      </c>
      <c r="D108" s="62" t="str">
        <f>IF($A108="","",COUNTIFS(액션아이템!$D$3:$D$1002,$A108,액션아이템!$F$3:$F$1002,"진행중"))</f>
        <v/>
      </c>
      <c r="E108" s="62" t="str">
        <f>IF($A108="","",COUNTIFS(액션아이템!$D$3:$D$1002,$A108,액션아이템!$F$3:$F$1002,"완료"))</f>
        <v/>
      </c>
      <c r="F108" s="62" t="str">
        <f>IF($A108="","",COUNTIFS(액션아이템!$D$3:$D$1002,$A108,액션아이템!$H$3:$H$1002,"&lt;0"))</f>
        <v/>
      </c>
      <c r="G108" s="65" t="str">
        <f>IF($A108="","",IF($C108=0,"",$E108/$C108))</f>
        <v/>
      </c>
    </row>
    <row r="109" ht="15" customHeight="1" s="41">
      <c r="A109" s="52" t="str">
        <f>IF(구성원목록!$A108="","",구성원목록!$A108)</f>
        <v/>
      </c>
      <c r="B109" s="52" t="str">
        <f>IF($A109="","",구성원목록!$B108)</f>
        <v/>
      </c>
      <c r="C109" s="62" t="str">
        <f>IF($A109="","",COUNTIFS(액션아이템!$D$3:$D$1002,$A109))</f>
        <v/>
      </c>
      <c r="D109" s="62" t="str">
        <f>IF($A109="","",COUNTIFS(액션아이템!$D$3:$D$1002,$A109,액션아이템!$F$3:$F$1002,"진행중"))</f>
        <v/>
      </c>
      <c r="E109" s="62" t="str">
        <f>IF($A109="","",COUNTIFS(액션아이템!$D$3:$D$1002,$A109,액션아이템!$F$3:$F$1002,"완료"))</f>
        <v/>
      </c>
      <c r="F109" s="62" t="str">
        <f>IF($A109="","",COUNTIFS(액션아이템!$D$3:$D$1002,$A109,액션아이템!$H$3:$H$1002,"&lt;0"))</f>
        <v/>
      </c>
      <c r="G109" s="65" t="str">
        <f>IF($A109="","",IF($C109=0,"",$E109/$C109))</f>
        <v/>
      </c>
    </row>
    <row r="110" ht="15" customHeight="1" s="41">
      <c r="A110" s="52" t="str">
        <f>IF(구성원목록!$A109="","",구성원목록!$A109)</f>
        <v/>
      </c>
      <c r="B110" s="52" t="str">
        <f>IF($A110="","",구성원목록!$B109)</f>
        <v/>
      </c>
      <c r="C110" s="62" t="str">
        <f>IF($A110="","",COUNTIFS(액션아이템!$D$3:$D$1002,$A110))</f>
        <v/>
      </c>
      <c r="D110" s="62" t="str">
        <f>IF($A110="","",COUNTIFS(액션아이템!$D$3:$D$1002,$A110,액션아이템!$F$3:$F$1002,"진행중"))</f>
        <v/>
      </c>
      <c r="E110" s="62" t="str">
        <f>IF($A110="","",COUNTIFS(액션아이템!$D$3:$D$1002,$A110,액션아이템!$F$3:$F$1002,"완료"))</f>
        <v/>
      </c>
      <c r="F110" s="62" t="str">
        <f>IF($A110="","",COUNTIFS(액션아이템!$D$3:$D$1002,$A110,액션아이템!$H$3:$H$1002,"&lt;0"))</f>
        <v/>
      </c>
      <c r="G110" s="65" t="str">
        <f>IF($A110="","",IF($C110=0,"",$E110/$C110))</f>
        <v/>
      </c>
    </row>
    <row r="111" ht="15" customHeight="1" s="41">
      <c r="A111" s="52" t="str">
        <f>IF(구성원목록!$A110="","",구성원목록!$A110)</f>
        <v/>
      </c>
      <c r="B111" s="52" t="str">
        <f>IF($A111="","",구성원목록!$B110)</f>
        <v/>
      </c>
      <c r="C111" s="62" t="str">
        <f>IF($A111="","",COUNTIFS(액션아이템!$D$3:$D$1002,$A111))</f>
        <v/>
      </c>
      <c r="D111" s="62" t="str">
        <f>IF($A111="","",COUNTIFS(액션아이템!$D$3:$D$1002,$A111,액션아이템!$F$3:$F$1002,"진행중"))</f>
        <v/>
      </c>
      <c r="E111" s="62" t="str">
        <f>IF($A111="","",COUNTIFS(액션아이템!$D$3:$D$1002,$A111,액션아이템!$F$3:$F$1002,"완료"))</f>
        <v/>
      </c>
      <c r="F111" s="62" t="str">
        <f>IF($A111="","",COUNTIFS(액션아이템!$D$3:$D$1002,$A111,액션아이템!$H$3:$H$1002,"&lt;0"))</f>
        <v/>
      </c>
      <c r="G111" s="65" t="str">
        <f>IF($A111="","",IF($C111=0,"",$E111/$C111))</f>
        <v/>
      </c>
    </row>
    <row r="112" ht="15" customHeight="1" s="41">
      <c r="A112" s="52" t="str">
        <f>IF(구성원목록!$A111="","",구성원목록!$A111)</f>
        <v/>
      </c>
      <c r="B112" s="52" t="str">
        <f>IF($A112="","",구성원목록!$B111)</f>
        <v/>
      </c>
      <c r="C112" s="62" t="str">
        <f>IF($A112="","",COUNTIFS(액션아이템!$D$3:$D$1002,$A112))</f>
        <v/>
      </c>
      <c r="D112" s="62" t="str">
        <f>IF($A112="","",COUNTIFS(액션아이템!$D$3:$D$1002,$A112,액션아이템!$F$3:$F$1002,"진행중"))</f>
        <v/>
      </c>
      <c r="E112" s="62" t="str">
        <f>IF($A112="","",COUNTIFS(액션아이템!$D$3:$D$1002,$A112,액션아이템!$F$3:$F$1002,"완료"))</f>
        <v/>
      </c>
      <c r="F112" s="62" t="str">
        <f>IF($A112="","",COUNTIFS(액션아이템!$D$3:$D$1002,$A112,액션아이템!$H$3:$H$1002,"&lt;0"))</f>
        <v/>
      </c>
      <c r="G112" s="65" t="str">
        <f>IF($A112="","",IF($C112=0,"",$E112/$C112))</f>
        <v/>
      </c>
    </row>
    <row r="113" ht="15" customHeight="1" s="41">
      <c r="A113" s="52" t="str">
        <f>IF(구성원목록!$A112="","",구성원목록!$A112)</f>
        <v/>
      </c>
      <c r="B113" s="52" t="str">
        <f>IF($A113="","",구성원목록!$B112)</f>
        <v/>
      </c>
      <c r="C113" s="62" t="str">
        <f>IF($A113="","",COUNTIFS(액션아이템!$D$3:$D$1002,$A113))</f>
        <v/>
      </c>
      <c r="D113" s="62" t="str">
        <f>IF($A113="","",COUNTIFS(액션아이템!$D$3:$D$1002,$A113,액션아이템!$F$3:$F$1002,"진행중"))</f>
        <v/>
      </c>
      <c r="E113" s="62" t="str">
        <f>IF($A113="","",COUNTIFS(액션아이템!$D$3:$D$1002,$A113,액션아이템!$F$3:$F$1002,"완료"))</f>
        <v/>
      </c>
      <c r="F113" s="62" t="str">
        <f>IF($A113="","",COUNTIFS(액션아이템!$D$3:$D$1002,$A113,액션아이템!$H$3:$H$1002,"&lt;0"))</f>
        <v/>
      </c>
      <c r="G113" s="65" t="str">
        <f>IF($A113="","",IF($C113=0,"",$E113/$C113))</f>
        <v/>
      </c>
    </row>
    <row r="114" ht="15" customHeight="1" s="41">
      <c r="A114" s="52" t="str">
        <f>IF(구성원목록!$A113="","",구성원목록!$A113)</f>
        <v/>
      </c>
      <c r="B114" s="52" t="str">
        <f>IF($A114="","",구성원목록!$B113)</f>
        <v/>
      </c>
      <c r="C114" s="62" t="str">
        <f>IF($A114="","",COUNTIFS(액션아이템!$D$3:$D$1002,$A114))</f>
        <v/>
      </c>
      <c r="D114" s="62" t="str">
        <f>IF($A114="","",COUNTIFS(액션아이템!$D$3:$D$1002,$A114,액션아이템!$F$3:$F$1002,"진행중"))</f>
        <v/>
      </c>
      <c r="E114" s="62" t="str">
        <f>IF($A114="","",COUNTIFS(액션아이템!$D$3:$D$1002,$A114,액션아이템!$F$3:$F$1002,"완료"))</f>
        <v/>
      </c>
      <c r="F114" s="62" t="str">
        <f>IF($A114="","",COUNTIFS(액션아이템!$D$3:$D$1002,$A114,액션아이템!$H$3:$H$1002,"&lt;0"))</f>
        <v/>
      </c>
      <c r="G114" s="65" t="str">
        <f>IF($A114="","",IF($C114=0,"",$E114/$C114))</f>
        <v/>
      </c>
    </row>
    <row r="115" ht="15" customHeight="1" s="41">
      <c r="A115" s="52" t="str">
        <f>IF(구성원목록!$A114="","",구성원목록!$A114)</f>
        <v/>
      </c>
      <c r="B115" s="52" t="str">
        <f>IF($A115="","",구성원목록!$B114)</f>
        <v/>
      </c>
      <c r="C115" s="62" t="str">
        <f>IF($A115="","",COUNTIFS(액션아이템!$D$3:$D$1002,$A115))</f>
        <v/>
      </c>
      <c r="D115" s="62" t="str">
        <f>IF($A115="","",COUNTIFS(액션아이템!$D$3:$D$1002,$A115,액션아이템!$F$3:$F$1002,"진행중"))</f>
        <v/>
      </c>
      <c r="E115" s="62" t="str">
        <f>IF($A115="","",COUNTIFS(액션아이템!$D$3:$D$1002,$A115,액션아이템!$F$3:$F$1002,"완료"))</f>
        <v/>
      </c>
      <c r="F115" s="62" t="str">
        <f>IF($A115="","",COUNTIFS(액션아이템!$D$3:$D$1002,$A115,액션아이템!$H$3:$H$1002,"&lt;0"))</f>
        <v/>
      </c>
      <c r="G115" s="65" t="str">
        <f>IF($A115="","",IF($C115=0,"",$E115/$C115))</f>
        <v/>
      </c>
    </row>
    <row r="116" ht="15" customHeight="1" s="41">
      <c r="A116" s="52" t="str">
        <f>IF(구성원목록!$A115="","",구성원목록!$A115)</f>
        <v/>
      </c>
      <c r="B116" s="52" t="str">
        <f>IF($A116="","",구성원목록!$B115)</f>
        <v/>
      </c>
      <c r="C116" s="62" t="str">
        <f>IF($A116="","",COUNTIFS(액션아이템!$D$3:$D$1002,$A116))</f>
        <v/>
      </c>
      <c r="D116" s="62" t="str">
        <f>IF($A116="","",COUNTIFS(액션아이템!$D$3:$D$1002,$A116,액션아이템!$F$3:$F$1002,"진행중"))</f>
        <v/>
      </c>
      <c r="E116" s="62" t="str">
        <f>IF($A116="","",COUNTIFS(액션아이템!$D$3:$D$1002,$A116,액션아이템!$F$3:$F$1002,"완료"))</f>
        <v/>
      </c>
      <c r="F116" s="62" t="str">
        <f>IF($A116="","",COUNTIFS(액션아이템!$D$3:$D$1002,$A116,액션아이템!$H$3:$H$1002,"&lt;0"))</f>
        <v/>
      </c>
      <c r="G116" s="65" t="str">
        <f>IF($A116="","",IF($C116=0,"",$E116/$C116))</f>
        <v/>
      </c>
    </row>
    <row r="117" ht="15" customHeight="1" s="41">
      <c r="A117" s="52" t="str">
        <f>IF(구성원목록!$A116="","",구성원목록!$A116)</f>
        <v/>
      </c>
      <c r="B117" s="52" t="str">
        <f>IF($A117="","",구성원목록!$B116)</f>
        <v/>
      </c>
      <c r="C117" s="62" t="str">
        <f>IF($A117="","",COUNTIFS(액션아이템!$D$3:$D$1002,$A117))</f>
        <v/>
      </c>
      <c r="D117" s="62" t="str">
        <f>IF($A117="","",COUNTIFS(액션아이템!$D$3:$D$1002,$A117,액션아이템!$F$3:$F$1002,"진행중"))</f>
        <v/>
      </c>
      <c r="E117" s="62" t="str">
        <f>IF($A117="","",COUNTIFS(액션아이템!$D$3:$D$1002,$A117,액션아이템!$F$3:$F$1002,"완료"))</f>
        <v/>
      </c>
      <c r="F117" s="62" t="str">
        <f>IF($A117="","",COUNTIFS(액션아이템!$D$3:$D$1002,$A117,액션아이템!$H$3:$H$1002,"&lt;0"))</f>
        <v/>
      </c>
      <c r="G117" s="65" t="str">
        <f>IF($A117="","",IF($C117=0,"",$E117/$C117))</f>
        <v/>
      </c>
    </row>
    <row r="118" ht="15" customHeight="1" s="41">
      <c r="A118" s="52" t="str">
        <f>IF(구성원목록!$A117="","",구성원목록!$A117)</f>
        <v/>
      </c>
      <c r="B118" s="52" t="str">
        <f>IF($A118="","",구성원목록!$B117)</f>
        <v/>
      </c>
      <c r="C118" s="62" t="str">
        <f>IF($A118="","",COUNTIFS(액션아이템!$D$3:$D$1002,$A118))</f>
        <v/>
      </c>
      <c r="D118" s="62" t="str">
        <f>IF($A118="","",COUNTIFS(액션아이템!$D$3:$D$1002,$A118,액션아이템!$F$3:$F$1002,"진행중"))</f>
        <v/>
      </c>
      <c r="E118" s="62" t="str">
        <f>IF($A118="","",COUNTIFS(액션아이템!$D$3:$D$1002,$A118,액션아이템!$F$3:$F$1002,"완료"))</f>
        <v/>
      </c>
      <c r="F118" s="62" t="str">
        <f>IF($A118="","",COUNTIFS(액션아이템!$D$3:$D$1002,$A118,액션아이템!$H$3:$H$1002,"&lt;0"))</f>
        <v/>
      </c>
      <c r="G118" s="65" t="str">
        <f>IF($A118="","",IF($C118=0,"",$E118/$C118))</f>
        <v/>
      </c>
    </row>
    <row r="119" ht="15" customHeight="1" s="41">
      <c r="A119" s="52" t="str">
        <f>IF(구성원목록!$A118="","",구성원목록!$A118)</f>
        <v/>
      </c>
      <c r="B119" s="52" t="str">
        <f>IF($A119="","",구성원목록!$B118)</f>
        <v/>
      </c>
      <c r="C119" s="62" t="str">
        <f>IF($A119="","",COUNTIFS(액션아이템!$D$3:$D$1002,$A119))</f>
        <v/>
      </c>
      <c r="D119" s="62" t="str">
        <f>IF($A119="","",COUNTIFS(액션아이템!$D$3:$D$1002,$A119,액션아이템!$F$3:$F$1002,"진행중"))</f>
        <v/>
      </c>
      <c r="E119" s="62" t="str">
        <f>IF($A119="","",COUNTIFS(액션아이템!$D$3:$D$1002,$A119,액션아이템!$F$3:$F$1002,"완료"))</f>
        <v/>
      </c>
      <c r="F119" s="62" t="str">
        <f>IF($A119="","",COUNTIFS(액션아이템!$D$3:$D$1002,$A119,액션아이템!$H$3:$H$1002,"&lt;0"))</f>
        <v/>
      </c>
      <c r="G119" s="65" t="str">
        <f>IF($A119="","",IF($C119=0,"",$E119/$C119))</f>
        <v/>
      </c>
    </row>
    <row r="120" ht="15" customHeight="1" s="41">
      <c r="A120" s="52" t="str">
        <f>IF(구성원목록!$A119="","",구성원목록!$A119)</f>
        <v/>
      </c>
      <c r="B120" s="52" t="str">
        <f>IF($A120="","",구성원목록!$B119)</f>
        <v/>
      </c>
      <c r="C120" s="62" t="str">
        <f>IF($A120="","",COUNTIFS(액션아이템!$D$3:$D$1002,$A120))</f>
        <v/>
      </c>
      <c r="D120" s="62" t="str">
        <f>IF($A120="","",COUNTIFS(액션아이템!$D$3:$D$1002,$A120,액션아이템!$F$3:$F$1002,"진행중"))</f>
        <v/>
      </c>
      <c r="E120" s="62" t="str">
        <f>IF($A120="","",COUNTIFS(액션아이템!$D$3:$D$1002,$A120,액션아이템!$F$3:$F$1002,"완료"))</f>
        <v/>
      </c>
      <c r="F120" s="62" t="str">
        <f>IF($A120="","",COUNTIFS(액션아이템!$D$3:$D$1002,$A120,액션아이템!$H$3:$H$1002,"&lt;0"))</f>
        <v/>
      </c>
      <c r="G120" s="65" t="str">
        <f>IF($A120="","",IF($C120=0,"",$E120/$C120))</f>
        <v/>
      </c>
    </row>
    <row r="121" ht="15" customHeight="1" s="41">
      <c r="A121" s="52" t="str">
        <f>IF(구성원목록!$A120="","",구성원목록!$A120)</f>
        <v/>
      </c>
      <c r="B121" s="52" t="str">
        <f>IF($A121="","",구성원목록!$B120)</f>
        <v/>
      </c>
      <c r="C121" s="62" t="str">
        <f>IF($A121="","",COUNTIFS(액션아이템!$D$3:$D$1002,$A121))</f>
        <v/>
      </c>
      <c r="D121" s="62" t="str">
        <f>IF($A121="","",COUNTIFS(액션아이템!$D$3:$D$1002,$A121,액션아이템!$F$3:$F$1002,"진행중"))</f>
        <v/>
      </c>
      <c r="E121" s="62" t="str">
        <f>IF($A121="","",COUNTIFS(액션아이템!$D$3:$D$1002,$A121,액션아이템!$F$3:$F$1002,"완료"))</f>
        <v/>
      </c>
      <c r="F121" s="62" t="str">
        <f>IF($A121="","",COUNTIFS(액션아이템!$D$3:$D$1002,$A121,액션아이템!$H$3:$H$1002,"&lt;0"))</f>
        <v/>
      </c>
      <c r="G121" s="65" t="str">
        <f>IF($A121="","",IF($C121=0,"",$E121/$C121))</f>
        <v/>
      </c>
    </row>
    <row r="122" ht="15" customHeight="1" s="41">
      <c r="A122" s="52" t="str">
        <f>IF(구성원목록!$A121="","",구성원목록!$A121)</f>
        <v/>
      </c>
      <c r="B122" s="52" t="str">
        <f>IF($A122="","",구성원목록!$B121)</f>
        <v/>
      </c>
      <c r="C122" s="62" t="str">
        <f>IF($A122="","",COUNTIFS(액션아이템!$D$3:$D$1002,$A122))</f>
        <v/>
      </c>
      <c r="D122" s="62" t="str">
        <f>IF($A122="","",COUNTIFS(액션아이템!$D$3:$D$1002,$A122,액션아이템!$F$3:$F$1002,"진행중"))</f>
        <v/>
      </c>
      <c r="E122" s="62" t="str">
        <f>IF($A122="","",COUNTIFS(액션아이템!$D$3:$D$1002,$A122,액션아이템!$F$3:$F$1002,"완료"))</f>
        <v/>
      </c>
      <c r="F122" s="62" t="str">
        <f>IF($A122="","",COUNTIFS(액션아이템!$D$3:$D$1002,$A122,액션아이템!$H$3:$H$1002,"&lt;0"))</f>
        <v/>
      </c>
      <c r="G122" s="65" t="str">
        <f>IF($A122="","",IF($C122=0,"",$E122/$C122))</f>
        <v/>
      </c>
    </row>
    <row r="123" ht="15" customHeight="1" s="41">
      <c r="A123" s="52" t="str">
        <f>IF(구성원목록!$A122="","",구성원목록!$A122)</f>
        <v/>
      </c>
      <c r="B123" s="52" t="str">
        <f>IF($A123="","",구성원목록!$B122)</f>
        <v/>
      </c>
      <c r="C123" s="62" t="str">
        <f>IF($A123="","",COUNTIFS(액션아이템!$D$3:$D$1002,$A123))</f>
        <v/>
      </c>
      <c r="D123" s="62" t="str">
        <f>IF($A123="","",COUNTIFS(액션아이템!$D$3:$D$1002,$A123,액션아이템!$F$3:$F$1002,"진행중"))</f>
        <v/>
      </c>
      <c r="E123" s="62" t="str">
        <f>IF($A123="","",COUNTIFS(액션아이템!$D$3:$D$1002,$A123,액션아이템!$F$3:$F$1002,"완료"))</f>
        <v/>
      </c>
      <c r="F123" s="62" t="str">
        <f>IF($A123="","",COUNTIFS(액션아이템!$D$3:$D$1002,$A123,액션아이템!$H$3:$H$1002,"&lt;0"))</f>
        <v/>
      </c>
      <c r="G123" s="65" t="str">
        <f>IF($A123="","",IF($C123=0,"",$E123/$C123))</f>
        <v/>
      </c>
    </row>
    <row r="124" ht="15" customHeight="1" s="41">
      <c r="A124" s="52" t="str">
        <f>IF(구성원목록!$A123="","",구성원목록!$A123)</f>
        <v/>
      </c>
      <c r="B124" s="52" t="str">
        <f>IF($A124="","",구성원목록!$B123)</f>
        <v/>
      </c>
      <c r="C124" s="62" t="str">
        <f>IF($A124="","",COUNTIFS(액션아이템!$D$3:$D$1002,$A124))</f>
        <v/>
      </c>
      <c r="D124" s="62" t="str">
        <f>IF($A124="","",COUNTIFS(액션아이템!$D$3:$D$1002,$A124,액션아이템!$F$3:$F$1002,"진행중"))</f>
        <v/>
      </c>
      <c r="E124" s="62" t="str">
        <f>IF($A124="","",COUNTIFS(액션아이템!$D$3:$D$1002,$A124,액션아이템!$F$3:$F$1002,"완료"))</f>
        <v/>
      </c>
      <c r="F124" s="62" t="str">
        <f>IF($A124="","",COUNTIFS(액션아이템!$D$3:$D$1002,$A124,액션아이템!$H$3:$H$1002,"&lt;0"))</f>
        <v/>
      </c>
      <c r="G124" s="65" t="str">
        <f>IF($A124="","",IF($C124=0,"",$E124/$C124))</f>
        <v/>
      </c>
    </row>
    <row r="125" ht="15" customHeight="1" s="41">
      <c r="A125" s="52" t="str">
        <f>IF(구성원목록!$A124="","",구성원목록!$A124)</f>
        <v/>
      </c>
      <c r="B125" s="52" t="str">
        <f>IF($A125="","",구성원목록!$B124)</f>
        <v/>
      </c>
      <c r="C125" s="62" t="str">
        <f>IF($A125="","",COUNTIFS(액션아이템!$D$3:$D$1002,$A125))</f>
        <v/>
      </c>
      <c r="D125" s="62" t="str">
        <f>IF($A125="","",COUNTIFS(액션아이템!$D$3:$D$1002,$A125,액션아이템!$F$3:$F$1002,"진행중"))</f>
        <v/>
      </c>
      <c r="E125" s="62" t="str">
        <f>IF($A125="","",COUNTIFS(액션아이템!$D$3:$D$1002,$A125,액션아이템!$F$3:$F$1002,"완료"))</f>
        <v/>
      </c>
      <c r="F125" s="62" t="str">
        <f>IF($A125="","",COUNTIFS(액션아이템!$D$3:$D$1002,$A125,액션아이템!$H$3:$H$1002,"&lt;0"))</f>
        <v/>
      </c>
      <c r="G125" s="65" t="str">
        <f>IF($A125="","",IF($C125=0,"",$E125/$C125))</f>
        <v/>
      </c>
    </row>
    <row r="126" ht="15" customHeight="1" s="41">
      <c r="A126" s="52" t="str">
        <f>IF(구성원목록!$A125="","",구성원목록!$A125)</f>
        <v/>
      </c>
      <c r="B126" s="52" t="str">
        <f>IF($A126="","",구성원목록!$B125)</f>
        <v/>
      </c>
      <c r="C126" s="62" t="str">
        <f>IF($A126="","",COUNTIFS(액션아이템!$D$3:$D$1002,$A126))</f>
        <v/>
      </c>
      <c r="D126" s="62" t="str">
        <f>IF($A126="","",COUNTIFS(액션아이템!$D$3:$D$1002,$A126,액션아이템!$F$3:$F$1002,"진행중"))</f>
        <v/>
      </c>
      <c r="E126" s="62" t="str">
        <f>IF($A126="","",COUNTIFS(액션아이템!$D$3:$D$1002,$A126,액션아이템!$F$3:$F$1002,"완료"))</f>
        <v/>
      </c>
      <c r="F126" s="62" t="str">
        <f>IF($A126="","",COUNTIFS(액션아이템!$D$3:$D$1002,$A126,액션아이템!$H$3:$H$1002,"&lt;0"))</f>
        <v/>
      </c>
      <c r="G126" s="65" t="str">
        <f>IF($A126="","",IF($C126=0,"",$E126/$C126))</f>
        <v/>
      </c>
    </row>
    <row r="127" ht="15" customHeight="1" s="41">
      <c r="A127" s="52" t="str">
        <f>IF(구성원목록!$A126="","",구성원목록!$A126)</f>
        <v/>
      </c>
      <c r="B127" s="52" t="str">
        <f>IF($A127="","",구성원목록!$B126)</f>
        <v/>
      </c>
      <c r="C127" s="62" t="str">
        <f>IF($A127="","",COUNTIFS(액션아이템!$D$3:$D$1002,$A127))</f>
        <v/>
      </c>
      <c r="D127" s="62" t="str">
        <f>IF($A127="","",COUNTIFS(액션아이템!$D$3:$D$1002,$A127,액션아이템!$F$3:$F$1002,"진행중"))</f>
        <v/>
      </c>
      <c r="E127" s="62" t="str">
        <f>IF($A127="","",COUNTIFS(액션아이템!$D$3:$D$1002,$A127,액션아이템!$F$3:$F$1002,"완료"))</f>
        <v/>
      </c>
      <c r="F127" s="62" t="str">
        <f>IF($A127="","",COUNTIFS(액션아이템!$D$3:$D$1002,$A127,액션아이템!$H$3:$H$1002,"&lt;0"))</f>
        <v/>
      </c>
      <c r="G127" s="65" t="str">
        <f>IF($A127="","",IF($C127=0,"",$E127/$C127))</f>
        <v/>
      </c>
    </row>
    <row r="128" ht="15" customHeight="1" s="41">
      <c r="A128" s="52" t="str">
        <f>IF(구성원목록!$A127="","",구성원목록!$A127)</f>
        <v/>
      </c>
      <c r="B128" s="52" t="str">
        <f>IF($A128="","",구성원목록!$B127)</f>
        <v/>
      </c>
      <c r="C128" s="62" t="str">
        <f>IF($A128="","",COUNTIFS(액션아이템!$D$3:$D$1002,$A128))</f>
        <v/>
      </c>
      <c r="D128" s="62" t="str">
        <f>IF($A128="","",COUNTIFS(액션아이템!$D$3:$D$1002,$A128,액션아이템!$F$3:$F$1002,"진행중"))</f>
        <v/>
      </c>
      <c r="E128" s="62" t="str">
        <f>IF($A128="","",COUNTIFS(액션아이템!$D$3:$D$1002,$A128,액션아이템!$F$3:$F$1002,"완료"))</f>
        <v/>
      </c>
      <c r="F128" s="62" t="str">
        <f>IF($A128="","",COUNTIFS(액션아이템!$D$3:$D$1002,$A128,액션아이템!$H$3:$H$1002,"&lt;0"))</f>
        <v/>
      </c>
      <c r="G128" s="65" t="str">
        <f>IF($A128="","",IF($C128=0,"",$E128/$C128))</f>
        <v/>
      </c>
    </row>
    <row r="129" ht="15" customHeight="1" s="41">
      <c r="A129" s="52" t="str">
        <f>IF(구성원목록!$A128="","",구성원목록!$A128)</f>
        <v/>
      </c>
      <c r="B129" s="52" t="str">
        <f>IF($A129="","",구성원목록!$B128)</f>
        <v/>
      </c>
      <c r="C129" s="62" t="str">
        <f>IF($A129="","",COUNTIFS(액션아이템!$D$3:$D$1002,$A129))</f>
        <v/>
      </c>
      <c r="D129" s="62" t="str">
        <f>IF($A129="","",COUNTIFS(액션아이템!$D$3:$D$1002,$A129,액션아이템!$F$3:$F$1002,"진행중"))</f>
        <v/>
      </c>
      <c r="E129" s="62" t="str">
        <f>IF($A129="","",COUNTIFS(액션아이템!$D$3:$D$1002,$A129,액션아이템!$F$3:$F$1002,"완료"))</f>
        <v/>
      </c>
      <c r="F129" s="62" t="str">
        <f>IF($A129="","",COUNTIFS(액션아이템!$D$3:$D$1002,$A129,액션아이템!$H$3:$H$1002,"&lt;0"))</f>
        <v/>
      </c>
      <c r="G129" s="65" t="str">
        <f>IF($A129="","",IF($C129=0,"",$E129/$C129))</f>
        <v/>
      </c>
    </row>
    <row r="130" ht="15" customHeight="1" s="41">
      <c r="A130" s="52" t="str">
        <f>IF(구성원목록!$A129="","",구성원목록!$A129)</f>
        <v/>
      </c>
      <c r="B130" s="52" t="str">
        <f>IF($A130="","",구성원목록!$B129)</f>
        <v/>
      </c>
      <c r="C130" s="62" t="str">
        <f>IF($A130="","",COUNTIFS(액션아이템!$D$3:$D$1002,$A130))</f>
        <v/>
      </c>
      <c r="D130" s="62" t="str">
        <f>IF($A130="","",COUNTIFS(액션아이템!$D$3:$D$1002,$A130,액션아이템!$F$3:$F$1002,"진행중"))</f>
        <v/>
      </c>
      <c r="E130" s="62" t="str">
        <f>IF($A130="","",COUNTIFS(액션아이템!$D$3:$D$1002,$A130,액션아이템!$F$3:$F$1002,"완료"))</f>
        <v/>
      </c>
      <c r="F130" s="62" t="str">
        <f>IF($A130="","",COUNTIFS(액션아이템!$D$3:$D$1002,$A130,액션아이템!$H$3:$H$1002,"&lt;0"))</f>
        <v/>
      </c>
      <c r="G130" s="65" t="str">
        <f>IF($A130="","",IF($C130=0,"",$E130/$C130))</f>
        <v/>
      </c>
    </row>
    <row r="131" ht="15" customHeight="1" s="41">
      <c r="A131" s="52" t="str">
        <f>IF(구성원목록!$A130="","",구성원목록!$A130)</f>
        <v/>
      </c>
      <c r="B131" s="52" t="str">
        <f>IF($A131="","",구성원목록!$B130)</f>
        <v/>
      </c>
      <c r="C131" s="62" t="str">
        <f>IF($A131="","",COUNTIFS(액션아이템!$D$3:$D$1002,$A131))</f>
        <v/>
      </c>
      <c r="D131" s="62" t="str">
        <f>IF($A131="","",COUNTIFS(액션아이템!$D$3:$D$1002,$A131,액션아이템!$F$3:$F$1002,"진행중"))</f>
        <v/>
      </c>
      <c r="E131" s="62" t="str">
        <f>IF($A131="","",COUNTIFS(액션아이템!$D$3:$D$1002,$A131,액션아이템!$F$3:$F$1002,"완료"))</f>
        <v/>
      </c>
      <c r="F131" s="62" t="str">
        <f>IF($A131="","",COUNTIFS(액션아이템!$D$3:$D$1002,$A131,액션아이템!$H$3:$H$1002,"&lt;0"))</f>
        <v/>
      </c>
      <c r="G131" s="65" t="str">
        <f>IF($A131="","",IF($C131=0,"",$E131/$C131))</f>
        <v/>
      </c>
    </row>
    <row r="132" ht="15" customHeight="1" s="41">
      <c r="A132" s="52" t="str">
        <f>IF(구성원목록!$A131="","",구성원목록!$A131)</f>
        <v/>
      </c>
      <c r="B132" s="52" t="str">
        <f>IF($A132="","",구성원목록!$B131)</f>
        <v/>
      </c>
      <c r="C132" s="62" t="str">
        <f>IF($A132="","",COUNTIFS(액션아이템!$D$3:$D$1002,$A132))</f>
        <v/>
      </c>
      <c r="D132" s="62" t="str">
        <f>IF($A132="","",COUNTIFS(액션아이템!$D$3:$D$1002,$A132,액션아이템!$F$3:$F$1002,"진행중"))</f>
        <v/>
      </c>
      <c r="E132" s="62" t="str">
        <f>IF($A132="","",COUNTIFS(액션아이템!$D$3:$D$1002,$A132,액션아이템!$F$3:$F$1002,"완료"))</f>
        <v/>
      </c>
      <c r="F132" s="62" t="str">
        <f>IF($A132="","",COUNTIFS(액션아이템!$D$3:$D$1002,$A132,액션아이템!$H$3:$H$1002,"&lt;0"))</f>
        <v/>
      </c>
      <c r="G132" s="65" t="str">
        <f>IF($A132="","",IF($C132=0,"",$E132/$C132))</f>
        <v/>
      </c>
    </row>
    <row r="133" ht="15" customHeight="1" s="41">
      <c r="A133" s="52" t="str">
        <f>IF(구성원목록!$A132="","",구성원목록!$A132)</f>
        <v/>
      </c>
      <c r="B133" s="52" t="str">
        <f>IF($A133="","",구성원목록!$B132)</f>
        <v/>
      </c>
      <c r="C133" s="62" t="str">
        <f>IF($A133="","",COUNTIFS(액션아이템!$D$3:$D$1002,$A133))</f>
        <v/>
      </c>
      <c r="D133" s="62" t="str">
        <f>IF($A133="","",COUNTIFS(액션아이템!$D$3:$D$1002,$A133,액션아이템!$F$3:$F$1002,"진행중"))</f>
        <v/>
      </c>
      <c r="E133" s="62" t="str">
        <f>IF($A133="","",COUNTIFS(액션아이템!$D$3:$D$1002,$A133,액션아이템!$F$3:$F$1002,"완료"))</f>
        <v/>
      </c>
      <c r="F133" s="62" t="str">
        <f>IF($A133="","",COUNTIFS(액션아이템!$D$3:$D$1002,$A133,액션아이템!$H$3:$H$1002,"&lt;0"))</f>
        <v/>
      </c>
      <c r="G133" s="65" t="str">
        <f>IF($A133="","",IF($C133=0,"",$E133/$C133))</f>
        <v/>
      </c>
    </row>
    <row r="134" ht="15" customHeight="1" s="41">
      <c r="A134" s="52" t="str">
        <f>IF(구성원목록!$A133="","",구성원목록!$A133)</f>
        <v/>
      </c>
      <c r="B134" s="52" t="str">
        <f>IF($A134="","",구성원목록!$B133)</f>
        <v/>
      </c>
      <c r="C134" s="62" t="str">
        <f>IF($A134="","",COUNTIFS(액션아이템!$D$3:$D$1002,$A134))</f>
        <v/>
      </c>
      <c r="D134" s="62" t="str">
        <f>IF($A134="","",COUNTIFS(액션아이템!$D$3:$D$1002,$A134,액션아이템!$F$3:$F$1002,"진행중"))</f>
        <v/>
      </c>
      <c r="E134" s="62" t="str">
        <f>IF($A134="","",COUNTIFS(액션아이템!$D$3:$D$1002,$A134,액션아이템!$F$3:$F$1002,"완료"))</f>
        <v/>
      </c>
      <c r="F134" s="62" t="str">
        <f>IF($A134="","",COUNTIFS(액션아이템!$D$3:$D$1002,$A134,액션아이템!$H$3:$H$1002,"&lt;0"))</f>
        <v/>
      </c>
      <c r="G134" s="65" t="str">
        <f>IF($A134="","",IF($C134=0,"",$E134/$C134))</f>
        <v/>
      </c>
    </row>
    <row r="135" ht="15" customHeight="1" s="41">
      <c r="A135" s="52" t="str">
        <f>IF(구성원목록!$A134="","",구성원목록!$A134)</f>
        <v/>
      </c>
      <c r="B135" s="52" t="str">
        <f>IF($A135="","",구성원목록!$B134)</f>
        <v/>
      </c>
      <c r="C135" s="62" t="str">
        <f>IF($A135="","",COUNTIFS(액션아이템!$D$3:$D$1002,$A135))</f>
        <v/>
      </c>
      <c r="D135" s="62" t="str">
        <f>IF($A135="","",COUNTIFS(액션아이템!$D$3:$D$1002,$A135,액션아이템!$F$3:$F$1002,"진행중"))</f>
        <v/>
      </c>
      <c r="E135" s="62" t="str">
        <f>IF($A135="","",COUNTIFS(액션아이템!$D$3:$D$1002,$A135,액션아이템!$F$3:$F$1002,"완료"))</f>
        <v/>
      </c>
      <c r="F135" s="62" t="str">
        <f>IF($A135="","",COUNTIFS(액션아이템!$D$3:$D$1002,$A135,액션아이템!$H$3:$H$1002,"&lt;0"))</f>
        <v/>
      </c>
      <c r="G135" s="65" t="str">
        <f>IF($A135="","",IF($C135=0,"",$E135/$C135))</f>
        <v/>
      </c>
    </row>
    <row r="136" ht="15" customHeight="1" s="41">
      <c r="A136" s="52" t="str">
        <f>IF(구성원목록!$A135="","",구성원목록!$A135)</f>
        <v/>
      </c>
      <c r="B136" s="52" t="str">
        <f>IF($A136="","",구성원목록!$B135)</f>
        <v/>
      </c>
      <c r="C136" s="62" t="str">
        <f>IF($A136="","",COUNTIFS(액션아이템!$D$3:$D$1002,$A136))</f>
        <v/>
      </c>
      <c r="D136" s="62" t="str">
        <f>IF($A136="","",COUNTIFS(액션아이템!$D$3:$D$1002,$A136,액션아이템!$F$3:$F$1002,"진행중"))</f>
        <v/>
      </c>
      <c r="E136" s="62" t="str">
        <f>IF($A136="","",COUNTIFS(액션아이템!$D$3:$D$1002,$A136,액션아이템!$F$3:$F$1002,"완료"))</f>
        <v/>
      </c>
      <c r="F136" s="62" t="str">
        <f>IF($A136="","",COUNTIFS(액션아이템!$D$3:$D$1002,$A136,액션아이템!$H$3:$H$1002,"&lt;0"))</f>
        <v/>
      </c>
      <c r="G136" s="65" t="str">
        <f>IF($A136="","",IF($C136=0,"",$E136/$C136))</f>
        <v/>
      </c>
    </row>
    <row r="137" ht="15" customHeight="1" s="41">
      <c r="A137" s="52" t="str">
        <f>IF(구성원목록!$A136="","",구성원목록!$A136)</f>
        <v/>
      </c>
      <c r="B137" s="52" t="str">
        <f>IF($A137="","",구성원목록!$B136)</f>
        <v/>
      </c>
      <c r="C137" s="62" t="str">
        <f>IF($A137="","",COUNTIFS(액션아이템!$D$3:$D$1002,$A137))</f>
        <v/>
      </c>
      <c r="D137" s="62" t="str">
        <f>IF($A137="","",COUNTIFS(액션아이템!$D$3:$D$1002,$A137,액션아이템!$F$3:$F$1002,"진행중"))</f>
        <v/>
      </c>
      <c r="E137" s="62" t="str">
        <f>IF($A137="","",COUNTIFS(액션아이템!$D$3:$D$1002,$A137,액션아이템!$F$3:$F$1002,"완료"))</f>
        <v/>
      </c>
      <c r="F137" s="62" t="str">
        <f>IF($A137="","",COUNTIFS(액션아이템!$D$3:$D$1002,$A137,액션아이템!$H$3:$H$1002,"&lt;0"))</f>
        <v/>
      </c>
      <c r="G137" s="65" t="str">
        <f>IF($A137="","",IF($C137=0,"",$E137/$C137))</f>
        <v/>
      </c>
    </row>
    <row r="138" ht="15" customHeight="1" s="41">
      <c r="A138" s="52" t="str">
        <f>IF(구성원목록!$A137="","",구성원목록!$A137)</f>
        <v/>
      </c>
      <c r="B138" s="52" t="str">
        <f>IF($A138="","",구성원목록!$B137)</f>
        <v/>
      </c>
      <c r="C138" s="62" t="str">
        <f>IF($A138="","",COUNTIFS(액션아이템!$D$3:$D$1002,$A138))</f>
        <v/>
      </c>
      <c r="D138" s="62" t="str">
        <f>IF($A138="","",COUNTIFS(액션아이템!$D$3:$D$1002,$A138,액션아이템!$F$3:$F$1002,"진행중"))</f>
        <v/>
      </c>
      <c r="E138" s="62" t="str">
        <f>IF($A138="","",COUNTIFS(액션아이템!$D$3:$D$1002,$A138,액션아이템!$F$3:$F$1002,"완료"))</f>
        <v/>
      </c>
      <c r="F138" s="62" t="str">
        <f>IF($A138="","",COUNTIFS(액션아이템!$D$3:$D$1002,$A138,액션아이템!$H$3:$H$1002,"&lt;0"))</f>
        <v/>
      </c>
      <c r="G138" s="65" t="str">
        <f>IF($A138="","",IF($C138=0,"",$E138/$C138))</f>
        <v/>
      </c>
    </row>
    <row r="139" ht="15" customHeight="1" s="41">
      <c r="A139" s="52" t="str">
        <f>IF(구성원목록!$A138="","",구성원목록!$A138)</f>
        <v/>
      </c>
      <c r="B139" s="52" t="str">
        <f>IF($A139="","",구성원목록!$B138)</f>
        <v/>
      </c>
      <c r="C139" s="62" t="str">
        <f>IF($A139="","",COUNTIFS(액션아이템!$D$3:$D$1002,$A139))</f>
        <v/>
      </c>
      <c r="D139" s="62" t="str">
        <f>IF($A139="","",COUNTIFS(액션아이템!$D$3:$D$1002,$A139,액션아이템!$F$3:$F$1002,"진행중"))</f>
        <v/>
      </c>
      <c r="E139" s="62" t="str">
        <f>IF($A139="","",COUNTIFS(액션아이템!$D$3:$D$1002,$A139,액션아이템!$F$3:$F$1002,"완료"))</f>
        <v/>
      </c>
      <c r="F139" s="62" t="str">
        <f>IF($A139="","",COUNTIFS(액션아이템!$D$3:$D$1002,$A139,액션아이템!$H$3:$H$1002,"&lt;0"))</f>
        <v/>
      </c>
      <c r="G139" s="65" t="str">
        <f>IF($A139="","",IF($C139=0,"",$E139/$C139))</f>
        <v/>
      </c>
    </row>
    <row r="140" ht="15" customHeight="1" s="41">
      <c r="A140" s="52" t="str">
        <f>IF(구성원목록!$A139="","",구성원목록!$A139)</f>
        <v/>
      </c>
      <c r="B140" s="52" t="str">
        <f>IF($A140="","",구성원목록!$B139)</f>
        <v/>
      </c>
      <c r="C140" s="62" t="str">
        <f>IF($A140="","",COUNTIFS(액션아이템!$D$3:$D$1002,$A140))</f>
        <v/>
      </c>
      <c r="D140" s="62" t="str">
        <f>IF($A140="","",COUNTIFS(액션아이템!$D$3:$D$1002,$A140,액션아이템!$F$3:$F$1002,"진행중"))</f>
        <v/>
      </c>
      <c r="E140" s="62" t="str">
        <f>IF($A140="","",COUNTIFS(액션아이템!$D$3:$D$1002,$A140,액션아이템!$F$3:$F$1002,"완료"))</f>
        <v/>
      </c>
      <c r="F140" s="62" t="str">
        <f>IF($A140="","",COUNTIFS(액션아이템!$D$3:$D$1002,$A140,액션아이템!$H$3:$H$1002,"&lt;0"))</f>
        <v/>
      </c>
      <c r="G140" s="65" t="str">
        <f>IF($A140="","",IF($C140=0,"",$E140/$C140))</f>
        <v/>
      </c>
    </row>
    <row r="141" ht="15" customHeight="1" s="41">
      <c r="A141" s="52" t="str">
        <f>IF(구성원목록!$A140="","",구성원목록!$A140)</f>
        <v/>
      </c>
      <c r="B141" s="52" t="str">
        <f>IF($A141="","",구성원목록!$B140)</f>
        <v/>
      </c>
      <c r="C141" s="62" t="str">
        <f>IF($A141="","",COUNTIFS(액션아이템!$D$3:$D$1002,$A141))</f>
        <v/>
      </c>
      <c r="D141" s="62" t="str">
        <f>IF($A141="","",COUNTIFS(액션아이템!$D$3:$D$1002,$A141,액션아이템!$F$3:$F$1002,"진행중"))</f>
        <v/>
      </c>
      <c r="E141" s="62" t="str">
        <f>IF($A141="","",COUNTIFS(액션아이템!$D$3:$D$1002,$A141,액션아이템!$F$3:$F$1002,"완료"))</f>
        <v/>
      </c>
      <c r="F141" s="62" t="str">
        <f>IF($A141="","",COUNTIFS(액션아이템!$D$3:$D$1002,$A141,액션아이템!$H$3:$H$1002,"&lt;0"))</f>
        <v/>
      </c>
      <c r="G141" s="65" t="str">
        <f>IF($A141="","",IF($C141=0,"",$E141/$C141))</f>
        <v/>
      </c>
    </row>
    <row r="142" ht="15" customHeight="1" s="41">
      <c r="A142" s="52" t="str">
        <f>IF(구성원목록!$A141="","",구성원목록!$A141)</f>
        <v/>
      </c>
      <c r="B142" s="52" t="str">
        <f>IF($A142="","",구성원목록!$B141)</f>
        <v/>
      </c>
      <c r="C142" s="62" t="str">
        <f>IF($A142="","",COUNTIFS(액션아이템!$D$3:$D$1002,$A142))</f>
        <v/>
      </c>
      <c r="D142" s="62" t="str">
        <f>IF($A142="","",COUNTIFS(액션아이템!$D$3:$D$1002,$A142,액션아이템!$F$3:$F$1002,"진행중"))</f>
        <v/>
      </c>
      <c r="E142" s="62" t="str">
        <f>IF($A142="","",COUNTIFS(액션아이템!$D$3:$D$1002,$A142,액션아이템!$F$3:$F$1002,"완료"))</f>
        <v/>
      </c>
      <c r="F142" s="62" t="str">
        <f>IF($A142="","",COUNTIFS(액션아이템!$D$3:$D$1002,$A142,액션아이템!$H$3:$H$1002,"&lt;0"))</f>
        <v/>
      </c>
      <c r="G142" s="65" t="str">
        <f>IF($A142="","",IF($C142=0,"",$E142/$C142))</f>
        <v/>
      </c>
    </row>
    <row r="143" ht="15" customHeight="1" s="41">
      <c r="A143" s="52" t="str">
        <f>IF(구성원목록!$A142="","",구성원목록!$A142)</f>
        <v/>
      </c>
      <c r="B143" s="52" t="str">
        <f>IF($A143="","",구성원목록!$B142)</f>
        <v/>
      </c>
      <c r="C143" s="62" t="str">
        <f>IF($A143="","",COUNTIFS(액션아이템!$D$3:$D$1002,$A143))</f>
        <v/>
      </c>
      <c r="D143" s="62" t="str">
        <f>IF($A143="","",COUNTIFS(액션아이템!$D$3:$D$1002,$A143,액션아이템!$F$3:$F$1002,"진행중"))</f>
        <v/>
      </c>
      <c r="E143" s="62" t="str">
        <f>IF($A143="","",COUNTIFS(액션아이템!$D$3:$D$1002,$A143,액션아이템!$F$3:$F$1002,"완료"))</f>
        <v/>
      </c>
      <c r="F143" s="62" t="str">
        <f>IF($A143="","",COUNTIFS(액션아이템!$D$3:$D$1002,$A143,액션아이템!$H$3:$H$1002,"&lt;0"))</f>
        <v/>
      </c>
      <c r="G143" s="65" t="str">
        <f>IF($A143="","",IF($C143=0,"",$E143/$C143))</f>
        <v/>
      </c>
    </row>
    <row r="144" ht="15" customHeight="1" s="41">
      <c r="A144" s="52" t="str">
        <f>IF(구성원목록!$A143="","",구성원목록!$A143)</f>
        <v/>
      </c>
      <c r="B144" s="52" t="str">
        <f>IF($A144="","",구성원목록!$B143)</f>
        <v/>
      </c>
      <c r="C144" s="62" t="str">
        <f>IF($A144="","",COUNTIFS(액션아이템!$D$3:$D$1002,$A144))</f>
        <v/>
      </c>
      <c r="D144" s="62" t="str">
        <f>IF($A144="","",COUNTIFS(액션아이템!$D$3:$D$1002,$A144,액션아이템!$F$3:$F$1002,"진행중"))</f>
        <v/>
      </c>
      <c r="E144" s="62" t="str">
        <f>IF($A144="","",COUNTIFS(액션아이템!$D$3:$D$1002,$A144,액션아이템!$F$3:$F$1002,"완료"))</f>
        <v/>
      </c>
      <c r="F144" s="62" t="str">
        <f>IF($A144="","",COUNTIFS(액션아이템!$D$3:$D$1002,$A144,액션아이템!$H$3:$H$1002,"&lt;0"))</f>
        <v/>
      </c>
      <c r="G144" s="65" t="str">
        <f>IF($A144="","",IF($C144=0,"",$E144/$C144))</f>
        <v/>
      </c>
    </row>
    <row r="145" ht="15" customHeight="1" s="41">
      <c r="A145" s="52" t="str">
        <f>IF(구성원목록!$A144="","",구성원목록!$A144)</f>
        <v/>
      </c>
      <c r="B145" s="52" t="str">
        <f>IF($A145="","",구성원목록!$B144)</f>
        <v/>
      </c>
      <c r="C145" s="62" t="str">
        <f>IF($A145="","",COUNTIFS(액션아이템!$D$3:$D$1002,$A145))</f>
        <v/>
      </c>
      <c r="D145" s="62" t="str">
        <f>IF($A145="","",COUNTIFS(액션아이템!$D$3:$D$1002,$A145,액션아이템!$F$3:$F$1002,"진행중"))</f>
        <v/>
      </c>
      <c r="E145" s="62" t="str">
        <f>IF($A145="","",COUNTIFS(액션아이템!$D$3:$D$1002,$A145,액션아이템!$F$3:$F$1002,"완료"))</f>
        <v/>
      </c>
      <c r="F145" s="62" t="str">
        <f>IF($A145="","",COUNTIFS(액션아이템!$D$3:$D$1002,$A145,액션아이템!$H$3:$H$1002,"&lt;0"))</f>
        <v/>
      </c>
      <c r="G145" s="65" t="str">
        <f>IF($A145="","",IF($C145=0,"",$E145/$C145))</f>
        <v/>
      </c>
    </row>
    <row r="146" ht="15" customHeight="1" s="41">
      <c r="A146" s="52" t="str">
        <f>IF(구성원목록!$A145="","",구성원목록!$A145)</f>
        <v/>
      </c>
      <c r="B146" s="52" t="str">
        <f>IF($A146="","",구성원목록!$B145)</f>
        <v/>
      </c>
      <c r="C146" s="62" t="str">
        <f>IF($A146="","",COUNTIFS(액션아이템!$D$3:$D$1002,$A146))</f>
        <v/>
      </c>
      <c r="D146" s="62" t="str">
        <f>IF($A146="","",COUNTIFS(액션아이템!$D$3:$D$1002,$A146,액션아이템!$F$3:$F$1002,"진행중"))</f>
        <v/>
      </c>
      <c r="E146" s="62" t="str">
        <f>IF($A146="","",COUNTIFS(액션아이템!$D$3:$D$1002,$A146,액션아이템!$F$3:$F$1002,"완료"))</f>
        <v/>
      </c>
      <c r="F146" s="62" t="str">
        <f>IF($A146="","",COUNTIFS(액션아이템!$D$3:$D$1002,$A146,액션아이템!$H$3:$H$1002,"&lt;0"))</f>
        <v/>
      </c>
      <c r="G146" s="65" t="str">
        <f>IF($A146="","",IF($C146=0,"",$E146/$C146))</f>
        <v/>
      </c>
    </row>
    <row r="147" ht="15" customHeight="1" s="41">
      <c r="A147" s="52" t="str">
        <f>IF(구성원목록!$A146="","",구성원목록!$A146)</f>
        <v/>
      </c>
      <c r="B147" s="52" t="str">
        <f>IF($A147="","",구성원목록!$B146)</f>
        <v/>
      </c>
      <c r="C147" s="62" t="str">
        <f>IF($A147="","",COUNTIFS(액션아이템!$D$3:$D$1002,$A147))</f>
        <v/>
      </c>
      <c r="D147" s="62" t="str">
        <f>IF($A147="","",COUNTIFS(액션아이템!$D$3:$D$1002,$A147,액션아이템!$F$3:$F$1002,"진행중"))</f>
        <v/>
      </c>
      <c r="E147" s="62" t="str">
        <f>IF($A147="","",COUNTIFS(액션아이템!$D$3:$D$1002,$A147,액션아이템!$F$3:$F$1002,"완료"))</f>
        <v/>
      </c>
      <c r="F147" s="62" t="str">
        <f>IF($A147="","",COUNTIFS(액션아이템!$D$3:$D$1002,$A147,액션아이템!$H$3:$H$1002,"&lt;0"))</f>
        <v/>
      </c>
      <c r="G147" s="65" t="str">
        <f>IF($A147="","",IF($C147=0,"",$E147/$C147))</f>
        <v/>
      </c>
    </row>
    <row r="148" ht="15" customHeight="1" s="41">
      <c r="A148" s="52" t="str">
        <f>IF(구성원목록!$A147="","",구성원목록!$A147)</f>
        <v/>
      </c>
      <c r="B148" s="52" t="str">
        <f>IF($A148="","",구성원목록!$B147)</f>
        <v/>
      </c>
      <c r="C148" s="62" t="str">
        <f>IF($A148="","",COUNTIFS(액션아이템!$D$3:$D$1002,$A148))</f>
        <v/>
      </c>
      <c r="D148" s="62" t="str">
        <f>IF($A148="","",COUNTIFS(액션아이템!$D$3:$D$1002,$A148,액션아이템!$F$3:$F$1002,"진행중"))</f>
        <v/>
      </c>
      <c r="E148" s="62" t="str">
        <f>IF($A148="","",COUNTIFS(액션아이템!$D$3:$D$1002,$A148,액션아이템!$F$3:$F$1002,"완료"))</f>
        <v/>
      </c>
      <c r="F148" s="62" t="str">
        <f>IF($A148="","",COUNTIFS(액션아이템!$D$3:$D$1002,$A148,액션아이템!$H$3:$H$1002,"&lt;0"))</f>
        <v/>
      </c>
      <c r="G148" s="65" t="str">
        <f>IF($A148="","",IF($C148=0,"",$E148/$C148))</f>
        <v/>
      </c>
    </row>
    <row r="149" ht="15" customHeight="1" s="41">
      <c r="A149" s="52" t="str">
        <f>IF(구성원목록!$A148="","",구성원목록!$A148)</f>
        <v/>
      </c>
      <c r="B149" s="52" t="str">
        <f>IF($A149="","",구성원목록!$B148)</f>
        <v/>
      </c>
      <c r="C149" s="62" t="str">
        <f>IF($A149="","",COUNTIFS(액션아이템!$D$3:$D$1002,$A149))</f>
        <v/>
      </c>
      <c r="D149" s="62" t="str">
        <f>IF($A149="","",COUNTIFS(액션아이템!$D$3:$D$1002,$A149,액션아이템!$F$3:$F$1002,"진행중"))</f>
        <v/>
      </c>
      <c r="E149" s="62" t="str">
        <f>IF($A149="","",COUNTIFS(액션아이템!$D$3:$D$1002,$A149,액션아이템!$F$3:$F$1002,"완료"))</f>
        <v/>
      </c>
      <c r="F149" s="62" t="str">
        <f>IF($A149="","",COUNTIFS(액션아이템!$D$3:$D$1002,$A149,액션아이템!$H$3:$H$1002,"&lt;0"))</f>
        <v/>
      </c>
      <c r="G149" s="65" t="str">
        <f>IF($A149="","",IF($C149=0,"",$E149/$C149))</f>
        <v/>
      </c>
    </row>
    <row r="150" ht="15" customHeight="1" s="41">
      <c r="A150" s="52" t="str">
        <f>IF(구성원목록!$A149="","",구성원목록!$A149)</f>
        <v/>
      </c>
      <c r="B150" s="52" t="str">
        <f>IF($A150="","",구성원목록!$B149)</f>
        <v/>
      </c>
      <c r="C150" s="62" t="str">
        <f>IF($A150="","",COUNTIFS(액션아이템!$D$3:$D$1002,$A150))</f>
        <v/>
      </c>
      <c r="D150" s="62" t="str">
        <f>IF($A150="","",COUNTIFS(액션아이템!$D$3:$D$1002,$A150,액션아이템!$F$3:$F$1002,"진행중"))</f>
        <v/>
      </c>
      <c r="E150" s="62" t="str">
        <f>IF($A150="","",COUNTIFS(액션아이템!$D$3:$D$1002,$A150,액션아이템!$F$3:$F$1002,"완료"))</f>
        <v/>
      </c>
      <c r="F150" s="62" t="str">
        <f>IF($A150="","",COUNTIFS(액션아이템!$D$3:$D$1002,$A150,액션아이템!$H$3:$H$1002,"&lt;0"))</f>
        <v/>
      </c>
      <c r="G150" s="65" t="str">
        <f>IF($A150="","",IF($C150=0,"",$E150/$C150))</f>
        <v/>
      </c>
    </row>
    <row r="151" ht="15" customHeight="1" s="41">
      <c r="A151" s="52" t="str">
        <f>IF(구성원목록!$A150="","",구성원목록!$A150)</f>
        <v/>
      </c>
      <c r="B151" s="52" t="str">
        <f>IF($A151="","",구성원목록!$B150)</f>
        <v/>
      </c>
      <c r="C151" s="62" t="str">
        <f>IF($A151="","",COUNTIFS(액션아이템!$D$3:$D$1002,$A151))</f>
        <v/>
      </c>
      <c r="D151" s="62" t="str">
        <f>IF($A151="","",COUNTIFS(액션아이템!$D$3:$D$1002,$A151,액션아이템!$F$3:$F$1002,"진행중"))</f>
        <v/>
      </c>
      <c r="E151" s="62" t="str">
        <f>IF($A151="","",COUNTIFS(액션아이템!$D$3:$D$1002,$A151,액션아이템!$F$3:$F$1002,"완료"))</f>
        <v/>
      </c>
      <c r="F151" s="62" t="str">
        <f>IF($A151="","",COUNTIFS(액션아이템!$D$3:$D$1002,$A151,액션아이템!$H$3:$H$1002,"&lt;0"))</f>
        <v/>
      </c>
      <c r="G151" s="65" t="str">
        <f>IF($A151="","",IF($C151=0,"",$E151/$C151))</f>
        <v/>
      </c>
    </row>
    <row r="152" ht="15" customHeight="1" s="41">
      <c r="A152" s="52" t="str">
        <f>IF(구성원목록!$A151="","",구성원목록!$A151)</f>
        <v/>
      </c>
      <c r="B152" s="52" t="str">
        <f>IF($A152="","",구성원목록!$B151)</f>
        <v/>
      </c>
      <c r="C152" s="62" t="str">
        <f>IF($A152="","",COUNTIFS(액션아이템!$D$3:$D$1002,$A152))</f>
        <v/>
      </c>
      <c r="D152" s="62" t="str">
        <f>IF($A152="","",COUNTIFS(액션아이템!$D$3:$D$1002,$A152,액션아이템!$F$3:$F$1002,"진행중"))</f>
        <v/>
      </c>
      <c r="E152" s="62" t="str">
        <f>IF($A152="","",COUNTIFS(액션아이템!$D$3:$D$1002,$A152,액션아이템!$F$3:$F$1002,"완료"))</f>
        <v/>
      </c>
      <c r="F152" s="62" t="str">
        <f>IF($A152="","",COUNTIFS(액션아이템!$D$3:$D$1002,$A152,액션아이템!$H$3:$H$1002,"&lt;0"))</f>
        <v/>
      </c>
      <c r="G152" s="65" t="str">
        <f>IF($A152="","",IF($C152=0,"",$E152/$C152))</f>
        <v/>
      </c>
    </row>
    <row r="153" ht="15" customHeight="1" s="41">
      <c r="A153" s="52" t="str">
        <f>IF(구성원목록!$A152="","",구성원목록!$A152)</f>
        <v/>
      </c>
      <c r="B153" s="52" t="str">
        <f>IF($A153="","",구성원목록!$B152)</f>
        <v/>
      </c>
      <c r="C153" s="62" t="str">
        <f>IF($A153="","",COUNTIFS(액션아이템!$D$3:$D$1002,$A153))</f>
        <v/>
      </c>
      <c r="D153" s="62" t="str">
        <f>IF($A153="","",COUNTIFS(액션아이템!$D$3:$D$1002,$A153,액션아이템!$F$3:$F$1002,"진행중"))</f>
        <v/>
      </c>
      <c r="E153" s="62" t="str">
        <f>IF($A153="","",COUNTIFS(액션아이템!$D$3:$D$1002,$A153,액션아이템!$F$3:$F$1002,"완료"))</f>
        <v/>
      </c>
      <c r="F153" s="62" t="str">
        <f>IF($A153="","",COUNTIFS(액션아이템!$D$3:$D$1002,$A153,액션아이템!$H$3:$H$1002,"&lt;0"))</f>
        <v/>
      </c>
      <c r="G153" s="65" t="str">
        <f>IF($A153="","",IF($C153=0,"",$E153/$C153))</f>
        <v/>
      </c>
    </row>
    <row r="154" ht="15" customHeight="1" s="41">
      <c r="A154" s="52" t="str">
        <f>IF(구성원목록!$A153="","",구성원목록!$A153)</f>
        <v/>
      </c>
      <c r="B154" s="52" t="str">
        <f>IF($A154="","",구성원목록!$B153)</f>
        <v/>
      </c>
      <c r="C154" s="62" t="str">
        <f>IF($A154="","",COUNTIFS(액션아이템!$D$3:$D$1002,$A154))</f>
        <v/>
      </c>
      <c r="D154" s="62" t="str">
        <f>IF($A154="","",COUNTIFS(액션아이템!$D$3:$D$1002,$A154,액션아이템!$F$3:$F$1002,"진행중"))</f>
        <v/>
      </c>
      <c r="E154" s="62" t="str">
        <f>IF($A154="","",COUNTIFS(액션아이템!$D$3:$D$1002,$A154,액션아이템!$F$3:$F$1002,"완료"))</f>
        <v/>
      </c>
      <c r="F154" s="62" t="str">
        <f>IF($A154="","",COUNTIFS(액션아이템!$D$3:$D$1002,$A154,액션아이템!$H$3:$H$1002,"&lt;0"))</f>
        <v/>
      </c>
      <c r="G154" s="65" t="str">
        <f>IF($A154="","",IF($C154=0,"",$E154/$C154))</f>
        <v/>
      </c>
    </row>
    <row r="155" ht="15" customHeight="1" s="41">
      <c r="A155" s="52" t="str">
        <f>IF(구성원목록!$A154="","",구성원목록!$A154)</f>
        <v/>
      </c>
      <c r="B155" s="52" t="str">
        <f>IF($A155="","",구성원목록!$B154)</f>
        <v/>
      </c>
      <c r="C155" s="62" t="str">
        <f>IF($A155="","",COUNTIFS(액션아이템!$D$3:$D$1002,$A155))</f>
        <v/>
      </c>
      <c r="D155" s="62" t="str">
        <f>IF($A155="","",COUNTIFS(액션아이템!$D$3:$D$1002,$A155,액션아이템!$F$3:$F$1002,"진행중"))</f>
        <v/>
      </c>
      <c r="E155" s="62" t="str">
        <f>IF($A155="","",COUNTIFS(액션아이템!$D$3:$D$1002,$A155,액션아이템!$F$3:$F$1002,"완료"))</f>
        <v/>
      </c>
      <c r="F155" s="62" t="str">
        <f>IF($A155="","",COUNTIFS(액션아이템!$D$3:$D$1002,$A155,액션아이템!$H$3:$H$1002,"&lt;0"))</f>
        <v/>
      </c>
      <c r="G155" s="65" t="str">
        <f>IF($A155="","",IF($C155=0,"",$E155/$C155))</f>
        <v/>
      </c>
    </row>
    <row r="156" ht="15" customHeight="1" s="41">
      <c r="A156" s="52" t="str">
        <f>IF(구성원목록!$A155="","",구성원목록!$A155)</f>
        <v/>
      </c>
      <c r="B156" s="52" t="str">
        <f>IF($A156="","",구성원목록!$B155)</f>
        <v/>
      </c>
      <c r="C156" s="62" t="str">
        <f>IF($A156="","",COUNTIFS(액션아이템!$D$3:$D$1002,$A156))</f>
        <v/>
      </c>
      <c r="D156" s="62" t="str">
        <f>IF($A156="","",COUNTIFS(액션아이템!$D$3:$D$1002,$A156,액션아이템!$F$3:$F$1002,"진행중"))</f>
        <v/>
      </c>
      <c r="E156" s="62" t="str">
        <f>IF($A156="","",COUNTIFS(액션아이템!$D$3:$D$1002,$A156,액션아이템!$F$3:$F$1002,"완료"))</f>
        <v/>
      </c>
      <c r="F156" s="62" t="str">
        <f>IF($A156="","",COUNTIFS(액션아이템!$D$3:$D$1002,$A156,액션아이템!$H$3:$H$1002,"&lt;0"))</f>
        <v/>
      </c>
      <c r="G156" s="65" t="str">
        <f>IF($A156="","",IF($C156=0,"",$E156/$C156))</f>
        <v/>
      </c>
    </row>
    <row r="157" ht="15" customHeight="1" s="41">
      <c r="A157" s="52" t="str">
        <f>IF(구성원목록!$A156="","",구성원목록!$A156)</f>
        <v/>
      </c>
      <c r="B157" s="52" t="str">
        <f>IF($A157="","",구성원목록!$B156)</f>
        <v/>
      </c>
      <c r="C157" s="62" t="str">
        <f>IF($A157="","",COUNTIFS(액션아이템!$D$3:$D$1002,$A157))</f>
        <v/>
      </c>
      <c r="D157" s="62" t="str">
        <f>IF($A157="","",COUNTIFS(액션아이템!$D$3:$D$1002,$A157,액션아이템!$F$3:$F$1002,"진행중"))</f>
        <v/>
      </c>
      <c r="E157" s="62" t="str">
        <f>IF($A157="","",COUNTIFS(액션아이템!$D$3:$D$1002,$A157,액션아이템!$F$3:$F$1002,"완료"))</f>
        <v/>
      </c>
      <c r="F157" s="62" t="str">
        <f>IF($A157="","",COUNTIFS(액션아이템!$D$3:$D$1002,$A157,액션아이템!$H$3:$H$1002,"&lt;0"))</f>
        <v/>
      </c>
      <c r="G157" s="65" t="str">
        <f>IF($A157="","",IF($C157=0,"",$E157/$C157))</f>
        <v/>
      </c>
    </row>
    <row r="158" ht="15" customHeight="1" s="41">
      <c r="A158" s="52" t="str">
        <f>IF(구성원목록!$A157="","",구성원목록!$A157)</f>
        <v/>
      </c>
      <c r="B158" s="52" t="str">
        <f>IF($A158="","",구성원목록!$B157)</f>
        <v/>
      </c>
      <c r="C158" s="62" t="str">
        <f>IF($A158="","",COUNTIFS(액션아이템!$D$3:$D$1002,$A158))</f>
        <v/>
      </c>
      <c r="D158" s="62" t="str">
        <f>IF($A158="","",COUNTIFS(액션아이템!$D$3:$D$1002,$A158,액션아이템!$F$3:$F$1002,"진행중"))</f>
        <v/>
      </c>
      <c r="E158" s="62" t="str">
        <f>IF($A158="","",COUNTIFS(액션아이템!$D$3:$D$1002,$A158,액션아이템!$F$3:$F$1002,"완료"))</f>
        <v/>
      </c>
      <c r="F158" s="62" t="str">
        <f>IF($A158="","",COUNTIFS(액션아이템!$D$3:$D$1002,$A158,액션아이템!$H$3:$H$1002,"&lt;0"))</f>
        <v/>
      </c>
      <c r="G158" s="65" t="str">
        <f>IF($A158="","",IF($C158=0,"",$E158/$C158))</f>
        <v/>
      </c>
    </row>
    <row r="159" ht="15" customHeight="1" s="41">
      <c r="A159" s="52" t="str">
        <f>IF(구성원목록!$A158="","",구성원목록!$A158)</f>
        <v/>
      </c>
      <c r="B159" s="52" t="str">
        <f>IF($A159="","",구성원목록!$B158)</f>
        <v/>
      </c>
      <c r="C159" s="62" t="str">
        <f>IF($A159="","",COUNTIFS(액션아이템!$D$3:$D$1002,$A159))</f>
        <v/>
      </c>
      <c r="D159" s="62" t="str">
        <f>IF($A159="","",COUNTIFS(액션아이템!$D$3:$D$1002,$A159,액션아이템!$F$3:$F$1002,"진행중"))</f>
        <v/>
      </c>
      <c r="E159" s="62" t="str">
        <f>IF($A159="","",COUNTIFS(액션아이템!$D$3:$D$1002,$A159,액션아이템!$F$3:$F$1002,"완료"))</f>
        <v/>
      </c>
      <c r="F159" s="62" t="str">
        <f>IF($A159="","",COUNTIFS(액션아이템!$D$3:$D$1002,$A159,액션아이템!$H$3:$H$1002,"&lt;0"))</f>
        <v/>
      </c>
      <c r="G159" s="65" t="str">
        <f>IF($A159="","",IF($C159=0,"",$E159/$C159))</f>
        <v/>
      </c>
    </row>
    <row r="160" ht="15" customHeight="1" s="41">
      <c r="A160" s="52" t="str">
        <f>IF(구성원목록!$A159="","",구성원목록!$A159)</f>
        <v/>
      </c>
      <c r="B160" s="52" t="str">
        <f>IF($A160="","",구성원목록!$B159)</f>
        <v/>
      </c>
      <c r="C160" s="62" t="str">
        <f>IF($A160="","",COUNTIFS(액션아이템!$D$3:$D$1002,$A160))</f>
        <v/>
      </c>
      <c r="D160" s="62" t="str">
        <f>IF($A160="","",COUNTIFS(액션아이템!$D$3:$D$1002,$A160,액션아이템!$F$3:$F$1002,"진행중"))</f>
        <v/>
      </c>
      <c r="E160" s="62" t="str">
        <f>IF($A160="","",COUNTIFS(액션아이템!$D$3:$D$1002,$A160,액션아이템!$F$3:$F$1002,"완료"))</f>
        <v/>
      </c>
      <c r="F160" s="62" t="str">
        <f>IF($A160="","",COUNTIFS(액션아이템!$D$3:$D$1002,$A160,액션아이템!$H$3:$H$1002,"&lt;0"))</f>
        <v/>
      </c>
      <c r="G160" s="65" t="str">
        <f>IF($A160="","",IF($C160=0,"",$E160/$C160))</f>
        <v/>
      </c>
    </row>
    <row r="161" ht="15" customHeight="1" s="41">
      <c r="A161" s="52" t="str">
        <f>IF(구성원목록!$A160="","",구성원목록!$A160)</f>
        <v/>
      </c>
      <c r="B161" s="52" t="str">
        <f>IF($A161="","",구성원목록!$B160)</f>
        <v/>
      </c>
      <c r="C161" s="62" t="str">
        <f>IF($A161="","",COUNTIFS(액션아이템!$D$3:$D$1002,$A161))</f>
        <v/>
      </c>
      <c r="D161" s="62" t="str">
        <f>IF($A161="","",COUNTIFS(액션아이템!$D$3:$D$1002,$A161,액션아이템!$F$3:$F$1002,"진행중"))</f>
        <v/>
      </c>
      <c r="E161" s="62" t="str">
        <f>IF($A161="","",COUNTIFS(액션아이템!$D$3:$D$1002,$A161,액션아이템!$F$3:$F$1002,"완료"))</f>
        <v/>
      </c>
      <c r="F161" s="62" t="str">
        <f>IF($A161="","",COUNTIFS(액션아이템!$D$3:$D$1002,$A161,액션아이템!$H$3:$H$1002,"&lt;0"))</f>
        <v/>
      </c>
      <c r="G161" s="65" t="str">
        <f>IF($A161="","",IF($C161=0,"",$E161/$C161))</f>
        <v/>
      </c>
    </row>
    <row r="162" ht="15" customHeight="1" s="41">
      <c r="A162" s="52" t="str">
        <f>IF(구성원목록!$A161="","",구성원목록!$A161)</f>
        <v/>
      </c>
      <c r="B162" s="52" t="str">
        <f>IF($A162="","",구성원목록!$B161)</f>
        <v/>
      </c>
      <c r="C162" s="62" t="str">
        <f>IF($A162="","",COUNTIFS(액션아이템!$D$3:$D$1002,$A162))</f>
        <v/>
      </c>
      <c r="D162" s="62" t="str">
        <f>IF($A162="","",COUNTIFS(액션아이템!$D$3:$D$1002,$A162,액션아이템!$F$3:$F$1002,"진행중"))</f>
        <v/>
      </c>
      <c r="E162" s="62" t="str">
        <f>IF($A162="","",COUNTIFS(액션아이템!$D$3:$D$1002,$A162,액션아이템!$F$3:$F$1002,"완료"))</f>
        <v/>
      </c>
      <c r="F162" s="62" t="str">
        <f>IF($A162="","",COUNTIFS(액션아이템!$D$3:$D$1002,$A162,액션아이템!$H$3:$H$1002,"&lt;0"))</f>
        <v/>
      </c>
      <c r="G162" s="65" t="str">
        <f>IF($A162="","",IF($C162=0,"",$E162/$C162))</f>
        <v/>
      </c>
    </row>
    <row r="163" ht="15" customHeight="1" s="41">
      <c r="A163" s="52" t="str">
        <f>IF(구성원목록!$A162="","",구성원목록!$A162)</f>
        <v/>
      </c>
      <c r="B163" s="52" t="str">
        <f>IF($A163="","",구성원목록!$B162)</f>
        <v/>
      </c>
      <c r="C163" s="62" t="str">
        <f>IF($A163="","",COUNTIFS(액션아이템!$D$3:$D$1002,$A163))</f>
        <v/>
      </c>
      <c r="D163" s="62" t="str">
        <f>IF($A163="","",COUNTIFS(액션아이템!$D$3:$D$1002,$A163,액션아이템!$F$3:$F$1002,"진행중"))</f>
        <v/>
      </c>
      <c r="E163" s="62" t="str">
        <f>IF($A163="","",COUNTIFS(액션아이템!$D$3:$D$1002,$A163,액션아이템!$F$3:$F$1002,"완료"))</f>
        <v/>
      </c>
      <c r="F163" s="62" t="str">
        <f>IF($A163="","",COUNTIFS(액션아이템!$D$3:$D$1002,$A163,액션아이템!$H$3:$H$1002,"&lt;0"))</f>
        <v/>
      </c>
      <c r="G163" s="65" t="str">
        <f>IF($A163="","",IF($C163=0,"",$E163/$C163))</f>
        <v/>
      </c>
    </row>
    <row r="164" ht="15" customHeight="1" s="41">
      <c r="A164" s="52" t="str">
        <f>IF(구성원목록!$A163="","",구성원목록!$A163)</f>
        <v/>
      </c>
      <c r="B164" s="52" t="str">
        <f>IF($A164="","",구성원목록!$B163)</f>
        <v/>
      </c>
      <c r="C164" s="62" t="str">
        <f>IF($A164="","",COUNTIFS(액션아이템!$D$3:$D$1002,$A164))</f>
        <v/>
      </c>
      <c r="D164" s="62" t="str">
        <f>IF($A164="","",COUNTIFS(액션아이템!$D$3:$D$1002,$A164,액션아이템!$F$3:$F$1002,"진행중"))</f>
        <v/>
      </c>
      <c r="E164" s="62" t="str">
        <f>IF($A164="","",COUNTIFS(액션아이템!$D$3:$D$1002,$A164,액션아이템!$F$3:$F$1002,"완료"))</f>
        <v/>
      </c>
      <c r="F164" s="62" t="str">
        <f>IF($A164="","",COUNTIFS(액션아이템!$D$3:$D$1002,$A164,액션아이템!$H$3:$H$1002,"&lt;0"))</f>
        <v/>
      </c>
      <c r="G164" s="65" t="str">
        <f>IF($A164="","",IF($C164=0,"",$E164/$C164))</f>
        <v/>
      </c>
    </row>
    <row r="165" ht="15" customHeight="1" s="41">
      <c r="A165" s="52" t="str">
        <f>IF(구성원목록!$A164="","",구성원목록!$A164)</f>
        <v/>
      </c>
      <c r="B165" s="52" t="str">
        <f>IF($A165="","",구성원목록!$B164)</f>
        <v/>
      </c>
      <c r="C165" s="62" t="str">
        <f>IF($A165="","",COUNTIFS(액션아이템!$D$3:$D$1002,$A165))</f>
        <v/>
      </c>
      <c r="D165" s="62" t="str">
        <f>IF($A165="","",COUNTIFS(액션아이템!$D$3:$D$1002,$A165,액션아이템!$F$3:$F$1002,"진행중"))</f>
        <v/>
      </c>
      <c r="E165" s="62" t="str">
        <f>IF($A165="","",COUNTIFS(액션아이템!$D$3:$D$1002,$A165,액션아이템!$F$3:$F$1002,"완료"))</f>
        <v/>
      </c>
      <c r="F165" s="62" t="str">
        <f>IF($A165="","",COUNTIFS(액션아이템!$D$3:$D$1002,$A165,액션아이템!$H$3:$H$1002,"&lt;0"))</f>
        <v/>
      </c>
      <c r="G165" s="65" t="str">
        <f>IF($A165="","",IF($C165=0,"",$E165/$C165))</f>
        <v/>
      </c>
    </row>
    <row r="166" ht="15" customHeight="1" s="41">
      <c r="A166" s="52" t="str">
        <f>IF(구성원목록!$A165="","",구성원목록!$A165)</f>
        <v/>
      </c>
      <c r="B166" s="52" t="str">
        <f>IF($A166="","",구성원목록!$B165)</f>
        <v/>
      </c>
      <c r="C166" s="62" t="str">
        <f>IF($A166="","",COUNTIFS(액션아이템!$D$3:$D$1002,$A166))</f>
        <v/>
      </c>
      <c r="D166" s="62" t="str">
        <f>IF($A166="","",COUNTIFS(액션아이템!$D$3:$D$1002,$A166,액션아이템!$F$3:$F$1002,"진행중"))</f>
        <v/>
      </c>
      <c r="E166" s="62" t="str">
        <f>IF($A166="","",COUNTIFS(액션아이템!$D$3:$D$1002,$A166,액션아이템!$F$3:$F$1002,"완료"))</f>
        <v/>
      </c>
      <c r="F166" s="62" t="str">
        <f>IF($A166="","",COUNTIFS(액션아이템!$D$3:$D$1002,$A166,액션아이템!$H$3:$H$1002,"&lt;0"))</f>
        <v/>
      </c>
      <c r="G166" s="65" t="str">
        <f>IF($A166="","",IF($C166=0,"",$E166/$C166))</f>
        <v/>
      </c>
    </row>
    <row r="167" ht="15" customHeight="1" s="41">
      <c r="A167" s="52" t="str">
        <f>IF(구성원목록!$A166="","",구성원목록!$A166)</f>
        <v/>
      </c>
      <c r="B167" s="52" t="str">
        <f>IF($A167="","",구성원목록!$B166)</f>
        <v/>
      </c>
      <c r="C167" s="62" t="str">
        <f>IF($A167="","",COUNTIFS(액션아이템!$D$3:$D$1002,$A167))</f>
        <v/>
      </c>
      <c r="D167" s="62" t="str">
        <f>IF($A167="","",COUNTIFS(액션아이템!$D$3:$D$1002,$A167,액션아이템!$F$3:$F$1002,"진행중"))</f>
        <v/>
      </c>
      <c r="E167" s="62" t="str">
        <f>IF($A167="","",COUNTIFS(액션아이템!$D$3:$D$1002,$A167,액션아이템!$F$3:$F$1002,"완료"))</f>
        <v/>
      </c>
      <c r="F167" s="62" t="str">
        <f>IF($A167="","",COUNTIFS(액션아이템!$D$3:$D$1002,$A167,액션아이템!$H$3:$H$1002,"&lt;0"))</f>
        <v/>
      </c>
      <c r="G167" s="65" t="str">
        <f>IF($A167="","",IF($C167=0,"",$E167/$C167))</f>
        <v/>
      </c>
    </row>
    <row r="168" ht="15" customHeight="1" s="41">
      <c r="A168" s="52" t="str">
        <f>IF(구성원목록!$A167="","",구성원목록!$A167)</f>
        <v/>
      </c>
      <c r="B168" s="52" t="str">
        <f>IF($A168="","",구성원목록!$B167)</f>
        <v/>
      </c>
      <c r="C168" s="62" t="str">
        <f>IF($A168="","",COUNTIFS(액션아이템!$D$3:$D$1002,$A168))</f>
        <v/>
      </c>
      <c r="D168" s="62" t="str">
        <f>IF($A168="","",COUNTIFS(액션아이템!$D$3:$D$1002,$A168,액션아이템!$F$3:$F$1002,"진행중"))</f>
        <v/>
      </c>
      <c r="E168" s="62" t="str">
        <f>IF($A168="","",COUNTIFS(액션아이템!$D$3:$D$1002,$A168,액션아이템!$F$3:$F$1002,"완료"))</f>
        <v/>
      </c>
      <c r="F168" s="62" t="str">
        <f>IF($A168="","",COUNTIFS(액션아이템!$D$3:$D$1002,$A168,액션아이템!$H$3:$H$1002,"&lt;0"))</f>
        <v/>
      </c>
      <c r="G168" s="65" t="str">
        <f>IF($A168="","",IF($C168=0,"",$E168/$C168))</f>
        <v/>
      </c>
    </row>
    <row r="169" ht="15" customHeight="1" s="41">
      <c r="A169" s="52" t="str">
        <f>IF(구성원목록!$A168="","",구성원목록!$A168)</f>
        <v/>
      </c>
      <c r="B169" s="52" t="str">
        <f>IF($A169="","",구성원목록!$B168)</f>
        <v/>
      </c>
      <c r="C169" s="62" t="str">
        <f>IF($A169="","",COUNTIFS(액션아이템!$D$3:$D$1002,$A169))</f>
        <v/>
      </c>
      <c r="D169" s="62" t="str">
        <f>IF($A169="","",COUNTIFS(액션아이템!$D$3:$D$1002,$A169,액션아이템!$F$3:$F$1002,"진행중"))</f>
        <v/>
      </c>
      <c r="E169" s="62" t="str">
        <f>IF($A169="","",COUNTIFS(액션아이템!$D$3:$D$1002,$A169,액션아이템!$F$3:$F$1002,"완료"))</f>
        <v/>
      </c>
      <c r="F169" s="62" t="str">
        <f>IF($A169="","",COUNTIFS(액션아이템!$D$3:$D$1002,$A169,액션아이템!$H$3:$H$1002,"&lt;0"))</f>
        <v/>
      </c>
      <c r="G169" s="65" t="str">
        <f>IF($A169="","",IF($C169=0,"",$E169/$C169))</f>
        <v/>
      </c>
    </row>
    <row r="170" ht="15" customHeight="1" s="41">
      <c r="A170" s="52" t="str">
        <f>IF(구성원목록!$A169="","",구성원목록!$A169)</f>
        <v/>
      </c>
      <c r="B170" s="52" t="str">
        <f>IF($A170="","",구성원목록!$B169)</f>
        <v/>
      </c>
      <c r="C170" s="62" t="str">
        <f>IF($A170="","",COUNTIFS(액션아이템!$D$3:$D$1002,$A170))</f>
        <v/>
      </c>
      <c r="D170" s="62" t="str">
        <f>IF($A170="","",COUNTIFS(액션아이템!$D$3:$D$1002,$A170,액션아이템!$F$3:$F$1002,"진행중"))</f>
        <v/>
      </c>
      <c r="E170" s="62" t="str">
        <f>IF($A170="","",COUNTIFS(액션아이템!$D$3:$D$1002,$A170,액션아이템!$F$3:$F$1002,"완료"))</f>
        <v/>
      </c>
      <c r="F170" s="62" t="str">
        <f>IF($A170="","",COUNTIFS(액션아이템!$D$3:$D$1002,$A170,액션아이템!$H$3:$H$1002,"&lt;0"))</f>
        <v/>
      </c>
      <c r="G170" s="65" t="str">
        <f>IF($A170="","",IF($C170=0,"",$E170/$C170))</f>
        <v/>
      </c>
    </row>
    <row r="171" ht="15" customHeight="1" s="41">
      <c r="A171" s="52" t="str">
        <f>IF(구성원목록!$A170="","",구성원목록!$A170)</f>
        <v/>
      </c>
      <c r="B171" s="52" t="str">
        <f>IF($A171="","",구성원목록!$B170)</f>
        <v/>
      </c>
      <c r="C171" s="62" t="str">
        <f>IF($A171="","",COUNTIFS(액션아이템!$D$3:$D$1002,$A171))</f>
        <v/>
      </c>
      <c r="D171" s="62" t="str">
        <f>IF($A171="","",COUNTIFS(액션아이템!$D$3:$D$1002,$A171,액션아이템!$F$3:$F$1002,"진행중"))</f>
        <v/>
      </c>
      <c r="E171" s="62" t="str">
        <f>IF($A171="","",COUNTIFS(액션아이템!$D$3:$D$1002,$A171,액션아이템!$F$3:$F$1002,"완료"))</f>
        <v/>
      </c>
      <c r="F171" s="62" t="str">
        <f>IF($A171="","",COUNTIFS(액션아이템!$D$3:$D$1002,$A171,액션아이템!$H$3:$H$1002,"&lt;0"))</f>
        <v/>
      </c>
      <c r="G171" s="65" t="str">
        <f>IF($A171="","",IF($C171=0,"",$E171/$C171))</f>
        <v/>
      </c>
    </row>
    <row r="172" ht="15" customHeight="1" s="41">
      <c r="A172" s="52" t="str">
        <f>IF(구성원목록!$A171="","",구성원목록!$A171)</f>
        <v/>
      </c>
      <c r="B172" s="52" t="str">
        <f>IF($A172="","",구성원목록!$B171)</f>
        <v/>
      </c>
      <c r="C172" s="62" t="str">
        <f>IF($A172="","",COUNTIFS(액션아이템!$D$3:$D$1002,$A172))</f>
        <v/>
      </c>
      <c r="D172" s="62" t="str">
        <f>IF($A172="","",COUNTIFS(액션아이템!$D$3:$D$1002,$A172,액션아이템!$F$3:$F$1002,"진행중"))</f>
        <v/>
      </c>
      <c r="E172" s="62" t="str">
        <f>IF($A172="","",COUNTIFS(액션아이템!$D$3:$D$1002,$A172,액션아이템!$F$3:$F$1002,"완료"))</f>
        <v/>
      </c>
      <c r="F172" s="62" t="str">
        <f>IF($A172="","",COUNTIFS(액션아이템!$D$3:$D$1002,$A172,액션아이템!$H$3:$H$1002,"&lt;0"))</f>
        <v/>
      </c>
      <c r="G172" s="65" t="str">
        <f>IF($A172="","",IF($C172=0,"",$E172/$C172))</f>
        <v/>
      </c>
    </row>
    <row r="173" ht="15" customHeight="1" s="41">
      <c r="A173" s="52" t="str">
        <f>IF(구성원목록!$A172="","",구성원목록!$A172)</f>
        <v/>
      </c>
      <c r="B173" s="52" t="str">
        <f>IF($A173="","",구성원목록!$B172)</f>
        <v/>
      </c>
      <c r="C173" s="62" t="str">
        <f>IF($A173="","",COUNTIFS(액션아이템!$D$3:$D$1002,$A173))</f>
        <v/>
      </c>
      <c r="D173" s="62" t="str">
        <f>IF($A173="","",COUNTIFS(액션아이템!$D$3:$D$1002,$A173,액션아이템!$F$3:$F$1002,"진행중"))</f>
        <v/>
      </c>
      <c r="E173" s="62" t="str">
        <f>IF($A173="","",COUNTIFS(액션아이템!$D$3:$D$1002,$A173,액션아이템!$F$3:$F$1002,"완료"))</f>
        <v/>
      </c>
      <c r="F173" s="62" t="str">
        <f>IF($A173="","",COUNTIFS(액션아이템!$D$3:$D$1002,$A173,액션아이템!$H$3:$H$1002,"&lt;0"))</f>
        <v/>
      </c>
      <c r="G173" s="65" t="str">
        <f>IF($A173="","",IF($C173=0,"",$E173/$C173))</f>
        <v/>
      </c>
    </row>
    <row r="174" ht="15" customHeight="1" s="41">
      <c r="A174" s="52" t="str">
        <f>IF(구성원목록!$A173="","",구성원목록!$A173)</f>
        <v/>
      </c>
      <c r="B174" s="52" t="str">
        <f>IF($A174="","",구성원목록!$B173)</f>
        <v/>
      </c>
      <c r="C174" s="62" t="str">
        <f>IF($A174="","",COUNTIFS(액션아이템!$D$3:$D$1002,$A174))</f>
        <v/>
      </c>
      <c r="D174" s="62" t="str">
        <f>IF($A174="","",COUNTIFS(액션아이템!$D$3:$D$1002,$A174,액션아이템!$F$3:$F$1002,"진행중"))</f>
        <v/>
      </c>
      <c r="E174" s="62" t="str">
        <f>IF($A174="","",COUNTIFS(액션아이템!$D$3:$D$1002,$A174,액션아이템!$F$3:$F$1002,"완료"))</f>
        <v/>
      </c>
      <c r="F174" s="62" t="str">
        <f>IF($A174="","",COUNTIFS(액션아이템!$D$3:$D$1002,$A174,액션아이템!$H$3:$H$1002,"&lt;0"))</f>
        <v/>
      </c>
      <c r="G174" s="65" t="str">
        <f>IF($A174="","",IF($C174=0,"",$E174/$C174))</f>
        <v/>
      </c>
    </row>
    <row r="175" ht="15" customHeight="1" s="41">
      <c r="A175" s="52" t="str">
        <f>IF(구성원목록!$A174="","",구성원목록!$A174)</f>
        <v/>
      </c>
      <c r="B175" s="52" t="str">
        <f>IF($A175="","",구성원목록!$B174)</f>
        <v/>
      </c>
      <c r="C175" s="62" t="str">
        <f>IF($A175="","",COUNTIFS(액션아이템!$D$3:$D$1002,$A175))</f>
        <v/>
      </c>
      <c r="D175" s="62" t="str">
        <f>IF($A175="","",COUNTIFS(액션아이템!$D$3:$D$1002,$A175,액션아이템!$F$3:$F$1002,"진행중"))</f>
        <v/>
      </c>
      <c r="E175" s="62" t="str">
        <f>IF($A175="","",COUNTIFS(액션아이템!$D$3:$D$1002,$A175,액션아이템!$F$3:$F$1002,"완료"))</f>
        <v/>
      </c>
      <c r="F175" s="62" t="str">
        <f>IF($A175="","",COUNTIFS(액션아이템!$D$3:$D$1002,$A175,액션아이템!$H$3:$H$1002,"&lt;0"))</f>
        <v/>
      </c>
      <c r="G175" s="65" t="str">
        <f>IF($A175="","",IF($C175=0,"",$E175/$C175))</f>
        <v/>
      </c>
    </row>
    <row r="176" ht="15" customHeight="1" s="41">
      <c r="A176" s="52" t="str">
        <f>IF(구성원목록!$A175="","",구성원목록!$A175)</f>
        <v/>
      </c>
      <c r="B176" s="52" t="str">
        <f>IF($A176="","",구성원목록!$B175)</f>
        <v/>
      </c>
      <c r="C176" s="62" t="str">
        <f>IF($A176="","",COUNTIFS(액션아이템!$D$3:$D$1002,$A176))</f>
        <v/>
      </c>
      <c r="D176" s="62" t="str">
        <f>IF($A176="","",COUNTIFS(액션아이템!$D$3:$D$1002,$A176,액션아이템!$F$3:$F$1002,"진행중"))</f>
        <v/>
      </c>
      <c r="E176" s="62" t="str">
        <f>IF($A176="","",COUNTIFS(액션아이템!$D$3:$D$1002,$A176,액션아이템!$F$3:$F$1002,"완료"))</f>
        <v/>
      </c>
      <c r="F176" s="62" t="str">
        <f>IF($A176="","",COUNTIFS(액션아이템!$D$3:$D$1002,$A176,액션아이템!$H$3:$H$1002,"&lt;0"))</f>
        <v/>
      </c>
      <c r="G176" s="65" t="str">
        <f>IF($A176="","",IF($C176=0,"",$E176/$C176))</f>
        <v/>
      </c>
    </row>
    <row r="177" ht="15" customHeight="1" s="41">
      <c r="A177" s="52" t="str">
        <f>IF(구성원목록!$A176="","",구성원목록!$A176)</f>
        <v/>
      </c>
      <c r="B177" s="52" t="str">
        <f>IF($A177="","",구성원목록!$B176)</f>
        <v/>
      </c>
      <c r="C177" s="62" t="str">
        <f>IF($A177="","",COUNTIFS(액션아이템!$D$3:$D$1002,$A177))</f>
        <v/>
      </c>
      <c r="D177" s="62" t="str">
        <f>IF($A177="","",COUNTIFS(액션아이템!$D$3:$D$1002,$A177,액션아이템!$F$3:$F$1002,"진행중"))</f>
        <v/>
      </c>
      <c r="E177" s="62" t="str">
        <f>IF($A177="","",COUNTIFS(액션아이템!$D$3:$D$1002,$A177,액션아이템!$F$3:$F$1002,"완료"))</f>
        <v/>
      </c>
      <c r="F177" s="62" t="str">
        <f>IF($A177="","",COUNTIFS(액션아이템!$D$3:$D$1002,$A177,액션아이템!$H$3:$H$1002,"&lt;0"))</f>
        <v/>
      </c>
      <c r="G177" s="65" t="str">
        <f>IF($A177="","",IF($C177=0,"",$E177/$C177))</f>
        <v/>
      </c>
    </row>
    <row r="178" ht="15" customHeight="1" s="41">
      <c r="A178" s="52" t="str">
        <f>IF(구성원목록!$A177="","",구성원목록!$A177)</f>
        <v/>
      </c>
      <c r="B178" s="52" t="str">
        <f>IF($A178="","",구성원목록!$B177)</f>
        <v/>
      </c>
      <c r="C178" s="62" t="str">
        <f>IF($A178="","",COUNTIFS(액션아이템!$D$3:$D$1002,$A178))</f>
        <v/>
      </c>
      <c r="D178" s="62" t="str">
        <f>IF($A178="","",COUNTIFS(액션아이템!$D$3:$D$1002,$A178,액션아이템!$F$3:$F$1002,"진행중"))</f>
        <v/>
      </c>
      <c r="E178" s="62" t="str">
        <f>IF($A178="","",COUNTIFS(액션아이템!$D$3:$D$1002,$A178,액션아이템!$F$3:$F$1002,"완료"))</f>
        <v/>
      </c>
      <c r="F178" s="62" t="str">
        <f>IF($A178="","",COUNTIFS(액션아이템!$D$3:$D$1002,$A178,액션아이템!$H$3:$H$1002,"&lt;0"))</f>
        <v/>
      </c>
      <c r="G178" s="65" t="str">
        <f>IF($A178="","",IF($C178=0,"",$E178/$C178))</f>
        <v/>
      </c>
    </row>
    <row r="179" ht="15" customHeight="1" s="41">
      <c r="A179" s="52" t="str">
        <f>IF(구성원목록!$A178="","",구성원목록!$A178)</f>
        <v/>
      </c>
      <c r="B179" s="52" t="str">
        <f>IF($A179="","",구성원목록!$B178)</f>
        <v/>
      </c>
      <c r="C179" s="62" t="str">
        <f>IF($A179="","",COUNTIFS(액션아이템!$D$3:$D$1002,$A179))</f>
        <v/>
      </c>
      <c r="D179" s="62" t="str">
        <f>IF($A179="","",COUNTIFS(액션아이템!$D$3:$D$1002,$A179,액션아이템!$F$3:$F$1002,"진행중"))</f>
        <v/>
      </c>
      <c r="E179" s="62" t="str">
        <f>IF($A179="","",COUNTIFS(액션아이템!$D$3:$D$1002,$A179,액션아이템!$F$3:$F$1002,"완료"))</f>
        <v/>
      </c>
      <c r="F179" s="62" t="str">
        <f>IF($A179="","",COUNTIFS(액션아이템!$D$3:$D$1002,$A179,액션아이템!$H$3:$H$1002,"&lt;0"))</f>
        <v/>
      </c>
      <c r="G179" s="65" t="str">
        <f>IF($A179="","",IF($C179=0,"",$E179/$C179))</f>
        <v/>
      </c>
    </row>
    <row r="180" ht="15" customHeight="1" s="41">
      <c r="A180" s="52" t="str">
        <f>IF(구성원목록!$A179="","",구성원목록!$A179)</f>
        <v/>
      </c>
      <c r="B180" s="52" t="str">
        <f>IF($A180="","",구성원목록!$B179)</f>
        <v/>
      </c>
      <c r="C180" s="62" t="str">
        <f>IF($A180="","",COUNTIFS(액션아이템!$D$3:$D$1002,$A180))</f>
        <v/>
      </c>
      <c r="D180" s="62" t="str">
        <f>IF($A180="","",COUNTIFS(액션아이템!$D$3:$D$1002,$A180,액션아이템!$F$3:$F$1002,"진행중"))</f>
        <v/>
      </c>
      <c r="E180" s="62" t="str">
        <f>IF($A180="","",COUNTIFS(액션아이템!$D$3:$D$1002,$A180,액션아이템!$F$3:$F$1002,"완료"))</f>
        <v/>
      </c>
      <c r="F180" s="62" t="str">
        <f>IF($A180="","",COUNTIFS(액션아이템!$D$3:$D$1002,$A180,액션아이템!$H$3:$H$1002,"&lt;0"))</f>
        <v/>
      </c>
      <c r="G180" s="65" t="str">
        <f>IF($A180="","",IF($C180=0,"",$E180/$C180))</f>
        <v/>
      </c>
    </row>
    <row r="181" ht="15" customHeight="1" s="41">
      <c r="A181" s="52" t="str">
        <f>IF(구성원목록!$A180="","",구성원목록!$A180)</f>
        <v/>
      </c>
      <c r="B181" s="52" t="str">
        <f>IF($A181="","",구성원목록!$B180)</f>
        <v/>
      </c>
      <c r="C181" s="62" t="str">
        <f>IF($A181="","",COUNTIFS(액션아이템!$D$3:$D$1002,$A181))</f>
        <v/>
      </c>
      <c r="D181" s="62" t="str">
        <f>IF($A181="","",COUNTIFS(액션아이템!$D$3:$D$1002,$A181,액션아이템!$F$3:$F$1002,"진행중"))</f>
        <v/>
      </c>
      <c r="E181" s="62" t="str">
        <f>IF($A181="","",COUNTIFS(액션아이템!$D$3:$D$1002,$A181,액션아이템!$F$3:$F$1002,"완료"))</f>
        <v/>
      </c>
      <c r="F181" s="62" t="str">
        <f>IF($A181="","",COUNTIFS(액션아이템!$D$3:$D$1002,$A181,액션아이템!$H$3:$H$1002,"&lt;0"))</f>
        <v/>
      </c>
      <c r="G181" s="65" t="str">
        <f>IF($A181="","",IF($C181=0,"",$E181/$C181))</f>
        <v/>
      </c>
    </row>
    <row r="182" ht="15" customHeight="1" s="41">
      <c r="A182" s="52" t="str">
        <f>IF(구성원목록!$A181="","",구성원목록!$A181)</f>
        <v/>
      </c>
      <c r="B182" s="52" t="str">
        <f>IF($A182="","",구성원목록!$B181)</f>
        <v/>
      </c>
      <c r="C182" s="62" t="str">
        <f>IF($A182="","",COUNTIFS(액션아이템!$D$3:$D$1002,$A182))</f>
        <v/>
      </c>
      <c r="D182" s="62" t="str">
        <f>IF($A182="","",COUNTIFS(액션아이템!$D$3:$D$1002,$A182,액션아이템!$F$3:$F$1002,"진행중"))</f>
        <v/>
      </c>
      <c r="E182" s="62" t="str">
        <f>IF($A182="","",COUNTIFS(액션아이템!$D$3:$D$1002,$A182,액션아이템!$F$3:$F$1002,"완료"))</f>
        <v/>
      </c>
      <c r="F182" s="62" t="str">
        <f>IF($A182="","",COUNTIFS(액션아이템!$D$3:$D$1002,$A182,액션아이템!$H$3:$H$1002,"&lt;0"))</f>
        <v/>
      </c>
      <c r="G182" s="65" t="str">
        <f>IF($A182="","",IF($C182=0,"",$E182/$C182))</f>
        <v/>
      </c>
    </row>
    <row r="183" ht="15" customHeight="1" s="41">
      <c r="A183" s="52" t="str">
        <f>IF(구성원목록!$A182="","",구성원목록!$A182)</f>
        <v/>
      </c>
      <c r="B183" s="52" t="str">
        <f>IF($A183="","",구성원목록!$B182)</f>
        <v/>
      </c>
      <c r="C183" s="62" t="str">
        <f>IF($A183="","",COUNTIFS(액션아이템!$D$3:$D$1002,$A183))</f>
        <v/>
      </c>
      <c r="D183" s="62" t="str">
        <f>IF($A183="","",COUNTIFS(액션아이템!$D$3:$D$1002,$A183,액션아이템!$F$3:$F$1002,"진행중"))</f>
        <v/>
      </c>
      <c r="E183" s="62" t="str">
        <f>IF($A183="","",COUNTIFS(액션아이템!$D$3:$D$1002,$A183,액션아이템!$F$3:$F$1002,"완료"))</f>
        <v/>
      </c>
      <c r="F183" s="62" t="str">
        <f>IF($A183="","",COUNTIFS(액션아이템!$D$3:$D$1002,$A183,액션아이템!$H$3:$H$1002,"&lt;0"))</f>
        <v/>
      </c>
      <c r="G183" s="65" t="str">
        <f>IF($A183="","",IF($C183=0,"",$E183/$C183))</f>
        <v/>
      </c>
    </row>
    <row r="184" ht="15" customHeight="1" s="41">
      <c r="A184" s="52" t="str">
        <f>IF(구성원목록!$A183="","",구성원목록!$A183)</f>
        <v/>
      </c>
      <c r="B184" s="52" t="str">
        <f>IF($A184="","",구성원목록!$B183)</f>
        <v/>
      </c>
      <c r="C184" s="62" t="str">
        <f>IF($A184="","",COUNTIFS(액션아이템!$D$3:$D$1002,$A184))</f>
        <v/>
      </c>
      <c r="D184" s="62" t="str">
        <f>IF($A184="","",COUNTIFS(액션아이템!$D$3:$D$1002,$A184,액션아이템!$F$3:$F$1002,"진행중"))</f>
        <v/>
      </c>
      <c r="E184" s="62" t="str">
        <f>IF($A184="","",COUNTIFS(액션아이템!$D$3:$D$1002,$A184,액션아이템!$F$3:$F$1002,"완료"))</f>
        <v/>
      </c>
      <c r="F184" s="62" t="str">
        <f>IF($A184="","",COUNTIFS(액션아이템!$D$3:$D$1002,$A184,액션아이템!$H$3:$H$1002,"&lt;0"))</f>
        <v/>
      </c>
      <c r="G184" s="65" t="str">
        <f>IF($A184="","",IF($C184=0,"",$E184/$C184))</f>
        <v/>
      </c>
    </row>
    <row r="185" ht="15" customHeight="1" s="41">
      <c r="A185" s="52" t="str">
        <f>IF(구성원목록!$A184="","",구성원목록!$A184)</f>
        <v/>
      </c>
      <c r="B185" s="52" t="str">
        <f>IF($A185="","",구성원목록!$B184)</f>
        <v/>
      </c>
      <c r="C185" s="62" t="str">
        <f>IF($A185="","",COUNTIFS(액션아이템!$D$3:$D$1002,$A185))</f>
        <v/>
      </c>
      <c r="D185" s="62" t="str">
        <f>IF($A185="","",COUNTIFS(액션아이템!$D$3:$D$1002,$A185,액션아이템!$F$3:$F$1002,"진행중"))</f>
        <v/>
      </c>
      <c r="E185" s="62" t="str">
        <f>IF($A185="","",COUNTIFS(액션아이템!$D$3:$D$1002,$A185,액션아이템!$F$3:$F$1002,"완료"))</f>
        <v/>
      </c>
      <c r="F185" s="62" t="str">
        <f>IF($A185="","",COUNTIFS(액션아이템!$D$3:$D$1002,$A185,액션아이템!$H$3:$H$1002,"&lt;0"))</f>
        <v/>
      </c>
      <c r="G185" s="65" t="str">
        <f>IF($A185="","",IF($C185=0,"",$E185/$C185))</f>
        <v/>
      </c>
    </row>
    <row r="186" ht="15" customHeight="1" s="41">
      <c r="A186" s="52" t="str">
        <f>IF(구성원목록!$A185="","",구성원목록!$A185)</f>
        <v/>
      </c>
      <c r="B186" s="52" t="str">
        <f>IF($A186="","",구성원목록!$B185)</f>
        <v/>
      </c>
      <c r="C186" s="62" t="str">
        <f>IF($A186="","",COUNTIFS(액션아이템!$D$3:$D$1002,$A186))</f>
        <v/>
      </c>
      <c r="D186" s="62" t="str">
        <f>IF($A186="","",COUNTIFS(액션아이템!$D$3:$D$1002,$A186,액션아이템!$F$3:$F$1002,"진행중"))</f>
        <v/>
      </c>
      <c r="E186" s="62" t="str">
        <f>IF($A186="","",COUNTIFS(액션아이템!$D$3:$D$1002,$A186,액션아이템!$F$3:$F$1002,"완료"))</f>
        <v/>
      </c>
      <c r="F186" s="62" t="str">
        <f>IF($A186="","",COUNTIFS(액션아이템!$D$3:$D$1002,$A186,액션아이템!$H$3:$H$1002,"&lt;0"))</f>
        <v/>
      </c>
      <c r="G186" s="65" t="str">
        <f>IF($A186="","",IF($C186=0,"",$E186/$C186))</f>
        <v/>
      </c>
    </row>
    <row r="187" ht="15" customHeight="1" s="41">
      <c r="A187" s="52" t="str">
        <f>IF(구성원목록!$A186="","",구성원목록!$A186)</f>
        <v/>
      </c>
      <c r="B187" s="52" t="str">
        <f>IF($A187="","",구성원목록!$B186)</f>
        <v/>
      </c>
      <c r="C187" s="62" t="str">
        <f>IF($A187="","",COUNTIFS(액션아이템!$D$3:$D$1002,$A187))</f>
        <v/>
      </c>
      <c r="D187" s="62" t="str">
        <f>IF($A187="","",COUNTIFS(액션아이템!$D$3:$D$1002,$A187,액션아이템!$F$3:$F$1002,"진행중"))</f>
        <v/>
      </c>
      <c r="E187" s="62" t="str">
        <f>IF($A187="","",COUNTIFS(액션아이템!$D$3:$D$1002,$A187,액션아이템!$F$3:$F$1002,"완료"))</f>
        <v/>
      </c>
      <c r="F187" s="62" t="str">
        <f>IF($A187="","",COUNTIFS(액션아이템!$D$3:$D$1002,$A187,액션아이템!$H$3:$H$1002,"&lt;0"))</f>
        <v/>
      </c>
      <c r="G187" s="65" t="str">
        <f>IF($A187="","",IF($C187=0,"",$E187/$C187))</f>
        <v/>
      </c>
    </row>
    <row r="188" ht="15" customHeight="1" s="41">
      <c r="A188" s="52" t="str">
        <f>IF(구성원목록!$A187="","",구성원목록!$A187)</f>
        <v/>
      </c>
      <c r="B188" s="52" t="str">
        <f>IF($A188="","",구성원목록!$B187)</f>
        <v/>
      </c>
      <c r="C188" s="62" t="str">
        <f>IF($A188="","",COUNTIFS(액션아이템!$D$3:$D$1002,$A188))</f>
        <v/>
      </c>
      <c r="D188" s="62" t="str">
        <f>IF($A188="","",COUNTIFS(액션아이템!$D$3:$D$1002,$A188,액션아이템!$F$3:$F$1002,"진행중"))</f>
        <v/>
      </c>
      <c r="E188" s="62" t="str">
        <f>IF($A188="","",COUNTIFS(액션아이템!$D$3:$D$1002,$A188,액션아이템!$F$3:$F$1002,"완료"))</f>
        <v/>
      </c>
      <c r="F188" s="62" t="str">
        <f>IF($A188="","",COUNTIFS(액션아이템!$D$3:$D$1002,$A188,액션아이템!$H$3:$H$1002,"&lt;0"))</f>
        <v/>
      </c>
      <c r="G188" s="65" t="str">
        <f>IF($A188="","",IF($C188=0,"",$E188/$C188))</f>
        <v/>
      </c>
    </row>
    <row r="189" ht="15" customHeight="1" s="41">
      <c r="A189" s="52" t="str">
        <f>IF(구성원목록!$A188="","",구성원목록!$A188)</f>
        <v/>
      </c>
      <c r="B189" s="52" t="str">
        <f>IF($A189="","",구성원목록!$B188)</f>
        <v/>
      </c>
      <c r="C189" s="62" t="str">
        <f>IF($A189="","",COUNTIFS(액션아이템!$D$3:$D$1002,$A189))</f>
        <v/>
      </c>
      <c r="D189" s="62" t="str">
        <f>IF($A189="","",COUNTIFS(액션아이템!$D$3:$D$1002,$A189,액션아이템!$F$3:$F$1002,"진행중"))</f>
        <v/>
      </c>
      <c r="E189" s="62" t="str">
        <f>IF($A189="","",COUNTIFS(액션아이템!$D$3:$D$1002,$A189,액션아이템!$F$3:$F$1002,"완료"))</f>
        <v/>
      </c>
      <c r="F189" s="62" t="str">
        <f>IF($A189="","",COUNTIFS(액션아이템!$D$3:$D$1002,$A189,액션아이템!$H$3:$H$1002,"&lt;0"))</f>
        <v/>
      </c>
      <c r="G189" s="65" t="str">
        <f>IF($A189="","",IF($C189=0,"",$E189/$C189))</f>
        <v/>
      </c>
    </row>
    <row r="190" ht="15" customHeight="1" s="41">
      <c r="A190" s="52" t="str">
        <f>IF(구성원목록!$A189="","",구성원목록!$A189)</f>
        <v/>
      </c>
      <c r="B190" s="52" t="str">
        <f>IF($A190="","",구성원목록!$B189)</f>
        <v/>
      </c>
      <c r="C190" s="62" t="str">
        <f>IF($A190="","",COUNTIFS(액션아이템!$D$3:$D$1002,$A190))</f>
        <v/>
      </c>
      <c r="D190" s="62" t="str">
        <f>IF($A190="","",COUNTIFS(액션아이템!$D$3:$D$1002,$A190,액션아이템!$F$3:$F$1002,"진행중"))</f>
        <v/>
      </c>
      <c r="E190" s="62" t="str">
        <f>IF($A190="","",COUNTIFS(액션아이템!$D$3:$D$1002,$A190,액션아이템!$F$3:$F$1002,"완료"))</f>
        <v/>
      </c>
      <c r="F190" s="62" t="str">
        <f>IF($A190="","",COUNTIFS(액션아이템!$D$3:$D$1002,$A190,액션아이템!$H$3:$H$1002,"&lt;0"))</f>
        <v/>
      </c>
      <c r="G190" s="65" t="str">
        <f>IF($A190="","",IF($C190=0,"",$E190/$C190))</f>
        <v/>
      </c>
    </row>
    <row r="191" ht="15" customHeight="1" s="41">
      <c r="A191" s="52" t="str">
        <f>IF(구성원목록!$A190="","",구성원목록!$A190)</f>
        <v/>
      </c>
      <c r="B191" s="52" t="str">
        <f>IF($A191="","",구성원목록!$B190)</f>
        <v/>
      </c>
      <c r="C191" s="62" t="str">
        <f>IF($A191="","",COUNTIFS(액션아이템!$D$3:$D$1002,$A191))</f>
        <v/>
      </c>
      <c r="D191" s="62" t="str">
        <f>IF($A191="","",COUNTIFS(액션아이템!$D$3:$D$1002,$A191,액션아이템!$F$3:$F$1002,"진행중"))</f>
        <v/>
      </c>
      <c r="E191" s="62" t="str">
        <f>IF($A191="","",COUNTIFS(액션아이템!$D$3:$D$1002,$A191,액션아이템!$F$3:$F$1002,"완료"))</f>
        <v/>
      </c>
      <c r="F191" s="62" t="str">
        <f>IF($A191="","",COUNTIFS(액션아이템!$D$3:$D$1002,$A191,액션아이템!$H$3:$H$1002,"&lt;0"))</f>
        <v/>
      </c>
      <c r="G191" s="65" t="str">
        <f>IF($A191="","",IF($C191=0,"",$E191/$C191))</f>
        <v/>
      </c>
    </row>
    <row r="192" ht="15" customHeight="1" s="41">
      <c r="A192" s="52" t="str">
        <f>IF(구성원목록!$A191="","",구성원목록!$A191)</f>
        <v/>
      </c>
      <c r="B192" s="52" t="str">
        <f>IF($A192="","",구성원목록!$B191)</f>
        <v/>
      </c>
      <c r="C192" s="62" t="str">
        <f>IF($A192="","",COUNTIFS(액션아이템!$D$3:$D$1002,$A192))</f>
        <v/>
      </c>
      <c r="D192" s="62" t="str">
        <f>IF($A192="","",COUNTIFS(액션아이템!$D$3:$D$1002,$A192,액션아이템!$F$3:$F$1002,"진행중"))</f>
        <v/>
      </c>
      <c r="E192" s="62" t="str">
        <f>IF($A192="","",COUNTIFS(액션아이템!$D$3:$D$1002,$A192,액션아이템!$F$3:$F$1002,"완료"))</f>
        <v/>
      </c>
      <c r="F192" s="62" t="str">
        <f>IF($A192="","",COUNTIFS(액션아이템!$D$3:$D$1002,$A192,액션아이템!$H$3:$H$1002,"&lt;0"))</f>
        <v/>
      </c>
      <c r="G192" s="65" t="str">
        <f>IF($A192="","",IF($C192=0,"",$E192/$C192))</f>
        <v/>
      </c>
    </row>
    <row r="193" ht="15" customHeight="1" s="41">
      <c r="A193" s="52" t="str">
        <f>IF(구성원목록!$A192="","",구성원목록!$A192)</f>
        <v/>
      </c>
      <c r="B193" s="52" t="str">
        <f>IF($A193="","",구성원목록!$B192)</f>
        <v/>
      </c>
      <c r="C193" s="62" t="str">
        <f>IF($A193="","",COUNTIFS(액션아이템!$D$3:$D$1002,$A193))</f>
        <v/>
      </c>
      <c r="D193" s="62" t="str">
        <f>IF($A193="","",COUNTIFS(액션아이템!$D$3:$D$1002,$A193,액션아이템!$F$3:$F$1002,"진행중"))</f>
        <v/>
      </c>
      <c r="E193" s="62" t="str">
        <f>IF($A193="","",COUNTIFS(액션아이템!$D$3:$D$1002,$A193,액션아이템!$F$3:$F$1002,"완료"))</f>
        <v/>
      </c>
      <c r="F193" s="62" t="str">
        <f>IF($A193="","",COUNTIFS(액션아이템!$D$3:$D$1002,$A193,액션아이템!$H$3:$H$1002,"&lt;0"))</f>
        <v/>
      </c>
      <c r="G193" s="65" t="str">
        <f>IF($A193="","",IF($C193=0,"",$E193/$C193))</f>
        <v/>
      </c>
    </row>
    <row r="194" ht="15" customHeight="1" s="41">
      <c r="A194" s="52" t="str">
        <f>IF(구성원목록!$A193="","",구성원목록!$A193)</f>
        <v/>
      </c>
      <c r="B194" s="52" t="str">
        <f>IF($A194="","",구성원목록!$B193)</f>
        <v/>
      </c>
      <c r="C194" s="62" t="str">
        <f>IF($A194="","",COUNTIFS(액션아이템!$D$3:$D$1002,$A194))</f>
        <v/>
      </c>
      <c r="D194" s="62" t="str">
        <f>IF($A194="","",COUNTIFS(액션아이템!$D$3:$D$1002,$A194,액션아이템!$F$3:$F$1002,"진행중"))</f>
        <v/>
      </c>
      <c r="E194" s="62" t="str">
        <f>IF($A194="","",COUNTIFS(액션아이템!$D$3:$D$1002,$A194,액션아이템!$F$3:$F$1002,"완료"))</f>
        <v/>
      </c>
      <c r="F194" s="62" t="str">
        <f>IF($A194="","",COUNTIFS(액션아이템!$D$3:$D$1002,$A194,액션아이템!$H$3:$H$1002,"&lt;0"))</f>
        <v/>
      </c>
      <c r="G194" s="65" t="str">
        <f>IF($A194="","",IF($C194=0,"",$E194/$C194))</f>
        <v/>
      </c>
    </row>
    <row r="195" ht="15" customHeight="1" s="41">
      <c r="A195" s="52" t="str">
        <f>IF(구성원목록!$A194="","",구성원목록!$A194)</f>
        <v/>
      </c>
      <c r="B195" s="52" t="str">
        <f>IF($A195="","",구성원목록!$B194)</f>
        <v/>
      </c>
      <c r="C195" s="62" t="str">
        <f>IF($A195="","",COUNTIFS(액션아이템!$D$3:$D$1002,$A195))</f>
        <v/>
      </c>
      <c r="D195" s="62" t="str">
        <f>IF($A195="","",COUNTIFS(액션아이템!$D$3:$D$1002,$A195,액션아이템!$F$3:$F$1002,"진행중"))</f>
        <v/>
      </c>
      <c r="E195" s="62" t="str">
        <f>IF($A195="","",COUNTIFS(액션아이템!$D$3:$D$1002,$A195,액션아이템!$F$3:$F$1002,"완료"))</f>
        <v/>
      </c>
      <c r="F195" s="62" t="str">
        <f>IF($A195="","",COUNTIFS(액션아이템!$D$3:$D$1002,$A195,액션아이템!$H$3:$H$1002,"&lt;0"))</f>
        <v/>
      </c>
      <c r="G195" s="65" t="str">
        <f>IF($A195="","",IF($C195=0,"",$E195/$C195))</f>
        <v/>
      </c>
    </row>
    <row r="196" ht="15" customHeight="1" s="41">
      <c r="A196" s="52" t="str">
        <f>IF(구성원목록!$A195="","",구성원목록!$A195)</f>
        <v/>
      </c>
      <c r="B196" s="52" t="str">
        <f>IF($A196="","",구성원목록!$B195)</f>
        <v/>
      </c>
      <c r="C196" s="62" t="str">
        <f>IF($A196="","",COUNTIFS(액션아이템!$D$3:$D$1002,$A196))</f>
        <v/>
      </c>
      <c r="D196" s="62" t="str">
        <f>IF($A196="","",COUNTIFS(액션아이템!$D$3:$D$1002,$A196,액션아이템!$F$3:$F$1002,"진행중"))</f>
        <v/>
      </c>
      <c r="E196" s="62" t="str">
        <f>IF($A196="","",COUNTIFS(액션아이템!$D$3:$D$1002,$A196,액션아이템!$F$3:$F$1002,"완료"))</f>
        <v/>
      </c>
      <c r="F196" s="62" t="str">
        <f>IF($A196="","",COUNTIFS(액션아이템!$D$3:$D$1002,$A196,액션아이템!$H$3:$H$1002,"&lt;0"))</f>
        <v/>
      </c>
      <c r="G196" s="65" t="str">
        <f>IF($A196="","",IF($C196=0,"",$E196/$C196))</f>
        <v/>
      </c>
    </row>
    <row r="197" ht="15" customHeight="1" s="41">
      <c r="A197" s="52" t="str">
        <f>IF(구성원목록!$A196="","",구성원목록!$A196)</f>
        <v/>
      </c>
      <c r="B197" s="52" t="str">
        <f>IF($A197="","",구성원목록!$B196)</f>
        <v/>
      </c>
      <c r="C197" s="62" t="str">
        <f>IF($A197="","",COUNTIFS(액션아이템!$D$3:$D$1002,$A197))</f>
        <v/>
      </c>
      <c r="D197" s="62" t="str">
        <f>IF($A197="","",COUNTIFS(액션아이템!$D$3:$D$1002,$A197,액션아이템!$F$3:$F$1002,"진행중"))</f>
        <v/>
      </c>
      <c r="E197" s="62" t="str">
        <f>IF($A197="","",COUNTIFS(액션아이템!$D$3:$D$1002,$A197,액션아이템!$F$3:$F$1002,"완료"))</f>
        <v/>
      </c>
      <c r="F197" s="62" t="str">
        <f>IF($A197="","",COUNTIFS(액션아이템!$D$3:$D$1002,$A197,액션아이템!$H$3:$H$1002,"&lt;0"))</f>
        <v/>
      </c>
      <c r="G197" s="65" t="str">
        <f>IF($A197="","",IF($C197=0,"",$E197/$C197))</f>
        <v/>
      </c>
    </row>
    <row r="198" ht="15" customHeight="1" s="41">
      <c r="A198" s="52" t="str">
        <f>IF(구성원목록!$A197="","",구성원목록!$A197)</f>
        <v/>
      </c>
      <c r="B198" s="52" t="str">
        <f>IF($A198="","",구성원목록!$B197)</f>
        <v/>
      </c>
      <c r="C198" s="62" t="str">
        <f>IF($A198="","",COUNTIFS(액션아이템!$D$3:$D$1002,$A198))</f>
        <v/>
      </c>
      <c r="D198" s="62" t="str">
        <f>IF($A198="","",COUNTIFS(액션아이템!$D$3:$D$1002,$A198,액션아이템!$F$3:$F$1002,"진행중"))</f>
        <v/>
      </c>
      <c r="E198" s="62" t="str">
        <f>IF($A198="","",COUNTIFS(액션아이템!$D$3:$D$1002,$A198,액션아이템!$F$3:$F$1002,"완료"))</f>
        <v/>
      </c>
      <c r="F198" s="62" t="str">
        <f>IF($A198="","",COUNTIFS(액션아이템!$D$3:$D$1002,$A198,액션아이템!$H$3:$H$1002,"&lt;0"))</f>
        <v/>
      </c>
      <c r="G198" s="65" t="str">
        <f>IF($A198="","",IF($C198=0,"",$E198/$C198))</f>
        <v/>
      </c>
    </row>
    <row r="199" ht="15" customHeight="1" s="41">
      <c r="A199" s="52" t="str">
        <f>IF(구성원목록!$A198="","",구성원목록!$A198)</f>
        <v/>
      </c>
      <c r="B199" s="52" t="str">
        <f>IF($A199="","",구성원목록!$B198)</f>
        <v/>
      </c>
      <c r="C199" s="62" t="str">
        <f>IF($A199="","",COUNTIFS(액션아이템!$D$3:$D$1002,$A199))</f>
        <v/>
      </c>
      <c r="D199" s="62" t="str">
        <f>IF($A199="","",COUNTIFS(액션아이템!$D$3:$D$1002,$A199,액션아이템!$F$3:$F$1002,"진행중"))</f>
        <v/>
      </c>
      <c r="E199" s="62" t="str">
        <f>IF($A199="","",COUNTIFS(액션아이템!$D$3:$D$1002,$A199,액션아이템!$F$3:$F$1002,"완료"))</f>
        <v/>
      </c>
      <c r="F199" s="62" t="str">
        <f>IF($A199="","",COUNTIFS(액션아이템!$D$3:$D$1002,$A199,액션아이템!$H$3:$H$1002,"&lt;0"))</f>
        <v/>
      </c>
      <c r="G199" s="65" t="str">
        <f>IF($A199="","",IF($C199=0,"",$E199/$C199))</f>
        <v/>
      </c>
    </row>
    <row r="200" ht="15" customHeight="1" s="41">
      <c r="A200" s="52" t="str">
        <f>IF(구성원목록!$A199="","",구성원목록!$A199)</f>
        <v/>
      </c>
      <c r="B200" s="52" t="str">
        <f>IF($A200="","",구성원목록!$B199)</f>
        <v/>
      </c>
      <c r="C200" s="62" t="str">
        <f>IF($A200="","",COUNTIFS(액션아이템!$D$3:$D$1002,$A200))</f>
        <v/>
      </c>
      <c r="D200" s="62" t="str">
        <f>IF($A200="","",COUNTIFS(액션아이템!$D$3:$D$1002,$A200,액션아이템!$F$3:$F$1002,"진행중"))</f>
        <v/>
      </c>
      <c r="E200" s="62" t="str">
        <f>IF($A200="","",COUNTIFS(액션아이템!$D$3:$D$1002,$A200,액션아이템!$F$3:$F$1002,"완료"))</f>
        <v/>
      </c>
      <c r="F200" s="62" t="str">
        <f>IF($A200="","",COUNTIFS(액션아이템!$D$3:$D$1002,$A200,액션아이템!$H$3:$H$1002,"&lt;0"))</f>
        <v/>
      </c>
      <c r="G200" s="65" t="str">
        <f>IF($A200="","",IF($C200=0,"",$E200/$C200))</f>
        <v/>
      </c>
    </row>
    <row r="201" ht="15" customHeight="1" s="41">
      <c r="A201" s="52" t="str">
        <f>IF(구성원목록!$A200="","",구성원목록!$A200)</f>
        <v/>
      </c>
      <c r="B201" s="52" t="str">
        <f>IF($A201="","",구성원목록!$B200)</f>
        <v/>
      </c>
      <c r="C201" s="62" t="str">
        <f>IF($A201="","",COUNTIFS(액션아이템!$D$3:$D$1002,$A201))</f>
        <v/>
      </c>
      <c r="D201" s="62" t="str">
        <f>IF($A201="","",COUNTIFS(액션아이템!$D$3:$D$1002,$A201,액션아이템!$F$3:$F$1002,"진행중"))</f>
        <v/>
      </c>
      <c r="E201" s="62" t="str">
        <f>IF($A201="","",COUNTIFS(액션아이템!$D$3:$D$1002,$A201,액션아이템!$F$3:$F$1002,"완료"))</f>
        <v/>
      </c>
      <c r="F201" s="62" t="str">
        <f>IF($A201="","",COUNTIFS(액션아이템!$D$3:$D$1002,$A201,액션아이템!$H$3:$H$1002,"&lt;0"))</f>
        <v/>
      </c>
      <c r="G201" s="65" t="str">
        <f>IF($A201="","",IF($C201=0,"",$E201/$C201))</f>
        <v/>
      </c>
    </row>
    <row r="202" ht="15" customHeight="1" s="41">
      <c r="A202" s="52" t="str">
        <f>IF(구성원목록!$A201="","",구성원목록!$A201)</f>
        <v/>
      </c>
      <c r="B202" s="52" t="str">
        <f>IF($A202="","",구성원목록!$B201)</f>
        <v/>
      </c>
      <c r="C202" s="62" t="str">
        <f>IF($A202="","",COUNTIFS(액션아이템!$D$3:$D$1002,$A202))</f>
        <v/>
      </c>
      <c r="D202" s="62" t="str">
        <f>IF($A202="","",COUNTIFS(액션아이템!$D$3:$D$1002,$A202,액션아이템!$F$3:$F$1002,"진행중"))</f>
        <v/>
      </c>
      <c r="E202" s="62" t="str">
        <f>IF($A202="","",COUNTIFS(액션아이템!$D$3:$D$1002,$A202,액션아이템!$F$3:$F$1002,"완료"))</f>
        <v/>
      </c>
      <c r="F202" s="62" t="str">
        <f>IF($A202="","",COUNTIFS(액션아이템!$D$3:$D$1002,$A202,액션아이템!$H$3:$H$1002,"&lt;0"))</f>
        <v/>
      </c>
      <c r="G202" s="65" t="str">
        <f>IF($A202="","",IF($C202=0,"",$E202/$C202))</f>
        <v/>
      </c>
    </row>
    <row r="203" ht="15" customHeight="1" s="41">
      <c r="A203" s="52" t="str">
        <f>IF(구성원목록!$A202="","",구성원목록!$A202)</f>
        <v/>
      </c>
      <c r="B203" s="52" t="str">
        <f>IF($A203="","",구성원목록!$B202)</f>
        <v/>
      </c>
      <c r="C203" s="62" t="str">
        <f>IF($A203="","",COUNTIFS(액션아이템!$D$3:$D$1002,$A203))</f>
        <v/>
      </c>
      <c r="D203" s="62" t="str">
        <f>IF($A203="","",COUNTIFS(액션아이템!$D$3:$D$1002,$A203,액션아이템!$F$3:$F$1002,"진행중"))</f>
        <v/>
      </c>
      <c r="E203" s="62" t="str">
        <f>IF($A203="","",COUNTIFS(액션아이템!$D$3:$D$1002,$A203,액션아이템!$F$3:$F$1002,"완료"))</f>
        <v/>
      </c>
      <c r="F203" s="62" t="str">
        <f>IF($A203="","",COUNTIFS(액션아이템!$D$3:$D$1002,$A203,액션아이템!$H$3:$H$1002,"&lt;0"))</f>
        <v/>
      </c>
      <c r="G203" s="65" t="str">
        <f>IF($A203="","",IF($C203=0,"",$E203/$C203))</f>
        <v/>
      </c>
    </row>
    <row r="205" ht="15" customHeight="1" s="41">
      <c r="B205" s="66" t="inlineStr">
        <is>
          <t>합계</t>
        </is>
      </c>
      <c r="C205" s="67" t="n">
        <f>SUM(C4:C203)</f>
        <v>4</v>
      </c>
      <c r="D205" s="67" t="n">
        <f>SUM(D4:D203)</f>
        <v>3</v>
      </c>
      <c r="E205" s="67" t="n">
        <f>SUM(E4:E203)</f>
        <v>1</v>
      </c>
      <c r="F205" s="67" t="n">
        <f>SUM(F4:F203)</f>
        <v>1</v>
      </c>
    </row>
  </sheetData>
  <mergeCells count="1">
    <mergeCell ref="A1:G1"/>
  </mergeCells>
  <conditionalFormatting sqref="A4:G203">
    <cfRule type="expression" rank="0" priority="2" equalAverage="0" aboveAverage="0" dxfId="0" text="" percent="0" bottom="0">
      <formula>AND($A4&lt;&gt;"",$F4&gt;0)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0" min="1" max="1"/>
    <col width="16" customWidth="1" style="40" min="2" max="2"/>
    <col width="30" customWidth="1" style="40" min="3" max="3"/>
    <col width="18" customWidth="1" style="40" min="4" max="4"/>
    <col width="16" customWidth="1" style="40" min="5" max="5"/>
    <col width="14" customWidth="1" style="40" min="6" max="6"/>
  </cols>
  <sheetData>
    <row r="1"/>
    <row r="2" ht="43.5" customHeight="1" s="41">
      <c r="B2" s="68" t="inlineStr">
        <is>
          <t>회  의  록</t>
        </is>
      </c>
    </row>
    <row r="3"/>
    <row r="4" ht="15" customHeight="1" s="41">
      <c r="B4" s="43" t="inlineStr">
        <is>
          <t>회의번호</t>
        </is>
      </c>
      <c r="C4" s="69" t="inlineStr">
        <is>
          <t>260901-1</t>
        </is>
      </c>
      <c r="D4" s="46" t="inlineStr">
        <is>
          <t>← 이 칸만 바꾸세요</t>
        </is>
      </c>
    </row>
    <row r="5"/>
    <row r="6" ht="24" customHeight="1" s="41">
      <c r="B6" s="70" t="inlineStr">
        <is>
          <t>회 의 명</t>
        </is>
      </c>
      <c r="C6" s="71" t="str">
        <f>IFERROR(INDEX(회의록!$C$3:$C$302,MATCH($C$4,회의록!$A$3:$A$302,0)),"")</f>
        <v>9월 정기회의</v>
      </c>
      <c r="D6" s="72" t="n"/>
      <c r="E6" s="72" t="n"/>
      <c r="F6" s="73" t="n"/>
    </row>
    <row r="7" ht="24" customHeight="1" s="41">
      <c r="B7" s="70" t="inlineStr">
        <is>
          <t>일    시</t>
        </is>
      </c>
      <c r="C7" s="74" t="n">
        <f>IFERROR(INDEX(회의록!$B$3:$B$302,MATCH($C$4,회의록!$A$3:$A$302,0)),"")</f>
        <v>46266</v>
      </c>
      <c r="D7" s="72" t="n"/>
      <c r="E7" s="72" t="n"/>
      <c r="F7" s="73" t="n"/>
    </row>
    <row r="8" ht="24" customHeight="1" s="41">
      <c r="B8" s="70" t="inlineStr">
        <is>
          <t>장    소</t>
        </is>
      </c>
      <c r="C8" s="71" t="str">
        <f>IFERROR(INDEX(회의록!$D$3:$D$302,MATCH($C$4,회의록!$A$3:$A$302,0)),"")</f>
        <v>대회의실</v>
      </c>
      <c r="D8" s="72" t="n"/>
      <c r="E8" s="72" t="n"/>
      <c r="F8" s="73" t="n"/>
    </row>
    <row r="9" ht="24" customHeight="1" s="41">
      <c r="B9" s="70" t="inlineStr">
        <is>
          <t>주 관 자</t>
        </is>
      </c>
      <c r="C9" s="71" t="str">
        <f>IFERROR(INDEX(회의록!$E$3:$E$302,MATCH($C$4,회의록!$A$3:$A$302,0)),"")</f>
        <v>김팀장</v>
      </c>
      <c r="D9" s="72" t="n"/>
      <c r="E9" s="72" t="n"/>
      <c r="F9" s="73" t="n"/>
    </row>
    <row r="10" ht="24" customHeight="1" s="41">
      <c r="B10" s="70" t="inlineStr">
        <is>
          <t>참 석 자</t>
        </is>
      </c>
      <c r="C10" s="71" t="str">
        <f>IFERROR(INDEX(회의록!$F$3:$F$302,MATCH($C$4,회의록!$A$3:$A$302,0)),"")</f>
        <v>김팀장, 이대리, 박주임</v>
      </c>
      <c r="D10" s="72" t="n"/>
      <c r="E10" s="72" t="n"/>
      <c r="F10" s="73" t="n"/>
    </row>
    <row r="11" ht="24" customHeight="1" s="41">
      <c r="B11" s="70" t="inlineStr">
        <is>
          <t>안    건</t>
        </is>
      </c>
      <c r="C11" s="71" t="str">
        <f>IFERROR(INDEX(회의록!$G$3:$G$302,MATCH($C$4,회의록!$A$3:$A$302,0)),"")</f>
        <v>3분기 실적 / 4분기 계획</v>
      </c>
      <c r="D11" s="72" t="n"/>
      <c r="E11" s="72" t="n"/>
      <c r="F11" s="73" t="n"/>
    </row>
    <row r="12" ht="15" customHeight="1" s="41">
      <c r="B12" s="70" t="inlineStr">
        <is>
          <t>논의·결정사항</t>
        </is>
      </c>
      <c r="C12" s="75" t="str">
        <f>IFERROR(INDEX(회의록!$H$3:$H$302,MATCH($C$4,회의록!$A$3:$A$302,0)),"")</f>
        <v>3분기 목표 달성. 4분기 신규 기능 2건 추가 결정.</v>
      </c>
      <c r="D12" s="76" t="n"/>
      <c r="E12" s="76" t="n"/>
      <c r="F12" s="77" t="n"/>
    </row>
    <row r="13" ht="15" customHeight="1" s="41">
      <c r="B13" s="78" t="n"/>
      <c r="C13" s="79" t="n"/>
      <c r="F13" s="80" t="n"/>
    </row>
    <row r="14" ht="15" customHeight="1" s="41">
      <c r="B14" s="78" t="n"/>
      <c r="C14" s="79" t="n"/>
      <c r="F14" s="80" t="n"/>
    </row>
    <row r="15" ht="15" customHeight="1" s="41">
      <c r="B15" s="81" t="n"/>
      <c r="C15" s="82" t="n"/>
      <c r="D15" s="83" t="n"/>
      <c r="E15" s="83" t="n"/>
      <c r="F15" s="84" t="n"/>
    </row>
    <row r="17" ht="16.5" customHeight="1" s="41">
      <c r="B17" s="85" t="inlineStr">
        <is>
          <t>할 일 (액션아이템)</t>
        </is>
      </c>
    </row>
    <row r="18" ht="15" customHeight="1" s="41">
      <c r="B18" s="86" t="inlineStr">
        <is>
          <t>No</t>
        </is>
      </c>
      <c r="C18" s="87" t="inlineStr">
        <is>
          <t>할 일</t>
        </is>
      </c>
      <c r="D18" s="87" t="inlineStr">
        <is>
          <t>담당자</t>
        </is>
      </c>
      <c r="E18" s="87" t="inlineStr">
        <is>
          <t>기한</t>
        </is>
      </c>
      <c r="F18" s="87" t="inlineStr">
        <is>
          <t>상태</t>
        </is>
      </c>
    </row>
    <row r="19" ht="15" customHeight="1" s="41">
      <c r="B19" s="62" t="n">
        <v>1</v>
      </c>
      <c r="C19" s="52" t="str">
        <f>IFERROR(INDEX(액션아이템!$C$3:$C$1002,MATCH($C$4&amp;"|"&amp;1,액션아이템!$K$3:$K$1002,0)),"")</f>
        <v>4분기 기능 명세 작성</v>
      </c>
      <c r="D19" s="52" t="str">
        <f>IF($C19="","",IFERROR(INDEX(액션아이템!$D$3:$D$1002,MATCH($C$4&amp;"|"&amp;1,액션아이템!$K$3:$K$1002,0)),""))</f>
        <v>이대리</v>
      </c>
      <c r="E19" s="88" t="n">
        <f>IF($C19="","",IFERROR(INDEX(액션아이템!$E$3:$E$1002,MATCH($C$4&amp;"|"&amp;1,액션아이템!$K$3:$K$1002,0)),""))</f>
        <v>46285</v>
      </c>
      <c r="F19" s="62" t="str">
        <f>IF($C19="","",IFERROR(INDEX(액션아이템!$F$3:$F$1002,MATCH($C$4&amp;"|"&amp;1,액션아이템!$K$3:$K$1002,0)),""))</f>
        <v>진행중</v>
      </c>
    </row>
    <row r="20" ht="15" customHeight="1" s="41">
      <c r="B20" s="62" t="n">
        <v>2</v>
      </c>
      <c r="C20" s="52" t="str">
        <f>IFERROR(INDEX(액션아이템!$C$3:$C$1002,MATCH($C$4&amp;"|"&amp;2,액션아이템!$K$3:$K$1002,0)),"")</f>
        <v>예산안 재검토</v>
      </c>
      <c r="D20" s="52" t="str">
        <f>IF($C20="","",IFERROR(INDEX(액션아이템!$D$3:$D$1002,MATCH($C$4&amp;"|"&amp;2,액션아이템!$K$3:$K$1002,0)),""))</f>
        <v>김팀장</v>
      </c>
      <c r="E20" s="88" t="n">
        <f>IF($C20="","",IFERROR(INDEX(액션아이템!$E$3:$E$1002,MATCH($C$4&amp;"|"&amp;2,액션아이템!$K$3:$K$1002,0)),""))</f>
        <v>46275</v>
      </c>
      <c r="F20" s="62" t="str">
        <f>IF($C20="","",IFERROR(INDEX(액션아이템!$F$3:$F$1002,MATCH($C$4&amp;"|"&amp;2,액션아이템!$K$3:$K$1002,0)),""))</f>
        <v>진행중</v>
      </c>
    </row>
    <row r="21" ht="15" customHeight="1" s="41">
      <c r="B21" s="62" t="n">
        <v>3</v>
      </c>
      <c r="C21" s="52" t="str">
        <f>IFERROR(INDEX(액션아이템!$C$3:$C$1002,MATCH($C$4&amp;"|"&amp;3,액션아이템!$K$3:$K$1002,0)),"")</f>
        <v>실적 자료 정리</v>
      </c>
      <c r="D21" s="52" t="str">
        <f>IF($C21="","",IFERROR(INDEX(액션아이템!$D$3:$D$1002,MATCH($C$4&amp;"|"&amp;3,액션아이템!$K$3:$K$1002,0)),""))</f>
        <v>박주임</v>
      </c>
      <c r="E21" s="88" t="n">
        <f>IF($C21="","",IFERROR(INDEX(액션아이템!$E$3:$E$1002,MATCH($C$4&amp;"|"&amp;3,액션아이템!$K$3:$K$1002,0)),""))</f>
        <v>46270</v>
      </c>
      <c r="F21" s="62" t="str">
        <f>IF($C21="","",IFERROR(INDEX(액션아이템!$F$3:$F$1002,MATCH($C$4&amp;"|"&amp;3,액션아이템!$K$3:$K$1002,0)),""))</f>
        <v>완료</v>
      </c>
    </row>
    <row r="22" ht="15" customHeight="1" s="41">
      <c r="B22" s="62" t="n">
        <v>4</v>
      </c>
      <c r="C22" s="52" t="str">
        <f>IFERROR(INDEX(액션아이템!$C$3:$C$1002,MATCH($C$4&amp;"|"&amp;4,액션아이템!$K$3:$K$1002,0)),"")</f>
        <v/>
      </c>
      <c r="D22" s="52" t="str">
        <f>IF($C22="","",IFERROR(INDEX(액션아이템!$D$3:$D$1002,MATCH($C$4&amp;"|"&amp;4,액션아이템!$K$3:$K$1002,0)),""))</f>
        <v/>
      </c>
      <c r="E22" s="88" t="str">
        <f>IF($C22="","",IFERROR(INDEX(액션아이템!$E$3:$E$1002,MATCH($C$4&amp;"|"&amp;4,액션아이템!$K$3:$K$1002,0)),""))</f>
        <v/>
      </c>
      <c r="F22" s="62" t="str">
        <f>IF($C22="","",IFERROR(INDEX(액션아이템!$F$3:$F$1002,MATCH($C$4&amp;"|"&amp;4,액션아이템!$K$3:$K$1002,0)),""))</f>
        <v/>
      </c>
    </row>
    <row r="23" ht="15" customHeight="1" s="41">
      <c r="B23" s="62" t="n">
        <v>5</v>
      </c>
      <c r="C23" s="52" t="str">
        <f>IFERROR(INDEX(액션아이템!$C$3:$C$1002,MATCH($C$4&amp;"|"&amp;5,액션아이템!$K$3:$K$1002,0)),"")</f>
        <v/>
      </c>
      <c r="D23" s="52" t="str">
        <f>IF($C23="","",IFERROR(INDEX(액션아이템!$D$3:$D$1002,MATCH($C$4&amp;"|"&amp;5,액션아이템!$K$3:$K$1002,0)),""))</f>
        <v/>
      </c>
      <c r="E23" s="88" t="str">
        <f>IF($C23="","",IFERROR(INDEX(액션아이템!$E$3:$E$1002,MATCH($C$4&amp;"|"&amp;5,액션아이템!$K$3:$K$1002,0)),""))</f>
        <v/>
      </c>
      <c r="F23" s="62" t="str">
        <f>IF($C23="","",IFERROR(INDEX(액션아이템!$F$3:$F$1002,MATCH($C$4&amp;"|"&amp;5,액션아이템!$K$3:$K$1002,0)),""))</f>
        <v/>
      </c>
    </row>
    <row r="24" ht="15" customHeight="1" s="41">
      <c r="B24" s="62" t="n">
        <v>6</v>
      </c>
      <c r="C24" s="52" t="str">
        <f>IFERROR(INDEX(액션아이템!$C$3:$C$1002,MATCH($C$4&amp;"|"&amp;6,액션아이템!$K$3:$K$1002,0)),"")</f>
        <v/>
      </c>
      <c r="D24" s="52" t="str">
        <f>IF($C24="","",IFERROR(INDEX(액션아이템!$D$3:$D$1002,MATCH($C$4&amp;"|"&amp;6,액션아이템!$K$3:$K$1002,0)),""))</f>
        <v/>
      </c>
      <c r="E24" s="88" t="str">
        <f>IF($C24="","",IFERROR(INDEX(액션아이템!$E$3:$E$1002,MATCH($C$4&amp;"|"&amp;6,액션아이템!$K$3:$K$1002,0)),""))</f>
        <v/>
      </c>
      <c r="F24" s="62" t="str">
        <f>IF($C24="","",IFERROR(INDEX(액션아이템!$F$3:$F$1002,MATCH($C$4&amp;"|"&amp;6,액션아이템!$K$3:$K$1002,0)),""))</f>
        <v/>
      </c>
    </row>
    <row r="25" ht="15" customHeight="1" s="41">
      <c r="B25" s="62" t="n">
        <v>7</v>
      </c>
      <c r="C25" s="52" t="str">
        <f>IFERROR(INDEX(액션아이템!$C$3:$C$1002,MATCH($C$4&amp;"|"&amp;7,액션아이템!$K$3:$K$1002,0)),"")</f>
        <v/>
      </c>
      <c r="D25" s="52" t="str">
        <f>IF($C25="","",IFERROR(INDEX(액션아이템!$D$3:$D$1002,MATCH($C$4&amp;"|"&amp;7,액션아이템!$K$3:$K$1002,0)),""))</f>
        <v/>
      </c>
      <c r="E25" s="88" t="str">
        <f>IF($C25="","",IFERROR(INDEX(액션아이템!$E$3:$E$1002,MATCH($C$4&amp;"|"&amp;7,액션아이템!$K$3:$K$1002,0)),""))</f>
        <v/>
      </c>
      <c r="F25" s="62" t="str">
        <f>IF($C25="","",IFERROR(INDEX(액션아이템!$F$3:$F$1002,MATCH($C$4&amp;"|"&amp;7,액션아이템!$K$3:$K$1002,0)),""))</f>
        <v/>
      </c>
    </row>
    <row r="26" ht="15" customHeight="1" s="41">
      <c r="B26" s="62" t="n">
        <v>8</v>
      </c>
      <c r="C26" s="52" t="str">
        <f>IFERROR(INDEX(액션아이템!$C$3:$C$1002,MATCH($C$4&amp;"|"&amp;8,액션아이템!$K$3:$K$1002,0)),"")</f>
        <v/>
      </c>
      <c r="D26" s="52" t="str">
        <f>IF($C26="","",IFERROR(INDEX(액션아이템!$D$3:$D$1002,MATCH($C$4&amp;"|"&amp;8,액션아이템!$K$3:$K$1002,0)),""))</f>
        <v/>
      </c>
      <c r="E26" s="88" t="str">
        <f>IF($C26="","",IFERROR(INDEX(액션아이템!$E$3:$E$1002,MATCH($C$4&amp;"|"&amp;8,액션아이템!$K$3:$K$1002,0)),""))</f>
        <v/>
      </c>
      <c r="F26" s="62" t="str">
        <f>IF($C26="","",IFERROR(INDEX(액션아이템!$F$3:$F$1002,MATCH($C$4&amp;"|"&amp;8,액션아이템!$K$3:$K$1002,0)),""))</f>
        <v/>
      </c>
    </row>
    <row r="27" ht="15" customHeight="1" s="41">
      <c r="B27" s="62" t="n">
        <v>9</v>
      </c>
      <c r="C27" s="52" t="str">
        <f>IFERROR(INDEX(액션아이템!$C$3:$C$1002,MATCH($C$4&amp;"|"&amp;9,액션아이템!$K$3:$K$1002,0)),"")</f>
        <v/>
      </c>
      <c r="D27" s="52" t="str">
        <f>IF($C27="","",IFERROR(INDEX(액션아이템!$D$3:$D$1002,MATCH($C$4&amp;"|"&amp;9,액션아이템!$K$3:$K$1002,0)),""))</f>
        <v/>
      </c>
      <c r="E27" s="88" t="str">
        <f>IF($C27="","",IFERROR(INDEX(액션아이템!$E$3:$E$1002,MATCH($C$4&amp;"|"&amp;9,액션아이템!$K$3:$K$1002,0)),""))</f>
        <v/>
      </c>
      <c r="F27" s="62" t="str">
        <f>IF($C27="","",IFERROR(INDEX(액션아이템!$F$3:$F$1002,MATCH($C$4&amp;"|"&amp;9,액션아이템!$K$3:$K$1002,0)),""))</f>
        <v/>
      </c>
    </row>
    <row r="28" ht="15" customHeight="1" s="41">
      <c r="B28" s="62" t="n">
        <v>10</v>
      </c>
      <c r="C28" s="52" t="str">
        <f>IFERROR(INDEX(액션아이템!$C$3:$C$1002,MATCH($C$4&amp;"|"&amp;10,액션아이템!$K$3:$K$1002,0)),"")</f>
        <v/>
      </c>
      <c r="D28" s="52" t="str">
        <f>IF($C28="","",IFERROR(INDEX(액션아이템!$D$3:$D$1002,MATCH($C$4&amp;"|"&amp;10,액션아이템!$K$3:$K$1002,0)),""))</f>
        <v/>
      </c>
      <c r="E28" s="88" t="str">
        <f>IF($C28="","",IFERROR(INDEX(액션아이템!$E$3:$E$1002,MATCH($C$4&amp;"|"&amp;10,액션아이템!$K$3:$K$1002,0)),""))</f>
        <v/>
      </c>
      <c r="F28" s="62" t="str">
        <f>IF($C28="","",IFERROR(INDEX(액션아이템!$F$3:$F$1002,MATCH($C$4&amp;"|"&amp;10,액션아이템!$K$3:$K$1002,0)),""))</f>
        <v/>
      </c>
    </row>
    <row r="29" ht="15" customHeight="1" s="41">
      <c r="B29" s="62" t="n">
        <v>11</v>
      </c>
      <c r="C29" s="52" t="str">
        <f>IFERROR(INDEX(액션아이템!$C$3:$C$1002,MATCH($C$4&amp;"|"&amp;11,액션아이템!$K$3:$K$1002,0)),"")</f>
        <v/>
      </c>
      <c r="D29" s="52" t="str">
        <f>IF($C29="","",IFERROR(INDEX(액션아이템!$D$3:$D$1002,MATCH($C$4&amp;"|"&amp;11,액션아이템!$K$3:$K$1002,0)),""))</f>
        <v/>
      </c>
      <c r="E29" s="88" t="str">
        <f>IF($C29="","",IFERROR(INDEX(액션아이템!$E$3:$E$1002,MATCH($C$4&amp;"|"&amp;11,액션아이템!$K$3:$K$1002,0)),""))</f>
        <v/>
      </c>
      <c r="F29" s="62" t="str">
        <f>IF($C29="","",IFERROR(INDEX(액션아이템!$F$3:$F$1002,MATCH($C$4&amp;"|"&amp;11,액션아이템!$K$3:$K$1002,0)),""))</f>
        <v/>
      </c>
    </row>
    <row r="30" ht="15" customHeight="1" s="41">
      <c r="B30" s="62" t="n">
        <v>12</v>
      </c>
      <c r="C30" s="52" t="str">
        <f>IFERROR(INDEX(액션아이템!$C$3:$C$1002,MATCH($C$4&amp;"|"&amp;12,액션아이템!$K$3:$K$1002,0)),"")</f>
        <v/>
      </c>
      <c r="D30" s="52" t="str">
        <f>IF($C30="","",IFERROR(INDEX(액션아이템!$D$3:$D$1002,MATCH($C$4&amp;"|"&amp;12,액션아이템!$K$3:$K$1002,0)),""))</f>
        <v/>
      </c>
      <c r="E30" s="88" t="str">
        <f>IF($C30="","",IFERROR(INDEX(액션아이템!$E$3:$E$1002,MATCH($C$4&amp;"|"&amp;12,액션아이템!$K$3:$K$1002,0)),""))</f>
        <v/>
      </c>
      <c r="F30" s="62" t="str">
        <f>IF($C30="","",IFERROR(INDEX(액션아이템!$F$3:$F$1002,MATCH($C$4&amp;"|"&amp;12,액션아이템!$K$3:$K$1002,0)),""))</f>
        <v/>
      </c>
    </row>
    <row r="32" ht="15" customHeight="1" s="41">
      <c r="B32" s="46" t="inlineStr">
        <is>
          <t>※ 한 회의의 할 일이 12개를 넘으면 표시되지 않습니다.</t>
        </is>
      </c>
    </row>
  </sheetData>
  <mergeCells count="9">
    <mergeCell ref="C9:F9"/>
    <mergeCell ref="B2:F2"/>
    <mergeCell ref="C8:F8"/>
    <mergeCell ref="B12:B15"/>
    <mergeCell ref="C6:F6"/>
    <mergeCell ref="C7:F7"/>
    <mergeCell ref="C12:F15"/>
    <mergeCell ref="C11:F11"/>
    <mergeCell ref="C10:F10"/>
  </mergeCells>
  <dataValidations count="1">
    <dataValidation sqref="C4" showDropDown="0" showInputMessage="0" showErrorMessage="0" allowBlank="1" type="list" errorStyle="stop" operator="between">
      <formula1>회의록!$A$3:$A$302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2026-09-14T09:49:31Z</dcterms:created>
  <dcterms:modified xmlns:dcterms="http://purl.org/dc/terms/" xmlns:xsi="http://www.w3.org/2001/XMLSchema-instance" xsi:type="dcterms:W3CDTF">2026-09-14T10:24:53Z</dcterms:modified>
  <cp:revision>0</cp:revision>
</cp:coreProperties>
</file>