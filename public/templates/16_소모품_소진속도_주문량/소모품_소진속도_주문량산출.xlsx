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품목마스터" sheetId="2" state="visible" r:id="rId4"/>
    <sheet name="사용내역" sheetId="3" state="visible" r:id="rId5"/>
    <sheet name="소진분석" sheetId="4" state="visible" r:id="rId6"/>
    <sheet name="발주목록" sheetId="5" state="visible" r:id="rId7"/>
    <sheet name="품목별_사용추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<sst xmlns="http://schemas.openxmlformats.org/spreadsheetml/2006/main" count="108" uniqueCount="89">
  <si>
    <t xml:space="preserve">소모품 소진속도 · 주문량 산출</t>
  </si>
  <si>
    <t xml:space="preserve">핵심</t>
  </si>
  <si>
    <t xml:space="preserve">쓴 기록만 넣으면 하루 평균 얼마나 쓰는지, 며칠 뒤 떨어지는지, 몇 개 주문해야 하는지가 나옵니다.</t>
  </si>
  <si>
    <t xml:space="preserve">입력 규칙</t>
  </si>
  <si>
    <t xml:space="preserve">파란색 글씨 칸만 입력하세요. 검은색은 자동 계산입니다.</t>
  </si>
  <si>
    <t xml:space="preserve">① 품목마스터</t>
  </si>
  <si>
    <t xml:space="preserve">품번·품명·현재고·발주 후 도착까지 걸리는 날(리드타임)을 등록합니다.</t>
  </si>
  <si>
    <t xml:space="preserve">최소발주량과 입수량(한 박스에 몇 개)을 넣으면 주문 단위에 맞춰 계산해줍니다.</t>
  </si>
  <si>
    <t xml:space="preserve">② 사용내역</t>
  </si>
  <si>
    <t xml:space="preserve">쓸 때마다 한 줄. 날짜·품번·사용량만 넣으면 됩니다.</t>
  </si>
  <si>
    <t xml:space="preserve">③ 소진분석</t>
  </si>
  <si>
    <t xml:space="preserve">하루 평균 사용량, 남은 날짜, 발주해야 할 날짜, 권장 주문량이 나옵니다.</t>
  </si>
  <si>
    <t xml:space="preserve">④ 발주목록</t>
  </si>
  <si>
    <t xml:space="preserve">지금 주문해야 하는 것만 모아서 보여줍니다. 이대로 발주하면 됩니다.</t>
  </si>
  <si>
    <t xml:space="preserve">⑤ 품목별 사용추이</t>
  </si>
  <si>
    <t xml:space="preserve">품목 하나를 골라 월별 사용량을 봅니다.</t>
  </si>
  <si>
    <t xml:space="preserve">하루 평균 계산</t>
  </si>
  <si>
    <t xml:space="preserve">분석기간 동안의 총 사용량 ÷ 분석기간 일수</t>
  </si>
  <si>
    <t xml:space="preserve">권장 주문량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</si>
  <si>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리드타임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안전일수</t>
    </r>
    <r>
      <rPr>
        <sz val="10"/>
        <rFont val="맑은 고딕"/>
        <family val="0"/>
        <charset val="1"/>
      </rPr>
      <t xml:space="preserve">) × </t>
    </r>
    <r>
      <rPr>
        <sz val="10"/>
        <rFont val="Noto Sans CJK SC"/>
        <family val="2"/>
      </rPr>
      <t xml:space="preserve">하루 평균 − 현재고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입수량 단위로 올림합니다</t>
    </r>
    <r>
      <rPr>
        <sz val="10"/>
        <rFont val="맑은 고딕"/>
        <family val="0"/>
        <charset val="1"/>
      </rPr>
      <t xml:space="preserve">.</t>
    </r>
  </si>
  <si>
    <t xml:space="preserve">설정</t>
  </si>
  <si>
    <t xml:space="preserve">값을 바꾸면 모든 계산에 반영됩니다</t>
  </si>
  <si>
    <t xml:space="preserve">분석 기간(일)</t>
  </si>
  <si>
    <t xml:space="preserve">안전 재고일수</t>
  </si>
  <si>
    <t xml:space="preserve">※ 분석 기간은 최근 며칠의 사용량을 볼지입니다. 계절을 타는 품목은 길게 잡으세요.</t>
  </si>
  <si>
    <t xml:space="preserve">※ 안전 재고일수는 예상보다 많이 쓸 때를 대비한 여유분입니다.</t>
  </si>
  <si>
    <t xml:space="preserve">품목마스터</t>
  </si>
  <si>
    <t xml:space="preserve">품번</t>
  </si>
  <si>
    <t xml:space="preserve">품명</t>
  </si>
  <si>
    <t xml:space="preserve">규격</t>
  </si>
  <si>
    <t xml:space="preserve">단위</t>
  </si>
  <si>
    <t xml:space="preserve">현재고</t>
  </si>
  <si>
    <t xml:space="preserve">리드타임(일)</t>
  </si>
  <si>
    <t xml:space="preserve">최소발주량</t>
  </si>
  <si>
    <t xml:space="preserve">입수량</t>
  </si>
  <si>
    <t xml:space="preserve">거래처</t>
  </si>
  <si>
    <t xml:space="preserve">M001</t>
  </si>
  <si>
    <t xml:space="preserve">생리식염수 500ml</t>
  </si>
  <si>
    <t xml:space="preserve">500ml</t>
  </si>
  <si>
    <t xml:space="preserve">병</t>
  </si>
  <si>
    <t xml:space="preserve">○○의약품</t>
  </si>
  <si>
    <t xml:space="preserve">M002</t>
  </si>
  <si>
    <t xml:space="preserve">일회용 주사기 10cc</t>
  </si>
  <si>
    <t xml:space="preserve">10cc</t>
  </si>
  <si>
    <t xml:space="preserve">개</t>
  </si>
  <si>
    <t xml:space="preserve">M003</t>
  </si>
  <si>
    <t xml:space="preserve">소독용 알코올</t>
  </si>
  <si>
    <t xml:space="preserve">1L</t>
  </si>
  <si>
    <t xml:space="preserve">통</t>
  </si>
  <si>
    <t xml:space="preserve">△△상사</t>
  </si>
  <si>
    <t xml:space="preserve">M004</t>
  </si>
  <si>
    <t xml:space="preserve">라텍스 장갑 M</t>
  </si>
  <si>
    <t xml:space="preserve">M</t>
  </si>
  <si>
    <t xml:space="preserve">박스</t>
  </si>
  <si>
    <t xml:space="preserve">※ 입수량은 한 번에 사는 묶음 단위입니다. 낱개로 사면 1을 넣으세요.</t>
  </si>
  <si>
    <t xml:space="preserve">사용내역  (쓸 때마다 한 줄)</t>
  </si>
  <si>
    <t xml:space="preserve">사용일</t>
  </si>
  <si>
    <t xml:space="preserve">품명(자동)</t>
  </si>
  <si>
    <t xml:space="preserve">단위(자동)</t>
  </si>
  <si>
    <t xml:space="preserve">사용량</t>
  </si>
  <si>
    <t xml:space="preserve">사용처/비고</t>
  </si>
  <si>
    <t xml:space="preserve">소진분석  (전부 자동)</t>
  </si>
  <si>
    <t xml:space="preserve">기준일</t>
  </si>
  <si>
    <t xml:space="preserve">분석 기간</t>
  </si>
  <si>
    <t xml:space="preserve">발주 필요 품목</t>
  </si>
  <si>
    <t xml:space="preserve">기간 사용량</t>
  </si>
  <si>
    <t xml:space="preserve">하루 평균</t>
  </si>
  <si>
    <t xml:space="preserve">남은 일수</t>
  </si>
  <si>
    <t xml:space="preserve">소진 예상일</t>
  </si>
  <si>
    <t xml:space="preserve">리드타임</t>
  </si>
  <si>
    <t xml:space="preserve">발주 기한</t>
  </si>
  <si>
    <t xml:space="preserve">판정</t>
  </si>
  <si>
    <t xml:space="preserve">※ 발주 기한 = 소진 예상일 − 리드타임. 이 날짜가 지났으면 '발주'로 표시됩니다.</t>
  </si>
  <si>
    <t xml:space="preserve">※ 권장 주문량은 입수량 단위로 올림한 값입니다. 사용 기록이 없으면 0입니다.</t>
  </si>
  <si>
    <t xml:space="preserve">발주목록  (지금 주문해야 하는 것만)</t>
  </si>
  <si>
    <t xml:space="preserve">포함 기준</t>
  </si>
  <si>
    <t xml:space="preserve">발주 + 임박</t>
  </si>
  <si>
    <t xml:space="preserve">해당 품목</t>
  </si>
  <si>
    <t xml:space="preserve">순번</t>
  </si>
  <si>
    <t xml:space="preserve">대상(자동)</t>
  </si>
  <si>
    <t xml:space="preserve">순번(자동)</t>
  </si>
  <si>
    <t xml:space="preserve">키(자동)</t>
  </si>
  <si>
    <r>
      <rPr>
        <sz val="9"/>
        <color rgb="FF808080"/>
        <rFont val="맑은 고딕"/>
        <family val="0"/>
        <charset val="1"/>
      </rPr>
      <t xml:space="preserve">※ 100</t>
    </r>
    <r>
      <rPr>
        <sz val="9"/>
        <color rgb="FF808080"/>
        <rFont val="Noto Sans CJK SC"/>
        <family val="2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이 표를 그대로 거래처에 보내면 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</si>
  <si>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품목별 사용추이</t>
  </si>
  <si>
    <t xml:space="preserve">대상 연도</t>
  </si>
  <si>
    <t xml:space="preserve">월</t>
  </si>
  <si>
    <t xml:space="preserve">사용 건수</t>
  </si>
  <si>
    <t xml:space="preserve">비고</t>
  </si>
  <si>
    <t xml:space="preserve">합계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</si>
</sst>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##"/>
    <numFmt numFmtId="167" formatCode="#,##0"/>
    <numFmt numFmtId="168" formatCode="yyyy\-mm\-dd"/>
    <numFmt numFmtId="169" formatCode="General"/>
    <numFmt numFmtId="170" formatCode="0.000"/>
    <numFmt numFmtId="171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name val="맑은 고딕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6B7A8F"/>
      <rgbColor rgb="FF878787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사용량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품목별_사용추이!B6</c:f>
              <c:strCache>
                <c:ptCount val="1"/>
                <c:pt idx="0">
                  <c:v>사용량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품목별_사용추이!$A$7:$A$18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품목별_사용추이!$B$7:$B$18</c:f>
              <c:numCache>
                <c:formatCode>#,##0.##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30834"/>
        <c:axId val="49364702"/>
      </c:lineChart>
      <c:catAx>
        <c:axId val="231308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64702"/>
        <c:crosses val="autoZero"/>
        <c:auto val="1"/>
        <c:lblAlgn val="ctr"/>
        <c:lblOffset val="100"/>
        <c:noMultiLvlLbl val="0"/>
      </c:catAx>
      <c:valAx>
        <c:axId val="49364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30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163080</xdr:rowOff>
    </xdr:from>
    <xdr:to>
      <xdr:col>16</xdr:col>
      <xdr:colOff>364320</xdr:colOff>
      <xdr:row>19</xdr:row>
      <xdr:rowOff>185040</xdr:rowOff>
    </xdr:to>
    <xdr:graphicFrame>
      <xdr:nvGraphicFramePr>
        <xdr:cNvPr id="0" name="Chart 1"/>
        <xdr:cNvGraphicFramePr/>
      </xdr:nvGraphicFramePr>
      <xdr:xfrm>
        <a:off x="5968440" y="1077480"/>
        <a:ext cx="647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/>
      <c r="C7" s="4" t="s">
        <v>7</v>
      </c>
    </row>
    <row r="8" customFormat="false" ht="15" hidden="false" customHeight="true" outlineLevel="0" collapsed="false">
      <c r="B8" s="3" t="s">
        <v>8</v>
      </c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5" t="s">
        <v>19</v>
      </c>
    </row>
    <row r="15" customFormat="false" ht="15" hidden="false" customHeight="true" outlineLevel="0" collapsed="false">
      <c r="B15" s="6" t="s">
        <v>20</v>
      </c>
      <c r="C15" s="7" t="s">
        <v>21</v>
      </c>
    </row>
    <row r="16" customFormat="false" ht="15" hidden="false" customHeight="true" outlineLevel="0" collapsed="false">
      <c r="B16" s="4" t="s">
        <v>22</v>
      </c>
      <c r="C16" s="8" t="n">
        <v>90</v>
      </c>
    </row>
    <row r="17" customFormat="false" ht="15" hidden="false" customHeight="true" outlineLevel="0" collapsed="false">
      <c r="B17" s="4" t="s">
        <v>23</v>
      </c>
      <c r="C17" s="8" t="n">
        <v>14</v>
      </c>
    </row>
    <row r="19" customFormat="false" ht="15" hidden="false" customHeight="true" outlineLevel="0" collapsed="false">
      <c r="B19" s="7" t="s">
        <v>24</v>
      </c>
    </row>
    <row r="20" customFormat="false" ht="15" hidden="false" customHeight="true" outlineLevel="0" collapsed="false">
      <c r="B20" s="7" t="s">
        <v>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25.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9" t="s">
        <v>27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</row>
    <row r="3" customFormat="false" ht="15" hidden="false" customHeight="true" outlineLevel="0" collapsed="false">
      <c r="A3" s="10" t="s">
        <v>36</v>
      </c>
      <c r="B3" s="11" t="s">
        <v>37</v>
      </c>
      <c r="C3" s="10" t="s">
        <v>38</v>
      </c>
      <c r="D3" s="11" t="s">
        <v>39</v>
      </c>
      <c r="E3" s="12" t="n">
        <v>120</v>
      </c>
      <c r="F3" s="13" t="n">
        <v>5</v>
      </c>
      <c r="G3" s="14" t="n">
        <v>50</v>
      </c>
      <c r="H3" s="14" t="n">
        <v>20</v>
      </c>
      <c r="I3" s="11" t="s">
        <v>40</v>
      </c>
    </row>
    <row r="4" customFormat="false" ht="15" hidden="false" customHeight="true" outlineLevel="0" collapsed="false">
      <c r="A4" s="10" t="s">
        <v>41</v>
      </c>
      <c r="B4" s="11" t="s">
        <v>42</v>
      </c>
      <c r="C4" s="10" t="s">
        <v>43</v>
      </c>
      <c r="D4" s="11" t="s">
        <v>44</v>
      </c>
      <c r="E4" s="12" t="n">
        <v>800</v>
      </c>
      <c r="F4" s="13" t="n">
        <v>7</v>
      </c>
      <c r="G4" s="14" t="n">
        <v>200</v>
      </c>
      <c r="H4" s="14" t="n">
        <v>100</v>
      </c>
      <c r="I4" s="11" t="s">
        <v>40</v>
      </c>
    </row>
    <row r="5" customFormat="false" ht="15" hidden="false" customHeight="true" outlineLevel="0" collapsed="false">
      <c r="A5" s="10" t="s">
        <v>45</v>
      </c>
      <c r="B5" s="11" t="s">
        <v>46</v>
      </c>
      <c r="C5" s="10" t="s">
        <v>47</v>
      </c>
      <c r="D5" s="11" t="s">
        <v>48</v>
      </c>
      <c r="E5" s="12" t="n">
        <v>3</v>
      </c>
      <c r="F5" s="13" t="n">
        <v>3</v>
      </c>
      <c r="G5" s="14" t="n">
        <v>10</v>
      </c>
      <c r="H5" s="14" t="n">
        <v>6</v>
      </c>
      <c r="I5" s="11" t="s">
        <v>49</v>
      </c>
    </row>
    <row r="6" customFormat="false" ht="15" hidden="false" customHeight="true" outlineLevel="0" collapsed="false">
      <c r="A6" s="10" t="s">
        <v>50</v>
      </c>
      <c r="B6" s="11" t="s">
        <v>51</v>
      </c>
      <c r="C6" s="10" t="s">
        <v>52</v>
      </c>
      <c r="D6" s="11" t="s">
        <v>53</v>
      </c>
      <c r="E6" s="12" t="n">
        <v>2</v>
      </c>
      <c r="F6" s="13" t="n">
        <v>10</v>
      </c>
      <c r="G6" s="14" t="n">
        <v>5</v>
      </c>
      <c r="H6" s="14" t="n">
        <v>1</v>
      </c>
      <c r="I6" s="11" t="s">
        <v>49</v>
      </c>
    </row>
    <row r="7" customFormat="false" ht="15" hidden="false" customHeight="true" outlineLevel="0" collapsed="false">
      <c r="A7" s="10"/>
      <c r="B7" s="10"/>
      <c r="C7" s="10"/>
      <c r="D7" s="10"/>
      <c r="E7" s="12"/>
      <c r="F7" s="13"/>
      <c r="G7" s="14"/>
      <c r="H7" s="14"/>
      <c r="I7" s="10"/>
    </row>
    <row r="8" customFormat="false" ht="15" hidden="false" customHeight="true" outlineLevel="0" collapsed="false">
      <c r="A8" s="10"/>
      <c r="B8" s="10"/>
      <c r="C8" s="10"/>
      <c r="D8" s="10"/>
      <c r="E8" s="12"/>
      <c r="F8" s="13"/>
      <c r="G8" s="14"/>
      <c r="H8" s="14"/>
      <c r="I8" s="10"/>
    </row>
    <row r="9" customFormat="false" ht="15" hidden="false" customHeight="true" outlineLevel="0" collapsed="false">
      <c r="A9" s="10"/>
      <c r="B9" s="10"/>
      <c r="C9" s="10"/>
      <c r="D9" s="10"/>
      <c r="E9" s="12"/>
      <c r="F9" s="13"/>
      <c r="G9" s="14"/>
      <c r="H9" s="14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2"/>
      <c r="F10" s="13"/>
      <c r="G10" s="14"/>
      <c r="H10" s="14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2"/>
      <c r="F11" s="13"/>
      <c r="G11" s="14"/>
      <c r="H11" s="14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2"/>
      <c r="F12" s="13"/>
      <c r="G12" s="14"/>
      <c r="H12" s="14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2"/>
      <c r="F13" s="13"/>
      <c r="G13" s="14"/>
      <c r="H13" s="14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2"/>
      <c r="F14" s="13"/>
      <c r="G14" s="14"/>
      <c r="H14" s="14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2"/>
      <c r="F15" s="13"/>
      <c r="G15" s="14"/>
      <c r="H15" s="14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2"/>
      <c r="F16" s="13"/>
      <c r="G16" s="14"/>
      <c r="H16" s="14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2"/>
      <c r="F17" s="13"/>
      <c r="G17" s="14"/>
      <c r="H17" s="14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2"/>
      <c r="F18" s="13"/>
      <c r="G18" s="14"/>
      <c r="H18" s="14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2"/>
      <c r="F19" s="13"/>
      <c r="G19" s="14"/>
      <c r="H19" s="14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2"/>
      <c r="F20" s="13"/>
      <c r="G20" s="14"/>
      <c r="H20" s="14"/>
      <c r="I20" s="10"/>
    </row>
    <row r="21" customFormat="false" ht="15" hidden="false" customHeight="true" outlineLevel="0" collapsed="false">
      <c r="A21" s="10"/>
      <c r="B21" s="10"/>
      <c r="C21" s="10"/>
      <c r="D21" s="10"/>
      <c r="E21" s="12"/>
      <c r="F21" s="13"/>
      <c r="G21" s="14"/>
      <c r="H21" s="14"/>
      <c r="I21" s="10"/>
    </row>
    <row r="22" customFormat="false" ht="15" hidden="false" customHeight="true" outlineLevel="0" collapsed="false">
      <c r="A22" s="10"/>
      <c r="B22" s="10"/>
      <c r="C22" s="10"/>
      <c r="D22" s="10"/>
      <c r="E22" s="12"/>
      <c r="F22" s="13"/>
      <c r="G22" s="14"/>
      <c r="H22" s="14"/>
      <c r="I22" s="10"/>
    </row>
    <row r="23" customFormat="false" ht="15" hidden="false" customHeight="true" outlineLevel="0" collapsed="false">
      <c r="A23" s="10"/>
      <c r="B23" s="10"/>
      <c r="C23" s="10"/>
      <c r="D23" s="10"/>
      <c r="E23" s="12"/>
      <c r="F23" s="13"/>
      <c r="G23" s="14"/>
      <c r="H23" s="14"/>
      <c r="I23" s="10"/>
    </row>
    <row r="24" customFormat="false" ht="15" hidden="false" customHeight="true" outlineLevel="0" collapsed="false">
      <c r="A24" s="10"/>
      <c r="B24" s="10"/>
      <c r="C24" s="10"/>
      <c r="D24" s="10"/>
      <c r="E24" s="12"/>
      <c r="F24" s="13"/>
      <c r="G24" s="14"/>
      <c r="H24" s="14"/>
      <c r="I24" s="10"/>
    </row>
    <row r="25" customFormat="false" ht="15" hidden="false" customHeight="true" outlineLevel="0" collapsed="false">
      <c r="A25" s="10"/>
      <c r="B25" s="10"/>
      <c r="C25" s="10"/>
      <c r="D25" s="10"/>
      <c r="E25" s="12"/>
      <c r="F25" s="13"/>
      <c r="G25" s="14"/>
      <c r="H25" s="14"/>
      <c r="I25" s="10"/>
    </row>
    <row r="26" customFormat="false" ht="15" hidden="false" customHeight="true" outlineLevel="0" collapsed="false">
      <c r="A26" s="10"/>
      <c r="B26" s="10"/>
      <c r="C26" s="10"/>
      <c r="D26" s="10"/>
      <c r="E26" s="12"/>
      <c r="F26" s="13"/>
      <c r="G26" s="14"/>
      <c r="H26" s="14"/>
      <c r="I26" s="10"/>
    </row>
    <row r="27" customFormat="false" ht="15" hidden="false" customHeight="true" outlineLevel="0" collapsed="false">
      <c r="A27" s="10"/>
      <c r="B27" s="10"/>
      <c r="C27" s="10"/>
      <c r="D27" s="10"/>
      <c r="E27" s="12"/>
      <c r="F27" s="13"/>
      <c r="G27" s="14"/>
      <c r="H27" s="14"/>
      <c r="I27" s="10"/>
    </row>
    <row r="28" customFormat="false" ht="15" hidden="false" customHeight="true" outlineLevel="0" collapsed="false">
      <c r="A28" s="10"/>
      <c r="B28" s="10"/>
      <c r="C28" s="10"/>
      <c r="D28" s="10"/>
      <c r="E28" s="12"/>
      <c r="F28" s="13"/>
      <c r="G28" s="14"/>
      <c r="H28" s="14"/>
      <c r="I28" s="10"/>
    </row>
    <row r="29" customFormat="false" ht="15" hidden="false" customHeight="true" outlineLevel="0" collapsed="false">
      <c r="A29" s="10"/>
      <c r="B29" s="10"/>
      <c r="C29" s="10"/>
      <c r="D29" s="10"/>
      <c r="E29" s="12"/>
      <c r="F29" s="13"/>
      <c r="G29" s="14"/>
      <c r="H29" s="14"/>
      <c r="I29" s="10"/>
    </row>
    <row r="30" customFormat="false" ht="15" hidden="false" customHeight="true" outlineLevel="0" collapsed="false">
      <c r="A30" s="10"/>
      <c r="B30" s="10"/>
      <c r="C30" s="10"/>
      <c r="D30" s="10"/>
      <c r="E30" s="12"/>
      <c r="F30" s="13"/>
      <c r="G30" s="14"/>
      <c r="H30" s="14"/>
      <c r="I30" s="10"/>
    </row>
    <row r="31" customFormat="false" ht="15" hidden="false" customHeight="true" outlineLevel="0" collapsed="false">
      <c r="A31" s="10"/>
      <c r="B31" s="10"/>
      <c r="C31" s="10"/>
      <c r="D31" s="10"/>
      <c r="E31" s="12"/>
      <c r="F31" s="13"/>
      <c r="G31" s="14"/>
      <c r="H31" s="14"/>
      <c r="I31" s="10"/>
    </row>
    <row r="32" customFormat="false" ht="15" hidden="false" customHeight="true" outlineLevel="0" collapsed="false">
      <c r="A32" s="10"/>
      <c r="B32" s="10"/>
      <c r="C32" s="10"/>
      <c r="D32" s="10"/>
      <c r="E32" s="12"/>
      <c r="F32" s="13"/>
      <c r="G32" s="14"/>
      <c r="H32" s="14"/>
      <c r="I32" s="10"/>
    </row>
    <row r="33" customFormat="false" ht="15" hidden="false" customHeight="true" outlineLevel="0" collapsed="false">
      <c r="A33" s="10"/>
      <c r="B33" s="10"/>
      <c r="C33" s="10"/>
      <c r="D33" s="10"/>
      <c r="E33" s="12"/>
      <c r="F33" s="13"/>
      <c r="G33" s="14"/>
      <c r="H33" s="14"/>
      <c r="I33" s="10"/>
    </row>
    <row r="34" customFormat="false" ht="15" hidden="false" customHeight="true" outlineLevel="0" collapsed="false">
      <c r="A34" s="10"/>
      <c r="B34" s="10"/>
      <c r="C34" s="10"/>
      <c r="D34" s="10"/>
      <c r="E34" s="12"/>
      <c r="F34" s="13"/>
      <c r="G34" s="14"/>
      <c r="H34" s="14"/>
      <c r="I34" s="10"/>
    </row>
    <row r="35" customFormat="false" ht="15" hidden="false" customHeight="true" outlineLevel="0" collapsed="false">
      <c r="A35" s="10"/>
      <c r="B35" s="10"/>
      <c r="C35" s="10"/>
      <c r="D35" s="10"/>
      <c r="E35" s="12"/>
      <c r="F35" s="13"/>
      <c r="G35" s="14"/>
      <c r="H35" s="14"/>
      <c r="I35" s="10"/>
    </row>
    <row r="36" customFormat="false" ht="15" hidden="false" customHeight="true" outlineLevel="0" collapsed="false">
      <c r="A36" s="10"/>
      <c r="B36" s="10"/>
      <c r="C36" s="10"/>
      <c r="D36" s="10"/>
      <c r="E36" s="12"/>
      <c r="F36" s="13"/>
      <c r="G36" s="14"/>
      <c r="H36" s="14"/>
      <c r="I36" s="10"/>
    </row>
    <row r="37" customFormat="false" ht="15" hidden="false" customHeight="true" outlineLevel="0" collapsed="false">
      <c r="A37" s="10"/>
      <c r="B37" s="10"/>
      <c r="C37" s="10"/>
      <c r="D37" s="10"/>
      <c r="E37" s="12"/>
      <c r="F37" s="13"/>
      <c r="G37" s="14"/>
      <c r="H37" s="14"/>
      <c r="I37" s="10"/>
    </row>
    <row r="38" customFormat="false" ht="15" hidden="false" customHeight="true" outlineLevel="0" collapsed="false">
      <c r="A38" s="10"/>
      <c r="B38" s="10"/>
      <c r="C38" s="10"/>
      <c r="D38" s="10"/>
      <c r="E38" s="12"/>
      <c r="F38" s="13"/>
      <c r="G38" s="14"/>
      <c r="H38" s="14"/>
      <c r="I38" s="10"/>
    </row>
    <row r="39" customFormat="false" ht="15" hidden="false" customHeight="true" outlineLevel="0" collapsed="false">
      <c r="A39" s="10"/>
      <c r="B39" s="10"/>
      <c r="C39" s="10"/>
      <c r="D39" s="10"/>
      <c r="E39" s="12"/>
      <c r="F39" s="13"/>
      <c r="G39" s="14"/>
      <c r="H39" s="14"/>
      <c r="I39" s="10"/>
    </row>
    <row r="40" customFormat="false" ht="15" hidden="false" customHeight="true" outlineLevel="0" collapsed="false">
      <c r="A40" s="10"/>
      <c r="B40" s="10"/>
      <c r="C40" s="10"/>
      <c r="D40" s="10"/>
      <c r="E40" s="12"/>
      <c r="F40" s="13"/>
      <c r="G40" s="14"/>
      <c r="H40" s="14"/>
      <c r="I40" s="10"/>
    </row>
    <row r="41" customFormat="false" ht="15" hidden="false" customHeight="true" outlineLevel="0" collapsed="false">
      <c r="A41" s="10"/>
      <c r="B41" s="10"/>
      <c r="C41" s="10"/>
      <c r="D41" s="10"/>
      <c r="E41" s="12"/>
      <c r="F41" s="13"/>
      <c r="G41" s="14"/>
      <c r="H41" s="14"/>
      <c r="I41" s="10"/>
    </row>
    <row r="42" customFormat="false" ht="15" hidden="false" customHeight="true" outlineLevel="0" collapsed="false">
      <c r="A42" s="10"/>
      <c r="B42" s="10"/>
      <c r="C42" s="10"/>
      <c r="D42" s="10"/>
      <c r="E42" s="12"/>
      <c r="F42" s="13"/>
      <c r="G42" s="14"/>
      <c r="H42" s="14"/>
      <c r="I42" s="10"/>
    </row>
    <row r="43" customFormat="false" ht="15" hidden="false" customHeight="true" outlineLevel="0" collapsed="false">
      <c r="A43" s="10"/>
      <c r="B43" s="10"/>
      <c r="C43" s="10"/>
      <c r="D43" s="10"/>
      <c r="E43" s="12"/>
      <c r="F43" s="13"/>
      <c r="G43" s="14"/>
      <c r="H43" s="14"/>
      <c r="I43" s="10"/>
    </row>
    <row r="44" customFormat="false" ht="15" hidden="false" customHeight="true" outlineLevel="0" collapsed="false">
      <c r="A44" s="10"/>
      <c r="B44" s="10"/>
      <c r="C44" s="10"/>
      <c r="D44" s="10"/>
      <c r="E44" s="12"/>
      <c r="F44" s="13"/>
      <c r="G44" s="14"/>
      <c r="H44" s="14"/>
      <c r="I44" s="10"/>
    </row>
    <row r="45" customFormat="false" ht="15" hidden="false" customHeight="true" outlineLevel="0" collapsed="false">
      <c r="A45" s="10"/>
      <c r="B45" s="10"/>
      <c r="C45" s="10"/>
      <c r="D45" s="10"/>
      <c r="E45" s="12"/>
      <c r="F45" s="13"/>
      <c r="G45" s="14"/>
      <c r="H45" s="14"/>
      <c r="I45" s="10"/>
    </row>
    <row r="46" customFormat="false" ht="15" hidden="false" customHeight="true" outlineLevel="0" collapsed="false">
      <c r="A46" s="10"/>
      <c r="B46" s="10"/>
      <c r="C46" s="10"/>
      <c r="D46" s="10"/>
      <c r="E46" s="12"/>
      <c r="F46" s="13"/>
      <c r="G46" s="14"/>
      <c r="H46" s="14"/>
      <c r="I46" s="10"/>
    </row>
    <row r="47" customFormat="false" ht="15" hidden="false" customHeight="true" outlineLevel="0" collapsed="false">
      <c r="A47" s="10"/>
      <c r="B47" s="10"/>
      <c r="C47" s="10"/>
      <c r="D47" s="10"/>
      <c r="E47" s="12"/>
      <c r="F47" s="13"/>
      <c r="G47" s="14"/>
      <c r="H47" s="14"/>
      <c r="I47" s="10"/>
    </row>
    <row r="48" customFormat="false" ht="15" hidden="false" customHeight="true" outlineLevel="0" collapsed="false">
      <c r="A48" s="10"/>
      <c r="B48" s="10"/>
      <c r="C48" s="10"/>
      <c r="D48" s="10"/>
      <c r="E48" s="12"/>
      <c r="F48" s="13"/>
      <c r="G48" s="14"/>
      <c r="H48" s="14"/>
      <c r="I48" s="10"/>
    </row>
    <row r="49" customFormat="false" ht="15" hidden="false" customHeight="true" outlineLevel="0" collapsed="false">
      <c r="A49" s="10"/>
      <c r="B49" s="10"/>
      <c r="C49" s="10"/>
      <c r="D49" s="10"/>
      <c r="E49" s="12"/>
      <c r="F49" s="13"/>
      <c r="G49" s="14"/>
      <c r="H49" s="14"/>
      <c r="I49" s="10"/>
    </row>
    <row r="50" customFormat="false" ht="15" hidden="false" customHeight="true" outlineLevel="0" collapsed="false">
      <c r="A50" s="10"/>
      <c r="B50" s="10"/>
      <c r="C50" s="10"/>
      <c r="D50" s="10"/>
      <c r="E50" s="12"/>
      <c r="F50" s="13"/>
      <c r="G50" s="14"/>
      <c r="H50" s="14"/>
      <c r="I50" s="10"/>
    </row>
    <row r="51" customFormat="false" ht="15" hidden="false" customHeight="true" outlineLevel="0" collapsed="false">
      <c r="A51" s="10"/>
      <c r="B51" s="10"/>
      <c r="C51" s="10"/>
      <c r="D51" s="10"/>
      <c r="E51" s="12"/>
      <c r="F51" s="13"/>
      <c r="G51" s="14"/>
      <c r="H51" s="14"/>
      <c r="I51" s="10"/>
    </row>
    <row r="52" customFormat="false" ht="15" hidden="false" customHeight="true" outlineLevel="0" collapsed="false">
      <c r="A52" s="10"/>
      <c r="B52" s="10"/>
      <c r="C52" s="10"/>
      <c r="D52" s="10"/>
      <c r="E52" s="12"/>
      <c r="F52" s="13"/>
      <c r="G52" s="14"/>
      <c r="H52" s="14"/>
      <c r="I52" s="10"/>
    </row>
    <row r="53" customFormat="false" ht="15" hidden="false" customHeight="true" outlineLevel="0" collapsed="false">
      <c r="A53" s="10"/>
      <c r="B53" s="10"/>
      <c r="C53" s="10"/>
      <c r="D53" s="10"/>
      <c r="E53" s="12"/>
      <c r="F53" s="13"/>
      <c r="G53" s="14"/>
      <c r="H53" s="14"/>
      <c r="I53" s="10"/>
    </row>
    <row r="54" customFormat="false" ht="15" hidden="false" customHeight="true" outlineLevel="0" collapsed="false">
      <c r="A54" s="10"/>
      <c r="B54" s="10"/>
      <c r="C54" s="10"/>
      <c r="D54" s="10"/>
      <c r="E54" s="12"/>
      <c r="F54" s="13"/>
      <c r="G54" s="14"/>
      <c r="H54" s="14"/>
      <c r="I54" s="10"/>
    </row>
    <row r="55" customFormat="false" ht="15" hidden="false" customHeight="true" outlineLevel="0" collapsed="false">
      <c r="A55" s="10"/>
      <c r="B55" s="10"/>
      <c r="C55" s="10"/>
      <c r="D55" s="10"/>
      <c r="E55" s="12"/>
      <c r="F55" s="13"/>
      <c r="G55" s="14"/>
      <c r="H55" s="14"/>
      <c r="I55" s="10"/>
    </row>
    <row r="56" customFormat="false" ht="15" hidden="false" customHeight="true" outlineLevel="0" collapsed="false">
      <c r="A56" s="10"/>
      <c r="B56" s="10"/>
      <c r="C56" s="10"/>
      <c r="D56" s="10"/>
      <c r="E56" s="12"/>
      <c r="F56" s="13"/>
      <c r="G56" s="14"/>
      <c r="H56" s="14"/>
      <c r="I56" s="10"/>
    </row>
    <row r="57" customFormat="false" ht="15" hidden="false" customHeight="true" outlineLevel="0" collapsed="false">
      <c r="A57" s="10"/>
      <c r="B57" s="10"/>
      <c r="C57" s="10"/>
      <c r="D57" s="10"/>
      <c r="E57" s="12"/>
      <c r="F57" s="13"/>
      <c r="G57" s="14"/>
      <c r="H57" s="14"/>
      <c r="I57" s="10"/>
    </row>
    <row r="58" customFormat="false" ht="15" hidden="false" customHeight="true" outlineLevel="0" collapsed="false">
      <c r="A58" s="10"/>
      <c r="B58" s="10"/>
      <c r="C58" s="10"/>
      <c r="D58" s="10"/>
      <c r="E58" s="12"/>
      <c r="F58" s="13"/>
      <c r="G58" s="14"/>
      <c r="H58" s="14"/>
      <c r="I58" s="10"/>
    </row>
    <row r="59" customFormat="false" ht="15" hidden="false" customHeight="true" outlineLevel="0" collapsed="false">
      <c r="A59" s="10"/>
      <c r="B59" s="10"/>
      <c r="C59" s="10"/>
      <c r="D59" s="10"/>
      <c r="E59" s="12"/>
      <c r="F59" s="13"/>
      <c r="G59" s="14"/>
      <c r="H59" s="14"/>
      <c r="I59" s="10"/>
    </row>
    <row r="60" customFormat="false" ht="15" hidden="false" customHeight="true" outlineLevel="0" collapsed="false">
      <c r="A60" s="10"/>
      <c r="B60" s="10"/>
      <c r="C60" s="10"/>
      <c r="D60" s="10"/>
      <c r="E60" s="12"/>
      <c r="F60" s="13"/>
      <c r="G60" s="14"/>
      <c r="H60" s="14"/>
      <c r="I60" s="10"/>
    </row>
    <row r="61" customFormat="false" ht="15" hidden="false" customHeight="true" outlineLevel="0" collapsed="false">
      <c r="A61" s="10"/>
      <c r="B61" s="10"/>
      <c r="C61" s="10"/>
      <c r="D61" s="10"/>
      <c r="E61" s="12"/>
      <c r="F61" s="13"/>
      <c r="G61" s="14"/>
      <c r="H61" s="14"/>
      <c r="I61" s="10"/>
    </row>
    <row r="62" customFormat="false" ht="15" hidden="false" customHeight="true" outlineLevel="0" collapsed="false">
      <c r="A62" s="10"/>
      <c r="B62" s="10"/>
      <c r="C62" s="10"/>
      <c r="D62" s="10"/>
      <c r="E62" s="12"/>
      <c r="F62" s="13"/>
      <c r="G62" s="14"/>
      <c r="H62" s="14"/>
      <c r="I62" s="10"/>
    </row>
    <row r="63" customFormat="false" ht="15" hidden="false" customHeight="true" outlineLevel="0" collapsed="false">
      <c r="A63" s="10"/>
      <c r="B63" s="10"/>
      <c r="C63" s="10"/>
      <c r="D63" s="10"/>
      <c r="E63" s="12"/>
      <c r="F63" s="13"/>
      <c r="G63" s="14"/>
      <c r="H63" s="14"/>
      <c r="I63" s="10"/>
    </row>
    <row r="64" customFormat="false" ht="15" hidden="false" customHeight="true" outlineLevel="0" collapsed="false">
      <c r="A64" s="10"/>
      <c r="B64" s="10"/>
      <c r="C64" s="10"/>
      <c r="D64" s="10"/>
      <c r="E64" s="12"/>
      <c r="F64" s="13"/>
      <c r="G64" s="14"/>
      <c r="H64" s="14"/>
      <c r="I64" s="10"/>
    </row>
    <row r="65" customFormat="false" ht="15" hidden="false" customHeight="true" outlineLevel="0" collapsed="false">
      <c r="A65" s="10"/>
      <c r="B65" s="10"/>
      <c r="C65" s="10"/>
      <c r="D65" s="10"/>
      <c r="E65" s="12"/>
      <c r="F65" s="13"/>
      <c r="G65" s="14"/>
      <c r="H65" s="14"/>
      <c r="I65" s="10"/>
    </row>
    <row r="66" customFormat="false" ht="15" hidden="false" customHeight="true" outlineLevel="0" collapsed="false">
      <c r="A66" s="10"/>
      <c r="B66" s="10"/>
      <c r="C66" s="10"/>
      <c r="D66" s="10"/>
      <c r="E66" s="12"/>
      <c r="F66" s="13"/>
      <c r="G66" s="14"/>
      <c r="H66" s="14"/>
      <c r="I66" s="10"/>
    </row>
    <row r="67" customFormat="false" ht="15" hidden="false" customHeight="true" outlineLevel="0" collapsed="false">
      <c r="A67" s="10"/>
      <c r="B67" s="10"/>
      <c r="C67" s="10"/>
      <c r="D67" s="10"/>
      <c r="E67" s="12"/>
      <c r="F67" s="13"/>
      <c r="G67" s="14"/>
      <c r="H67" s="14"/>
      <c r="I67" s="10"/>
    </row>
    <row r="68" customFormat="false" ht="15" hidden="false" customHeight="true" outlineLevel="0" collapsed="false">
      <c r="A68" s="10"/>
      <c r="B68" s="10"/>
      <c r="C68" s="10"/>
      <c r="D68" s="10"/>
      <c r="E68" s="12"/>
      <c r="F68" s="13"/>
      <c r="G68" s="14"/>
      <c r="H68" s="14"/>
      <c r="I68" s="10"/>
    </row>
    <row r="69" customFormat="false" ht="15" hidden="false" customHeight="true" outlineLevel="0" collapsed="false">
      <c r="A69" s="10"/>
      <c r="B69" s="10"/>
      <c r="C69" s="10"/>
      <c r="D69" s="10"/>
      <c r="E69" s="12"/>
      <c r="F69" s="13"/>
      <c r="G69" s="14"/>
      <c r="H69" s="14"/>
      <c r="I69" s="10"/>
    </row>
    <row r="70" customFormat="false" ht="15" hidden="false" customHeight="true" outlineLevel="0" collapsed="false">
      <c r="A70" s="10"/>
      <c r="B70" s="10"/>
      <c r="C70" s="10"/>
      <c r="D70" s="10"/>
      <c r="E70" s="12"/>
      <c r="F70" s="13"/>
      <c r="G70" s="14"/>
      <c r="H70" s="14"/>
      <c r="I70" s="10"/>
    </row>
    <row r="71" customFormat="false" ht="15" hidden="false" customHeight="true" outlineLevel="0" collapsed="false">
      <c r="A71" s="10"/>
      <c r="B71" s="10"/>
      <c r="C71" s="10"/>
      <c r="D71" s="10"/>
      <c r="E71" s="12"/>
      <c r="F71" s="13"/>
      <c r="G71" s="14"/>
      <c r="H71" s="14"/>
      <c r="I71" s="10"/>
    </row>
    <row r="72" customFormat="false" ht="15" hidden="false" customHeight="true" outlineLevel="0" collapsed="false">
      <c r="A72" s="10"/>
      <c r="B72" s="10"/>
      <c r="C72" s="10"/>
      <c r="D72" s="10"/>
      <c r="E72" s="12"/>
      <c r="F72" s="13"/>
      <c r="G72" s="14"/>
      <c r="H72" s="14"/>
      <c r="I72" s="10"/>
    </row>
    <row r="73" customFormat="false" ht="15" hidden="false" customHeight="true" outlineLevel="0" collapsed="false">
      <c r="A73" s="10"/>
      <c r="B73" s="10"/>
      <c r="C73" s="10"/>
      <c r="D73" s="10"/>
      <c r="E73" s="12"/>
      <c r="F73" s="13"/>
      <c r="G73" s="14"/>
      <c r="H73" s="14"/>
      <c r="I73" s="10"/>
    </row>
    <row r="74" customFormat="false" ht="15" hidden="false" customHeight="true" outlineLevel="0" collapsed="false">
      <c r="A74" s="10"/>
      <c r="B74" s="10"/>
      <c r="C74" s="10"/>
      <c r="D74" s="10"/>
      <c r="E74" s="12"/>
      <c r="F74" s="13"/>
      <c r="G74" s="14"/>
      <c r="H74" s="14"/>
      <c r="I74" s="10"/>
    </row>
    <row r="75" customFormat="false" ht="15" hidden="false" customHeight="true" outlineLevel="0" collapsed="false">
      <c r="A75" s="10"/>
      <c r="B75" s="10"/>
      <c r="C75" s="10"/>
      <c r="D75" s="10"/>
      <c r="E75" s="12"/>
      <c r="F75" s="13"/>
      <c r="G75" s="14"/>
      <c r="H75" s="14"/>
      <c r="I75" s="10"/>
    </row>
    <row r="76" customFormat="false" ht="15" hidden="false" customHeight="true" outlineLevel="0" collapsed="false">
      <c r="A76" s="10"/>
      <c r="B76" s="10"/>
      <c r="C76" s="10"/>
      <c r="D76" s="10"/>
      <c r="E76" s="12"/>
      <c r="F76" s="13"/>
      <c r="G76" s="14"/>
      <c r="H76" s="14"/>
      <c r="I76" s="10"/>
    </row>
    <row r="77" customFormat="false" ht="15" hidden="false" customHeight="true" outlineLevel="0" collapsed="false">
      <c r="A77" s="10"/>
      <c r="B77" s="10"/>
      <c r="C77" s="10"/>
      <c r="D77" s="10"/>
      <c r="E77" s="12"/>
      <c r="F77" s="13"/>
      <c r="G77" s="14"/>
      <c r="H77" s="14"/>
      <c r="I77" s="10"/>
    </row>
    <row r="78" customFormat="false" ht="15" hidden="false" customHeight="true" outlineLevel="0" collapsed="false">
      <c r="A78" s="10"/>
      <c r="B78" s="10"/>
      <c r="C78" s="10"/>
      <c r="D78" s="10"/>
      <c r="E78" s="12"/>
      <c r="F78" s="13"/>
      <c r="G78" s="14"/>
      <c r="H78" s="14"/>
      <c r="I78" s="10"/>
    </row>
    <row r="79" customFormat="false" ht="15" hidden="false" customHeight="true" outlineLevel="0" collapsed="false">
      <c r="A79" s="10"/>
      <c r="B79" s="10"/>
      <c r="C79" s="10"/>
      <c r="D79" s="10"/>
      <c r="E79" s="12"/>
      <c r="F79" s="13"/>
      <c r="G79" s="14"/>
      <c r="H79" s="14"/>
      <c r="I79" s="10"/>
    </row>
    <row r="80" customFormat="false" ht="15" hidden="false" customHeight="true" outlineLevel="0" collapsed="false">
      <c r="A80" s="10"/>
      <c r="B80" s="10"/>
      <c r="C80" s="10"/>
      <c r="D80" s="10"/>
      <c r="E80" s="12"/>
      <c r="F80" s="13"/>
      <c r="G80" s="14"/>
      <c r="H80" s="14"/>
      <c r="I80" s="10"/>
    </row>
    <row r="81" customFormat="false" ht="15" hidden="false" customHeight="true" outlineLevel="0" collapsed="false">
      <c r="A81" s="10"/>
      <c r="B81" s="10"/>
      <c r="C81" s="10"/>
      <c r="D81" s="10"/>
      <c r="E81" s="12"/>
      <c r="F81" s="13"/>
      <c r="G81" s="14"/>
      <c r="H81" s="14"/>
      <c r="I81" s="10"/>
    </row>
    <row r="82" customFormat="false" ht="15" hidden="false" customHeight="true" outlineLevel="0" collapsed="false">
      <c r="A82" s="10"/>
      <c r="B82" s="10"/>
      <c r="C82" s="10"/>
      <c r="D82" s="10"/>
      <c r="E82" s="12"/>
      <c r="F82" s="13"/>
      <c r="G82" s="14"/>
      <c r="H82" s="14"/>
      <c r="I82" s="10"/>
    </row>
    <row r="83" customFormat="false" ht="15" hidden="false" customHeight="true" outlineLevel="0" collapsed="false">
      <c r="A83" s="10"/>
      <c r="B83" s="10"/>
      <c r="C83" s="10"/>
      <c r="D83" s="10"/>
      <c r="E83" s="12"/>
      <c r="F83" s="13"/>
      <c r="G83" s="14"/>
      <c r="H83" s="14"/>
      <c r="I83" s="10"/>
    </row>
    <row r="84" customFormat="false" ht="15" hidden="false" customHeight="true" outlineLevel="0" collapsed="false">
      <c r="A84" s="10"/>
      <c r="B84" s="10"/>
      <c r="C84" s="10"/>
      <c r="D84" s="10"/>
      <c r="E84" s="12"/>
      <c r="F84" s="13"/>
      <c r="G84" s="14"/>
      <c r="H84" s="14"/>
      <c r="I84" s="10"/>
    </row>
    <row r="85" customFormat="false" ht="15" hidden="false" customHeight="true" outlineLevel="0" collapsed="false">
      <c r="A85" s="10"/>
      <c r="B85" s="10"/>
      <c r="C85" s="10"/>
      <c r="D85" s="10"/>
      <c r="E85" s="12"/>
      <c r="F85" s="13"/>
      <c r="G85" s="14"/>
      <c r="H85" s="14"/>
      <c r="I85" s="10"/>
    </row>
    <row r="86" customFormat="false" ht="15" hidden="false" customHeight="true" outlineLevel="0" collapsed="false">
      <c r="A86" s="10"/>
      <c r="B86" s="10"/>
      <c r="C86" s="10"/>
      <c r="D86" s="10"/>
      <c r="E86" s="12"/>
      <c r="F86" s="13"/>
      <c r="G86" s="14"/>
      <c r="H86" s="14"/>
      <c r="I86" s="10"/>
    </row>
    <row r="87" customFormat="false" ht="15" hidden="false" customHeight="true" outlineLevel="0" collapsed="false">
      <c r="A87" s="10"/>
      <c r="B87" s="10"/>
      <c r="C87" s="10"/>
      <c r="D87" s="10"/>
      <c r="E87" s="12"/>
      <c r="F87" s="13"/>
      <c r="G87" s="14"/>
      <c r="H87" s="14"/>
      <c r="I87" s="10"/>
    </row>
    <row r="88" customFormat="false" ht="15" hidden="false" customHeight="true" outlineLevel="0" collapsed="false">
      <c r="A88" s="10"/>
      <c r="B88" s="10"/>
      <c r="C88" s="10"/>
      <c r="D88" s="10"/>
      <c r="E88" s="12"/>
      <c r="F88" s="13"/>
      <c r="G88" s="14"/>
      <c r="H88" s="14"/>
      <c r="I88" s="10"/>
    </row>
    <row r="89" customFormat="false" ht="15" hidden="false" customHeight="true" outlineLevel="0" collapsed="false">
      <c r="A89" s="10"/>
      <c r="B89" s="10"/>
      <c r="C89" s="10"/>
      <c r="D89" s="10"/>
      <c r="E89" s="12"/>
      <c r="F89" s="13"/>
      <c r="G89" s="14"/>
      <c r="H89" s="14"/>
      <c r="I89" s="10"/>
    </row>
    <row r="90" customFormat="false" ht="15" hidden="false" customHeight="true" outlineLevel="0" collapsed="false">
      <c r="A90" s="10"/>
      <c r="B90" s="10"/>
      <c r="C90" s="10"/>
      <c r="D90" s="10"/>
      <c r="E90" s="12"/>
      <c r="F90" s="13"/>
      <c r="G90" s="14"/>
      <c r="H90" s="14"/>
      <c r="I90" s="10"/>
    </row>
    <row r="91" customFormat="false" ht="15" hidden="false" customHeight="true" outlineLevel="0" collapsed="false">
      <c r="A91" s="10"/>
      <c r="B91" s="10"/>
      <c r="C91" s="10"/>
      <c r="D91" s="10"/>
      <c r="E91" s="12"/>
      <c r="F91" s="13"/>
      <c r="G91" s="14"/>
      <c r="H91" s="14"/>
      <c r="I91" s="10"/>
    </row>
    <row r="92" customFormat="false" ht="15" hidden="false" customHeight="true" outlineLevel="0" collapsed="false">
      <c r="A92" s="10"/>
      <c r="B92" s="10"/>
      <c r="C92" s="10"/>
      <c r="D92" s="10"/>
      <c r="E92" s="12"/>
      <c r="F92" s="13"/>
      <c r="G92" s="14"/>
      <c r="H92" s="14"/>
      <c r="I92" s="10"/>
    </row>
    <row r="93" customFormat="false" ht="15" hidden="false" customHeight="true" outlineLevel="0" collapsed="false">
      <c r="A93" s="10"/>
      <c r="B93" s="10"/>
      <c r="C93" s="10"/>
      <c r="D93" s="10"/>
      <c r="E93" s="12"/>
      <c r="F93" s="13"/>
      <c r="G93" s="14"/>
      <c r="H93" s="14"/>
      <c r="I93" s="10"/>
    </row>
    <row r="94" customFormat="false" ht="15" hidden="false" customHeight="true" outlineLevel="0" collapsed="false">
      <c r="A94" s="10"/>
      <c r="B94" s="10"/>
      <c r="C94" s="10"/>
      <c r="D94" s="10"/>
      <c r="E94" s="12"/>
      <c r="F94" s="13"/>
      <c r="G94" s="14"/>
      <c r="H94" s="14"/>
      <c r="I94" s="10"/>
    </row>
    <row r="95" customFormat="false" ht="15" hidden="false" customHeight="true" outlineLevel="0" collapsed="false">
      <c r="A95" s="10"/>
      <c r="B95" s="10"/>
      <c r="C95" s="10"/>
      <c r="D95" s="10"/>
      <c r="E95" s="12"/>
      <c r="F95" s="13"/>
      <c r="G95" s="14"/>
      <c r="H95" s="14"/>
      <c r="I95" s="10"/>
    </row>
    <row r="96" customFormat="false" ht="15" hidden="false" customHeight="true" outlineLevel="0" collapsed="false">
      <c r="A96" s="10"/>
      <c r="B96" s="10"/>
      <c r="C96" s="10"/>
      <c r="D96" s="10"/>
      <c r="E96" s="12"/>
      <c r="F96" s="13"/>
      <c r="G96" s="14"/>
      <c r="H96" s="14"/>
      <c r="I96" s="10"/>
    </row>
    <row r="97" customFormat="false" ht="15" hidden="false" customHeight="true" outlineLevel="0" collapsed="false">
      <c r="A97" s="10"/>
      <c r="B97" s="10"/>
      <c r="C97" s="10"/>
      <c r="D97" s="10"/>
      <c r="E97" s="12"/>
      <c r="F97" s="13"/>
      <c r="G97" s="14"/>
      <c r="H97" s="14"/>
      <c r="I97" s="10"/>
    </row>
    <row r="98" customFormat="false" ht="15" hidden="false" customHeight="true" outlineLevel="0" collapsed="false">
      <c r="A98" s="10"/>
      <c r="B98" s="10"/>
      <c r="C98" s="10"/>
      <c r="D98" s="10"/>
      <c r="E98" s="12"/>
      <c r="F98" s="13"/>
      <c r="G98" s="14"/>
      <c r="H98" s="14"/>
      <c r="I98" s="10"/>
    </row>
    <row r="99" customFormat="false" ht="15" hidden="false" customHeight="true" outlineLevel="0" collapsed="false">
      <c r="A99" s="10"/>
      <c r="B99" s="10"/>
      <c r="C99" s="10"/>
      <c r="D99" s="10"/>
      <c r="E99" s="12"/>
      <c r="F99" s="13"/>
      <c r="G99" s="14"/>
      <c r="H99" s="14"/>
      <c r="I99" s="10"/>
    </row>
    <row r="100" customFormat="false" ht="15" hidden="false" customHeight="true" outlineLevel="0" collapsed="false">
      <c r="A100" s="10"/>
      <c r="B100" s="10"/>
      <c r="C100" s="10"/>
      <c r="D100" s="10"/>
      <c r="E100" s="12"/>
      <c r="F100" s="13"/>
      <c r="G100" s="14"/>
      <c r="H100" s="14"/>
      <c r="I100" s="10"/>
    </row>
    <row r="101" customFormat="false" ht="15" hidden="false" customHeight="true" outlineLevel="0" collapsed="false">
      <c r="A101" s="10"/>
      <c r="B101" s="10"/>
      <c r="C101" s="10"/>
      <c r="D101" s="10"/>
      <c r="E101" s="12"/>
      <c r="F101" s="13"/>
      <c r="G101" s="14"/>
      <c r="H101" s="14"/>
      <c r="I101" s="10"/>
    </row>
    <row r="102" customFormat="false" ht="15" hidden="false" customHeight="true" outlineLevel="0" collapsed="false">
      <c r="A102" s="10"/>
      <c r="B102" s="10"/>
      <c r="C102" s="10"/>
      <c r="D102" s="10"/>
      <c r="E102" s="12"/>
      <c r="F102" s="13"/>
      <c r="G102" s="14"/>
      <c r="H102" s="14"/>
      <c r="I102" s="10"/>
    </row>
    <row r="103" customFormat="false" ht="15" hidden="false" customHeight="true" outlineLevel="0" collapsed="false">
      <c r="A103" s="10"/>
      <c r="B103" s="10"/>
      <c r="C103" s="10"/>
      <c r="D103" s="10"/>
      <c r="E103" s="12"/>
      <c r="F103" s="13"/>
      <c r="G103" s="14"/>
      <c r="H103" s="14"/>
      <c r="I103" s="10"/>
    </row>
    <row r="104" customFormat="false" ht="15" hidden="false" customHeight="true" outlineLevel="0" collapsed="false">
      <c r="A104" s="10"/>
      <c r="B104" s="10"/>
      <c r="C104" s="10"/>
      <c r="D104" s="10"/>
      <c r="E104" s="12"/>
      <c r="F104" s="13"/>
      <c r="G104" s="14"/>
      <c r="H104" s="14"/>
      <c r="I104" s="10"/>
    </row>
    <row r="105" customFormat="false" ht="15" hidden="false" customHeight="true" outlineLevel="0" collapsed="false">
      <c r="A105" s="10"/>
      <c r="B105" s="10"/>
      <c r="C105" s="10"/>
      <c r="D105" s="10"/>
      <c r="E105" s="12"/>
      <c r="F105" s="13"/>
      <c r="G105" s="14"/>
      <c r="H105" s="14"/>
      <c r="I105" s="10"/>
    </row>
    <row r="106" customFormat="false" ht="15" hidden="false" customHeight="true" outlineLevel="0" collapsed="false">
      <c r="A106" s="10"/>
      <c r="B106" s="10"/>
      <c r="C106" s="10"/>
      <c r="D106" s="10"/>
      <c r="E106" s="12"/>
      <c r="F106" s="13"/>
      <c r="G106" s="14"/>
      <c r="H106" s="14"/>
      <c r="I106" s="10"/>
    </row>
    <row r="107" customFormat="false" ht="15" hidden="false" customHeight="true" outlineLevel="0" collapsed="false">
      <c r="A107" s="10"/>
      <c r="B107" s="10"/>
      <c r="C107" s="10"/>
      <c r="D107" s="10"/>
      <c r="E107" s="12"/>
      <c r="F107" s="13"/>
      <c r="G107" s="14"/>
      <c r="H107" s="14"/>
      <c r="I107" s="10"/>
    </row>
    <row r="108" customFormat="false" ht="15" hidden="false" customHeight="true" outlineLevel="0" collapsed="false">
      <c r="A108" s="10"/>
      <c r="B108" s="10"/>
      <c r="C108" s="10"/>
      <c r="D108" s="10"/>
      <c r="E108" s="12"/>
      <c r="F108" s="13"/>
      <c r="G108" s="14"/>
      <c r="H108" s="14"/>
      <c r="I108" s="10"/>
    </row>
    <row r="109" customFormat="false" ht="15" hidden="false" customHeight="true" outlineLevel="0" collapsed="false">
      <c r="A109" s="10"/>
      <c r="B109" s="10"/>
      <c r="C109" s="10"/>
      <c r="D109" s="10"/>
      <c r="E109" s="12"/>
      <c r="F109" s="13"/>
      <c r="G109" s="14"/>
      <c r="H109" s="14"/>
      <c r="I109" s="10"/>
    </row>
    <row r="110" customFormat="false" ht="15" hidden="false" customHeight="true" outlineLevel="0" collapsed="false">
      <c r="A110" s="10"/>
      <c r="B110" s="10"/>
      <c r="C110" s="10"/>
      <c r="D110" s="10"/>
      <c r="E110" s="12"/>
      <c r="F110" s="13"/>
      <c r="G110" s="14"/>
      <c r="H110" s="14"/>
      <c r="I110" s="10"/>
    </row>
    <row r="111" customFormat="false" ht="15" hidden="false" customHeight="true" outlineLevel="0" collapsed="false">
      <c r="A111" s="10"/>
      <c r="B111" s="10"/>
      <c r="C111" s="10"/>
      <c r="D111" s="10"/>
      <c r="E111" s="12"/>
      <c r="F111" s="13"/>
      <c r="G111" s="14"/>
      <c r="H111" s="14"/>
      <c r="I111" s="10"/>
    </row>
    <row r="112" customFormat="false" ht="15" hidden="false" customHeight="true" outlineLevel="0" collapsed="false">
      <c r="A112" s="10"/>
      <c r="B112" s="10"/>
      <c r="C112" s="10"/>
      <c r="D112" s="10"/>
      <c r="E112" s="12"/>
      <c r="F112" s="13"/>
      <c r="G112" s="14"/>
      <c r="H112" s="14"/>
      <c r="I112" s="10"/>
    </row>
    <row r="113" customFormat="false" ht="15" hidden="false" customHeight="true" outlineLevel="0" collapsed="false">
      <c r="A113" s="10"/>
      <c r="B113" s="10"/>
      <c r="C113" s="10"/>
      <c r="D113" s="10"/>
      <c r="E113" s="12"/>
      <c r="F113" s="13"/>
      <c r="G113" s="14"/>
      <c r="H113" s="14"/>
      <c r="I113" s="10"/>
    </row>
    <row r="114" customFormat="false" ht="15" hidden="false" customHeight="true" outlineLevel="0" collapsed="false">
      <c r="A114" s="10"/>
      <c r="B114" s="10"/>
      <c r="C114" s="10"/>
      <c r="D114" s="10"/>
      <c r="E114" s="12"/>
      <c r="F114" s="13"/>
      <c r="G114" s="14"/>
      <c r="H114" s="14"/>
      <c r="I114" s="10"/>
    </row>
    <row r="115" customFormat="false" ht="15" hidden="false" customHeight="true" outlineLevel="0" collapsed="false">
      <c r="A115" s="10"/>
      <c r="B115" s="10"/>
      <c r="C115" s="10"/>
      <c r="D115" s="10"/>
      <c r="E115" s="12"/>
      <c r="F115" s="13"/>
      <c r="G115" s="14"/>
      <c r="H115" s="14"/>
      <c r="I115" s="10"/>
    </row>
    <row r="116" customFormat="false" ht="15" hidden="false" customHeight="true" outlineLevel="0" collapsed="false">
      <c r="A116" s="10"/>
      <c r="B116" s="10"/>
      <c r="C116" s="10"/>
      <c r="D116" s="10"/>
      <c r="E116" s="12"/>
      <c r="F116" s="13"/>
      <c r="G116" s="14"/>
      <c r="H116" s="14"/>
      <c r="I116" s="10"/>
    </row>
    <row r="117" customFormat="false" ht="15" hidden="false" customHeight="true" outlineLevel="0" collapsed="false">
      <c r="A117" s="10"/>
      <c r="B117" s="10"/>
      <c r="C117" s="10"/>
      <c r="D117" s="10"/>
      <c r="E117" s="12"/>
      <c r="F117" s="13"/>
      <c r="G117" s="14"/>
      <c r="H117" s="14"/>
      <c r="I117" s="10"/>
    </row>
    <row r="118" customFormat="false" ht="15" hidden="false" customHeight="true" outlineLevel="0" collapsed="false">
      <c r="A118" s="10"/>
      <c r="B118" s="10"/>
      <c r="C118" s="10"/>
      <c r="D118" s="10"/>
      <c r="E118" s="12"/>
      <c r="F118" s="13"/>
      <c r="G118" s="14"/>
      <c r="H118" s="14"/>
      <c r="I118" s="10"/>
    </row>
    <row r="119" customFormat="false" ht="15" hidden="false" customHeight="true" outlineLevel="0" collapsed="false">
      <c r="A119" s="10"/>
      <c r="B119" s="10"/>
      <c r="C119" s="10"/>
      <c r="D119" s="10"/>
      <c r="E119" s="12"/>
      <c r="F119" s="13"/>
      <c r="G119" s="14"/>
      <c r="H119" s="14"/>
      <c r="I119" s="10"/>
    </row>
    <row r="120" customFormat="false" ht="15" hidden="false" customHeight="true" outlineLevel="0" collapsed="false">
      <c r="A120" s="10"/>
      <c r="B120" s="10"/>
      <c r="C120" s="10"/>
      <c r="D120" s="10"/>
      <c r="E120" s="12"/>
      <c r="F120" s="13"/>
      <c r="G120" s="14"/>
      <c r="H120" s="14"/>
      <c r="I120" s="10"/>
    </row>
    <row r="121" customFormat="false" ht="15" hidden="false" customHeight="true" outlineLevel="0" collapsed="false">
      <c r="A121" s="10"/>
      <c r="B121" s="10"/>
      <c r="C121" s="10"/>
      <c r="D121" s="10"/>
      <c r="E121" s="12"/>
      <c r="F121" s="13"/>
      <c r="G121" s="14"/>
      <c r="H121" s="14"/>
      <c r="I121" s="10"/>
    </row>
    <row r="122" customFormat="false" ht="15" hidden="false" customHeight="true" outlineLevel="0" collapsed="false">
      <c r="A122" s="10"/>
      <c r="B122" s="10"/>
      <c r="C122" s="10"/>
      <c r="D122" s="10"/>
      <c r="E122" s="12"/>
      <c r="F122" s="13"/>
      <c r="G122" s="14"/>
      <c r="H122" s="14"/>
      <c r="I122" s="10"/>
    </row>
    <row r="123" customFormat="false" ht="15" hidden="false" customHeight="true" outlineLevel="0" collapsed="false">
      <c r="A123" s="10"/>
      <c r="B123" s="10"/>
      <c r="C123" s="10"/>
      <c r="D123" s="10"/>
      <c r="E123" s="12"/>
      <c r="F123" s="13"/>
      <c r="G123" s="14"/>
      <c r="H123" s="14"/>
      <c r="I123" s="10"/>
    </row>
    <row r="124" customFormat="false" ht="15" hidden="false" customHeight="true" outlineLevel="0" collapsed="false">
      <c r="A124" s="10"/>
      <c r="B124" s="10"/>
      <c r="C124" s="10"/>
      <c r="D124" s="10"/>
      <c r="E124" s="12"/>
      <c r="F124" s="13"/>
      <c r="G124" s="14"/>
      <c r="H124" s="14"/>
      <c r="I124" s="10"/>
    </row>
    <row r="125" customFormat="false" ht="15" hidden="false" customHeight="true" outlineLevel="0" collapsed="false">
      <c r="A125" s="10"/>
      <c r="B125" s="10"/>
      <c r="C125" s="10"/>
      <c r="D125" s="10"/>
      <c r="E125" s="12"/>
      <c r="F125" s="13"/>
      <c r="G125" s="14"/>
      <c r="H125" s="14"/>
      <c r="I125" s="10"/>
    </row>
    <row r="126" customFormat="false" ht="15" hidden="false" customHeight="true" outlineLevel="0" collapsed="false">
      <c r="A126" s="10"/>
      <c r="B126" s="10"/>
      <c r="C126" s="10"/>
      <c r="D126" s="10"/>
      <c r="E126" s="12"/>
      <c r="F126" s="13"/>
      <c r="G126" s="14"/>
      <c r="H126" s="14"/>
      <c r="I126" s="10"/>
    </row>
    <row r="127" customFormat="false" ht="15" hidden="false" customHeight="true" outlineLevel="0" collapsed="false">
      <c r="A127" s="10"/>
      <c r="B127" s="10"/>
      <c r="C127" s="10"/>
      <c r="D127" s="10"/>
      <c r="E127" s="12"/>
      <c r="F127" s="13"/>
      <c r="G127" s="14"/>
      <c r="H127" s="14"/>
      <c r="I127" s="10"/>
    </row>
    <row r="128" customFormat="false" ht="15" hidden="false" customHeight="true" outlineLevel="0" collapsed="false">
      <c r="A128" s="10"/>
      <c r="B128" s="10"/>
      <c r="C128" s="10"/>
      <c r="D128" s="10"/>
      <c r="E128" s="12"/>
      <c r="F128" s="13"/>
      <c r="G128" s="14"/>
      <c r="H128" s="14"/>
      <c r="I128" s="10"/>
    </row>
    <row r="129" customFormat="false" ht="15" hidden="false" customHeight="true" outlineLevel="0" collapsed="false">
      <c r="A129" s="10"/>
      <c r="B129" s="10"/>
      <c r="C129" s="10"/>
      <c r="D129" s="10"/>
      <c r="E129" s="12"/>
      <c r="F129" s="13"/>
      <c r="G129" s="14"/>
      <c r="H129" s="14"/>
      <c r="I129" s="10"/>
    </row>
    <row r="130" customFormat="false" ht="15" hidden="false" customHeight="true" outlineLevel="0" collapsed="false">
      <c r="A130" s="10"/>
      <c r="B130" s="10"/>
      <c r="C130" s="10"/>
      <c r="D130" s="10"/>
      <c r="E130" s="12"/>
      <c r="F130" s="13"/>
      <c r="G130" s="14"/>
      <c r="H130" s="14"/>
      <c r="I130" s="10"/>
    </row>
    <row r="131" customFormat="false" ht="15" hidden="false" customHeight="true" outlineLevel="0" collapsed="false">
      <c r="A131" s="10"/>
      <c r="B131" s="10"/>
      <c r="C131" s="10"/>
      <c r="D131" s="10"/>
      <c r="E131" s="12"/>
      <c r="F131" s="13"/>
      <c r="G131" s="14"/>
      <c r="H131" s="14"/>
      <c r="I131" s="10"/>
    </row>
    <row r="132" customFormat="false" ht="15" hidden="false" customHeight="true" outlineLevel="0" collapsed="false">
      <c r="A132" s="10"/>
      <c r="B132" s="10"/>
      <c r="C132" s="10"/>
      <c r="D132" s="10"/>
      <c r="E132" s="12"/>
      <c r="F132" s="13"/>
      <c r="G132" s="14"/>
      <c r="H132" s="14"/>
      <c r="I132" s="10"/>
    </row>
    <row r="133" customFormat="false" ht="15" hidden="false" customHeight="true" outlineLevel="0" collapsed="false">
      <c r="A133" s="10"/>
      <c r="B133" s="10"/>
      <c r="C133" s="10"/>
      <c r="D133" s="10"/>
      <c r="E133" s="12"/>
      <c r="F133" s="13"/>
      <c r="G133" s="14"/>
      <c r="H133" s="14"/>
      <c r="I133" s="10"/>
    </row>
    <row r="134" customFormat="false" ht="15" hidden="false" customHeight="true" outlineLevel="0" collapsed="false">
      <c r="A134" s="10"/>
      <c r="B134" s="10"/>
      <c r="C134" s="10"/>
      <c r="D134" s="10"/>
      <c r="E134" s="12"/>
      <c r="F134" s="13"/>
      <c r="G134" s="14"/>
      <c r="H134" s="14"/>
      <c r="I134" s="10"/>
    </row>
    <row r="135" customFormat="false" ht="15" hidden="false" customHeight="true" outlineLevel="0" collapsed="false">
      <c r="A135" s="10"/>
      <c r="B135" s="10"/>
      <c r="C135" s="10"/>
      <c r="D135" s="10"/>
      <c r="E135" s="12"/>
      <c r="F135" s="13"/>
      <c r="G135" s="14"/>
      <c r="H135" s="14"/>
      <c r="I135" s="10"/>
    </row>
    <row r="136" customFormat="false" ht="15" hidden="false" customHeight="true" outlineLevel="0" collapsed="false">
      <c r="A136" s="10"/>
      <c r="B136" s="10"/>
      <c r="C136" s="10"/>
      <c r="D136" s="10"/>
      <c r="E136" s="12"/>
      <c r="F136" s="13"/>
      <c r="G136" s="14"/>
      <c r="H136" s="14"/>
      <c r="I136" s="10"/>
    </row>
    <row r="137" customFormat="false" ht="15" hidden="false" customHeight="true" outlineLevel="0" collapsed="false">
      <c r="A137" s="10"/>
      <c r="B137" s="10"/>
      <c r="C137" s="10"/>
      <c r="D137" s="10"/>
      <c r="E137" s="12"/>
      <c r="F137" s="13"/>
      <c r="G137" s="14"/>
      <c r="H137" s="14"/>
      <c r="I137" s="10"/>
    </row>
    <row r="138" customFormat="false" ht="15" hidden="false" customHeight="true" outlineLevel="0" collapsed="false">
      <c r="A138" s="10"/>
      <c r="B138" s="10"/>
      <c r="C138" s="10"/>
      <c r="D138" s="10"/>
      <c r="E138" s="12"/>
      <c r="F138" s="13"/>
      <c r="G138" s="14"/>
      <c r="H138" s="14"/>
      <c r="I138" s="10"/>
    </row>
    <row r="139" customFormat="false" ht="15" hidden="false" customHeight="true" outlineLevel="0" collapsed="false">
      <c r="A139" s="10"/>
      <c r="B139" s="10"/>
      <c r="C139" s="10"/>
      <c r="D139" s="10"/>
      <c r="E139" s="12"/>
      <c r="F139" s="13"/>
      <c r="G139" s="14"/>
      <c r="H139" s="14"/>
      <c r="I139" s="10"/>
    </row>
    <row r="140" customFormat="false" ht="15" hidden="false" customHeight="true" outlineLevel="0" collapsed="false">
      <c r="A140" s="10"/>
      <c r="B140" s="10"/>
      <c r="C140" s="10"/>
      <c r="D140" s="10"/>
      <c r="E140" s="12"/>
      <c r="F140" s="13"/>
      <c r="G140" s="14"/>
      <c r="H140" s="14"/>
      <c r="I140" s="10"/>
    </row>
    <row r="141" customFormat="false" ht="15" hidden="false" customHeight="true" outlineLevel="0" collapsed="false">
      <c r="A141" s="10"/>
      <c r="B141" s="10"/>
      <c r="C141" s="10"/>
      <c r="D141" s="10"/>
      <c r="E141" s="12"/>
      <c r="F141" s="13"/>
      <c r="G141" s="14"/>
      <c r="H141" s="14"/>
      <c r="I141" s="10"/>
    </row>
    <row r="142" customFormat="false" ht="15" hidden="false" customHeight="true" outlineLevel="0" collapsed="false">
      <c r="A142" s="10"/>
      <c r="B142" s="10"/>
      <c r="C142" s="10"/>
      <c r="D142" s="10"/>
      <c r="E142" s="12"/>
      <c r="F142" s="13"/>
      <c r="G142" s="14"/>
      <c r="H142" s="14"/>
      <c r="I142" s="10"/>
    </row>
    <row r="143" customFormat="false" ht="15" hidden="false" customHeight="true" outlineLevel="0" collapsed="false">
      <c r="A143" s="10"/>
      <c r="B143" s="10"/>
      <c r="C143" s="10"/>
      <c r="D143" s="10"/>
      <c r="E143" s="12"/>
      <c r="F143" s="13"/>
      <c r="G143" s="14"/>
      <c r="H143" s="14"/>
      <c r="I143" s="10"/>
    </row>
    <row r="144" customFormat="false" ht="15" hidden="false" customHeight="true" outlineLevel="0" collapsed="false">
      <c r="A144" s="10"/>
      <c r="B144" s="10"/>
      <c r="C144" s="10"/>
      <c r="D144" s="10"/>
      <c r="E144" s="12"/>
      <c r="F144" s="13"/>
      <c r="G144" s="14"/>
      <c r="H144" s="14"/>
      <c r="I144" s="10"/>
    </row>
    <row r="145" customFormat="false" ht="15" hidden="false" customHeight="true" outlineLevel="0" collapsed="false">
      <c r="A145" s="10"/>
      <c r="B145" s="10"/>
      <c r="C145" s="10"/>
      <c r="D145" s="10"/>
      <c r="E145" s="12"/>
      <c r="F145" s="13"/>
      <c r="G145" s="14"/>
      <c r="H145" s="14"/>
      <c r="I145" s="10"/>
    </row>
    <row r="146" customFormat="false" ht="15" hidden="false" customHeight="true" outlineLevel="0" collapsed="false">
      <c r="A146" s="10"/>
      <c r="B146" s="10"/>
      <c r="C146" s="10"/>
      <c r="D146" s="10"/>
      <c r="E146" s="12"/>
      <c r="F146" s="13"/>
      <c r="G146" s="14"/>
      <c r="H146" s="14"/>
      <c r="I146" s="10"/>
    </row>
    <row r="147" customFormat="false" ht="15" hidden="false" customHeight="true" outlineLevel="0" collapsed="false">
      <c r="A147" s="10"/>
      <c r="B147" s="10"/>
      <c r="C147" s="10"/>
      <c r="D147" s="10"/>
      <c r="E147" s="12"/>
      <c r="F147" s="13"/>
      <c r="G147" s="14"/>
      <c r="H147" s="14"/>
      <c r="I147" s="10"/>
    </row>
    <row r="148" customFormat="false" ht="15" hidden="false" customHeight="true" outlineLevel="0" collapsed="false">
      <c r="A148" s="10"/>
      <c r="B148" s="10"/>
      <c r="C148" s="10"/>
      <c r="D148" s="10"/>
      <c r="E148" s="12"/>
      <c r="F148" s="13"/>
      <c r="G148" s="14"/>
      <c r="H148" s="14"/>
      <c r="I148" s="10"/>
    </row>
    <row r="149" customFormat="false" ht="15" hidden="false" customHeight="true" outlineLevel="0" collapsed="false">
      <c r="A149" s="10"/>
      <c r="B149" s="10"/>
      <c r="C149" s="10"/>
      <c r="D149" s="10"/>
      <c r="E149" s="12"/>
      <c r="F149" s="13"/>
      <c r="G149" s="14"/>
      <c r="H149" s="14"/>
      <c r="I149" s="10"/>
    </row>
    <row r="150" customFormat="false" ht="15" hidden="false" customHeight="true" outlineLevel="0" collapsed="false">
      <c r="A150" s="10"/>
      <c r="B150" s="10"/>
      <c r="C150" s="10"/>
      <c r="D150" s="10"/>
      <c r="E150" s="12"/>
      <c r="F150" s="13"/>
      <c r="G150" s="14"/>
      <c r="H150" s="14"/>
      <c r="I150" s="10"/>
    </row>
    <row r="151" customFormat="false" ht="15" hidden="false" customHeight="true" outlineLevel="0" collapsed="false">
      <c r="A151" s="10"/>
      <c r="B151" s="10"/>
      <c r="C151" s="10"/>
      <c r="D151" s="10"/>
      <c r="E151" s="12"/>
      <c r="F151" s="13"/>
      <c r="G151" s="14"/>
      <c r="H151" s="14"/>
      <c r="I151" s="10"/>
    </row>
    <row r="152" customFormat="false" ht="15" hidden="false" customHeight="true" outlineLevel="0" collapsed="false">
      <c r="A152" s="10"/>
      <c r="B152" s="10"/>
      <c r="C152" s="10"/>
      <c r="D152" s="10"/>
      <c r="E152" s="12"/>
      <c r="F152" s="13"/>
      <c r="G152" s="14"/>
      <c r="H152" s="14"/>
      <c r="I152" s="10"/>
    </row>
    <row r="153" customFormat="false" ht="15" hidden="false" customHeight="true" outlineLevel="0" collapsed="false">
      <c r="A153" s="10"/>
      <c r="B153" s="10"/>
      <c r="C153" s="10"/>
      <c r="D153" s="10"/>
      <c r="E153" s="12"/>
      <c r="F153" s="13"/>
      <c r="G153" s="14"/>
      <c r="H153" s="14"/>
      <c r="I153" s="10"/>
    </row>
    <row r="154" customFormat="false" ht="15" hidden="false" customHeight="true" outlineLevel="0" collapsed="false">
      <c r="A154" s="10"/>
      <c r="B154" s="10"/>
      <c r="C154" s="10"/>
      <c r="D154" s="10"/>
      <c r="E154" s="12"/>
      <c r="F154" s="13"/>
      <c r="G154" s="14"/>
      <c r="H154" s="14"/>
      <c r="I154" s="10"/>
    </row>
    <row r="155" customFormat="false" ht="15" hidden="false" customHeight="true" outlineLevel="0" collapsed="false">
      <c r="A155" s="10"/>
      <c r="B155" s="10"/>
      <c r="C155" s="10"/>
      <c r="D155" s="10"/>
      <c r="E155" s="12"/>
      <c r="F155" s="13"/>
      <c r="G155" s="14"/>
      <c r="H155" s="14"/>
      <c r="I155" s="10"/>
    </row>
    <row r="156" customFormat="false" ht="15" hidden="false" customHeight="true" outlineLevel="0" collapsed="false">
      <c r="A156" s="10"/>
      <c r="B156" s="10"/>
      <c r="C156" s="10"/>
      <c r="D156" s="10"/>
      <c r="E156" s="12"/>
      <c r="F156" s="13"/>
      <c r="G156" s="14"/>
      <c r="H156" s="14"/>
      <c r="I156" s="10"/>
    </row>
    <row r="157" customFormat="false" ht="15" hidden="false" customHeight="true" outlineLevel="0" collapsed="false">
      <c r="A157" s="10"/>
      <c r="B157" s="10"/>
      <c r="C157" s="10"/>
      <c r="D157" s="10"/>
      <c r="E157" s="12"/>
      <c r="F157" s="13"/>
      <c r="G157" s="14"/>
      <c r="H157" s="14"/>
      <c r="I157" s="10"/>
    </row>
    <row r="158" customFormat="false" ht="15" hidden="false" customHeight="true" outlineLevel="0" collapsed="false">
      <c r="A158" s="10"/>
      <c r="B158" s="10"/>
      <c r="C158" s="10"/>
      <c r="D158" s="10"/>
      <c r="E158" s="12"/>
      <c r="F158" s="13"/>
      <c r="G158" s="14"/>
      <c r="H158" s="14"/>
      <c r="I158" s="10"/>
    </row>
    <row r="159" customFormat="false" ht="15" hidden="false" customHeight="true" outlineLevel="0" collapsed="false">
      <c r="A159" s="10"/>
      <c r="B159" s="10"/>
      <c r="C159" s="10"/>
      <c r="D159" s="10"/>
      <c r="E159" s="12"/>
      <c r="F159" s="13"/>
      <c r="G159" s="14"/>
      <c r="H159" s="14"/>
      <c r="I159" s="10"/>
    </row>
    <row r="160" customFormat="false" ht="15" hidden="false" customHeight="true" outlineLevel="0" collapsed="false">
      <c r="A160" s="10"/>
      <c r="B160" s="10"/>
      <c r="C160" s="10"/>
      <c r="D160" s="10"/>
      <c r="E160" s="12"/>
      <c r="F160" s="13"/>
      <c r="G160" s="14"/>
      <c r="H160" s="14"/>
      <c r="I160" s="10"/>
    </row>
    <row r="161" customFormat="false" ht="15" hidden="false" customHeight="true" outlineLevel="0" collapsed="false">
      <c r="A161" s="10"/>
      <c r="B161" s="10"/>
      <c r="C161" s="10"/>
      <c r="D161" s="10"/>
      <c r="E161" s="12"/>
      <c r="F161" s="13"/>
      <c r="G161" s="14"/>
      <c r="H161" s="14"/>
      <c r="I161" s="10"/>
    </row>
    <row r="162" customFormat="false" ht="15" hidden="false" customHeight="true" outlineLevel="0" collapsed="false">
      <c r="A162" s="10"/>
      <c r="B162" s="10"/>
      <c r="C162" s="10"/>
      <c r="D162" s="10"/>
      <c r="E162" s="12"/>
      <c r="F162" s="13"/>
      <c r="G162" s="14"/>
      <c r="H162" s="14"/>
      <c r="I162" s="10"/>
    </row>
    <row r="163" customFormat="false" ht="15" hidden="false" customHeight="true" outlineLevel="0" collapsed="false">
      <c r="A163" s="10"/>
      <c r="B163" s="10"/>
      <c r="C163" s="10"/>
      <c r="D163" s="10"/>
      <c r="E163" s="12"/>
      <c r="F163" s="13"/>
      <c r="G163" s="14"/>
      <c r="H163" s="14"/>
      <c r="I163" s="10"/>
    </row>
    <row r="164" customFormat="false" ht="15" hidden="false" customHeight="true" outlineLevel="0" collapsed="false">
      <c r="A164" s="10"/>
      <c r="B164" s="10"/>
      <c r="C164" s="10"/>
      <c r="D164" s="10"/>
      <c r="E164" s="12"/>
      <c r="F164" s="13"/>
      <c r="G164" s="14"/>
      <c r="H164" s="14"/>
      <c r="I164" s="10"/>
    </row>
    <row r="165" customFormat="false" ht="15" hidden="false" customHeight="true" outlineLevel="0" collapsed="false">
      <c r="A165" s="10"/>
      <c r="B165" s="10"/>
      <c r="C165" s="10"/>
      <c r="D165" s="10"/>
      <c r="E165" s="12"/>
      <c r="F165" s="13"/>
      <c r="G165" s="14"/>
      <c r="H165" s="14"/>
      <c r="I165" s="10"/>
    </row>
    <row r="166" customFormat="false" ht="15" hidden="false" customHeight="true" outlineLevel="0" collapsed="false">
      <c r="A166" s="10"/>
      <c r="B166" s="10"/>
      <c r="C166" s="10"/>
      <c r="D166" s="10"/>
      <c r="E166" s="12"/>
      <c r="F166" s="13"/>
      <c r="G166" s="14"/>
      <c r="H166" s="14"/>
      <c r="I166" s="10"/>
    </row>
    <row r="167" customFormat="false" ht="15" hidden="false" customHeight="true" outlineLevel="0" collapsed="false">
      <c r="A167" s="10"/>
      <c r="B167" s="10"/>
      <c r="C167" s="10"/>
      <c r="D167" s="10"/>
      <c r="E167" s="12"/>
      <c r="F167" s="13"/>
      <c r="G167" s="14"/>
      <c r="H167" s="14"/>
      <c r="I167" s="10"/>
    </row>
    <row r="168" customFormat="false" ht="15" hidden="false" customHeight="true" outlineLevel="0" collapsed="false">
      <c r="A168" s="10"/>
      <c r="B168" s="10"/>
      <c r="C168" s="10"/>
      <c r="D168" s="10"/>
      <c r="E168" s="12"/>
      <c r="F168" s="13"/>
      <c r="G168" s="14"/>
      <c r="H168" s="14"/>
      <c r="I168" s="10"/>
    </row>
    <row r="169" customFormat="false" ht="15" hidden="false" customHeight="true" outlineLevel="0" collapsed="false">
      <c r="A169" s="10"/>
      <c r="B169" s="10"/>
      <c r="C169" s="10"/>
      <c r="D169" s="10"/>
      <c r="E169" s="12"/>
      <c r="F169" s="13"/>
      <c r="G169" s="14"/>
      <c r="H169" s="14"/>
      <c r="I169" s="10"/>
    </row>
    <row r="170" customFormat="false" ht="15" hidden="false" customHeight="true" outlineLevel="0" collapsed="false">
      <c r="A170" s="10"/>
      <c r="B170" s="10"/>
      <c r="C170" s="10"/>
      <c r="D170" s="10"/>
      <c r="E170" s="12"/>
      <c r="F170" s="13"/>
      <c r="G170" s="14"/>
      <c r="H170" s="14"/>
      <c r="I170" s="10"/>
    </row>
    <row r="171" customFormat="false" ht="15" hidden="false" customHeight="true" outlineLevel="0" collapsed="false">
      <c r="A171" s="10"/>
      <c r="B171" s="10"/>
      <c r="C171" s="10"/>
      <c r="D171" s="10"/>
      <c r="E171" s="12"/>
      <c r="F171" s="13"/>
      <c r="G171" s="14"/>
      <c r="H171" s="14"/>
      <c r="I171" s="10"/>
    </row>
    <row r="172" customFormat="false" ht="15" hidden="false" customHeight="true" outlineLevel="0" collapsed="false">
      <c r="A172" s="10"/>
      <c r="B172" s="10"/>
      <c r="C172" s="10"/>
      <c r="D172" s="10"/>
      <c r="E172" s="12"/>
      <c r="F172" s="13"/>
      <c r="G172" s="14"/>
      <c r="H172" s="14"/>
      <c r="I172" s="10"/>
    </row>
    <row r="173" customFormat="false" ht="15" hidden="false" customHeight="true" outlineLevel="0" collapsed="false">
      <c r="A173" s="10"/>
      <c r="B173" s="10"/>
      <c r="C173" s="10"/>
      <c r="D173" s="10"/>
      <c r="E173" s="12"/>
      <c r="F173" s="13"/>
      <c r="G173" s="14"/>
      <c r="H173" s="14"/>
      <c r="I173" s="10"/>
    </row>
    <row r="174" customFormat="false" ht="15" hidden="false" customHeight="true" outlineLevel="0" collapsed="false">
      <c r="A174" s="10"/>
      <c r="B174" s="10"/>
      <c r="C174" s="10"/>
      <c r="D174" s="10"/>
      <c r="E174" s="12"/>
      <c r="F174" s="13"/>
      <c r="G174" s="14"/>
      <c r="H174" s="14"/>
      <c r="I174" s="10"/>
    </row>
    <row r="175" customFormat="false" ht="15" hidden="false" customHeight="true" outlineLevel="0" collapsed="false">
      <c r="A175" s="10"/>
      <c r="B175" s="10"/>
      <c r="C175" s="10"/>
      <c r="D175" s="10"/>
      <c r="E175" s="12"/>
      <c r="F175" s="13"/>
      <c r="G175" s="14"/>
      <c r="H175" s="14"/>
      <c r="I175" s="10"/>
    </row>
    <row r="176" customFormat="false" ht="15" hidden="false" customHeight="true" outlineLevel="0" collapsed="false">
      <c r="A176" s="10"/>
      <c r="B176" s="10"/>
      <c r="C176" s="10"/>
      <c r="D176" s="10"/>
      <c r="E176" s="12"/>
      <c r="F176" s="13"/>
      <c r="G176" s="14"/>
      <c r="H176" s="14"/>
      <c r="I176" s="10"/>
    </row>
    <row r="177" customFormat="false" ht="15" hidden="false" customHeight="true" outlineLevel="0" collapsed="false">
      <c r="A177" s="10"/>
      <c r="B177" s="10"/>
      <c r="C177" s="10"/>
      <c r="D177" s="10"/>
      <c r="E177" s="12"/>
      <c r="F177" s="13"/>
      <c r="G177" s="14"/>
      <c r="H177" s="14"/>
      <c r="I177" s="10"/>
    </row>
    <row r="178" customFormat="false" ht="15" hidden="false" customHeight="true" outlineLevel="0" collapsed="false">
      <c r="A178" s="10"/>
      <c r="B178" s="10"/>
      <c r="C178" s="10"/>
      <c r="D178" s="10"/>
      <c r="E178" s="12"/>
      <c r="F178" s="13"/>
      <c r="G178" s="14"/>
      <c r="H178" s="14"/>
      <c r="I178" s="10"/>
    </row>
    <row r="179" customFormat="false" ht="15" hidden="false" customHeight="true" outlineLevel="0" collapsed="false">
      <c r="A179" s="10"/>
      <c r="B179" s="10"/>
      <c r="C179" s="10"/>
      <c r="D179" s="10"/>
      <c r="E179" s="12"/>
      <c r="F179" s="13"/>
      <c r="G179" s="14"/>
      <c r="H179" s="14"/>
      <c r="I179" s="10"/>
    </row>
    <row r="180" customFormat="false" ht="15" hidden="false" customHeight="true" outlineLevel="0" collapsed="false">
      <c r="A180" s="10"/>
      <c r="B180" s="10"/>
      <c r="C180" s="10"/>
      <c r="D180" s="10"/>
      <c r="E180" s="12"/>
      <c r="F180" s="13"/>
      <c r="G180" s="14"/>
      <c r="H180" s="14"/>
      <c r="I180" s="10"/>
    </row>
    <row r="181" customFormat="false" ht="15" hidden="false" customHeight="true" outlineLevel="0" collapsed="false">
      <c r="A181" s="10"/>
      <c r="B181" s="10"/>
      <c r="C181" s="10"/>
      <c r="D181" s="10"/>
      <c r="E181" s="12"/>
      <c r="F181" s="13"/>
      <c r="G181" s="14"/>
      <c r="H181" s="14"/>
      <c r="I181" s="10"/>
    </row>
    <row r="182" customFormat="false" ht="15" hidden="false" customHeight="true" outlineLevel="0" collapsed="false">
      <c r="A182" s="10"/>
      <c r="B182" s="10"/>
      <c r="C182" s="10"/>
      <c r="D182" s="10"/>
      <c r="E182" s="12"/>
      <c r="F182" s="13"/>
      <c r="G182" s="14"/>
      <c r="H182" s="14"/>
      <c r="I182" s="10"/>
    </row>
    <row r="183" customFormat="false" ht="15" hidden="false" customHeight="true" outlineLevel="0" collapsed="false">
      <c r="A183" s="10"/>
      <c r="B183" s="10"/>
      <c r="C183" s="10"/>
      <c r="D183" s="10"/>
      <c r="E183" s="12"/>
      <c r="F183" s="13"/>
      <c r="G183" s="14"/>
      <c r="H183" s="14"/>
      <c r="I183" s="10"/>
    </row>
    <row r="184" customFormat="false" ht="15" hidden="false" customHeight="true" outlineLevel="0" collapsed="false">
      <c r="A184" s="10"/>
      <c r="B184" s="10"/>
      <c r="C184" s="10"/>
      <c r="D184" s="10"/>
      <c r="E184" s="12"/>
      <c r="F184" s="13"/>
      <c r="G184" s="14"/>
      <c r="H184" s="14"/>
      <c r="I184" s="10"/>
    </row>
    <row r="185" customFormat="false" ht="15" hidden="false" customHeight="true" outlineLevel="0" collapsed="false">
      <c r="A185" s="10"/>
      <c r="B185" s="10"/>
      <c r="C185" s="10"/>
      <c r="D185" s="10"/>
      <c r="E185" s="12"/>
      <c r="F185" s="13"/>
      <c r="G185" s="14"/>
      <c r="H185" s="14"/>
      <c r="I185" s="10"/>
    </row>
    <row r="186" customFormat="false" ht="15" hidden="false" customHeight="true" outlineLevel="0" collapsed="false">
      <c r="A186" s="10"/>
      <c r="B186" s="10"/>
      <c r="C186" s="10"/>
      <c r="D186" s="10"/>
      <c r="E186" s="12"/>
      <c r="F186" s="13"/>
      <c r="G186" s="14"/>
      <c r="H186" s="14"/>
      <c r="I186" s="10"/>
    </row>
    <row r="187" customFormat="false" ht="15" hidden="false" customHeight="true" outlineLevel="0" collapsed="false">
      <c r="A187" s="10"/>
      <c r="B187" s="10"/>
      <c r="C187" s="10"/>
      <c r="D187" s="10"/>
      <c r="E187" s="12"/>
      <c r="F187" s="13"/>
      <c r="G187" s="14"/>
      <c r="H187" s="14"/>
      <c r="I187" s="10"/>
    </row>
    <row r="188" customFormat="false" ht="15" hidden="false" customHeight="true" outlineLevel="0" collapsed="false">
      <c r="A188" s="10"/>
      <c r="B188" s="10"/>
      <c r="C188" s="10"/>
      <c r="D188" s="10"/>
      <c r="E188" s="12"/>
      <c r="F188" s="13"/>
      <c r="G188" s="14"/>
      <c r="H188" s="14"/>
      <c r="I188" s="10"/>
    </row>
    <row r="189" customFormat="false" ht="15" hidden="false" customHeight="true" outlineLevel="0" collapsed="false">
      <c r="A189" s="10"/>
      <c r="B189" s="10"/>
      <c r="C189" s="10"/>
      <c r="D189" s="10"/>
      <c r="E189" s="12"/>
      <c r="F189" s="13"/>
      <c r="G189" s="14"/>
      <c r="H189" s="14"/>
      <c r="I189" s="10"/>
    </row>
    <row r="190" customFormat="false" ht="15" hidden="false" customHeight="true" outlineLevel="0" collapsed="false">
      <c r="A190" s="10"/>
      <c r="B190" s="10"/>
      <c r="C190" s="10"/>
      <c r="D190" s="10"/>
      <c r="E190" s="12"/>
      <c r="F190" s="13"/>
      <c r="G190" s="14"/>
      <c r="H190" s="14"/>
      <c r="I190" s="10"/>
    </row>
    <row r="191" customFormat="false" ht="15" hidden="false" customHeight="true" outlineLevel="0" collapsed="false">
      <c r="A191" s="10"/>
      <c r="B191" s="10"/>
      <c r="C191" s="10"/>
      <c r="D191" s="10"/>
      <c r="E191" s="12"/>
      <c r="F191" s="13"/>
      <c r="G191" s="14"/>
      <c r="H191" s="14"/>
      <c r="I191" s="10"/>
    </row>
    <row r="192" customFormat="false" ht="15" hidden="false" customHeight="true" outlineLevel="0" collapsed="false">
      <c r="A192" s="10"/>
      <c r="B192" s="10"/>
      <c r="C192" s="10"/>
      <c r="D192" s="10"/>
      <c r="E192" s="12"/>
      <c r="F192" s="13"/>
      <c r="G192" s="14"/>
      <c r="H192" s="14"/>
      <c r="I192" s="10"/>
    </row>
    <row r="193" customFormat="false" ht="15" hidden="false" customHeight="true" outlineLevel="0" collapsed="false">
      <c r="A193" s="10"/>
      <c r="B193" s="10"/>
      <c r="C193" s="10"/>
      <c r="D193" s="10"/>
      <c r="E193" s="12"/>
      <c r="F193" s="13"/>
      <c r="G193" s="14"/>
      <c r="H193" s="14"/>
      <c r="I193" s="10"/>
    </row>
    <row r="194" customFormat="false" ht="15" hidden="false" customHeight="true" outlineLevel="0" collapsed="false">
      <c r="A194" s="10"/>
      <c r="B194" s="10"/>
      <c r="C194" s="10"/>
      <c r="D194" s="10"/>
      <c r="E194" s="12"/>
      <c r="F194" s="13"/>
      <c r="G194" s="14"/>
      <c r="H194" s="14"/>
      <c r="I194" s="10"/>
    </row>
    <row r="195" customFormat="false" ht="15" hidden="false" customHeight="true" outlineLevel="0" collapsed="false">
      <c r="A195" s="10"/>
      <c r="B195" s="10"/>
      <c r="C195" s="10"/>
      <c r="D195" s="10"/>
      <c r="E195" s="12"/>
      <c r="F195" s="13"/>
      <c r="G195" s="14"/>
      <c r="H195" s="14"/>
      <c r="I195" s="10"/>
    </row>
    <row r="196" customFormat="false" ht="15" hidden="false" customHeight="true" outlineLevel="0" collapsed="false">
      <c r="A196" s="10"/>
      <c r="B196" s="10"/>
      <c r="C196" s="10"/>
      <c r="D196" s="10"/>
      <c r="E196" s="12"/>
      <c r="F196" s="13"/>
      <c r="G196" s="14"/>
      <c r="H196" s="14"/>
      <c r="I196" s="10"/>
    </row>
    <row r="197" customFormat="false" ht="15" hidden="false" customHeight="true" outlineLevel="0" collapsed="false">
      <c r="A197" s="10"/>
      <c r="B197" s="10"/>
      <c r="C197" s="10"/>
      <c r="D197" s="10"/>
      <c r="E197" s="12"/>
      <c r="F197" s="13"/>
      <c r="G197" s="14"/>
      <c r="H197" s="14"/>
      <c r="I197" s="10"/>
    </row>
    <row r="198" customFormat="false" ht="15" hidden="false" customHeight="true" outlineLevel="0" collapsed="false">
      <c r="A198" s="10"/>
      <c r="B198" s="10"/>
      <c r="C198" s="10"/>
      <c r="D198" s="10"/>
      <c r="E198" s="12"/>
      <c r="F198" s="13"/>
      <c r="G198" s="14"/>
      <c r="H198" s="14"/>
      <c r="I198" s="10"/>
    </row>
    <row r="199" customFormat="false" ht="15" hidden="false" customHeight="true" outlineLevel="0" collapsed="false">
      <c r="A199" s="10"/>
      <c r="B199" s="10"/>
      <c r="C199" s="10"/>
      <c r="D199" s="10"/>
      <c r="E199" s="12"/>
      <c r="F199" s="13"/>
      <c r="G199" s="14"/>
      <c r="H199" s="14"/>
      <c r="I199" s="10"/>
    </row>
    <row r="200" customFormat="false" ht="15" hidden="false" customHeight="true" outlineLevel="0" collapsed="false">
      <c r="A200" s="10"/>
      <c r="B200" s="10"/>
      <c r="C200" s="10"/>
      <c r="D200" s="10"/>
      <c r="E200" s="12"/>
      <c r="F200" s="13"/>
      <c r="G200" s="14"/>
      <c r="H200" s="14"/>
      <c r="I200" s="10"/>
    </row>
    <row r="201" customFormat="false" ht="15" hidden="false" customHeight="true" outlineLevel="0" collapsed="false">
      <c r="A201" s="10"/>
      <c r="B201" s="10"/>
      <c r="C201" s="10"/>
      <c r="D201" s="10"/>
      <c r="E201" s="12"/>
      <c r="F201" s="13"/>
      <c r="G201" s="14"/>
      <c r="H201" s="14"/>
      <c r="I201" s="10"/>
    </row>
    <row r="202" customFormat="false" ht="15" hidden="false" customHeight="true" outlineLevel="0" collapsed="false">
      <c r="A202" s="10"/>
      <c r="B202" s="10"/>
      <c r="C202" s="10"/>
      <c r="D202" s="10"/>
      <c r="E202" s="12"/>
      <c r="F202" s="13"/>
      <c r="G202" s="14"/>
      <c r="H202" s="14"/>
      <c r="I202" s="10"/>
    </row>
    <row r="203" customFormat="false" ht="15" hidden="false" customHeight="true" outlineLevel="0" collapsed="false">
      <c r="A203" s="10"/>
      <c r="B203" s="10"/>
      <c r="C203" s="10"/>
      <c r="D203" s="10"/>
      <c r="E203" s="12"/>
      <c r="F203" s="13"/>
      <c r="G203" s="14"/>
      <c r="H203" s="14"/>
      <c r="I203" s="10"/>
    </row>
    <row r="204" customFormat="false" ht="15" hidden="false" customHeight="true" outlineLevel="0" collapsed="false">
      <c r="A204" s="10"/>
      <c r="B204" s="10"/>
      <c r="C204" s="10"/>
      <c r="D204" s="10"/>
      <c r="E204" s="12"/>
      <c r="F204" s="13"/>
      <c r="G204" s="14"/>
      <c r="H204" s="14"/>
      <c r="I204" s="10"/>
    </row>
    <row r="205" customFormat="false" ht="15" hidden="false" customHeight="true" outlineLevel="0" collapsed="false">
      <c r="A205" s="10"/>
      <c r="B205" s="10"/>
      <c r="C205" s="10"/>
      <c r="D205" s="10"/>
      <c r="E205" s="12"/>
      <c r="F205" s="13"/>
      <c r="G205" s="14"/>
      <c r="H205" s="14"/>
      <c r="I205" s="10"/>
    </row>
    <row r="206" customFormat="false" ht="15" hidden="false" customHeight="true" outlineLevel="0" collapsed="false">
      <c r="A206" s="10"/>
      <c r="B206" s="10"/>
      <c r="C206" s="10"/>
      <c r="D206" s="10"/>
      <c r="E206" s="12"/>
      <c r="F206" s="13"/>
      <c r="G206" s="14"/>
      <c r="H206" s="14"/>
      <c r="I206" s="10"/>
    </row>
    <row r="207" customFormat="false" ht="15" hidden="false" customHeight="true" outlineLevel="0" collapsed="false">
      <c r="A207" s="10"/>
      <c r="B207" s="10"/>
      <c r="C207" s="10"/>
      <c r="D207" s="10"/>
      <c r="E207" s="12"/>
      <c r="F207" s="13"/>
      <c r="G207" s="14"/>
      <c r="H207" s="14"/>
      <c r="I207" s="10"/>
    </row>
    <row r="208" customFormat="false" ht="15" hidden="false" customHeight="true" outlineLevel="0" collapsed="false">
      <c r="A208" s="10"/>
      <c r="B208" s="10"/>
      <c r="C208" s="10"/>
      <c r="D208" s="10"/>
      <c r="E208" s="12"/>
      <c r="F208" s="13"/>
      <c r="G208" s="14"/>
      <c r="H208" s="14"/>
      <c r="I208" s="10"/>
    </row>
    <row r="209" customFormat="false" ht="15" hidden="false" customHeight="true" outlineLevel="0" collapsed="false">
      <c r="A209" s="10"/>
      <c r="B209" s="10"/>
      <c r="C209" s="10"/>
      <c r="D209" s="10"/>
      <c r="E209" s="12"/>
      <c r="F209" s="13"/>
      <c r="G209" s="14"/>
      <c r="H209" s="14"/>
      <c r="I209" s="10"/>
    </row>
    <row r="210" customFormat="false" ht="15" hidden="false" customHeight="true" outlineLevel="0" collapsed="false">
      <c r="A210" s="10"/>
      <c r="B210" s="10"/>
      <c r="C210" s="10"/>
      <c r="D210" s="10"/>
      <c r="E210" s="12"/>
      <c r="F210" s="13"/>
      <c r="G210" s="14"/>
      <c r="H210" s="14"/>
      <c r="I210" s="10"/>
    </row>
    <row r="211" customFormat="false" ht="15" hidden="false" customHeight="true" outlineLevel="0" collapsed="false">
      <c r="A211" s="10"/>
      <c r="B211" s="10"/>
      <c r="C211" s="10"/>
      <c r="D211" s="10"/>
      <c r="E211" s="12"/>
      <c r="F211" s="13"/>
      <c r="G211" s="14"/>
      <c r="H211" s="14"/>
      <c r="I211" s="10"/>
    </row>
    <row r="212" customFormat="false" ht="15" hidden="false" customHeight="true" outlineLevel="0" collapsed="false">
      <c r="A212" s="10"/>
      <c r="B212" s="10"/>
      <c r="C212" s="10"/>
      <c r="D212" s="10"/>
      <c r="E212" s="12"/>
      <c r="F212" s="13"/>
      <c r="G212" s="14"/>
      <c r="H212" s="14"/>
      <c r="I212" s="10"/>
    </row>
    <row r="213" customFormat="false" ht="15" hidden="false" customHeight="true" outlineLevel="0" collapsed="false">
      <c r="A213" s="10"/>
      <c r="B213" s="10"/>
      <c r="C213" s="10"/>
      <c r="D213" s="10"/>
      <c r="E213" s="12"/>
      <c r="F213" s="13"/>
      <c r="G213" s="14"/>
      <c r="H213" s="14"/>
      <c r="I213" s="10"/>
    </row>
    <row r="214" customFormat="false" ht="15" hidden="false" customHeight="true" outlineLevel="0" collapsed="false">
      <c r="A214" s="10"/>
      <c r="B214" s="10"/>
      <c r="C214" s="10"/>
      <c r="D214" s="10"/>
      <c r="E214" s="12"/>
      <c r="F214" s="13"/>
      <c r="G214" s="14"/>
      <c r="H214" s="14"/>
      <c r="I214" s="10"/>
    </row>
    <row r="215" customFormat="false" ht="15" hidden="false" customHeight="true" outlineLevel="0" collapsed="false">
      <c r="A215" s="10"/>
      <c r="B215" s="10"/>
      <c r="C215" s="10"/>
      <c r="D215" s="10"/>
      <c r="E215" s="12"/>
      <c r="F215" s="13"/>
      <c r="G215" s="14"/>
      <c r="H215" s="14"/>
      <c r="I215" s="10"/>
    </row>
    <row r="216" customFormat="false" ht="15" hidden="false" customHeight="true" outlineLevel="0" collapsed="false">
      <c r="A216" s="10"/>
      <c r="B216" s="10"/>
      <c r="C216" s="10"/>
      <c r="D216" s="10"/>
      <c r="E216" s="12"/>
      <c r="F216" s="13"/>
      <c r="G216" s="14"/>
      <c r="H216" s="14"/>
      <c r="I216" s="10"/>
    </row>
    <row r="217" customFormat="false" ht="15" hidden="false" customHeight="true" outlineLevel="0" collapsed="false">
      <c r="A217" s="10"/>
      <c r="B217" s="10"/>
      <c r="C217" s="10"/>
      <c r="D217" s="10"/>
      <c r="E217" s="12"/>
      <c r="F217" s="13"/>
      <c r="G217" s="14"/>
      <c r="H217" s="14"/>
      <c r="I217" s="10"/>
    </row>
    <row r="218" customFormat="false" ht="15" hidden="false" customHeight="true" outlineLevel="0" collapsed="false">
      <c r="A218" s="10"/>
      <c r="B218" s="10"/>
      <c r="C218" s="10"/>
      <c r="D218" s="10"/>
      <c r="E218" s="12"/>
      <c r="F218" s="13"/>
      <c r="G218" s="14"/>
      <c r="H218" s="14"/>
      <c r="I218" s="10"/>
    </row>
    <row r="219" customFormat="false" ht="15" hidden="false" customHeight="true" outlineLevel="0" collapsed="false">
      <c r="A219" s="10"/>
      <c r="B219" s="10"/>
      <c r="C219" s="10"/>
      <c r="D219" s="10"/>
      <c r="E219" s="12"/>
      <c r="F219" s="13"/>
      <c r="G219" s="14"/>
      <c r="H219" s="14"/>
      <c r="I219" s="10"/>
    </row>
    <row r="220" customFormat="false" ht="15" hidden="false" customHeight="true" outlineLevel="0" collapsed="false">
      <c r="A220" s="10"/>
      <c r="B220" s="10"/>
      <c r="C220" s="10"/>
      <c r="D220" s="10"/>
      <c r="E220" s="12"/>
      <c r="F220" s="13"/>
      <c r="G220" s="14"/>
      <c r="H220" s="14"/>
      <c r="I220" s="10"/>
    </row>
    <row r="221" customFormat="false" ht="15" hidden="false" customHeight="true" outlineLevel="0" collapsed="false">
      <c r="A221" s="10"/>
      <c r="B221" s="10"/>
      <c r="C221" s="10"/>
      <c r="D221" s="10"/>
      <c r="E221" s="12"/>
      <c r="F221" s="13"/>
      <c r="G221" s="14"/>
      <c r="H221" s="14"/>
      <c r="I221" s="10"/>
    </row>
    <row r="222" customFormat="false" ht="15" hidden="false" customHeight="true" outlineLevel="0" collapsed="false">
      <c r="A222" s="10"/>
      <c r="B222" s="10"/>
      <c r="C222" s="10"/>
      <c r="D222" s="10"/>
      <c r="E222" s="12"/>
      <c r="F222" s="13"/>
      <c r="G222" s="14"/>
      <c r="H222" s="14"/>
      <c r="I222" s="10"/>
    </row>
    <row r="223" customFormat="false" ht="15" hidden="false" customHeight="true" outlineLevel="0" collapsed="false">
      <c r="A223" s="10"/>
      <c r="B223" s="10"/>
      <c r="C223" s="10"/>
      <c r="D223" s="10"/>
      <c r="E223" s="12"/>
      <c r="F223" s="13"/>
      <c r="G223" s="14"/>
      <c r="H223" s="14"/>
      <c r="I223" s="10"/>
    </row>
    <row r="224" customFormat="false" ht="15" hidden="false" customHeight="true" outlineLevel="0" collapsed="false">
      <c r="A224" s="10"/>
      <c r="B224" s="10"/>
      <c r="C224" s="10"/>
      <c r="D224" s="10"/>
      <c r="E224" s="12"/>
      <c r="F224" s="13"/>
      <c r="G224" s="14"/>
      <c r="H224" s="14"/>
      <c r="I224" s="10"/>
    </row>
    <row r="225" customFormat="false" ht="15" hidden="false" customHeight="true" outlineLevel="0" collapsed="false">
      <c r="A225" s="10"/>
      <c r="B225" s="10"/>
      <c r="C225" s="10"/>
      <c r="D225" s="10"/>
      <c r="E225" s="12"/>
      <c r="F225" s="13"/>
      <c r="G225" s="14"/>
      <c r="H225" s="14"/>
      <c r="I225" s="10"/>
    </row>
    <row r="226" customFormat="false" ht="15" hidden="false" customHeight="true" outlineLevel="0" collapsed="false">
      <c r="A226" s="10"/>
      <c r="B226" s="10"/>
      <c r="C226" s="10"/>
      <c r="D226" s="10"/>
      <c r="E226" s="12"/>
      <c r="F226" s="13"/>
      <c r="G226" s="14"/>
      <c r="H226" s="14"/>
      <c r="I226" s="10"/>
    </row>
    <row r="227" customFormat="false" ht="15" hidden="false" customHeight="true" outlineLevel="0" collapsed="false">
      <c r="A227" s="10"/>
      <c r="B227" s="10"/>
      <c r="C227" s="10"/>
      <c r="D227" s="10"/>
      <c r="E227" s="12"/>
      <c r="F227" s="13"/>
      <c r="G227" s="14"/>
      <c r="H227" s="14"/>
      <c r="I227" s="10"/>
    </row>
    <row r="228" customFormat="false" ht="15" hidden="false" customHeight="true" outlineLevel="0" collapsed="false">
      <c r="A228" s="10"/>
      <c r="B228" s="10"/>
      <c r="C228" s="10"/>
      <c r="D228" s="10"/>
      <c r="E228" s="12"/>
      <c r="F228" s="13"/>
      <c r="G228" s="14"/>
      <c r="H228" s="14"/>
      <c r="I228" s="10"/>
    </row>
    <row r="229" customFormat="false" ht="15" hidden="false" customHeight="true" outlineLevel="0" collapsed="false">
      <c r="A229" s="10"/>
      <c r="B229" s="10"/>
      <c r="C229" s="10"/>
      <c r="D229" s="10"/>
      <c r="E229" s="12"/>
      <c r="F229" s="13"/>
      <c r="G229" s="14"/>
      <c r="H229" s="14"/>
      <c r="I229" s="10"/>
    </row>
    <row r="230" customFormat="false" ht="15" hidden="false" customHeight="true" outlineLevel="0" collapsed="false">
      <c r="A230" s="10"/>
      <c r="B230" s="10"/>
      <c r="C230" s="10"/>
      <c r="D230" s="10"/>
      <c r="E230" s="12"/>
      <c r="F230" s="13"/>
      <c r="G230" s="14"/>
      <c r="H230" s="14"/>
      <c r="I230" s="10"/>
    </row>
    <row r="231" customFormat="false" ht="15" hidden="false" customHeight="true" outlineLevel="0" collapsed="false">
      <c r="A231" s="10"/>
      <c r="B231" s="10"/>
      <c r="C231" s="10"/>
      <c r="D231" s="10"/>
      <c r="E231" s="12"/>
      <c r="F231" s="13"/>
      <c r="G231" s="14"/>
      <c r="H231" s="14"/>
      <c r="I231" s="10"/>
    </row>
    <row r="232" customFormat="false" ht="15" hidden="false" customHeight="true" outlineLevel="0" collapsed="false">
      <c r="A232" s="10"/>
      <c r="B232" s="10"/>
      <c r="C232" s="10"/>
      <c r="D232" s="10"/>
      <c r="E232" s="12"/>
      <c r="F232" s="13"/>
      <c r="G232" s="14"/>
      <c r="H232" s="14"/>
      <c r="I232" s="10"/>
    </row>
    <row r="233" customFormat="false" ht="15" hidden="false" customHeight="true" outlineLevel="0" collapsed="false">
      <c r="A233" s="10"/>
      <c r="B233" s="10"/>
      <c r="C233" s="10"/>
      <c r="D233" s="10"/>
      <c r="E233" s="12"/>
      <c r="F233" s="13"/>
      <c r="G233" s="14"/>
      <c r="H233" s="14"/>
      <c r="I233" s="10"/>
    </row>
    <row r="234" customFormat="false" ht="15" hidden="false" customHeight="true" outlineLevel="0" collapsed="false">
      <c r="A234" s="10"/>
      <c r="B234" s="10"/>
      <c r="C234" s="10"/>
      <c r="D234" s="10"/>
      <c r="E234" s="12"/>
      <c r="F234" s="13"/>
      <c r="G234" s="14"/>
      <c r="H234" s="14"/>
      <c r="I234" s="10"/>
    </row>
    <row r="235" customFormat="false" ht="15" hidden="false" customHeight="true" outlineLevel="0" collapsed="false">
      <c r="A235" s="10"/>
      <c r="B235" s="10"/>
      <c r="C235" s="10"/>
      <c r="D235" s="10"/>
      <c r="E235" s="12"/>
      <c r="F235" s="13"/>
      <c r="G235" s="14"/>
      <c r="H235" s="14"/>
      <c r="I235" s="10"/>
    </row>
    <row r="236" customFormat="false" ht="15" hidden="false" customHeight="true" outlineLevel="0" collapsed="false">
      <c r="A236" s="10"/>
      <c r="B236" s="10"/>
      <c r="C236" s="10"/>
      <c r="D236" s="10"/>
      <c r="E236" s="12"/>
      <c r="F236" s="13"/>
      <c r="G236" s="14"/>
      <c r="H236" s="14"/>
      <c r="I236" s="10"/>
    </row>
    <row r="237" customFormat="false" ht="15" hidden="false" customHeight="true" outlineLevel="0" collapsed="false">
      <c r="A237" s="10"/>
      <c r="B237" s="10"/>
      <c r="C237" s="10"/>
      <c r="D237" s="10"/>
      <c r="E237" s="12"/>
      <c r="F237" s="13"/>
      <c r="G237" s="14"/>
      <c r="H237" s="14"/>
      <c r="I237" s="10"/>
    </row>
    <row r="238" customFormat="false" ht="15" hidden="false" customHeight="true" outlineLevel="0" collapsed="false">
      <c r="A238" s="10"/>
      <c r="B238" s="10"/>
      <c r="C238" s="10"/>
      <c r="D238" s="10"/>
      <c r="E238" s="12"/>
      <c r="F238" s="13"/>
      <c r="G238" s="14"/>
      <c r="H238" s="14"/>
      <c r="I238" s="10"/>
    </row>
    <row r="239" customFormat="false" ht="15" hidden="false" customHeight="true" outlineLevel="0" collapsed="false">
      <c r="A239" s="10"/>
      <c r="B239" s="10"/>
      <c r="C239" s="10"/>
      <c r="D239" s="10"/>
      <c r="E239" s="12"/>
      <c r="F239" s="13"/>
      <c r="G239" s="14"/>
      <c r="H239" s="14"/>
      <c r="I239" s="10"/>
    </row>
    <row r="240" customFormat="false" ht="15" hidden="false" customHeight="true" outlineLevel="0" collapsed="false">
      <c r="A240" s="10"/>
      <c r="B240" s="10"/>
      <c r="C240" s="10"/>
      <c r="D240" s="10"/>
      <c r="E240" s="12"/>
      <c r="F240" s="13"/>
      <c r="G240" s="14"/>
      <c r="H240" s="14"/>
      <c r="I240" s="10"/>
    </row>
    <row r="241" customFormat="false" ht="15" hidden="false" customHeight="true" outlineLevel="0" collapsed="false">
      <c r="A241" s="10"/>
      <c r="B241" s="10"/>
      <c r="C241" s="10"/>
      <c r="D241" s="10"/>
      <c r="E241" s="12"/>
      <c r="F241" s="13"/>
      <c r="G241" s="14"/>
      <c r="H241" s="14"/>
      <c r="I241" s="10"/>
    </row>
    <row r="242" customFormat="false" ht="15" hidden="false" customHeight="true" outlineLevel="0" collapsed="false">
      <c r="A242" s="10"/>
      <c r="B242" s="10"/>
      <c r="C242" s="10"/>
      <c r="D242" s="10"/>
      <c r="E242" s="12"/>
      <c r="F242" s="13"/>
      <c r="G242" s="14"/>
      <c r="H242" s="14"/>
      <c r="I242" s="10"/>
    </row>
    <row r="243" customFormat="false" ht="15" hidden="false" customHeight="true" outlineLevel="0" collapsed="false">
      <c r="A243" s="10"/>
      <c r="B243" s="10"/>
      <c r="C243" s="10"/>
      <c r="D243" s="10"/>
      <c r="E243" s="12"/>
      <c r="F243" s="13"/>
      <c r="G243" s="14"/>
      <c r="H243" s="14"/>
      <c r="I243" s="10"/>
    </row>
    <row r="244" customFormat="false" ht="15" hidden="false" customHeight="true" outlineLevel="0" collapsed="false">
      <c r="A244" s="10"/>
      <c r="B244" s="10"/>
      <c r="C244" s="10"/>
      <c r="D244" s="10"/>
      <c r="E244" s="12"/>
      <c r="F244" s="13"/>
      <c r="G244" s="14"/>
      <c r="H244" s="14"/>
      <c r="I244" s="10"/>
    </row>
    <row r="245" customFormat="false" ht="15" hidden="false" customHeight="true" outlineLevel="0" collapsed="false">
      <c r="A245" s="10"/>
      <c r="B245" s="10"/>
      <c r="C245" s="10"/>
      <c r="D245" s="10"/>
      <c r="E245" s="12"/>
      <c r="F245" s="13"/>
      <c r="G245" s="14"/>
      <c r="H245" s="14"/>
      <c r="I245" s="10"/>
    </row>
    <row r="246" customFormat="false" ht="15" hidden="false" customHeight="true" outlineLevel="0" collapsed="false">
      <c r="A246" s="10"/>
      <c r="B246" s="10"/>
      <c r="C246" s="10"/>
      <c r="D246" s="10"/>
      <c r="E246" s="12"/>
      <c r="F246" s="13"/>
      <c r="G246" s="14"/>
      <c r="H246" s="14"/>
      <c r="I246" s="10"/>
    </row>
    <row r="247" customFormat="false" ht="15" hidden="false" customHeight="true" outlineLevel="0" collapsed="false">
      <c r="A247" s="10"/>
      <c r="B247" s="10"/>
      <c r="C247" s="10"/>
      <c r="D247" s="10"/>
      <c r="E247" s="12"/>
      <c r="F247" s="13"/>
      <c r="G247" s="14"/>
      <c r="H247" s="14"/>
      <c r="I247" s="10"/>
    </row>
    <row r="248" customFormat="false" ht="15" hidden="false" customHeight="true" outlineLevel="0" collapsed="false">
      <c r="A248" s="10"/>
      <c r="B248" s="10"/>
      <c r="C248" s="10"/>
      <c r="D248" s="10"/>
      <c r="E248" s="12"/>
      <c r="F248" s="13"/>
      <c r="G248" s="14"/>
      <c r="H248" s="14"/>
      <c r="I248" s="10"/>
    </row>
    <row r="249" customFormat="false" ht="15" hidden="false" customHeight="true" outlineLevel="0" collapsed="false">
      <c r="A249" s="10"/>
      <c r="B249" s="10"/>
      <c r="C249" s="10"/>
      <c r="D249" s="10"/>
      <c r="E249" s="12"/>
      <c r="F249" s="13"/>
      <c r="G249" s="14"/>
      <c r="H249" s="14"/>
      <c r="I249" s="10"/>
    </row>
    <row r="250" customFormat="false" ht="15" hidden="false" customHeight="true" outlineLevel="0" collapsed="false">
      <c r="A250" s="10"/>
      <c r="B250" s="10"/>
      <c r="C250" s="10"/>
      <c r="D250" s="10"/>
      <c r="E250" s="12"/>
      <c r="F250" s="13"/>
      <c r="G250" s="14"/>
      <c r="H250" s="14"/>
      <c r="I250" s="10"/>
    </row>
    <row r="251" customFormat="false" ht="15" hidden="false" customHeight="true" outlineLevel="0" collapsed="false">
      <c r="A251" s="10"/>
      <c r="B251" s="10"/>
      <c r="C251" s="10"/>
      <c r="D251" s="10"/>
      <c r="E251" s="12"/>
      <c r="F251" s="13"/>
      <c r="G251" s="14"/>
      <c r="H251" s="14"/>
      <c r="I251" s="10"/>
    </row>
    <row r="252" customFormat="false" ht="15" hidden="false" customHeight="true" outlineLevel="0" collapsed="false">
      <c r="A252" s="10"/>
      <c r="B252" s="10"/>
      <c r="C252" s="10"/>
      <c r="D252" s="10"/>
      <c r="E252" s="12"/>
      <c r="F252" s="13"/>
      <c r="G252" s="14"/>
      <c r="H252" s="14"/>
      <c r="I252" s="10"/>
    </row>
    <row r="253" customFormat="false" ht="15" hidden="false" customHeight="true" outlineLevel="0" collapsed="false">
      <c r="A253" s="10"/>
      <c r="B253" s="10"/>
      <c r="C253" s="10"/>
      <c r="D253" s="10"/>
      <c r="E253" s="12"/>
      <c r="F253" s="13"/>
      <c r="G253" s="14"/>
      <c r="H253" s="14"/>
      <c r="I253" s="10"/>
    </row>
    <row r="254" customFormat="false" ht="15" hidden="false" customHeight="true" outlineLevel="0" collapsed="false">
      <c r="A254" s="10"/>
      <c r="B254" s="10"/>
      <c r="C254" s="10"/>
      <c r="D254" s="10"/>
      <c r="E254" s="12"/>
      <c r="F254" s="13"/>
      <c r="G254" s="14"/>
      <c r="H254" s="14"/>
      <c r="I254" s="10"/>
    </row>
    <row r="255" customFormat="false" ht="15" hidden="false" customHeight="true" outlineLevel="0" collapsed="false">
      <c r="A255" s="10"/>
      <c r="B255" s="10"/>
      <c r="C255" s="10"/>
      <c r="D255" s="10"/>
      <c r="E255" s="12"/>
      <c r="F255" s="13"/>
      <c r="G255" s="14"/>
      <c r="H255" s="14"/>
      <c r="I255" s="10"/>
    </row>
    <row r="256" customFormat="false" ht="15" hidden="false" customHeight="true" outlineLevel="0" collapsed="false">
      <c r="A256" s="10"/>
      <c r="B256" s="10"/>
      <c r="C256" s="10"/>
      <c r="D256" s="10"/>
      <c r="E256" s="12"/>
      <c r="F256" s="13"/>
      <c r="G256" s="14"/>
      <c r="H256" s="14"/>
      <c r="I256" s="10"/>
    </row>
    <row r="257" customFormat="false" ht="15" hidden="false" customHeight="true" outlineLevel="0" collapsed="false">
      <c r="A257" s="10"/>
      <c r="B257" s="10"/>
      <c r="C257" s="10"/>
      <c r="D257" s="10"/>
      <c r="E257" s="12"/>
      <c r="F257" s="13"/>
      <c r="G257" s="14"/>
      <c r="H257" s="14"/>
      <c r="I257" s="10"/>
    </row>
    <row r="258" customFormat="false" ht="15" hidden="false" customHeight="true" outlineLevel="0" collapsed="false">
      <c r="A258" s="10"/>
      <c r="B258" s="10"/>
      <c r="C258" s="10"/>
      <c r="D258" s="10"/>
      <c r="E258" s="12"/>
      <c r="F258" s="13"/>
      <c r="G258" s="14"/>
      <c r="H258" s="14"/>
      <c r="I258" s="10"/>
    </row>
    <row r="259" customFormat="false" ht="15" hidden="false" customHeight="true" outlineLevel="0" collapsed="false">
      <c r="A259" s="10"/>
      <c r="B259" s="10"/>
      <c r="C259" s="10"/>
      <c r="D259" s="10"/>
      <c r="E259" s="12"/>
      <c r="F259" s="13"/>
      <c r="G259" s="14"/>
      <c r="H259" s="14"/>
      <c r="I259" s="10"/>
    </row>
    <row r="260" customFormat="false" ht="15" hidden="false" customHeight="true" outlineLevel="0" collapsed="false">
      <c r="A260" s="10"/>
      <c r="B260" s="10"/>
      <c r="C260" s="10"/>
      <c r="D260" s="10"/>
      <c r="E260" s="12"/>
      <c r="F260" s="13"/>
      <c r="G260" s="14"/>
      <c r="H260" s="14"/>
      <c r="I260" s="10"/>
    </row>
    <row r="261" customFormat="false" ht="15" hidden="false" customHeight="true" outlineLevel="0" collapsed="false">
      <c r="A261" s="10"/>
      <c r="B261" s="10"/>
      <c r="C261" s="10"/>
      <c r="D261" s="10"/>
      <c r="E261" s="12"/>
      <c r="F261" s="13"/>
      <c r="G261" s="14"/>
      <c r="H261" s="14"/>
      <c r="I261" s="10"/>
    </row>
    <row r="262" customFormat="false" ht="15" hidden="false" customHeight="true" outlineLevel="0" collapsed="false">
      <c r="A262" s="10"/>
      <c r="B262" s="10"/>
      <c r="C262" s="10"/>
      <c r="D262" s="10"/>
      <c r="E262" s="12"/>
      <c r="F262" s="13"/>
      <c r="G262" s="14"/>
      <c r="H262" s="14"/>
      <c r="I262" s="10"/>
    </row>
    <row r="263" customFormat="false" ht="15" hidden="false" customHeight="true" outlineLevel="0" collapsed="false">
      <c r="A263" s="10"/>
      <c r="B263" s="10"/>
      <c r="C263" s="10"/>
      <c r="D263" s="10"/>
      <c r="E263" s="12"/>
      <c r="F263" s="13"/>
      <c r="G263" s="14"/>
      <c r="H263" s="14"/>
      <c r="I263" s="10"/>
    </row>
    <row r="264" customFormat="false" ht="15" hidden="false" customHeight="true" outlineLevel="0" collapsed="false">
      <c r="A264" s="10"/>
      <c r="B264" s="10"/>
      <c r="C264" s="10"/>
      <c r="D264" s="10"/>
      <c r="E264" s="12"/>
      <c r="F264" s="13"/>
      <c r="G264" s="14"/>
      <c r="H264" s="14"/>
      <c r="I264" s="10"/>
    </row>
    <row r="265" customFormat="false" ht="15" hidden="false" customHeight="true" outlineLevel="0" collapsed="false">
      <c r="A265" s="10"/>
      <c r="B265" s="10"/>
      <c r="C265" s="10"/>
      <c r="D265" s="10"/>
      <c r="E265" s="12"/>
      <c r="F265" s="13"/>
      <c r="G265" s="14"/>
      <c r="H265" s="14"/>
      <c r="I265" s="10"/>
    </row>
    <row r="266" customFormat="false" ht="15" hidden="false" customHeight="true" outlineLevel="0" collapsed="false">
      <c r="A266" s="10"/>
      <c r="B266" s="10"/>
      <c r="C266" s="10"/>
      <c r="D266" s="10"/>
      <c r="E266" s="12"/>
      <c r="F266" s="13"/>
      <c r="G266" s="14"/>
      <c r="H266" s="14"/>
      <c r="I266" s="10"/>
    </row>
    <row r="267" customFormat="false" ht="15" hidden="false" customHeight="true" outlineLevel="0" collapsed="false">
      <c r="A267" s="10"/>
      <c r="B267" s="10"/>
      <c r="C267" s="10"/>
      <c r="D267" s="10"/>
      <c r="E267" s="12"/>
      <c r="F267" s="13"/>
      <c r="G267" s="14"/>
      <c r="H267" s="14"/>
      <c r="I267" s="10"/>
    </row>
    <row r="268" customFormat="false" ht="15" hidden="false" customHeight="true" outlineLevel="0" collapsed="false">
      <c r="A268" s="10"/>
      <c r="B268" s="10"/>
      <c r="C268" s="10"/>
      <c r="D268" s="10"/>
      <c r="E268" s="12"/>
      <c r="F268" s="13"/>
      <c r="G268" s="14"/>
      <c r="H268" s="14"/>
      <c r="I268" s="10"/>
    </row>
    <row r="269" customFormat="false" ht="15" hidden="false" customHeight="true" outlineLevel="0" collapsed="false">
      <c r="A269" s="10"/>
      <c r="B269" s="10"/>
      <c r="C269" s="10"/>
      <c r="D269" s="10"/>
      <c r="E269" s="12"/>
      <c r="F269" s="13"/>
      <c r="G269" s="14"/>
      <c r="H269" s="14"/>
      <c r="I269" s="10"/>
    </row>
    <row r="270" customFormat="false" ht="15" hidden="false" customHeight="true" outlineLevel="0" collapsed="false">
      <c r="A270" s="10"/>
      <c r="B270" s="10"/>
      <c r="C270" s="10"/>
      <c r="D270" s="10"/>
      <c r="E270" s="12"/>
      <c r="F270" s="13"/>
      <c r="G270" s="14"/>
      <c r="H270" s="14"/>
      <c r="I270" s="10"/>
    </row>
    <row r="271" customFormat="false" ht="15" hidden="false" customHeight="true" outlineLevel="0" collapsed="false">
      <c r="A271" s="10"/>
      <c r="B271" s="10"/>
      <c r="C271" s="10"/>
      <c r="D271" s="10"/>
      <c r="E271" s="12"/>
      <c r="F271" s="13"/>
      <c r="G271" s="14"/>
      <c r="H271" s="14"/>
      <c r="I271" s="10"/>
    </row>
    <row r="272" customFormat="false" ht="15" hidden="false" customHeight="true" outlineLevel="0" collapsed="false">
      <c r="A272" s="10"/>
      <c r="B272" s="10"/>
      <c r="C272" s="10"/>
      <c r="D272" s="10"/>
      <c r="E272" s="12"/>
      <c r="F272" s="13"/>
      <c r="G272" s="14"/>
      <c r="H272" s="14"/>
      <c r="I272" s="10"/>
    </row>
    <row r="273" customFormat="false" ht="15" hidden="false" customHeight="true" outlineLevel="0" collapsed="false">
      <c r="A273" s="10"/>
      <c r="B273" s="10"/>
      <c r="C273" s="10"/>
      <c r="D273" s="10"/>
      <c r="E273" s="12"/>
      <c r="F273" s="13"/>
      <c r="G273" s="14"/>
      <c r="H273" s="14"/>
      <c r="I273" s="10"/>
    </row>
    <row r="274" customFormat="false" ht="15" hidden="false" customHeight="true" outlineLevel="0" collapsed="false">
      <c r="A274" s="10"/>
      <c r="B274" s="10"/>
      <c r="C274" s="10"/>
      <c r="D274" s="10"/>
      <c r="E274" s="12"/>
      <c r="F274" s="13"/>
      <c r="G274" s="14"/>
      <c r="H274" s="14"/>
      <c r="I274" s="10"/>
    </row>
    <row r="275" customFormat="false" ht="15" hidden="false" customHeight="true" outlineLevel="0" collapsed="false">
      <c r="A275" s="10"/>
      <c r="B275" s="10"/>
      <c r="C275" s="10"/>
      <c r="D275" s="10"/>
      <c r="E275" s="12"/>
      <c r="F275" s="13"/>
      <c r="G275" s="14"/>
      <c r="H275" s="14"/>
      <c r="I275" s="10"/>
    </row>
    <row r="276" customFormat="false" ht="15" hidden="false" customHeight="true" outlineLevel="0" collapsed="false">
      <c r="A276" s="10"/>
      <c r="B276" s="10"/>
      <c r="C276" s="10"/>
      <c r="D276" s="10"/>
      <c r="E276" s="12"/>
      <c r="F276" s="13"/>
      <c r="G276" s="14"/>
      <c r="H276" s="14"/>
      <c r="I276" s="10"/>
    </row>
    <row r="277" customFormat="false" ht="15" hidden="false" customHeight="true" outlineLevel="0" collapsed="false">
      <c r="A277" s="10"/>
      <c r="B277" s="10"/>
      <c r="C277" s="10"/>
      <c r="D277" s="10"/>
      <c r="E277" s="12"/>
      <c r="F277" s="13"/>
      <c r="G277" s="14"/>
      <c r="H277" s="14"/>
      <c r="I277" s="10"/>
    </row>
    <row r="278" customFormat="false" ht="15" hidden="false" customHeight="true" outlineLevel="0" collapsed="false">
      <c r="A278" s="10"/>
      <c r="B278" s="10"/>
      <c r="C278" s="10"/>
      <c r="D278" s="10"/>
      <c r="E278" s="12"/>
      <c r="F278" s="13"/>
      <c r="G278" s="14"/>
      <c r="H278" s="14"/>
      <c r="I278" s="10"/>
    </row>
    <row r="279" customFormat="false" ht="15" hidden="false" customHeight="true" outlineLevel="0" collapsed="false">
      <c r="A279" s="10"/>
      <c r="B279" s="10"/>
      <c r="C279" s="10"/>
      <c r="D279" s="10"/>
      <c r="E279" s="12"/>
      <c r="F279" s="13"/>
      <c r="G279" s="14"/>
      <c r="H279" s="14"/>
      <c r="I279" s="10"/>
    </row>
    <row r="280" customFormat="false" ht="15" hidden="false" customHeight="true" outlineLevel="0" collapsed="false">
      <c r="A280" s="10"/>
      <c r="B280" s="10"/>
      <c r="C280" s="10"/>
      <c r="D280" s="10"/>
      <c r="E280" s="12"/>
      <c r="F280" s="13"/>
      <c r="G280" s="14"/>
      <c r="H280" s="14"/>
      <c r="I280" s="10"/>
    </row>
    <row r="281" customFormat="false" ht="15" hidden="false" customHeight="true" outlineLevel="0" collapsed="false">
      <c r="A281" s="10"/>
      <c r="B281" s="10"/>
      <c r="C281" s="10"/>
      <c r="D281" s="10"/>
      <c r="E281" s="12"/>
      <c r="F281" s="13"/>
      <c r="G281" s="14"/>
      <c r="H281" s="14"/>
      <c r="I281" s="10"/>
    </row>
    <row r="282" customFormat="false" ht="15" hidden="false" customHeight="true" outlineLevel="0" collapsed="false">
      <c r="A282" s="10"/>
      <c r="B282" s="10"/>
      <c r="C282" s="10"/>
      <c r="D282" s="10"/>
      <c r="E282" s="12"/>
      <c r="F282" s="13"/>
      <c r="G282" s="14"/>
      <c r="H282" s="14"/>
      <c r="I282" s="10"/>
    </row>
    <row r="283" customFormat="false" ht="15" hidden="false" customHeight="true" outlineLevel="0" collapsed="false">
      <c r="A283" s="10"/>
      <c r="B283" s="10"/>
      <c r="C283" s="10"/>
      <c r="D283" s="10"/>
      <c r="E283" s="12"/>
      <c r="F283" s="13"/>
      <c r="G283" s="14"/>
      <c r="H283" s="14"/>
      <c r="I283" s="10"/>
    </row>
    <row r="284" customFormat="false" ht="15" hidden="false" customHeight="true" outlineLevel="0" collapsed="false">
      <c r="A284" s="10"/>
      <c r="B284" s="10"/>
      <c r="C284" s="10"/>
      <c r="D284" s="10"/>
      <c r="E284" s="12"/>
      <c r="F284" s="13"/>
      <c r="G284" s="14"/>
      <c r="H284" s="14"/>
      <c r="I284" s="10"/>
    </row>
    <row r="285" customFormat="false" ht="15" hidden="false" customHeight="true" outlineLevel="0" collapsed="false">
      <c r="A285" s="10"/>
      <c r="B285" s="10"/>
      <c r="C285" s="10"/>
      <c r="D285" s="10"/>
      <c r="E285" s="12"/>
      <c r="F285" s="13"/>
      <c r="G285" s="14"/>
      <c r="H285" s="14"/>
      <c r="I285" s="10"/>
    </row>
    <row r="286" customFormat="false" ht="15" hidden="false" customHeight="true" outlineLevel="0" collapsed="false">
      <c r="A286" s="10"/>
      <c r="B286" s="10"/>
      <c r="C286" s="10"/>
      <c r="D286" s="10"/>
      <c r="E286" s="12"/>
      <c r="F286" s="13"/>
      <c r="G286" s="14"/>
      <c r="H286" s="14"/>
      <c r="I286" s="10"/>
    </row>
    <row r="287" customFormat="false" ht="15" hidden="false" customHeight="true" outlineLevel="0" collapsed="false">
      <c r="A287" s="10"/>
      <c r="B287" s="10"/>
      <c r="C287" s="10"/>
      <c r="D287" s="10"/>
      <c r="E287" s="12"/>
      <c r="F287" s="13"/>
      <c r="G287" s="14"/>
      <c r="H287" s="14"/>
      <c r="I287" s="10"/>
    </row>
    <row r="288" customFormat="false" ht="15" hidden="false" customHeight="true" outlineLevel="0" collapsed="false">
      <c r="A288" s="10"/>
      <c r="B288" s="10"/>
      <c r="C288" s="10"/>
      <c r="D288" s="10"/>
      <c r="E288" s="12"/>
      <c r="F288" s="13"/>
      <c r="G288" s="14"/>
      <c r="H288" s="14"/>
      <c r="I288" s="10"/>
    </row>
    <row r="289" customFormat="false" ht="15" hidden="false" customHeight="true" outlineLevel="0" collapsed="false">
      <c r="A289" s="10"/>
      <c r="B289" s="10"/>
      <c r="C289" s="10"/>
      <c r="D289" s="10"/>
      <c r="E289" s="12"/>
      <c r="F289" s="13"/>
      <c r="G289" s="14"/>
      <c r="H289" s="14"/>
      <c r="I289" s="10"/>
    </row>
    <row r="290" customFormat="false" ht="15" hidden="false" customHeight="true" outlineLevel="0" collapsed="false">
      <c r="A290" s="10"/>
      <c r="B290" s="10"/>
      <c r="C290" s="10"/>
      <c r="D290" s="10"/>
      <c r="E290" s="12"/>
      <c r="F290" s="13"/>
      <c r="G290" s="14"/>
      <c r="H290" s="14"/>
      <c r="I290" s="10"/>
    </row>
    <row r="291" customFormat="false" ht="15" hidden="false" customHeight="true" outlineLevel="0" collapsed="false">
      <c r="A291" s="10"/>
      <c r="B291" s="10"/>
      <c r="C291" s="10"/>
      <c r="D291" s="10"/>
      <c r="E291" s="12"/>
      <c r="F291" s="13"/>
      <c r="G291" s="14"/>
      <c r="H291" s="14"/>
      <c r="I291" s="10"/>
    </row>
    <row r="292" customFormat="false" ht="15" hidden="false" customHeight="true" outlineLevel="0" collapsed="false">
      <c r="A292" s="10"/>
      <c r="B292" s="10"/>
      <c r="C292" s="10"/>
      <c r="D292" s="10"/>
      <c r="E292" s="12"/>
      <c r="F292" s="13"/>
      <c r="G292" s="14"/>
      <c r="H292" s="14"/>
      <c r="I292" s="10"/>
    </row>
    <row r="293" customFormat="false" ht="15" hidden="false" customHeight="true" outlineLevel="0" collapsed="false">
      <c r="A293" s="10"/>
      <c r="B293" s="10"/>
      <c r="C293" s="10"/>
      <c r="D293" s="10"/>
      <c r="E293" s="12"/>
      <c r="F293" s="13"/>
      <c r="G293" s="14"/>
      <c r="H293" s="14"/>
      <c r="I293" s="10"/>
    </row>
    <row r="294" customFormat="false" ht="15" hidden="false" customHeight="true" outlineLevel="0" collapsed="false">
      <c r="A294" s="10"/>
      <c r="B294" s="10"/>
      <c r="C294" s="10"/>
      <c r="D294" s="10"/>
      <c r="E294" s="12"/>
      <c r="F294" s="13"/>
      <c r="G294" s="14"/>
      <c r="H294" s="14"/>
      <c r="I294" s="10"/>
    </row>
    <row r="295" customFormat="false" ht="15" hidden="false" customHeight="true" outlineLevel="0" collapsed="false">
      <c r="A295" s="10"/>
      <c r="B295" s="10"/>
      <c r="C295" s="10"/>
      <c r="D295" s="10"/>
      <c r="E295" s="12"/>
      <c r="F295" s="13"/>
      <c r="G295" s="14"/>
      <c r="H295" s="14"/>
      <c r="I295" s="10"/>
    </row>
    <row r="296" customFormat="false" ht="15" hidden="false" customHeight="true" outlineLevel="0" collapsed="false">
      <c r="A296" s="10"/>
      <c r="B296" s="10"/>
      <c r="C296" s="10"/>
      <c r="D296" s="10"/>
      <c r="E296" s="12"/>
      <c r="F296" s="13"/>
      <c r="G296" s="14"/>
      <c r="H296" s="14"/>
      <c r="I296" s="10"/>
    </row>
    <row r="297" customFormat="false" ht="15" hidden="false" customHeight="true" outlineLevel="0" collapsed="false">
      <c r="A297" s="10"/>
      <c r="B297" s="10"/>
      <c r="C297" s="10"/>
      <c r="D297" s="10"/>
      <c r="E297" s="12"/>
      <c r="F297" s="13"/>
      <c r="G297" s="14"/>
      <c r="H297" s="14"/>
      <c r="I297" s="10"/>
    </row>
    <row r="298" customFormat="false" ht="15" hidden="false" customHeight="true" outlineLevel="0" collapsed="false">
      <c r="A298" s="10"/>
      <c r="B298" s="10"/>
      <c r="C298" s="10"/>
      <c r="D298" s="10"/>
      <c r="E298" s="12"/>
      <c r="F298" s="13"/>
      <c r="G298" s="14"/>
      <c r="H298" s="14"/>
      <c r="I298" s="10"/>
    </row>
    <row r="299" customFormat="false" ht="15" hidden="false" customHeight="true" outlineLevel="0" collapsed="false">
      <c r="A299" s="10"/>
      <c r="B299" s="10"/>
      <c r="C299" s="10"/>
      <c r="D299" s="10"/>
      <c r="E299" s="12"/>
      <c r="F299" s="13"/>
      <c r="G299" s="14"/>
      <c r="H299" s="14"/>
      <c r="I299" s="10"/>
    </row>
    <row r="300" customFormat="false" ht="15" hidden="false" customHeight="true" outlineLevel="0" collapsed="false">
      <c r="A300" s="10"/>
      <c r="B300" s="10"/>
      <c r="C300" s="10"/>
      <c r="D300" s="10"/>
      <c r="E300" s="12"/>
      <c r="F300" s="13"/>
      <c r="G300" s="14"/>
      <c r="H300" s="14"/>
      <c r="I300" s="10"/>
    </row>
    <row r="301" customFormat="false" ht="15" hidden="false" customHeight="true" outlineLevel="0" collapsed="false">
      <c r="A301" s="10"/>
      <c r="B301" s="10"/>
      <c r="C301" s="10"/>
      <c r="D301" s="10"/>
      <c r="E301" s="12"/>
      <c r="F301" s="13"/>
      <c r="G301" s="14"/>
      <c r="H301" s="14"/>
      <c r="I301" s="10"/>
    </row>
    <row r="302" customFormat="false" ht="15" hidden="false" customHeight="true" outlineLevel="0" collapsed="false">
      <c r="A302" s="10"/>
      <c r="B302" s="10"/>
      <c r="C302" s="10"/>
      <c r="D302" s="10"/>
      <c r="E302" s="12"/>
      <c r="F302" s="13"/>
      <c r="G302" s="14"/>
      <c r="H302" s="14"/>
      <c r="I302" s="10"/>
    </row>
    <row r="304" customFormat="false" ht="15" hidden="false" customHeight="true" outlineLevel="0" collapsed="false">
      <c r="A304" s="7" t="s">
        <v>54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28"/>
    <col collapsed="false" customWidth="true" hidden="false" outlineLevel="0" max="5" min="4" style="1" width="12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55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9" t="s">
        <v>56</v>
      </c>
      <c r="B2" s="9" t="s">
        <v>27</v>
      </c>
      <c r="C2" s="15" t="s">
        <v>57</v>
      </c>
      <c r="D2" s="15" t="s">
        <v>58</v>
      </c>
      <c r="E2" s="9" t="s">
        <v>59</v>
      </c>
      <c r="F2" s="9" t="s">
        <v>60</v>
      </c>
    </row>
    <row r="3" customFormat="false" ht="15" hidden="false" customHeight="true" outlineLevel="0" collapsed="false">
      <c r="A3" s="16" t="n">
        <v>46205</v>
      </c>
      <c r="B3" s="10" t="inlineStr">
        <is>
          <t>M001</t>
        </is>
      </c>
      <c r="C3" s="17" t="str">
        <f aca="false">IF($B3="","",IFERROR(INDEX(품목마스터!$B$3:$B$302,MATCH($B3,품목마스터!$A$3:$A$302,0)),"미등록품번"))</f>
        <v>생리식염수 500ml</v>
      </c>
      <c r="D3" s="17" t="str">
        <f aca="false">IF($B3="","",IFERROR(INDEX(품목마스터!$D$3:$D$302,MATCH($B3,품목마스터!$A$3:$A$302,0)),""))</f>
        <v>병</v>
      </c>
      <c r="E3" s="12" t="n">
        <v>15</v>
      </c>
      <c r="F3" s="10" t="inlineStr">
        <is>
          <t>처치실</t>
        </is>
      </c>
    </row>
    <row r="4" customFormat="false" ht="15" hidden="false" customHeight="true" outlineLevel="0" collapsed="false">
      <c r="A4" s="16" t="n">
        <v>46208</v>
      </c>
      <c r="B4" s="10" t="inlineStr">
        <is>
          <t>M003</t>
        </is>
      </c>
      <c r="C4" s="17" t="str">
        <f aca="false">IF($B4="","",IFERROR(INDEX(품목마스터!$B$3:$B$302,MATCH($B4,품목마스터!$A$3:$A$302,0)),"미등록품번"))</f>
        <v>소독용 알코올</v>
      </c>
      <c r="D4" s="17" t="str">
        <f aca="false">IF($B4="","",IFERROR(INDEX(품목마스터!$D$3:$D$302,MATCH($B4,품목마스터!$A$3:$A$302,0)),""))</f>
        <v>통</v>
      </c>
      <c r="E4" s="12" t="n">
        <v>12</v>
      </c>
      <c r="F4" s="10" t="inlineStr">
        <is>
          <t>처치실</t>
        </is>
      </c>
    </row>
    <row r="5" customFormat="false" ht="15" hidden="false" customHeight="true" outlineLevel="0" collapsed="false">
      <c r="A5" s="16" t="n">
        <v>46211</v>
      </c>
      <c r="B5" s="10" t="inlineStr">
        <is>
          <t>M004</t>
        </is>
      </c>
      <c r="C5" s="17" t="str">
        <f aca="false">IF($B5="","",IFERROR(INDEX(품목마스터!$B$3:$B$302,MATCH($B5,품목마스터!$A$3:$A$302,0)),"미등록품번"))</f>
        <v>라텍스 장갑 M</v>
      </c>
      <c r="D5" s="17" t="str">
        <f aca="false">IF($B5="","",IFERROR(INDEX(품목마스터!$D$3:$D$302,MATCH($B5,품목마스터!$A$3:$A$302,0)),""))</f>
        <v>박스</v>
      </c>
      <c r="E5" s="12" t="n">
        <v>4</v>
      </c>
      <c r="F5" s="10" t="inlineStr">
        <is>
          <t>진료실</t>
        </is>
      </c>
    </row>
    <row r="6" customFormat="false" ht="15" hidden="false" customHeight="true" outlineLevel="0" collapsed="false">
      <c r="A6" s="16" t="n">
        <v>46221</v>
      </c>
      <c r="B6" s="10" t="inlineStr">
        <is>
          <t>M003</t>
        </is>
      </c>
      <c r="C6" s="17" t="str">
        <f aca="false">IF($B6="","",IFERROR(INDEX(품목마스터!$B$3:$B$302,MATCH($B6,품목마스터!$A$3:$A$302,0)),"미등록품번"))</f>
        <v>소독용 알코올</v>
      </c>
      <c r="D6" s="17" t="str">
        <f aca="false">IF($B6="","",IFERROR(INDEX(품목마스터!$D$3:$D$302,MATCH($B6,품목마스터!$A$3:$A$302,0)),""))</f>
        <v>통</v>
      </c>
      <c r="E6" s="12" t="n">
        <v>14</v>
      </c>
      <c r="F6" s="10" t="inlineStr">
        <is>
          <t>처치실</t>
        </is>
      </c>
    </row>
    <row r="7" customFormat="false" ht="15" hidden="false" customHeight="true" outlineLevel="0" collapsed="false">
      <c r="A7" s="16" t="n">
        <v>46223</v>
      </c>
      <c r="B7" s="10" t="inlineStr">
        <is>
          <t>M001</t>
        </is>
      </c>
      <c r="C7" s="17" t="str">
        <f aca="false">IF($B7="","",IFERROR(INDEX(품목마스터!$B$3:$B$302,MATCH($B7,품목마스터!$A$3:$A$302,0)),"미등록품번"))</f>
        <v>생리식염수 500ml</v>
      </c>
      <c r="D7" s="17" t="str">
        <f aca="false">IF($B7="","",IFERROR(INDEX(품목마스터!$D$3:$D$302,MATCH($B7,품목마스터!$A$3:$A$302,0)),""))</f>
        <v>병</v>
      </c>
      <c r="E7" s="12" t="n">
        <v>12</v>
      </c>
      <c r="F7" s="10" t="inlineStr">
        <is>
          <t>처치실</t>
        </is>
      </c>
    </row>
    <row r="8" customFormat="false" ht="15" hidden="false" customHeight="true" outlineLevel="0" collapsed="false">
      <c r="A8" s="16" t="n">
        <v>46225</v>
      </c>
      <c r="B8" s="10" t="inlineStr">
        <is>
          <t>M004</t>
        </is>
      </c>
      <c r="C8" s="17" t="str">
        <f aca="false">IF($B8="","",IFERROR(INDEX(품목마스터!$B$3:$B$302,MATCH($B8,품목마스터!$A$3:$A$302,0)),"미등록품번"))</f>
        <v>라텍스 장갑 M</v>
      </c>
      <c r="D8" s="17" t="str">
        <f aca="false">IF($B8="","",IFERROR(INDEX(품목마스터!$D$3:$D$302,MATCH($B8,품목마스터!$A$3:$A$302,0)),""))</f>
        <v>박스</v>
      </c>
      <c r="E8" s="12" t="n">
        <v>5</v>
      </c>
      <c r="F8" s="10" t="inlineStr">
        <is>
          <t>진료실</t>
        </is>
      </c>
    </row>
    <row r="9" customFormat="false" ht="15" hidden="false" customHeight="true" outlineLevel="0" collapsed="false">
      <c r="A9" s="16" t="n">
        <v>46235</v>
      </c>
      <c r="B9" s="10" t="inlineStr">
        <is>
          <t>M002</t>
        </is>
      </c>
      <c r="C9" s="17" t="str">
        <f aca="false">IF($B9="","",IFERROR(INDEX(품목마스터!$B$3:$B$302,MATCH($B9,품목마스터!$A$3:$A$302,0)),"미등록품번"))</f>
        <v>일회용 주사기 10cc</v>
      </c>
      <c r="D9" s="17" t="str">
        <f aca="false">IF($B9="","",IFERROR(INDEX(품목마스터!$D$3:$D$302,MATCH($B9,품목마스터!$A$3:$A$302,0)),""))</f>
        <v>개</v>
      </c>
      <c r="E9" s="12" t="n">
        <v>120</v>
      </c>
      <c r="F9" s="10" t="inlineStr">
        <is>
          <t>처치실</t>
        </is>
      </c>
    </row>
    <row r="10" customFormat="false" ht="15" hidden="false" customHeight="true" outlineLevel="0" collapsed="false">
      <c r="A10" s="16" t="n">
        <v>46236</v>
      </c>
      <c r="B10" s="10" t="inlineStr">
        <is>
          <t>M003</t>
        </is>
      </c>
      <c r="C10" s="17" t="str">
        <f aca="false">IF($B10="","",IFERROR(INDEX(품목마스터!$B$3:$B$302,MATCH($B10,품목마스터!$A$3:$A$302,0)),"미등록품번"))</f>
        <v>소독용 알코올</v>
      </c>
      <c r="D10" s="17" t="str">
        <f aca="false">IF($B10="","",IFERROR(INDEX(품목마스터!$D$3:$D$302,MATCH($B10,품목마스터!$A$3:$A$302,0)),""))</f>
        <v>통</v>
      </c>
      <c r="E10" s="12" t="n">
        <v>13</v>
      </c>
      <c r="F10" s="10" t="inlineStr">
        <is>
          <t>처치실</t>
        </is>
      </c>
    </row>
    <row r="11" customFormat="false" ht="15" hidden="false" customHeight="true" outlineLevel="0" collapsed="false">
      <c r="A11" s="16" t="n">
        <v>46239</v>
      </c>
      <c r="B11" s="10" t="inlineStr">
        <is>
          <t>M001</t>
        </is>
      </c>
      <c r="C11" s="17" t="str">
        <f aca="false">IF($B11="","",IFERROR(INDEX(품목마스터!$B$3:$B$302,MATCH($B11,품목마스터!$A$3:$A$302,0)),"미등록품번"))</f>
        <v>생리식염수 500ml</v>
      </c>
      <c r="D11" s="17" t="str">
        <f aca="false">IF($B11="","",IFERROR(INDEX(품목마스터!$D$3:$D$302,MATCH($B11,품목마스터!$A$3:$A$302,0)),""))</f>
        <v>병</v>
      </c>
      <c r="E11" s="12" t="n">
        <v>18</v>
      </c>
      <c r="F11" s="10" t="inlineStr">
        <is>
          <t>처치실</t>
        </is>
      </c>
    </row>
    <row r="12" customFormat="false" ht="15" hidden="false" customHeight="true" outlineLevel="0" collapsed="false">
      <c r="A12" s="16" t="n">
        <v>46239</v>
      </c>
      <c r="B12" s="10" t="inlineStr">
        <is>
          <t>M004</t>
        </is>
      </c>
      <c r="C12" s="17" t="str">
        <f aca="false">IF($B12="","",IFERROR(INDEX(품목마스터!$B$3:$B$302,MATCH($B12,품목마스터!$A$3:$A$302,0)),"미등록품번"))</f>
        <v>라텍스 장갑 M</v>
      </c>
      <c r="D12" s="17" t="str">
        <f aca="false">IF($B12="","",IFERROR(INDEX(품목마스터!$D$3:$D$302,MATCH($B12,품목마스터!$A$3:$A$302,0)),""))</f>
        <v>박스</v>
      </c>
      <c r="E12" s="12" t="n">
        <v>4</v>
      </c>
      <c r="F12" s="10" t="inlineStr">
        <is>
          <t>진료실</t>
        </is>
      </c>
    </row>
    <row r="13" customFormat="false" ht="15" hidden="false" customHeight="true" outlineLevel="0" collapsed="false">
      <c r="A13" s="16" t="n">
        <v>46251</v>
      </c>
      <c r="B13" s="10" t="inlineStr">
        <is>
          <t>M003</t>
        </is>
      </c>
      <c r="C13" s="17" t="str">
        <f aca="false">IF($B13="","",IFERROR(INDEX(품목마스터!$B$3:$B$302,MATCH($B13,품목마스터!$A$3:$A$302,0)),"미등록품번"))</f>
        <v>소독용 알코올</v>
      </c>
      <c r="D13" s="17" t="str">
        <f aca="false">IF($B13="","",IFERROR(INDEX(품목마스터!$D$3:$D$302,MATCH($B13,품목마스터!$A$3:$A$302,0)),""))</f>
        <v>통</v>
      </c>
      <c r="E13" s="12" t="n">
        <v>15</v>
      </c>
      <c r="F13" s="10" t="inlineStr">
        <is>
          <t>처치실</t>
        </is>
      </c>
    </row>
    <row r="14" customFormat="false" ht="15" hidden="false" customHeight="true" outlineLevel="0" collapsed="false">
      <c r="A14" s="16" t="n">
        <v>46252</v>
      </c>
      <c r="B14" s="10" t="inlineStr">
        <is>
          <t>M002</t>
        </is>
      </c>
      <c r="C14" s="17" t="str">
        <f aca="false">IF($B14="","",IFERROR(INDEX(품목마스터!$B$3:$B$302,MATCH($B14,품목마스터!$A$3:$A$302,0)),"미등록품번"))</f>
        <v>일회용 주사기 10cc</v>
      </c>
      <c r="D14" s="17" t="str">
        <f aca="false">IF($B14="","",IFERROR(INDEX(품목마스터!$D$3:$D$302,MATCH($B14,품목마스터!$A$3:$A$302,0)),""))</f>
        <v>개</v>
      </c>
      <c r="E14" s="12" t="n">
        <v>150</v>
      </c>
      <c r="F14" s="10" t="inlineStr">
        <is>
          <t>처치실</t>
        </is>
      </c>
    </row>
    <row r="15" customFormat="false" ht="15" hidden="false" customHeight="true" outlineLevel="0" collapsed="false">
      <c r="A15" s="16" t="n">
        <v>46253</v>
      </c>
      <c r="B15" s="10" t="inlineStr">
        <is>
          <t>M004</t>
        </is>
      </c>
      <c r="C15" s="17" t="str">
        <f aca="false">IF($B15="","",IFERROR(INDEX(품목마스터!$B$3:$B$302,MATCH($B15,품목마스터!$A$3:$A$302,0)),"미등록품번"))</f>
        <v>라텍스 장갑 M</v>
      </c>
      <c r="D15" s="17" t="str">
        <f aca="false">IF($B15="","",IFERROR(INDEX(품목마스터!$D$3:$D$302,MATCH($B15,품목마스터!$A$3:$A$302,0)),""))</f>
        <v>박스</v>
      </c>
      <c r="E15" s="12" t="n">
        <v>5</v>
      </c>
      <c r="F15" s="10" t="inlineStr">
        <is>
          <t>진료실</t>
        </is>
      </c>
    </row>
    <row r="16" customFormat="false" ht="15" hidden="false" customHeight="true" outlineLevel="0" collapsed="false">
      <c r="A16" s="16" t="n">
        <v>46258</v>
      </c>
      <c r="B16" s="10" t="inlineStr">
        <is>
          <t>M001</t>
        </is>
      </c>
      <c r="C16" s="17" t="str">
        <f aca="false">IF($B16="","",IFERROR(INDEX(품목마스터!$B$3:$B$302,MATCH($B16,품목마스터!$A$3:$A$302,0)),"미등록품번"))</f>
        <v>생리식염수 500ml</v>
      </c>
      <c r="D16" s="17" t="str">
        <f aca="false">IF($B16="","",IFERROR(INDEX(품목마스터!$D$3:$D$302,MATCH($B16,품목마스터!$A$3:$A$302,0)),""))</f>
        <v>병</v>
      </c>
      <c r="E16" s="12" t="n">
        <v>14</v>
      </c>
      <c r="F16" s="10" t="inlineStr">
        <is>
          <t>처치실</t>
        </is>
      </c>
    </row>
    <row r="17" customFormat="false" ht="15" hidden="false" customHeight="true" outlineLevel="0" collapsed="false">
      <c r="A17" s="16" t="n">
        <v>46264</v>
      </c>
      <c r="B17" s="10" t="inlineStr">
        <is>
          <t>M003</t>
        </is>
      </c>
      <c r="C17" s="17" t="str">
        <f aca="false">IF($B17="","",IFERROR(INDEX(품목마스터!$B$3:$B$302,MATCH($B17,품목마스터!$A$3:$A$302,0)),"미등록품번"))</f>
        <v>소독용 알코올</v>
      </c>
      <c r="D17" s="17" t="str">
        <f aca="false">IF($B17="","",IFERROR(INDEX(품목마스터!$D$3:$D$302,MATCH($B17,품목마스터!$A$3:$A$302,0)),""))</f>
        <v>통</v>
      </c>
      <c r="E17" s="12" t="n">
        <v>12</v>
      </c>
      <c r="F17" s="10" t="inlineStr">
        <is>
          <t>처치실</t>
        </is>
      </c>
    </row>
    <row r="18" customFormat="false" ht="15" hidden="false" customHeight="true" outlineLevel="0" collapsed="false">
      <c r="A18" s="16" t="n">
        <v>46267</v>
      </c>
      <c r="B18" s="10" t="inlineStr">
        <is>
          <t>M004</t>
        </is>
      </c>
      <c r="C18" s="17" t="str">
        <f aca="false">IF($B18="","",IFERROR(INDEX(품목마스터!$B$3:$B$302,MATCH($B18,품목마스터!$A$3:$A$302,0)),"미등록품번"))</f>
        <v>라텍스 장갑 M</v>
      </c>
      <c r="D18" s="17" t="str">
        <f aca="false">IF($B18="","",IFERROR(INDEX(품목마스터!$D$3:$D$302,MATCH($B18,품목마스터!$A$3:$A$302,0)),""))</f>
        <v>박스</v>
      </c>
      <c r="E18" s="12" t="n">
        <v>4</v>
      </c>
      <c r="F18" s="10" t="inlineStr">
        <is>
          <t>진료실</t>
        </is>
      </c>
    </row>
    <row r="19" customFormat="false" ht="15" hidden="false" customHeight="true" outlineLevel="0" collapsed="false">
      <c r="A19" s="16" t="n">
        <v>46268</v>
      </c>
      <c r="B19" s="10" t="inlineStr">
        <is>
          <t>M002</t>
        </is>
      </c>
      <c r="C19" s="17" t="str">
        <f aca="false">IF($B19="","",IFERROR(INDEX(품목마스터!$B$3:$B$302,MATCH($B19,품목마스터!$A$3:$A$302,0)),"미등록품번"))</f>
        <v>일회용 주사기 10cc</v>
      </c>
      <c r="D19" s="17" t="str">
        <f aca="false">IF($B19="","",IFERROR(INDEX(품목마스터!$D$3:$D$302,MATCH($B19,품목마스터!$A$3:$A$302,0)),""))</f>
        <v>개</v>
      </c>
      <c r="E19" s="12" t="n">
        <v>130</v>
      </c>
      <c r="F19" s="10" t="inlineStr">
        <is>
          <t>처치실</t>
        </is>
      </c>
    </row>
    <row r="20" customFormat="false" ht="15" hidden="false" customHeight="true" outlineLevel="0" collapsed="false">
      <c r="A20" s="16" t="n">
        <v>46273</v>
      </c>
      <c r="B20" s="10" t="inlineStr">
        <is>
          <t>M001</t>
        </is>
      </c>
      <c r="C20" s="17" t="str">
        <f aca="false">IF($B20="","",IFERROR(INDEX(품목마스터!$B$3:$B$302,MATCH($B20,품목마스터!$A$3:$A$302,0)),"미등록품번"))</f>
        <v>생리식염수 500ml</v>
      </c>
      <c r="D20" s="17" t="str">
        <f aca="false">IF($B20="","",IFERROR(INDEX(품목마스터!$D$3:$D$302,MATCH($B20,품목마스터!$A$3:$A$302,0)),""))</f>
        <v>병</v>
      </c>
      <c r="E20" s="12" t="n">
        <v>16</v>
      </c>
      <c r="F20" s="10" t="inlineStr">
        <is>
          <t>처치실</t>
        </is>
      </c>
    </row>
    <row r="21" customFormat="false" ht="15" hidden="false" customHeight="true" outlineLevel="0" collapsed="false">
      <c r="A21" s="16" t="n">
        <v>46274</v>
      </c>
      <c r="B21" s="10" t="inlineStr">
        <is>
          <t>M004</t>
        </is>
      </c>
      <c r="C21" s="17" t="str">
        <f aca="false">IF($B21="","",IFERROR(INDEX(품목마스터!$B$3:$B$302,MATCH($B21,품목마스터!$A$3:$A$302,0)),"미등록품번"))</f>
        <v>라텍스 장갑 M</v>
      </c>
      <c r="D21" s="17" t="str">
        <f aca="false">IF($B21="","",IFERROR(INDEX(품목마스터!$D$3:$D$302,MATCH($B21,품목마스터!$A$3:$A$302,0)),""))</f>
        <v>박스</v>
      </c>
      <c r="E21" s="12" t="n">
        <v>3</v>
      </c>
      <c r="F21" s="10" t="inlineStr">
        <is>
          <t>진료실</t>
        </is>
      </c>
    </row>
    <row r="22" customFormat="false" ht="15" hidden="false" customHeight="true" outlineLevel="0" collapsed="false">
      <c r="A22" s="16" t="n">
        <v>46275</v>
      </c>
      <c r="B22" s="10" t="inlineStr">
        <is>
          <t>M003</t>
        </is>
      </c>
      <c r="C22" s="17" t="str">
        <f aca="false">IF($B22="","",IFERROR(INDEX(품목마스터!$B$3:$B$302,MATCH($B22,품목마스터!$A$3:$A$302,0)),"미등록품번"))</f>
        <v>소독용 알코올</v>
      </c>
      <c r="D22" s="17" t="str">
        <f aca="false">IF($B22="","",IFERROR(INDEX(품목마스터!$D$3:$D$302,MATCH($B22,품목마스터!$A$3:$A$302,0)),""))</f>
        <v>통</v>
      </c>
      <c r="E22" s="12" t="n">
        <v>14</v>
      </c>
      <c r="F22" s="10" t="inlineStr">
        <is>
          <t>처치실</t>
        </is>
      </c>
    </row>
    <row r="23" customFormat="false" ht="15" hidden="false" customHeight="true" outlineLevel="0" collapsed="false">
      <c r="A23" s="16"/>
      <c r="B23" s="10"/>
      <c r="C23" s="17" t="str">
        <f aca="false">IF($B23="","",IFERROR(INDEX(품목마스터!$B$3:$B$302,MATCH($B23,품목마스터!$A$3:$A$302,0)),"미등록품번"))</f>
        <v/>
      </c>
      <c r="D23" s="17" t="str">
        <f aca="false">IF($B23="","",IFERROR(INDEX(품목마스터!$D$3:$D$302,MATCH($B23,품목마스터!$A$3:$A$302,0)),""))</f>
        <v/>
      </c>
      <c r="E23" s="12"/>
      <c r="F23" s="10"/>
    </row>
    <row r="24" customFormat="false" ht="15" hidden="false" customHeight="true" outlineLevel="0" collapsed="false">
      <c r="A24" s="16"/>
      <c r="B24" s="10"/>
      <c r="C24" s="17" t="str">
        <f aca="false">IF($B24="","",IFERROR(INDEX(품목마스터!$B$3:$B$302,MATCH($B24,품목마스터!$A$3:$A$302,0)),"미등록품번"))</f>
        <v/>
      </c>
      <c r="D24" s="17" t="str">
        <f aca="false">IF($B24="","",IFERROR(INDEX(품목마스터!$D$3:$D$302,MATCH($B24,품목마스터!$A$3:$A$302,0)),""))</f>
        <v/>
      </c>
      <c r="E24" s="12"/>
      <c r="F24" s="10"/>
    </row>
    <row r="25" customFormat="false" ht="15" hidden="false" customHeight="true" outlineLevel="0" collapsed="false">
      <c r="A25" s="16"/>
      <c r="B25" s="10"/>
      <c r="C25" s="17" t="str">
        <f aca="false">IF($B25="","",IFERROR(INDEX(품목마스터!$B$3:$B$302,MATCH($B25,품목마스터!$A$3:$A$302,0)),"미등록품번"))</f>
        <v/>
      </c>
      <c r="D25" s="17" t="str">
        <f aca="false">IF($B25="","",IFERROR(INDEX(품목마스터!$D$3:$D$302,MATCH($B25,품목마스터!$A$3:$A$302,0)),""))</f>
        <v/>
      </c>
      <c r="E25" s="12"/>
      <c r="F25" s="10"/>
    </row>
    <row r="26" customFormat="false" ht="15" hidden="false" customHeight="true" outlineLevel="0" collapsed="false">
      <c r="A26" s="16"/>
      <c r="B26" s="10"/>
      <c r="C26" s="17" t="str">
        <f aca="false">IF($B26="","",IFERROR(INDEX(품목마스터!$B$3:$B$302,MATCH($B26,품목마스터!$A$3:$A$302,0)),"미등록품번"))</f>
        <v/>
      </c>
      <c r="D26" s="17" t="str">
        <f aca="false">IF($B26="","",IFERROR(INDEX(품목마스터!$D$3:$D$302,MATCH($B26,품목마스터!$A$3:$A$302,0)),""))</f>
        <v/>
      </c>
      <c r="E26" s="12"/>
      <c r="F26" s="10"/>
    </row>
    <row r="27" customFormat="false" ht="15" hidden="false" customHeight="true" outlineLevel="0" collapsed="false">
      <c r="A27" s="16"/>
      <c r="B27" s="10"/>
      <c r="C27" s="17" t="str">
        <f aca="false">IF($B27="","",IFERROR(INDEX(품목마스터!$B$3:$B$302,MATCH($B27,품목마스터!$A$3:$A$302,0)),"미등록품번"))</f>
        <v/>
      </c>
      <c r="D27" s="17" t="str">
        <f aca="false">IF($B27="","",IFERROR(INDEX(품목마스터!$D$3:$D$302,MATCH($B27,품목마스터!$A$3:$A$302,0)),""))</f>
        <v/>
      </c>
      <c r="E27" s="12"/>
      <c r="F27" s="10"/>
    </row>
    <row r="28" customFormat="false" ht="15" hidden="false" customHeight="true" outlineLevel="0" collapsed="false">
      <c r="A28" s="16"/>
      <c r="B28" s="10"/>
      <c r="C28" s="17" t="str">
        <f aca="false">IF($B28="","",IFERROR(INDEX(품목마스터!$B$3:$B$302,MATCH($B28,품목마스터!$A$3:$A$302,0)),"미등록품번"))</f>
        <v/>
      </c>
      <c r="D28" s="17" t="str">
        <f aca="false">IF($B28="","",IFERROR(INDEX(품목마스터!$D$3:$D$302,MATCH($B28,품목마스터!$A$3:$A$302,0)),""))</f>
        <v/>
      </c>
      <c r="E28" s="12"/>
      <c r="F28" s="10"/>
    </row>
    <row r="29" customFormat="false" ht="15" hidden="false" customHeight="true" outlineLevel="0" collapsed="false">
      <c r="A29" s="16"/>
      <c r="B29" s="10"/>
      <c r="C29" s="17" t="str">
        <f aca="false">IF($B29="","",IFERROR(INDEX(품목마스터!$B$3:$B$302,MATCH($B29,품목마스터!$A$3:$A$302,0)),"미등록품번"))</f>
        <v/>
      </c>
      <c r="D29" s="17" t="str">
        <f aca="false">IF($B29="","",IFERROR(INDEX(품목마스터!$D$3:$D$302,MATCH($B29,품목마스터!$A$3:$A$302,0)),""))</f>
        <v/>
      </c>
      <c r="E29" s="12"/>
      <c r="F29" s="10"/>
    </row>
    <row r="30" customFormat="false" ht="15" hidden="false" customHeight="true" outlineLevel="0" collapsed="false">
      <c r="A30" s="16"/>
      <c r="B30" s="10"/>
      <c r="C30" s="17" t="str">
        <f aca="false">IF($B30="","",IFERROR(INDEX(품목마스터!$B$3:$B$302,MATCH($B30,품목마스터!$A$3:$A$302,0)),"미등록품번"))</f>
        <v/>
      </c>
      <c r="D30" s="17" t="str">
        <f aca="false">IF($B30="","",IFERROR(INDEX(품목마스터!$D$3:$D$302,MATCH($B30,품목마스터!$A$3:$A$302,0)),""))</f>
        <v/>
      </c>
      <c r="E30" s="12"/>
      <c r="F30" s="10"/>
    </row>
    <row r="31" customFormat="false" ht="15" hidden="false" customHeight="true" outlineLevel="0" collapsed="false">
      <c r="A31" s="16"/>
      <c r="B31" s="10"/>
      <c r="C31" s="17" t="str">
        <f aca="false">IF($B31="","",IFERROR(INDEX(품목마스터!$B$3:$B$302,MATCH($B31,품목마스터!$A$3:$A$302,0)),"미등록품번"))</f>
        <v/>
      </c>
      <c r="D31" s="17" t="str">
        <f aca="false">IF($B31="","",IFERROR(INDEX(품목마스터!$D$3:$D$302,MATCH($B31,품목마스터!$A$3:$A$302,0)),""))</f>
        <v/>
      </c>
      <c r="E31" s="12"/>
      <c r="F31" s="10"/>
    </row>
    <row r="32" customFormat="false" ht="15" hidden="false" customHeight="true" outlineLevel="0" collapsed="false">
      <c r="A32" s="16"/>
      <c r="B32" s="10"/>
      <c r="C32" s="17" t="str">
        <f aca="false">IF($B32="","",IFERROR(INDEX(품목마스터!$B$3:$B$302,MATCH($B32,품목마스터!$A$3:$A$302,0)),"미등록품번"))</f>
        <v/>
      </c>
      <c r="D32" s="17" t="str">
        <f aca="false">IF($B32="","",IFERROR(INDEX(품목마스터!$D$3:$D$302,MATCH($B32,품목마스터!$A$3:$A$302,0)),""))</f>
        <v/>
      </c>
      <c r="E32" s="12"/>
      <c r="F32" s="10"/>
    </row>
    <row r="33" customFormat="false" ht="15" hidden="false" customHeight="true" outlineLevel="0" collapsed="false">
      <c r="A33" s="16"/>
      <c r="B33" s="10"/>
      <c r="C33" s="17" t="str">
        <f aca="false">IF($B33="","",IFERROR(INDEX(품목마스터!$B$3:$B$302,MATCH($B33,품목마스터!$A$3:$A$302,0)),"미등록품번"))</f>
        <v/>
      </c>
      <c r="D33" s="17" t="str">
        <f aca="false">IF($B33="","",IFERROR(INDEX(품목마스터!$D$3:$D$302,MATCH($B33,품목마스터!$A$3:$A$302,0)),""))</f>
        <v/>
      </c>
      <c r="E33" s="12"/>
      <c r="F33" s="10"/>
    </row>
    <row r="34" customFormat="false" ht="15" hidden="false" customHeight="true" outlineLevel="0" collapsed="false">
      <c r="A34" s="16"/>
      <c r="B34" s="10"/>
      <c r="C34" s="17" t="str">
        <f aca="false">IF($B34="","",IFERROR(INDEX(품목마스터!$B$3:$B$302,MATCH($B34,품목마스터!$A$3:$A$302,0)),"미등록품번"))</f>
        <v/>
      </c>
      <c r="D34" s="17" t="str">
        <f aca="false">IF($B34="","",IFERROR(INDEX(품목마스터!$D$3:$D$302,MATCH($B34,품목마스터!$A$3:$A$302,0)),""))</f>
        <v/>
      </c>
      <c r="E34" s="12"/>
      <c r="F34" s="10"/>
    </row>
    <row r="35" customFormat="false" ht="15" hidden="false" customHeight="true" outlineLevel="0" collapsed="false">
      <c r="A35" s="16"/>
      <c r="B35" s="10"/>
      <c r="C35" s="17" t="str">
        <f aca="false">IF($B35="","",IFERROR(INDEX(품목마스터!$B$3:$B$302,MATCH($B35,품목마스터!$A$3:$A$302,0)),"미등록품번"))</f>
        <v/>
      </c>
      <c r="D35" s="17" t="str">
        <f aca="false">IF($B35="","",IFERROR(INDEX(품목마스터!$D$3:$D$302,MATCH($B35,품목마스터!$A$3:$A$302,0)),""))</f>
        <v/>
      </c>
      <c r="E35" s="12"/>
      <c r="F35" s="10"/>
    </row>
    <row r="36" customFormat="false" ht="15" hidden="false" customHeight="true" outlineLevel="0" collapsed="false">
      <c r="A36" s="16"/>
      <c r="B36" s="10"/>
      <c r="C36" s="17" t="str">
        <f aca="false">IF($B36="","",IFERROR(INDEX(품목마스터!$B$3:$B$302,MATCH($B36,품목마스터!$A$3:$A$302,0)),"미등록품번"))</f>
        <v/>
      </c>
      <c r="D36" s="17" t="str">
        <f aca="false">IF($B36="","",IFERROR(INDEX(품목마스터!$D$3:$D$302,MATCH($B36,품목마스터!$A$3:$A$302,0)),""))</f>
        <v/>
      </c>
      <c r="E36" s="12"/>
      <c r="F36" s="10"/>
    </row>
    <row r="37" customFormat="false" ht="15" hidden="false" customHeight="true" outlineLevel="0" collapsed="false">
      <c r="A37" s="16"/>
      <c r="B37" s="10"/>
      <c r="C37" s="17" t="str">
        <f aca="false">IF($B37="","",IFERROR(INDEX(품목마스터!$B$3:$B$302,MATCH($B37,품목마스터!$A$3:$A$302,0)),"미등록품번"))</f>
        <v/>
      </c>
      <c r="D37" s="17" t="str">
        <f aca="false">IF($B37="","",IFERROR(INDEX(품목마스터!$D$3:$D$302,MATCH($B37,품목마스터!$A$3:$A$302,0)),""))</f>
        <v/>
      </c>
      <c r="E37" s="12"/>
      <c r="F37" s="10"/>
    </row>
    <row r="38" customFormat="false" ht="15" hidden="false" customHeight="true" outlineLevel="0" collapsed="false">
      <c r="A38" s="16"/>
      <c r="B38" s="10"/>
      <c r="C38" s="17" t="str">
        <f aca="false">IF($B38="","",IFERROR(INDEX(품목마스터!$B$3:$B$302,MATCH($B38,품목마스터!$A$3:$A$302,0)),"미등록품번"))</f>
        <v/>
      </c>
      <c r="D38" s="17" t="str">
        <f aca="false">IF($B38="","",IFERROR(INDEX(품목마스터!$D$3:$D$302,MATCH($B38,품목마스터!$A$3:$A$302,0)),""))</f>
        <v/>
      </c>
      <c r="E38" s="12"/>
      <c r="F38" s="10"/>
    </row>
    <row r="39" customFormat="false" ht="15" hidden="false" customHeight="true" outlineLevel="0" collapsed="false">
      <c r="A39" s="16"/>
      <c r="B39" s="10"/>
      <c r="C39" s="17" t="str">
        <f aca="false">IF($B39="","",IFERROR(INDEX(품목마스터!$B$3:$B$302,MATCH($B39,품목마스터!$A$3:$A$302,0)),"미등록품번"))</f>
        <v/>
      </c>
      <c r="D39" s="17" t="str">
        <f aca="false">IF($B39="","",IFERROR(INDEX(품목마스터!$D$3:$D$302,MATCH($B39,품목마스터!$A$3:$A$302,0)),""))</f>
        <v/>
      </c>
      <c r="E39" s="12"/>
      <c r="F39" s="10"/>
    </row>
    <row r="40" customFormat="false" ht="15" hidden="false" customHeight="true" outlineLevel="0" collapsed="false">
      <c r="A40" s="16"/>
      <c r="B40" s="10"/>
      <c r="C40" s="17" t="str">
        <f aca="false">IF($B40="","",IFERROR(INDEX(품목마스터!$B$3:$B$302,MATCH($B40,품목마스터!$A$3:$A$302,0)),"미등록품번"))</f>
        <v/>
      </c>
      <c r="D40" s="17" t="str">
        <f aca="false">IF($B40="","",IFERROR(INDEX(품목마스터!$D$3:$D$302,MATCH($B40,품목마스터!$A$3:$A$302,0)),""))</f>
        <v/>
      </c>
      <c r="E40" s="12"/>
      <c r="F40" s="10"/>
    </row>
    <row r="41" customFormat="false" ht="15" hidden="false" customHeight="true" outlineLevel="0" collapsed="false">
      <c r="A41" s="16"/>
      <c r="B41" s="10"/>
      <c r="C41" s="17" t="str">
        <f aca="false">IF($B41="","",IFERROR(INDEX(품목마스터!$B$3:$B$302,MATCH($B41,품목마스터!$A$3:$A$302,0)),"미등록품번"))</f>
        <v/>
      </c>
      <c r="D41" s="17" t="str">
        <f aca="false">IF($B41="","",IFERROR(INDEX(품목마스터!$D$3:$D$302,MATCH($B41,품목마스터!$A$3:$A$302,0)),""))</f>
        <v/>
      </c>
      <c r="E41" s="12"/>
      <c r="F41" s="10"/>
    </row>
    <row r="42" customFormat="false" ht="15" hidden="false" customHeight="true" outlineLevel="0" collapsed="false">
      <c r="A42" s="16"/>
      <c r="B42" s="10"/>
      <c r="C42" s="17" t="str">
        <f aca="false">IF($B42="","",IFERROR(INDEX(품목마스터!$B$3:$B$302,MATCH($B42,품목마스터!$A$3:$A$302,0)),"미등록품번"))</f>
        <v/>
      </c>
      <c r="D42" s="17" t="str">
        <f aca="false">IF($B42="","",IFERROR(INDEX(품목마스터!$D$3:$D$302,MATCH($B42,품목마스터!$A$3:$A$302,0)),""))</f>
        <v/>
      </c>
      <c r="E42" s="12"/>
      <c r="F42" s="10"/>
    </row>
    <row r="43" customFormat="false" ht="15" hidden="false" customHeight="true" outlineLevel="0" collapsed="false">
      <c r="A43" s="16"/>
      <c r="B43" s="10"/>
      <c r="C43" s="17" t="str">
        <f aca="false">IF($B43="","",IFERROR(INDEX(품목마스터!$B$3:$B$302,MATCH($B43,품목마스터!$A$3:$A$302,0)),"미등록품번"))</f>
        <v/>
      </c>
      <c r="D43" s="17" t="str">
        <f aca="false">IF($B43="","",IFERROR(INDEX(품목마스터!$D$3:$D$302,MATCH($B43,품목마스터!$A$3:$A$302,0)),""))</f>
        <v/>
      </c>
      <c r="E43" s="12"/>
      <c r="F43" s="10"/>
    </row>
    <row r="44" customFormat="false" ht="15" hidden="false" customHeight="true" outlineLevel="0" collapsed="false">
      <c r="A44" s="16"/>
      <c r="B44" s="10"/>
      <c r="C44" s="17" t="str">
        <f aca="false">IF($B44="","",IFERROR(INDEX(품목마스터!$B$3:$B$302,MATCH($B44,품목마스터!$A$3:$A$302,0)),"미등록품번"))</f>
        <v/>
      </c>
      <c r="D44" s="17" t="str">
        <f aca="false">IF($B44="","",IFERROR(INDEX(품목마스터!$D$3:$D$302,MATCH($B44,품목마스터!$A$3:$A$302,0)),""))</f>
        <v/>
      </c>
      <c r="E44" s="12"/>
      <c r="F44" s="10"/>
    </row>
    <row r="45" customFormat="false" ht="15" hidden="false" customHeight="true" outlineLevel="0" collapsed="false">
      <c r="A45" s="16"/>
      <c r="B45" s="10"/>
      <c r="C45" s="17" t="str">
        <f aca="false">IF($B45="","",IFERROR(INDEX(품목마스터!$B$3:$B$302,MATCH($B45,품목마스터!$A$3:$A$302,0)),"미등록품번"))</f>
        <v/>
      </c>
      <c r="D45" s="17" t="str">
        <f aca="false">IF($B45="","",IFERROR(INDEX(품목마스터!$D$3:$D$302,MATCH($B45,품목마스터!$A$3:$A$302,0)),""))</f>
        <v/>
      </c>
      <c r="E45" s="12"/>
      <c r="F45" s="10"/>
    </row>
    <row r="46" customFormat="false" ht="15" hidden="false" customHeight="true" outlineLevel="0" collapsed="false">
      <c r="A46" s="16"/>
      <c r="B46" s="10"/>
      <c r="C46" s="17" t="str">
        <f aca="false">IF($B46="","",IFERROR(INDEX(품목마스터!$B$3:$B$302,MATCH($B46,품목마스터!$A$3:$A$302,0)),"미등록품번"))</f>
        <v/>
      </c>
      <c r="D46" s="17" t="str">
        <f aca="false">IF($B46="","",IFERROR(INDEX(품목마스터!$D$3:$D$302,MATCH($B46,품목마스터!$A$3:$A$302,0)),""))</f>
        <v/>
      </c>
      <c r="E46" s="12"/>
      <c r="F46" s="10"/>
    </row>
    <row r="47" customFormat="false" ht="15" hidden="false" customHeight="true" outlineLevel="0" collapsed="false">
      <c r="A47" s="16"/>
      <c r="B47" s="10"/>
      <c r="C47" s="17" t="str">
        <f aca="false">IF($B47="","",IFERROR(INDEX(품목마스터!$B$3:$B$302,MATCH($B47,품목마스터!$A$3:$A$302,0)),"미등록품번"))</f>
        <v/>
      </c>
      <c r="D47" s="17" t="str">
        <f aca="false">IF($B47="","",IFERROR(INDEX(품목마스터!$D$3:$D$302,MATCH($B47,품목마스터!$A$3:$A$302,0)),""))</f>
        <v/>
      </c>
      <c r="E47" s="12"/>
      <c r="F47" s="10"/>
    </row>
    <row r="48" customFormat="false" ht="15" hidden="false" customHeight="true" outlineLevel="0" collapsed="false">
      <c r="A48" s="16"/>
      <c r="B48" s="10"/>
      <c r="C48" s="17" t="str">
        <f aca="false">IF($B48="","",IFERROR(INDEX(품목마스터!$B$3:$B$302,MATCH($B48,품목마스터!$A$3:$A$302,0)),"미등록품번"))</f>
        <v/>
      </c>
      <c r="D48" s="17" t="str">
        <f aca="false">IF($B48="","",IFERROR(INDEX(품목마스터!$D$3:$D$302,MATCH($B48,품목마스터!$A$3:$A$302,0)),""))</f>
        <v/>
      </c>
      <c r="E48" s="12"/>
      <c r="F48" s="10"/>
    </row>
    <row r="49" customFormat="false" ht="15" hidden="false" customHeight="true" outlineLevel="0" collapsed="false">
      <c r="A49" s="16"/>
      <c r="B49" s="10"/>
      <c r="C49" s="17" t="str">
        <f aca="false">IF($B49="","",IFERROR(INDEX(품목마스터!$B$3:$B$302,MATCH($B49,품목마스터!$A$3:$A$302,0)),"미등록품번"))</f>
        <v/>
      </c>
      <c r="D49" s="17" t="str">
        <f aca="false">IF($B49="","",IFERROR(INDEX(품목마스터!$D$3:$D$302,MATCH($B49,품목마스터!$A$3:$A$302,0)),""))</f>
        <v/>
      </c>
      <c r="E49" s="12"/>
      <c r="F49" s="10"/>
    </row>
    <row r="50" customFormat="false" ht="15" hidden="false" customHeight="true" outlineLevel="0" collapsed="false">
      <c r="A50" s="16"/>
      <c r="B50" s="10"/>
      <c r="C50" s="17" t="str">
        <f aca="false">IF($B50="","",IFERROR(INDEX(품목마스터!$B$3:$B$302,MATCH($B50,품목마스터!$A$3:$A$302,0)),"미등록품번"))</f>
        <v/>
      </c>
      <c r="D50" s="17" t="str">
        <f aca="false">IF($B50="","",IFERROR(INDEX(품목마스터!$D$3:$D$302,MATCH($B50,품목마스터!$A$3:$A$302,0)),""))</f>
        <v/>
      </c>
      <c r="E50" s="12"/>
      <c r="F50" s="10"/>
    </row>
    <row r="51" customFormat="false" ht="15" hidden="false" customHeight="true" outlineLevel="0" collapsed="false">
      <c r="A51" s="16"/>
      <c r="B51" s="10"/>
      <c r="C51" s="17" t="str">
        <f aca="false">IF($B51="","",IFERROR(INDEX(품목마스터!$B$3:$B$302,MATCH($B51,품목마스터!$A$3:$A$302,0)),"미등록품번"))</f>
        <v/>
      </c>
      <c r="D51" s="17" t="str">
        <f aca="false">IF($B51="","",IFERROR(INDEX(품목마스터!$D$3:$D$302,MATCH($B51,품목마스터!$A$3:$A$302,0)),""))</f>
        <v/>
      </c>
      <c r="E51" s="12"/>
      <c r="F51" s="10"/>
    </row>
    <row r="52" customFormat="false" ht="15" hidden="false" customHeight="true" outlineLevel="0" collapsed="false">
      <c r="A52" s="16"/>
      <c r="B52" s="10"/>
      <c r="C52" s="17" t="str">
        <f aca="false">IF($B52="","",IFERROR(INDEX(품목마스터!$B$3:$B$302,MATCH($B52,품목마스터!$A$3:$A$302,0)),"미등록품번"))</f>
        <v/>
      </c>
      <c r="D52" s="17" t="str">
        <f aca="false">IF($B52="","",IFERROR(INDEX(품목마스터!$D$3:$D$302,MATCH($B52,품목마스터!$A$3:$A$302,0)),""))</f>
        <v/>
      </c>
      <c r="E52" s="12"/>
      <c r="F52" s="10"/>
    </row>
    <row r="53" customFormat="false" ht="15" hidden="false" customHeight="true" outlineLevel="0" collapsed="false">
      <c r="A53" s="16"/>
      <c r="B53" s="10"/>
      <c r="C53" s="17" t="str">
        <f aca="false">IF($B53="","",IFERROR(INDEX(품목마스터!$B$3:$B$302,MATCH($B53,품목마스터!$A$3:$A$302,0)),"미등록품번"))</f>
        <v/>
      </c>
      <c r="D53" s="17" t="str">
        <f aca="false">IF($B53="","",IFERROR(INDEX(품목마스터!$D$3:$D$302,MATCH($B53,품목마스터!$A$3:$A$302,0)),""))</f>
        <v/>
      </c>
      <c r="E53" s="12"/>
      <c r="F53" s="10"/>
    </row>
    <row r="54" customFormat="false" ht="15" hidden="false" customHeight="true" outlineLevel="0" collapsed="false">
      <c r="A54" s="16"/>
      <c r="B54" s="10"/>
      <c r="C54" s="17" t="str">
        <f aca="false">IF($B54="","",IFERROR(INDEX(품목마스터!$B$3:$B$302,MATCH($B54,품목마스터!$A$3:$A$302,0)),"미등록품번"))</f>
        <v/>
      </c>
      <c r="D54" s="17" t="str">
        <f aca="false">IF($B54="","",IFERROR(INDEX(품목마스터!$D$3:$D$302,MATCH($B54,품목마스터!$A$3:$A$302,0)),""))</f>
        <v/>
      </c>
      <c r="E54" s="12"/>
      <c r="F54" s="10"/>
    </row>
    <row r="55" customFormat="false" ht="15" hidden="false" customHeight="true" outlineLevel="0" collapsed="false">
      <c r="A55" s="16"/>
      <c r="B55" s="10"/>
      <c r="C55" s="17" t="str">
        <f aca="false">IF($B55="","",IFERROR(INDEX(품목마스터!$B$3:$B$302,MATCH($B55,품목마스터!$A$3:$A$302,0)),"미등록품번"))</f>
        <v/>
      </c>
      <c r="D55" s="17" t="str">
        <f aca="false">IF($B55="","",IFERROR(INDEX(품목마스터!$D$3:$D$302,MATCH($B55,품목마스터!$A$3:$A$302,0)),""))</f>
        <v/>
      </c>
      <c r="E55" s="12"/>
      <c r="F55" s="10"/>
    </row>
    <row r="56" customFormat="false" ht="15" hidden="false" customHeight="true" outlineLevel="0" collapsed="false">
      <c r="A56" s="16"/>
      <c r="B56" s="10"/>
      <c r="C56" s="17" t="str">
        <f aca="false">IF($B56="","",IFERROR(INDEX(품목마스터!$B$3:$B$302,MATCH($B56,품목마스터!$A$3:$A$302,0)),"미등록품번"))</f>
        <v/>
      </c>
      <c r="D56" s="17" t="str">
        <f aca="false">IF($B56="","",IFERROR(INDEX(품목마스터!$D$3:$D$302,MATCH($B56,품목마스터!$A$3:$A$302,0)),""))</f>
        <v/>
      </c>
      <c r="E56" s="12"/>
      <c r="F56" s="10"/>
    </row>
    <row r="57" customFormat="false" ht="15" hidden="false" customHeight="true" outlineLevel="0" collapsed="false">
      <c r="A57" s="16"/>
      <c r="B57" s="10"/>
      <c r="C57" s="17" t="str">
        <f aca="false">IF($B57="","",IFERROR(INDEX(품목마스터!$B$3:$B$302,MATCH($B57,품목마스터!$A$3:$A$302,0)),"미등록품번"))</f>
        <v/>
      </c>
      <c r="D57" s="17" t="str">
        <f aca="false">IF($B57="","",IFERROR(INDEX(품목마스터!$D$3:$D$302,MATCH($B57,품목마스터!$A$3:$A$302,0)),""))</f>
        <v/>
      </c>
      <c r="E57" s="12"/>
      <c r="F57" s="10"/>
    </row>
    <row r="58" customFormat="false" ht="15" hidden="false" customHeight="true" outlineLevel="0" collapsed="false">
      <c r="A58" s="16"/>
      <c r="B58" s="10"/>
      <c r="C58" s="17" t="str">
        <f aca="false">IF($B58="","",IFERROR(INDEX(품목마스터!$B$3:$B$302,MATCH($B58,품목마스터!$A$3:$A$302,0)),"미등록품번"))</f>
        <v/>
      </c>
      <c r="D58" s="17" t="str">
        <f aca="false">IF($B58="","",IFERROR(INDEX(품목마스터!$D$3:$D$302,MATCH($B58,품목마스터!$A$3:$A$302,0)),""))</f>
        <v/>
      </c>
      <c r="E58" s="12"/>
      <c r="F58" s="10"/>
    </row>
    <row r="59" customFormat="false" ht="15" hidden="false" customHeight="true" outlineLevel="0" collapsed="false">
      <c r="A59" s="16"/>
      <c r="B59" s="10"/>
      <c r="C59" s="17" t="str">
        <f aca="false">IF($B59="","",IFERROR(INDEX(품목마스터!$B$3:$B$302,MATCH($B59,품목마스터!$A$3:$A$302,0)),"미등록품번"))</f>
        <v/>
      </c>
      <c r="D59" s="17" t="str">
        <f aca="false">IF($B59="","",IFERROR(INDEX(품목마스터!$D$3:$D$302,MATCH($B59,품목마스터!$A$3:$A$302,0)),""))</f>
        <v/>
      </c>
      <c r="E59" s="12"/>
      <c r="F59" s="10"/>
    </row>
    <row r="60" customFormat="false" ht="15" hidden="false" customHeight="true" outlineLevel="0" collapsed="false">
      <c r="A60" s="16"/>
      <c r="B60" s="10"/>
      <c r="C60" s="17" t="str">
        <f aca="false">IF($B60="","",IFERROR(INDEX(품목마스터!$B$3:$B$302,MATCH($B60,품목마스터!$A$3:$A$302,0)),"미등록품번"))</f>
        <v/>
      </c>
      <c r="D60" s="17" t="str">
        <f aca="false">IF($B60="","",IFERROR(INDEX(품목마스터!$D$3:$D$302,MATCH($B60,품목마스터!$A$3:$A$302,0)),""))</f>
        <v/>
      </c>
      <c r="E60" s="12"/>
      <c r="F60" s="10"/>
    </row>
    <row r="61" customFormat="false" ht="15" hidden="false" customHeight="true" outlineLevel="0" collapsed="false">
      <c r="A61" s="16"/>
      <c r="B61" s="10"/>
      <c r="C61" s="17" t="str">
        <f aca="false">IF($B61="","",IFERROR(INDEX(품목마스터!$B$3:$B$302,MATCH($B61,품목마스터!$A$3:$A$302,0)),"미등록품번"))</f>
        <v/>
      </c>
      <c r="D61" s="17" t="str">
        <f aca="false">IF($B61="","",IFERROR(INDEX(품목마스터!$D$3:$D$302,MATCH($B61,품목마스터!$A$3:$A$302,0)),""))</f>
        <v/>
      </c>
      <c r="E61" s="12"/>
      <c r="F61" s="10"/>
    </row>
    <row r="62" customFormat="false" ht="15" hidden="false" customHeight="true" outlineLevel="0" collapsed="false">
      <c r="A62" s="16"/>
      <c r="B62" s="10"/>
      <c r="C62" s="17" t="str">
        <f aca="false">IF($B62="","",IFERROR(INDEX(품목마스터!$B$3:$B$302,MATCH($B62,품목마스터!$A$3:$A$302,0)),"미등록품번"))</f>
        <v/>
      </c>
      <c r="D62" s="17" t="str">
        <f aca="false">IF($B62="","",IFERROR(INDEX(품목마스터!$D$3:$D$302,MATCH($B62,품목마스터!$A$3:$A$302,0)),""))</f>
        <v/>
      </c>
      <c r="E62" s="12"/>
      <c r="F62" s="10"/>
    </row>
    <row r="63" customFormat="false" ht="15" hidden="false" customHeight="true" outlineLevel="0" collapsed="false">
      <c r="A63" s="16"/>
      <c r="B63" s="10"/>
      <c r="C63" s="17" t="str">
        <f aca="false">IF($B63="","",IFERROR(INDEX(품목마스터!$B$3:$B$302,MATCH($B63,품목마스터!$A$3:$A$302,0)),"미등록품번"))</f>
        <v/>
      </c>
      <c r="D63" s="17" t="str">
        <f aca="false">IF($B63="","",IFERROR(INDEX(품목마스터!$D$3:$D$302,MATCH($B63,품목마스터!$A$3:$A$302,0)),""))</f>
        <v/>
      </c>
      <c r="E63" s="12"/>
      <c r="F63" s="10"/>
    </row>
    <row r="64" customFormat="false" ht="15" hidden="false" customHeight="true" outlineLevel="0" collapsed="false">
      <c r="A64" s="16"/>
      <c r="B64" s="10"/>
      <c r="C64" s="17" t="str">
        <f aca="false">IF($B64="","",IFERROR(INDEX(품목마스터!$B$3:$B$302,MATCH($B64,품목마스터!$A$3:$A$302,0)),"미등록품번"))</f>
        <v/>
      </c>
      <c r="D64" s="17" t="str">
        <f aca="false">IF($B64="","",IFERROR(INDEX(품목마스터!$D$3:$D$302,MATCH($B64,품목마스터!$A$3:$A$302,0)),""))</f>
        <v/>
      </c>
      <c r="E64" s="12"/>
      <c r="F64" s="10"/>
    </row>
    <row r="65" customFormat="false" ht="15" hidden="false" customHeight="true" outlineLevel="0" collapsed="false">
      <c r="A65" s="16"/>
      <c r="B65" s="10"/>
      <c r="C65" s="17" t="str">
        <f aca="false">IF($B65="","",IFERROR(INDEX(품목마스터!$B$3:$B$302,MATCH($B65,품목마스터!$A$3:$A$302,0)),"미등록품번"))</f>
        <v/>
      </c>
      <c r="D65" s="17" t="str">
        <f aca="false">IF($B65="","",IFERROR(INDEX(품목마스터!$D$3:$D$302,MATCH($B65,품목마스터!$A$3:$A$302,0)),""))</f>
        <v/>
      </c>
      <c r="E65" s="12"/>
      <c r="F65" s="10"/>
    </row>
    <row r="66" customFormat="false" ht="15" hidden="false" customHeight="true" outlineLevel="0" collapsed="false">
      <c r="A66" s="16"/>
      <c r="B66" s="10"/>
      <c r="C66" s="17" t="str">
        <f aca="false">IF($B66="","",IFERROR(INDEX(품목마스터!$B$3:$B$302,MATCH($B66,품목마스터!$A$3:$A$302,0)),"미등록품번"))</f>
        <v/>
      </c>
      <c r="D66" s="17" t="str">
        <f aca="false">IF($B66="","",IFERROR(INDEX(품목마스터!$D$3:$D$302,MATCH($B66,품목마스터!$A$3:$A$302,0)),""))</f>
        <v/>
      </c>
      <c r="E66" s="12"/>
      <c r="F66" s="10"/>
    </row>
    <row r="67" customFormat="false" ht="15" hidden="false" customHeight="true" outlineLevel="0" collapsed="false">
      <c r="A67" s="16"/>
      <c r="B67" s="10"/>
      <c r="C67" s="17" t="str">
        <f aca="false">IF($B67="","",IFERROR(INDEX(품목마스터!$B$3:$B$302,MATCH($B67,품목마스터!$A$3:$A$302,0)),"미등록품번"))</f>
        <v/>
      </c>
      <c r="D67" s="17" t="str">
        <f aca="false">IF($B67="","",IFERROR(INDEX(품목마스터!$D$3:$D$302,MATCH($B67,품목마스터!$A$3:$A$302,0)),""))</f>
        <v/>
      </c>
      <c r="E67" s="12"/>
      <c r="F67" s="10"/>
    </row>
    <row r="68" customFormat="false" ht="15" hidden="false" customHeight="true" outlineLevel="0" collapsed="false">
      <c r="A68" s="16"/>
      <c r="B68" s="10"/>
      <c r="C68" s="17" t="str">
        <f aca="false">IF($B68="","",IFERROR(INDEX(품목마스터!$B$3:$B$302,MATCH($B68,품목마스터!$A$3:$A$302,0)),"미등록품번"))</f>
        <v/>
      </c>
      <c r="D68" s="17" t="str">
        <f aca="false">IF($B68="","",IFERROR(INDEX(품목마스터!$D$3:$D$302,MATCH($B68,품목마스터!$A$3:$A$302,0)),""))</f>
        <v/>
      </c>
      <c r="E68" s="12"/>
      <c r="F68" s="10"/>
    </row>
    <row r="69" customFormat="false" ht="15" hidden="false" customHeight="true" outlineLevel="0" collapsed="false">
      <c r="A69" s="16"/>
      <c r="B69" s="10"/>
      <c r="C69" s="17" t="str">
        <f aca="false">IF($B69="","",IFERROR(INDEX(품목마스터!$B$3:$B$302,MATCH($B69,품목마스터!$A$3:$A$302,0)),"미등록품번"))</f>
        <v/>
      </c>
      <c r="D69" s="17" t="str">
        <f aca="false">IF($B69="","",IFERROR(INDEX(품목마스터!$D$3:$D$302,MATCH($B69,품목마스터!$A$3:$A$302,0)),""))</f>
        <v/>
      </c>
      <c r="E69" s="12"/>
      <c r="F69" s="10"/>
    </row>
    <row r="70" customFormat="false" ht="15" hidden="false" customHeight="true" outlineLevel="0" collapsed="false">
      <c r="A70" s="16"/>
      <c r="B70" s="10"/>
      <c r="C70" s="17" t="str">
        <f aca="false">IF($B70="","",IFERROR(INDEX(품목마스터!$B$3:$B$302,MATCH($B70,품목마스터!$A$3:$A$302,0)),"미등록품번"))</f>
        <v/>
      </c>
      <c r="D70" s="17" t="str">
        <f aca="false">IF($B70="","",IFERROR(INDEX(품목마스터!$D$3:$D$302,MATCH($B70,품목마스터!$A$3:$A$302,0)),""))</f>
        <v/>
      </c>
      <c r="E70" s="12"/>
      <c r="F70" s="10"/>
    </row>
    <row r="71" customFormat="false" ht="15" hidden="false" customHeight="true" outlineLevel="0" collapsed="false">
      <c r="A71" s="16"/>
      <c r="B71" s="10"/>
      <c r="C71" s="17" t="str">
        <f aca="false">IF($B71="","",IFERROR(INDEX(품목마스터!$B$3:$B$302,MATCH($B71,품목마스터!$A$3:$A$302,0)),"미등록품번"))</f>
        <v/>
      </c>
      <c r="D71" s="17" t="str">
        <f aca="false">IF($B71="","",IFERROR(INDEX(품목마스터!$D$3:$D$302,MATCH($B71,품목마스터!$A$3:$A$302,0)),""))</f>
        <v/>
      </c>
      <c r="E71" s="12"/>
      <c r="F71" s="10"/>
    </row>
    <row r="72" customFormat="false" ht="15" hidden="false" customHeight="true" outlineLevel="0" collapsed="false">
      <c r="A72" s="16"/>
      <c r="B72" s="10"/>
      <c r="C72" s="17" t="str">
        <f aca="false">IF($B72="","",IFERROR(INDEX(품목마스터!$B$3:$B$302,MATCH($B72,품목마스터!$A$3:$A$302,0)),"미등록품번"))</f>
        <v/>
      </c>
      <c r="D72" s="17" t="str">
        <f aca="false">IF($B72="","",IFERROR(INDEX(품목마스터!$D$3:$D$302,MATCH($B72,품목마스터!$A$3:$A$302,0)),""))</f>
        <v/>
      </c>
      <c r="E72" s="12"/>
      <c r="F72" s="10"/>
    </row>
    <row r="73" customFormat="false" ht="15" hidden="false" customHeight="true" outlineLevel="0" collapsed="false">
      <c r="A73" s="16"/>
      <c r="B73" s="10"/>
      <c r="C73" s="17" t="str">
        <f aca="false">IF($B73="","",IFERROR(INDEX(품목마스터!$B$3:$B$302,MATCH($B73,품목마스터!$A$3:$A$302,0)),"미등록품번"))</f>
        <v/>
      </c>
      <c r="D73" s="17" t="str">
        <f aca="false">IF($B73="","",IFERROR(INDEX(품목마스터!$D$3:$D$302,MATCH($B73,품목마스터!$A$3:$A$302,0)),""))</f>
        <v/>
      </c>
      <c r="E73" s="12"/>
      <c r="F73" s="10"/>
    </row>
    <row r="74" customFormat="false" ht="15" hidden="false" customHeight="true" outlineLevel="0" collapsed="false">
      <c r="A74" s="16"/>
      <c r="B74" s="10"/>
      <c r="C74" s="17" t="str">
        <f aca="false">IF($B74="","",IFERROR(INDEX(품목마스터!$B$3:$B$302,MATCH($B74,품목마스터!$A$3:$A$302,0)),"미등록품번"))</f>
        <v/>
      </c>
      <c r="D74" s="17" t="str">
        <f aca="false">IF($B74="","",IFERROR(INDEX(품목마스터!$D$3:$D$302,MATCH($B74,품목마스터!$A$3:$A$302,0)),""))</f>
        <v/>
      </c>
      <c r="E74" s="12"/>
      <c r="F74" s="10"/>
    </row>
    <row r="75" customFormat="false" ht="15" hidden="false" customHeight="true" outlineLevel="0" collapsed="false">
      <c r="A75" s="16"/>
      <c r="B75" s="10"/>
      <c r="C75" s="17" t="str">
        <f aca="false">IF($B75="","",IFERROR(INDEX(품목마스터!$B$3:$B$302,MATCH($B75,품목마스터!$A$3:$A$302,0)),"미등록품번"))</f>
        <v/>
      </c>
      <c r="D75" s="17" t="str">
        <f aca="false">IF($B75="","",IFERROR(INDEX(품목마스터!$D$3:$D$302,MATCH($B75,품목마스터!$A$3:$A$302,0)),""))</f>
        <v/>
      </c>
      <c r="E75" s="12"/>
      <c r="F75" s="10"/>
    </row>
    <row r="76" customFormat="false" ht="15" hidden="false" customHeight="true" outlineLevel="0" collapsed="false">
      <c r="A76" s="16"/>
      <c r="B76" s="10"/>
      <c r="C76" s="17" t="str">
        <f aca="false">IF($B76="","",IFERROR(INDEX(품목마스터!$B$3:$B$302,MATCH($B76,품목마스터!$A$3:$A$302,0)),"미등록품번"))</f>
        <v/>
      </c>
      <c r="D76" s="17" t="str">
        <f aca="false">IF($B76="","",IFERROR(INDEX(품목마스터!$D$3:$D$302,MATCH($B76,품목마스터!$A$3:$A$302,0)),""))</f>
        <v/>
      </c>
      <c r="E76" s="12"/>
      <c r="F76" s="10"/>
    </row>
    <row r="77" customFormat="false" ht="15" hidden="false" customHeight="true" outlineLevel="0" collapsed="false">
      <c r="A77" s="16"/>
      <c r="B77" s="10"/>
      <c r="C77" s="17" t="str">
        <f aca="false">IF($B77="","",IFERROR(INDEX(품목마스터!$B$3:$B$302,MATCH($B77,품목마스터!$A$3:$A$302,0)),"미등록품번"))</f>
        <v/>
      </c>
      <c r="D77" s="17" t="str">
        <f aca="false">IF($B77="","",IFERROR(INDEX(품목마스터!$D$3:$D$302,MATCH($B77,품목마스터!$A$3:$A$302,0)),""))</f>
        <v/>
      </c>
      <c r="E77" s="12"/>
      <c r="F77" s="10"/>
    </row>
    <row r="78" customFormat="false" ht="15" hidden="false" customHeight="true" outlineLevel="0" collapsed="false">
      <c r="A78" s="16"/>
      <c r="B78" s="10"/>
      <c r="C78" s="17" t="str">
        <f aca="false">IF($B78="","",IFERROR(INDEX(품목마스터!$B$3:$B$302,MATCH($B78,품목마스터!$A$3:$A$302,0)),"미등록품번"))</f>
        <v/>
      </c>
      <c r="D78" s="17" t="str">
        <f aca="false">IF($B78="","",IFERROR(INDEX(품목마스터!$D$3:$D$302,MATCH($B78,품목마스터!$A$3:$A$302,0)),""))</f>
        <v/>
      </c>
      <c r="E78" s="12"/>
      <c r="F78" s="10"/>
    </row>
    <row r="79" customFormat="false" ht="15" hidden="false" customHeight="true" outlineLevel="0" collapsed="false">
      <c r="A79" s="16"/>
      <c r="B79" s="10"/>
      <c r="C79" s="17" t="str">
        <f aca="false">IF($B79="","",IFERROR(INDEX(품목마스터!$B$3:$B$302,MATCH($B79,품목마스터!$A$3:$A$302,0)),"미등록품번"))</f>
        <v/>
      </c>
      <c r="D79" s="17" t="str">
        <f aca="false">IF($B79="","",IFERROR(INDEX(품목마스터!$D$3:$D$302,MATCH($B79,품목마스터!$A$3:$A$302,0)),""))</f>
        <v/>
      </c>
      <c r="E79" s="12"/>
      <c r="F79" s="10"/>
    </row>
    <row r="80" customFormat="false" ht="15" hidden="false" customHeight="true" outlineLevel="0" collapsed="false">
      <c r="A80" s="16"/>
      <c r="B80" s="10"/>
      <c r="C80" s="17" t="str">
        <f aca="false">IF($B80="","",IFERROR(INDEX(품목마스터!$B$3:$B$302,MATCH($B80,품목마스터!$A$3:$A$302,0)),"미등록품번"))</f>
        <v/>
      </c>
      <c r="D80" s="17" t="str">
        <f aca="false">IF($B80="","",IFERROR(INDEX(품목마스터!$D$3:$D$302,MATCH($B80,품목마스터!$A$3:$A$302,0)),""))</f>
        <v/>
      </c>
      <c r="E80" s="12"/>
      <c r="F80" s="10"/>
    </row>
    <row r="81" customFormat="false" ht="15" hidden="false" customHeight="true" outlineLevel="0" collapsed="false">
      <c r="A81" s="16"/>
      <c r="B81" s="10"/>
      <c r="C81" s="17" t="str">
        <f aca="false">IF($B81="","",IFERROR(INDEX(품목마스터!$B$3:$B$302,MATCH($B81,품목마스터!$A$3:$A$302,0)),"미등록품번"))</f>
        <v/>
      </c>
      <c r="D81" s="17" t="str">
        <f aca="false">IF($B81="","",IFERROR(INDEX(품목마스터!$D$3:$D$302,MATCH($B81,품목마스터!$A$3:$A$302,0)),""))</f>
        <v/>
      </c>
      <c r="E81" s="12"/>
      <c r="F81" s="10"/>
    </row>
    <row r="82" customFormat="false" ht="15" hidden="false" customHeight="true" outlineLevel="0" collapsed="false">
      <c r="A82" s="16"/>
      <c r="B82" s="10"/>
      <c r="C82" s="17" t="str">
        <f aca="false">IF($B82="","",IFERROR(INDEX(품목마스터!$B$3:$B$302,MATCH($B82,품목마스터!$A$3:$A$302,0)),"미등록품번"))</f>
        <v/>
      </c>
      <c r="D82" s="17" t="str">
        <f aca="false">IF($B82="","",IFERROR(INDEX(품목마스터!$D$3:$D$302,MATCH($B82,품목마스터!$A$3:$A$302,0)),""))</f>
        <v/>
      </c>
      <c r="E82" s="12"/>
      <c r="F82" s="10"/>
    </row>
    <row r="83" customFormat="false" ht="15" hidden="false" customHeight="true" outlineLevel="0" collapsed="false">
      <c r="A83" s="16"/>
      <c r="B83" s="10"/>
      <c r="C83" s="17" t="str">
        <f aca="false">IF($B83="","",IFERROR(INDEX(품목마스터!$B$3:$B$302,MATCH($B83,품목마스터!$A$3:$A$302,0)),"미등록품번"))</f>
        <v/>
      </c>
      <c r="D83" s="17" t="str">
        <f aca="false">IF($B83="","",IFERROR(INDEX(품목마스터!$D$3:$D$302,MATCH($B83,품목마스터!$A$3:$A$302,0)),""))</f>
        <v/>
      </c>
      <c r="E83" s="12"/>
      <c r="F83" s="10"/>
    </row>
    <row r="84" customFormat="false" ht="15" hidden="false" customHeight="true" outlineLevel="0" collapsed="false">
      <c r="A84" s="16"/>
      <c r="B84" s="10"/>
      <c r="C84" s="17" t="str">
        <f aca="false">IF($B84="","",IFERROR(INDEX(품목마스터!$B$3:$B$302,MATCH($B84,품목마스터!$A$3:$A$302,0)),"미등록품번"))</f>
        <v/>
      </c>
      <c r="D84" s="17" t="str">
        <f aca="false">IF($B84="","",IFERROR(INDEX(품목마스터!$D$3:$D$302,MATCH($B84,품목마스터!$A$3:$A$302,0)),""))</f>
        <v/>
      </c>
      <c r="E84" s="12"/>
      <c r="F84" s="10"/>
    </row>
    <row r="85" customFormat="false" ht="15" hidden="false" customHeight="true" outlineLevel="0" collapsed="false">
      <c r="A85" s="16"/>
      <c r="B85" s="10"/>
      <c r="C85" s="17" t="str">
        <f aca="false">IF($B85="","",IFERROR(INDEX(품목마스터!$B$3:$B$302,MATCH($B85,품목마스터!$A$3:$A$302,0)),"미등록품번"))</f>
        <v/>
      </c>
      <c r="D85" s="17" t="str">
        <f aca="false">IF($B85="","",IFERROR(INDEX(품목마스터!$D$3:$D$302,MATCH($B85,품목마스터!$A$3:$A$302,0)),""))</f>
        <v/>
      </c>
      <c r="E85" s="12"/>
      <c r="F85" s="10"/>
    </row>
    <row r="86" customFormat="false" ht="15" hidden="false" customHeight="true" outlineLevel="0" collapsed="false">
      <c r="A86" s="16"/>
      <c r="B86" s="10"/>
      <c r="C86" s="17" t="str">
        <f aca="false">IF($B86="","",IFERROR(INDEX(품목마스터!$B$3:$B$302,MATCH($B86,품목마스터!$A$3:$A$302,0)),"미등록품번"))</f>
        <v/>
      </c>
      <c r="D86" s="17" t="str">
        <f aca="false">IF($B86="","",IFERROR(INDEX(품목마스터!$D$3:$D$302,MATCH($B86,품목마스터!$A$3:$A$302,0)),""))</f>
        <v/>
      </c>
      <c r="E86" s="12"/>
      <c r="F86" s="10"/>
    </row>
    <row r="87" customFormat="false" ht="15" hidden="false" customHeight="true" outlineLevel="0" collapsed="false">
      <c r="A87" s="16"/>
      <c r="B87" s="10"/>
      <c r="C87" s="17" t="str">
        <f aca="false">IF($B87="","",IFERROR(INDEX(품목마스터!$B$3:$B$302,MATCH($B87,품목마스터!$A$3:$A$302,0)),"미등록품번"))</f>
        <v/>
      </c>
      <c r="D87" s="17" t="str">
        <f aca="false">IF($B87="","",IFERROR(INDEX(품목마스터!$D$3:$D$302,MATCH($B87,품목마스터!$A$3:$A$302,0)),""))</f>
        <v/>
      </c>
      <c r="E87" s="12"/>
      <c r="F87" s="10"/>
    </row>
    <row r="88" customFormat="false" ht="15" hidden="false" customHeight="true" outlineLevel="0" collapsed="false">
      <c r="A88" s="16"/>
      <c r="B88" s="10"/>
      <c r="C88" s="17" t="str">
        <f aca="false">IF($B88="","",IFERROR(INDEX(품목마스터!$B$3:$B$302,MATCH($B88,품목마스터!$A$3:$A$302,0)),"미등록품번"))</f>
        <v/>
      </c>
      <c r="D88" s="17" t="str">
        <f aca="false">IF($B88="","",IFERROR(INDEX(품목마스터!$D$3:$D$302,MATCH($B88,품목마스터!$A$3:$A$302,0)),""))</f>
        <v/>
      </c>
      <c r="E88" s="12"/>
      <c r="F88" s="10"/>
    </row>
    <row r="89" customFormat="false" ht="15" hidden="false" customHeight="true" outlineLevel="0" collapsed="false">
      <c r="A89" s="16"/>
      <c r="B89" s="10"/>
      <c r="C89" s="17" t="str">
        <f aca="false">IF($B89="","",IFERROR(INDEX(품목마스터!$B$3:$B$302,MATCH($B89,품목마스터!$A$3:$A$302,0)),"미등록품번"))</f>
        <v/>
      </c>
      <c r="D89" s="17" t="str">
        <f aca="false">IF($B89="","",IFERROR(INDEX(품목마스터!$D$3:$D$302,MATCH($B89,품목마스터!$A$3:$A$302,0)),""))</f>
        <v/>
      </c>
      <c r="E89" s="12"/>
      <c r="F89" s="10"/>
    </row>
    <row r="90" customFormat="false" ht="15" hidden="false" customHeight="true" outlineLevel="0" collapsed="false">
      <c r="A90" s="16"/>
      <c r="B90" s="10"/>
      <c r="C90" s="17" t="str">
        <f aca="false">IF($B90="","",IFERROR(INDEX(품목마스터!$B$3:$B$302,MATCH($B90,품목마스터!$A$3:$A$302,0)),"미등록품번"))</f>
        <v/>
      </c>
      <c r="D90" s="17" t="str">
        <f aca="false">IF($B90="","",IFERROR(INDEX(품목마스터!$D$3:$D$302,MATCH($B90,품목마스터!$A$3:$A$302,0)),""))</f>
        <v/>
      </c>
      <c r="E90" s="12"/>
      <c r="F90" s="10"/>
    </row>
    <row r="91" customFormat="false" ht="15" hidden="false" customHeight="true" outlineLevel="0" collapsed="false">
      <c r="A91" s="16"/>
      <c r="B91" s="10"/>
      <c r="C91" s="17" t="str">
        <f aca="false">IF($B91="","",IFERROR(INDEX(품목마스터!$B$3:$B$302,MATCH($B91,품목마스터!$A$3:$A$302,0)),"미등록품번"))</f>
        <v/>
      </c>
      <c r="D91" s="17" t="str">
        <f aca="false">IF($B91="","",IFERROR(INDEX(품목마스터!$D$3:$D$302,MATCH($B91,품목마스터!$A$3:$A$302,0)),""))</f>
        <v/>
      </c>
      <c r="E91" s="12"/>
      <c r="F91" s="10"/>
    </row>
    <row r="92" customFormat="false" ht="15" hidden="false" customHeight="true" outlineLevel="0" collapsed="false">
      <c r="A92" s="16"/>
      <c r="B92" s="10"/>
      <c r="C92" s="17" t="str">
        <f aca="false">IF($B92="","",IFERROR(INDEX(품목마스터!$B$3:$B$302,MATCH($B92,품목마스터!$A$3:$A$302,0)),"미등록품번"))</f>
        <v/>
      </c>
      <c r="D92" s="17" t="str">
        <f aca="false">IF($B92="","",IFERROR(INDEX(품목마스터!$D$3:$D$302,MATCH($B92,품목마스터!$A$3:$A$302,0)),""))</f>
        <v/>
      </c>
      <c r="E92" s="12"/>
      <c r="F92" s="10"/>
    </row>
    <row r="93" customFormat="false" ht="15" hidden="false" customHeight="true" outlineLevel="0" collapsed="false">
      <c r="A93" s="16"/>
      <c r="B93" s="10"/>
      <c r="C93" s="17" t="str">
        <f aca="false">IF($B93="","",IFERROR(INDEX(품목마스터!$B$3:$B$302,MATCH($B93,품목마스터!$A$3:$A$302,0)),"미등록품번"))</f>
        <v/>
      </c>
      <c r="D93" s="17" t="str">
        <f aca="false">IF($B93="","",IFERROR(INDEX(품목마스터!$D$3:$D$302,MATCH($B93,품목마스터!$A$3:$A$302,0)),""))</f>
        <v/>
      </c>
      <c r="E93" s="12"/>
      <c r="F93" s="10"/>
    </row>
    <row r="94" customFormat="false" ht="15" hidden="false" customHeight="true" outlineLevel="0" collapsed="false">
      <c r="A94" s="16"/>
      <c r="B94" s="10"/>
      <c r="C94" s="17" t="str">
        <f aca="false">IF($B94="","",IFERROR(INDEX(품목마스터!$B$3:$B$302,MATCH($B94,품목마스터!$A$3:$A$302,0)),"미등록품번"))</f>
        <v/>
      </c>
      <c r="D94" s="17" t="str">
        <f aca="false">IF($B94="","",IFERROR(INDEX(품목마스터!$D$3:$D$302,MATCH($B94,품목마스터!$A$3:$A$302,0)),""))</f>
        <v/>
      </c>
      <c r="E94" s="12"/>
      <c r="F94" s="10"/>
    </row>
    <row r="95" customFormat="false" ht="15" hidden="false" customHeight="true" outlineLevel="0" collapsed="false">
      <c r="A95" s="16"/>
      <c r="B95" s="10"/>
      <c r="C95" s="17" t="str">
        <f aca="false">IF($B95="","",IFERROR(INDEX(품목마스터!$B$3:$B$302,MATCH($B95,품목마스터!$A$3:$A$302,0)),"미등록품번"))</f>
        <v/>
      </c>
      <c r="D95" s="17" t="str">
        <f aca="false">IF($B95="","",IFERROR(INDEX(품목마스터!$D$3:$D$302,MATCH($B95,품목마스터!$A$3:$A$302,0)),""))</f>
        <v/>
      </c>
      <c r="E95" s="12"/>
      <c r="F95" s="10"/>
    </row>
    <row r="96" customFormat="false" ht="15" hidden="false" customHeight="true" outlineLevel="0" collapsed="false">
      <c r="A96" s="16"/>
      <c r="B96" s="10"/>
      <c r="C96" s="17" t="str">
        <f aca="false">IF($B96="","",IFERROR(INDEX(품목마스터!$B$3:$B$302,MATCH($B96,품목마스터!$A$3:$A$302,0)),"미등록품번"))</f>
        <v/>
      </c>
      <c r="D96" s="17" t="str">
        <f aca="false">IF($B96="","",IFERROR(INDEX(품목마스터!$D$3:$D$302,MATCH($B96,품목마스터!$A$3:$A$302,0)),""))</f>
        <v/>
      </c>
      <c r="E96" s="12"/>
      <c r="F96" s="10"/>
    </row>
    <row r="97" customFormat="false" ht="15" hidden="false" customHeight="true" outlineLevel="0" collapsed="false">
      <c r="A97" s="16"/>
      <c r="B97" s="10"/>
      <c r="C97" s="17" t="str">
        <f aca="false">IF($B97="","",IFERROR(INDEX(품목마스터!$B$3:$B$302,MATCH($B97,품목마스터!$A$3:$A$302,0)),"미등록품번"))</f>
        <v/>
      </c>
      <c r="D97" s="17" t="str">
        <f aca="false">IF($B97="","",IFERROR(INDEX(품목마스터!$D$3:$D$302,MATCH($B97,품목마스터!$A$3:$A$302,0)),""))</f>
        <v/>
      </c>
      <c r="E97" s="12"/>
      <c r="F97" s="10"/>
    </row>
    <row r="98" customFormat="false" ht="15" hidden="false" customHeight="true" outlineLevel="0" collapsed="false">
      <c r="A98" s="16"/>
      <c r="B98" s="10"/>
      <c r="C98" s="17" t="str">
        <f aca="false">IF($B98="","",IFERROR(INDEX(품목마스터!$B$3:$B$302,MATCH($B98,품목마스터!$A$3:$A$302,0)),"미등록품번"))</f>
        <v/>
      </c>
      <c r="D98" s="17" t="str">
        <f aca="false">IF($B98="","",IFERROR(INDEX(품목마스터!$D$3:$D$302,MATCH($B98,품목마스터!$A$3:$A$302,0)),""))</f>
        <v/>
      </c>
      <c r="E98" s="12"/>
      <c r="F98" s="10"/>
    </row>
    <row r="99" customFormat="false" ht="15" hidden="false" customHeight="true" outlineLevel="0" collapsed="false">
      <c r="A99" s="16"/>
      <c r="B99" s="10"/>
      <c r="C99" s="17" t="str">
        <f aca="false">IF($B99="","",IFERROR(INDEX(품목마스터!$B$3:$B$302,MATCH($B99,품목마스터!$A$3:$A$302,0)),"미등록품번"))</f>
        <v/>
      </c>
      <c r="D99" s="17" t="str">
        <f aca="false">IF($B99="","",IFERROR(INDEX(품목마스터!$D$3:$D$302,MATCH($B99,품목마스터!$A$3:$A$302,0)),""))</f>
        <v/>
      </c>
      <c r="E99" s="12"/>
      <c r="F99" s="10"/>
    </row>
    <row r="100" customFormat="false" ht="15" hidden="false" customHeight="true" outlineLevel="0" collapsed="false">
      <c r="A100" s="16"/>
      <c r="B100" s="10"/>
      <c r="C100" s="17" t="str">
        <f aca="false">IF($B100="","",IFERROR(INDEX(품목마스터!$B$3:$B$302,MATCH($B100,품목마스터!$A$3:$A$302,0)),"미등록품번"))</f>
        <v/>
      </c>
      <c r="D100" s="17" t="str">
        <f aca="false">IF($B100="","",IFERROR(INDEX(품목마스터!$D$3:$D$302,MATCH($B100,품목마스터!$A$3:$A$302,0)),""))</f>
        <v/>
      </c>
      <c r="E100" s="12"/>
      <c r="F100" s="10"/>
    </row>
    <row r="101" customFormat="false" ht="15" hidden="false" customHeight="true" outlineLevel="0" collapsed="false">
      <c r="A101" s="16"/>
      <c r="B101" s="10"/>
      <c r="C101" s="17" t="str">
        <f aca="false">IF($B101="","",IFERROR(INDEX(품목마스터!$B$3:$B$302,MATCH($B101,품목마스터!$A$3:$A$302,0)),"미등록품번"))</f>
        <v/>
      </c>
      <c r="D101" s="17" t="str">
        <f aca="false">IF($B101="","",IFERROR(INDEX(품목마스터!$D$3:$D$302,MATCH($B101,품목마스터!$A$3:$A$302,0)),""))</f>
        <v/>
      </c>
      <c r="E101" s="12"/>
      <c r="F101" s="10"/>
    </row>
    <row r="102" customFormat="false" ht="15" hidden="false" customHeight="true" outlineLevel="0" collapsed="false">
      <c r="A102" s="16"/>
      <c r="B102" s="10"/>
      <c r="C102" s="17" t="str">
        <f aca="false">IF($B102="","",IFERROR(INDEX(품목마스터!$B$3:$B$302,MATCH($B102,품목마스터!$A$3:$A$302,0)),"미등록품번"))</f>
        <v/>
      </c>
      <c r="D102" s="17" t="str">
        <f aca="false">IF($B102="","",IFERROR(INDEX(품목마스터!$D$3:$D$302,MATCH($B102,품목마스터!$A$3:$A$302,0)),""))</f>
        <v/>
      </c>
      <c r="E102" s="12"/>
      <c r="F102" s="10"/>
    </row>
    <row r="103" customFormat="false" ht="15" hidden="false" customHeight="true" outlineLevel="0" collapsed="false">
      <c r="A103" s="16"/>
      <c r="B103" s="10"/>
      <c r="C103" s="17" t="str">
        <f aca="false">IF($B103="","",IFERROR(INDEX(품목마스터!$B$3:$B$302,MATCH($B103,품목마스터!$A$3:$A$302,0)),"미등록품번"))</f>
        <v/>
      </c>
      <c r="D103" s="17" t="str">
        <f aca="false">IF($B103="","",IFERROR(INDEX(품목마스터!$D$3:$D$302,MATCH($B103,품목마스터!$A$3:$A$302,0)),""))</f>
        <v/>
      </c>
      <c r="E103" s="12"/>
      <c r="F103" s="10"/>
    </row>
    <row r="104" customFormat="false" ht="15" hidden="false" customHeight="true" outlineLevel="0" collapsed="false">
      <c r="A104" s="16"/>
      <c r="B104" s="10"/>
      <c r="C104" s="17" t="str">
        <f aca="false">IF($B104="","",IFERROR(INDEX(품목마스터!$B$3:$B$302,MATCH($B104,품목마스터!$A$3:$A$302,0)),"미등록품번"))</f>
        <v/>
      </c>
      <c r="D104" s="17" t="str">
        <f aca="false">IF($B104="","",IFERROR(INDEX(품목마스터!$D$3:$D$302,MATCH($B104,품목마스터!$A$3:$A$302,0)),""))</f>
        <v/>
      </c>
      <c r="E104" s="12"/>
      <c r="F104" s="10"/>
    </row>
    <row r="105" customFormat="false" ht="15" hidden="false" customHeight="true" outlineLevel="0" collapsed="false">
      <c r="A105" s="16"/>
      <c r="B105" s="10"/>
      <c r="C105" s="17" t="str">
        <f aca="false">IF($B105="","",IFERROR(INDEX(품목마스터!$B$3:$B$302,MATCH($B105,품목마스터!$A$3:$A$302,0)),"미등록품번"))</f>
        <v/>
      </c>
      <c r="D105" s="17" t="str">
        <f aca="false">IF($B105="","",IFERROR(INDEX(품목마스터!$D$3:$D$302,MATCH($B105,품목마스터!$A$3:$A$302,0)),""))</f>
        <v/>
      </c>
      <c r="E105" s="12"/>
      <c r="F105" s="10"/>
    </row>
    <row r="106" customFormat="false" ht="15" hidden="false" customHeight="true" outlineLevel="0" collapsed="false">
      <c r="A106" s="16"/>
      <c r="B106" s="10"/>
      <c r="C106" s="17" t="str">
        <f aca="false">IF($B106="","",IFERROR(INDEX(품목마스터!$B$3:$B$302,MATCH($B106,품목마스터!$A$3:$A$302,0)),"미등록품번"))</f>
        <v/>
      </c>
      <c r="D106" s="17" t="str">
        <f aca="false">IF($B106="","",IFERROR(INDEX(품목마스터!$D$3:$D$302,MATCH($B106,품목마스터!$A$3:$A$302,0)),""))</f>
        <v/>
      </c>
      <c r="E106" s="12"/>
      <c r="F106" s="10"/>
    </row>
    <row r="107" customFormat="false" ht="15" hidden="false" customHeight="true" outlineLevel="0" collapsed="false">
      <c r="A107" s="16"/>
      <c r="B107" s="10"/>
      <c r="C107" s="17" t="str">
        <f aca="false">IF($B107="","",IFERROR(INDEX(품목마스터!$B$3:$B$302,MATCH($B107,품목마스터!$A$3:$A$302,0)),"미등록품번"))</f>
        <v/>
      </c>
      <c r="D107" s="17" t="str">
        <f aca="false">IF($B107="","",IFERROR(INDEX(품목마스터!$D$3:$D$302,MATCH($B107,품목마스터!$A$3:$A$302,0)),""))</f>
        <v/>
      </c>
      <c r="E107" s="12"/>
      <c r="F107" s="10"/>
    </row>
    <row r="108" customFormat="false" ht="15" hidden="false" customHeight="true" outlineLevel="0" collapsed="false">
      <c r="A108" s="16"/>
      <c r="B108" s="10"/>
      <c r="C108" s="17" t="str">
        <f aca="false">IF($B108="","",IFERROR(INDEX(품목마스터!$B$3:$B$302,MATCH($B108,품목마스터!$A$3:$A$302,0)),"미등록품번"))</f>
        <v/>
      </c>
      <c r="D108" s="17" t="str">
        <f aca="false">IF($B108="","",IFERROR(INDEX(품목마스터!$D$3:$D$302,MATCH($B108,품목마스터!$A$3:$A$302,0)),""))</f>
        <v/>
      </c>
      <c r="E108" s="12"/>
      <c r="F108" s="10"/>
    </row>
    <row r="109" customFormat="false" ht="15" hidden="false" customHeight="true" outlineLevel="0" collapsed="false">
      <c r="A109" s="16"/>
      <c r="B109" s="10"/>
      <c r="C109" s="17" t="str">
        <f aca="false">IF($B109="","",IFERROR(INDEX(품목마스터!$B$3:$B$302,MATCH($B109,품목마스터!$A$3:$A$302,0)),"미등록품번"))</f>
        <v/>
      </c>
      <c r="D109" s="17" t="str">
        <f aca="false">IF($B109="","",IFERROR(INDEX(품목마스터!$D$3:$D$302,MATCH($B109,품목마스터!$A$3:$A$302,0)),""))</f>
        <v/>
      </c>
      <c r="E109" s="12"/>
      <c r="F109" s="10"/>
    </row>
    <row r="110" customFormat="false" ht="15" hidden="false" customHeight="true" outlineLevel="0" collapsed="false">
      <c r="A110" s="16"/>
      <c r="B110" s="10"/>
      <c r="C110" s="17" t="str">
        <f aca="false">IF($B110="","",IFERROR(INDEX(품목마스터!$B$3:$B$302,MATCH($B110,품목마스터!$A$3:$A$302,0)),"미등록품번"))</f>
        <v/>
      </c>
      <c r="D110" s="17" t="str">
        <f aca="false">IF($B110="","",IFERROR(INDEX(품목마스터!$D$3:$D$302,MATCH($B110,품목마스터!$A$3:$A$302,0)),""))</f>
        <v/>
      </c>
      <c r="E110" s="12"/>
      <c r="F110" s="10"/>
    </row>
    <row r="111" customFormat="false" ht="15" hidden="false" customHeight="true" outlineLevel="0" collapsed="false">
      <c r="A111" s="16"/>
      <c r="B111" s="10"/>
      <c r="C111" s="17" t="str">
        <f aca="false">IF($B111="","",IFERROR(INDEX(품목마스터!$B$3:$B$302,MATCH($B111,품목마스터!$A$3:$A$302,0)),"미등록품번"))</f>
        <v/>
      </c>
      <c r="D111" s="17" t="str">
        <f aca="false">IF($B111="","",IFERROR(INDEX(품목마스터!$D$3:$D$302,MATCH($B111,품목마스터!$A$3:$A$302,0)),""))</f>
        <v/>
      </c>
      <c r="E111" s="12"/>
      <c r="F111" s="10"/>
    </row>
    <row r="112" customFormat="false" ht="15" hidden="false" customHeight="true" outlineLevel="0" collapsed="false">
      <c r="A112" s="16"/>
      <c r="B112" s="10"/>
      <c r="C112" s="17" t="str">
        <f aca="false">IF($B112="","",IFERROR(INDEX(품목마스터!$B$3:$B$302,MATCH($B112,품목마스터!$A$3:$A$302,0)),"미등록품번"))</f>
        <v/>
      </c>
      <c r="D112" s="17" t="str">
        <f aca="false">IF($B112="","",IFERROR(INDEX(품목마스터!$D$3:$D$302,MATCH($B112,품목마스터!$A$3:$A$302,0)),""))</f>
        <v/>
      </c>
      <c r="E112" s="12"/>
      <c r="F112" s="10"/>
    </row>
    <row r="113" customFormat="false" ht="15" hidden="false" customHeight="true" outlineLevel="0" collapsed="false">
      <c r="A113" s="16"/>
      <c r="B113" s="10"/>
      <c r="C113" s="17" t="str">
        <f aca="false">IF($B113="","",IFERROR(INDEX(품목마스터!$B$3:$B$302,MATCH($B113,품목마스터!$A$3:$A$302,0)),"미등록품번"))</f>
        <v/>
      </c>
      <c r="D113" s="17" t="str">
        <f aca="false">IF($B113="","",IFERROR(INDEX(품목마스터!$D$3:$D$302,MATCH($B113,품목마스터!$A$3:$A$302,0)),""))</f>
        <v/>
      </c>
      <c r="E113" s="12"/>
      <c r="F113" s="10"/>
    </row>
    <row r="114" customFormat="false" ht="15" hidden="false" customHeight="true" outlineLevel="0" collapsed="false">
      <c r="A114" s="16"/>
      <c r="B114" s="10"/>
      <c r="C114" s="17" t="str">
        <f aca="false">IF($B114="","",IFERROR(INDEX(품목마스터!$B$3:$B$302,MATCH($B114,품목마스터!$A$3:$A$302,0)),"미등록품번"))</f>
        <v/>
      </c>
      <c r="D114" s="17" t="str">
        <f aca="false">IF($B114="","",IFERROR(INDEX(품목마스터!$D$3:$D$302,MATCH($B114,품목마스터!$A$3:$A$302,0)),""))</f>
        <v/>
      </c>
      <c r="E114" s="12"/>
      <c r="F114" s="10"/>
    </row>
    <row r="115" customFormat="false" ht="15" hidden="false" customHeight="true" outlineLevel="0" collapsed="false">
      <c r="A115" s="16"/>
      <c r="B115" s="10"/>
      <c r="C115" s="17" t="str">
        <f aca="false">IF($B115="","",IFERROR(INDEX(품목마스터!$B$3:$B$302,MATCH($B115,품목마스터!$A$3:$A$302,0)),"미등록품번"))</f>
        <v/>
      </c>
      <c r="D115" s="17" t="str">
        <f aca="false">IF($B115="","",IFERROR(INDEX(품목마스터!$D$3:$D$302,MATCH($B115,품목마스터!$A$3:$A$302,0)),""))</f>
        <v/>
      </c>
      <c r="E115" s="12"/>
      <c r="F115" s="10"/>
    </row>
    <row r="116" customFormat="false" ht="15" hidden="false" customHeight="true" outlineLevel="0" collapsed="false">
      <c r="A116" s="16"/>
      <c r="B116" s="10"/>
      <c r="C116" s="17" t="str">
        <f aca="false">IF($B116="","",IFERROR(INDEX(품목마스터!$B$3:$B$302,MATCH($B116,품목마스터!$A$3:$A$302,0)),"미등록품번"))</f>
        <v/>
      </c>
      <c r="D116" s="17" t="str">
        <f aca="false">IF($B116="","",IFERROR(INDEX(품목마스터!$D$3:$D$302,MATCH($B116,품목마스터!$A$3:$A$302,0)),""))</f>
        <v/>
      </c>
      <c r="E116" s="12"/>
      <c r="F116" s="10"/>
    </row>
    <row r="117" customFormat="false" ht="15" hidden="false" customHeight="true" outlineLevel="0" collapsed="false">
      <c r="A117" s="16"/>
      <c r="B117" s="10"/>
      <c r="C117" s="17" t="str">
        <f aca="false">IF($B117="","",IFERROR(INDEX(품목마스터!$B$3:$B$302,MATCH($B117,품목마스터!$A$3:$A$302,0)),"미등록품번"))</f>
        <v/>
      </c>
      <c r="D117" s="17" t="str">
        <f aca="false">IF($B117="","",IFERROR(INDEX(품목마스터!$D$3:$D$302,MATCH($B117,품목마스터!$A$3:$A$302,0)),""))</f>
        <v/>
      </c>
      <c r="E117" s="12"/>
      <c r="F117" s="10"/>
    </row>
    <row r="118" customFormat="false" ht="15" hidden="false" customHeight="true" outlineLevel="0" collapsed="false">
      <c r="A118" s="16"/>
      <c r="B118" s="10"/>
      <c r="C118" s="17" t="str">
        <f aca="false">IF($B118="","",IFERROR(INDEX(품목마스터!$B$3:$B$302,MATCH($B118,품목마스터!$A$3:$A$302,0)),"미등록품번"))</f>
        <v/>
      </c>
      <c r="D118" s="17" t="str">
        <f aca="false">IF($B118="","",IFERROR(INDEX(품목마스터!$D$3:$D$302,MATCH($B118,품목마스터!$A$3:$A$302,0)),""))</f>
        <v/>
      </c>
      <c r="E118" s="12"/>
      <c r="F118" s="10"/>
    </row>
    <row r="119" customFormat="false" ht="15" hidden="false" customHeight="true" outlineLevel="0" collapsed="false">
      <c r="A119" s="16"/>
      <c r="B119" s="10"/>
      <c r="C119" s="17" t="str">
        <f aca="false">IF($B119="","",IFERROR(INDEX(품목마스터!$B$3:$B$302,MATCH($B119,품목마스터!$A$3:$A$302,0)),"미등록품번"))</f>
        <v/>
      </c>
      <c r="D119" s="17" t="str">
        <f aca="false">IF($B119="","",IFERROR(INDEX(품목마스터!$D$3:$D$302,MATCH($B119,품목마스터!$A$3:$A$302,0)),""))</f>
        <v/>
      </c>
      <c r="E119" s="12"/>
      <c r="F119" s="10"/>
    </row>
    <row r="120" customFormat="false" ht="15" hidden="false" customHeight="true" outlineLevel="0" collapsed="false">
      <c r="A120" s="16"/>
      <c r="B120" s="10"/>
      <c r="C120" s="17" t="str">
        <f aca="false">IF($B120="","",IFERROR(INDEX(품목마스터!$B$3:$B$302,MATCH($B120,품목마스터!$A$3:$A$302,0)),"미등록품번"))</f>
        <v/>
      </c>
      <c r="D120" s="17" t="str">
        <f aca="false">IF($B120="","",IFERROR(INDEX(품목마스터!$D$3:$D$302,MATCH($B120,품목마스터!$A$3:$A$302,0)),""))</f>
        <v/>
      </c>
      <c r="E120" s="12"/>
      <c r="F120" s="10"/>
    </row>
    <row r="121" customFormat="false" ht="15" hidden="false" customHeight="true" outlineLevel="0" collapsed="false">
      <c r="A121" s="16"/>
      <c r="B121" s="10"/>
      <c r="C121" s="17" t="str">
        <f aca="false">IF($B121="","",IFERROR(INDEX(품목마스터!$B$3:$B$302,MATCH($B121,품목마스터!$A$3:$A$302,0)),"미등록품번"))</f>
        <v/>
      </c>
      <c r="D121" s="17" t="str">
        <f aca="false">IF($B121="","",IFERROR(INDEX(품목마스터!$D$3:$D$302,MATCH($B121,품목마스터!$A$3:$A$302,0)),""))</f>
        <v/>
      </c>
      <c r="E121" s="12"/>
      <c r="F121" s="10"/>
    </row>
    <row r="122" customFormat="false" ht="15" hidden="false" customHeight="true" outlineLevel="0" collapsed="false">
      <c r="A122" s="16"/>
      <c r="B122" s="10"/>
      <c r="C122" s="17" t="str">
        <f aca="false">IF($B122="","",IFERROR(INDEX(품목마스터!$B$3:$B$302,MATCH($B122,품목마스터!$A$3:$A$302,0)),"미등록품번"))</f>
        <v/>
      </c>
      <c r="D122" s="17" t="str">
        <f aca="false">IF($B122="","",IFERROR(INDEX(품목마스터!$D$3:$D$302,MATCH($B122,품목마스터!$A$3:$A$302,0)),""))</f>
        <v/>
      </c>
      <c r="E122" s="12"/>
      <c r="F122" s="10"/>
    </row>
    <row r="123" customFormat="false" ht="15" hidden="false" customHeight="true" outlineLevel="0" collapsed="false">
      <c r="A123" s="16"/>
      <c r="B123" s="10"/>
      <c r="C123" s="17" t="str">
        <f aca="false">IF($B123="","",IFERROR(INDEX(품목마스터!$B$3:$B$302,MATCH($B123,품목마스터!$A$3:$A$302,0)),"미등록품번"))</f>
        <v/>
      </c>
      <c r="D123" s="17" t="str">
        <f aca="false">IF($B123="","",IFERROR(INDEX(품목마스터!$D$3:$D$302,MATCH($B123,품목마스터!$A$3:$A$302,0)),""))</f>
        <v/>
      </c>
      <c r="E123" s="12"/>
      <c r="F123" s="10"/>
    </row>
    <row r="124" customFormat="false" ht="15" hidden="false" customHeight="true" outlineLevel="0" collapsed="false">
      <c r="A124" s="16"/>
      <c r="B124" s="10"/>
      <c r="C124" s="17" t="str">
        <f aca="false">IF($B124="","",IFERROR(INDEX(품목마스터!$B$3:$B$302,MATCH($B124,품목마스터!$A$3:$A$302,0)),"미등록품번"))</f>
        <v/>
      </c>
      <c r="D124" s="17" t="str">
        <f aca="false">IF($B124="","",IFERROR(INDEX(품목마스터!$D$3:$D$302,MATCH($B124,품목마스터!$A$3:$A$302,0)),""))</f>
        <v/>
      </c>
      <c r="E124" s="12"/>
      <c r="F124" s="10"/>
    </row>
    <row r="125" customFormat="false" ht="15" hidden="false" customHeight="true" outlineLevel="0" collapsed="false">
      <c r="A125" s="16"/>
      <c r="B125" s="10"/>
      <c r="C125" s="17" t="str">
        <f aca="false">IF($B125="","",IFERROR(INDEX(품목마스터!$B$3:$B$302,MATCH($B125,품목마스터!$A$3:$A$302,0)),"미등록품번"))</f>
        <v/>
      </c>
      <c r="D125" s="17" t="str">
        <f aca="false">IF($B125="","",IFERROR(INDEX(품목마스터!$D$3:$D$302,MATCH($B125,품목마스터!$A$3:$A$302,0)),""))</f>
        <v/>
      </c>
      <c r="E125" s="12"/>
      <c r="F125" s="10"/>
    </row>
    <row r="126" customFormat="false" ht="15" hidden="false" customHeight="true" outlineLevel="0" collapsed="false">
      <c r="A126" s="16"/>
      <c r="B126" s="10"/>
      <c r="C126" s="17" t="str">
        <f aca="false">IF($B126="","",IFERROR(INDEX(품목마스터!$B$3:$B$302,MATCH($B126,품목마스터!$A$3:$A$302,0)),"미등록품번"))</f>
        <v/>
      </c>
      <c r="D126" s="17" t="str">
        <f aca="false">IF($B126="","",IFERROR(INDEX(품목마스터!$D$3:$D$302,MATCH($B126,품목마스터!$A$3:$A$302,0)),""))</f>
        <v/>
      </c>
      <c r="E126" s="12"/>
      <c r="F126" s="10"/>
    </row>
    <row r="127" customFormat="false" ht="15" hidden="false" customHeight="true" outlineLevel="0" collapsed="false">
      <c r="A127" s="16"/>
      <c r="B127" s="10"/>
      <c r="C127" s="17" t="str">
        <f aca="false">IF($B127="","",IFERROR(INDEX(품목마스터!$B$3:$B$302,MATCH($B127,품목마스터!$A$3:$A$302,0)),"미등록품번"))</f>
        <v/>
      </c>
      <c r="D127" s="17" t="str">
        <f aca="false">IF($B127="","",IFERROR(INDEX(품목마스터!$D$3:$D$302,MATCH($B127,품목마스터!$A$3:$A$302,0)),""))</f>
        <v/>
      </c>
      <c r="E127" s="12"/>
      <c r="F127" s="10"/>
    </row>
    <row r="128" customFormat="false" ht="15" hidden="false" customHeight="true" outlineLevel="0" collapsed="false">
      <c r="A128" s="16"/>
      <c r="B128" s="10"/>
      <c r="C128" s="17" t="str">
        <f aca="false">IF($B128="","",IFERROR(INDEX(품목마스터!$B$3:$B$302,MATCH($B128,품목마스터!$A$3:$A$302,0)),"미등록품번"))</f>
        <v/>
      </c>
      <c r="D128" s="17" t="str">
        <f aca="false">IF($B128="","",IFERROR(INDEX(품목마스터!$D$3:$D$302,MATCH($B128,품목마스터!$A$3:$A$302,0)),""))</f>
        <v/>
      </c>
      <c r="E128" s="12"/>
      <c r="F128" s="10"/>
    </row>
    <row r="129" customFormat="false" ht="15" hidden="false" customHeight="true" outlineLevel="0" collapsed="false">
      <c r="A129" s="16"/>
      <c r="B129" s="10"/>
      <c r="C129" s="17" t="str">
        <f aca="false">IF($B129="","",IFERROR(INDEX(품목마스터!$B$3:$B$302,MATCH($B129,품목마스터!$A$3:$A$302,0)),"미등록품번"))</f>
        <v/>
      </c>
      <c r="D129" s="17" t="str">
        <f aca="false">IF($B129="","",IFERROR(INDEX(품목마스터!$D$3:$D$302,MATCH($B129,품목마스터!$A$3:$A$302,0)),""))</f>
        <v/>
      </c>
      <c r="E129" s="12"/>
      <c r="F129" s="10"/>
    </row>
    <row r="130" customFormat="false" ht="15" hidden="false" customHeight="true" outlineLevel="0" collapsed="false">
      <c r="A130" s="16"/>
      <c r="B130" s="10"/>
      <c r="C130" s="17" t="str">
        <f aca="false">IF($B130="","",IFERROR(INDEX(품목마스터!$B$3:$B$302,MATCH($B130,품목마스터!$A$3:$A$302,0)),"미등록품번"))</f>
        <v/>
      </c>
      <c r="D130" s="17" t="str">
        <f aca="false">IF($B130="","",IFERROR(INDEX(품목마스터!$D$3:$D$302,MATCH($B130,품목마스터!$A$3:$A$302,0)),""))</f>
        <v/>
      </c>
      <c r="E130" s="12"/>
      <c r="F130" s="10"/>
    </row>
    <row r="131" customFormat="false" ht="15" hidden="false" customHeight="true" outlineLevel="0" collapsed="false">
      <c r="A131" s="16"/>
      <c r="B131" s="10"/>
      <c r="C131" s="17" t="str">
        <f aca="false">IF($B131="","",IFERROR(INDEX(품목마스터!$B$3:$B$302,MATCH($B131,품목마스터!$A$3:$A$302,0)),"미등록품번"))</f>
        <v/>
      </c>
      <c r="D131" s="17" t="str">
        <f aca="false">IF($B131="","",IFERROR(INDEX(품목마스터!$D$3:$D$302,MATCH($B131,품목마스터!$A$3:$A$302,0)),""))</f>
        <v/>
      </c>
      <c r="E131" s="12"/>
      <c r="F131" s="10"/>
    </row>
    <row r="132" customFormat="false" ht="15" hidden="false" customHeight="true" outlineLevel="0" collapsed="false">
      <c r="A132" s="16"/>
      <c r="B132" s="10"/>
      <c r="C132" s="17" t="str">
        <f aca="false">IF($B132="","",IFERROR(INDEX(품목마스터!$B$3:$B$302,MATCH($B132,품목마스터!$A$3:$A$302,0)),"미등록품번"))</f>
        <v/>
      </c>
      <c r="D132" s="17" t="str">
        <f aca="false">IF($B132="","",IFERROR(INDEX(품목마스터!$D$3:$D$302,MATCH($B132,품목마스터!$A$3:$A$302,0)),""))</f>
        <v/>
      </c>
      <c r="E132" s="12"/>
      <c r="F132" s="10"/>
    </row>
    <row r="133" customFormat="false" ht="15" hidden="false" customHeight="true" outlineLevel="0" collapsed="false">
      <c r="A133" s="16"/>
      <c r="B133" s="10"/>
      <c r="C133" s="17" t="str">
        <f aca="false">IF($B133="","",IFERROR(INDEX(품목마스터!$B$3:$B$302,MATCH($B133,품목마스터!$A$3:$A$302,0)),"미등록품번"))</f>
        <v/>
      </c>
      <c r="D133" s="17" t="str">
        <f aca="false">IF($B133="","",IFERROR(INDEX(품목마스터!$D$3:$D$302,MATCH($B133,품목마스터!$A$3:$A$302,0)),""))</f>
        <v/>
      </c>
      <c r="E133" s="12"/>
      <c r="F133" s="10"/>
    </row>
    <row r="134" customFormat="false" ht="15" hidden="false" customHeight="true" outlineLevel="0" collapsed="false">
      <c r="A134" s="16"/>
      <c r="B134" s="10"/>
      <c r="C134" s="17" t="str">
        <f aca="false">IF($B134="","",IFERROR(INDEX(품목마스터!$B$3:$B$302,MATCH($B134,품목마스터!$A$3:$A$302,0)),"미등록품번"))</f>
        <v/>
      </c>
      <c r="D134" s="17" t="str">
        <f aca="false">IF($B134="","",IFERROR(INDEX(품목마스터!$D$3:$D$302,MATCH($B134,품목마스터!$A$3:$A$302,0)),""))</f>
        <v/>
      </c>
      <c r="E134" s="12"/>
      <c r="F134" s="10"/>
    </row>
    <row r="135" customFormat="false" ht="15" hidden="false" customHeight="true" outlineLevel="0" collapsed="false">
      <c r="A135" s="16"/>
      <c r="B135" s="10"/>
      <c r="C135" s="17" t="str">
        <f aca="false">IF($B135="","",IFERROR(INDEX(품목마스터!$B$3:$B$302,MATCH($B135,품목마스터!$A$3:$A$302,0)),"미등록품번"))</f>
        <v/>
      </c>
      <c r="D135" s="17" t="str">
        <f aca="false">IF($B135="","",IFERROR(INDEX(품목마스터!$D$3:$D$302,MATCH($B135,품목마스터!$A$3:$A$302,0)),""))</f>
        <v/>
      </c>
      <c r="E135" s="12"/>
      <c r="F135" s="10"/>
    </row>
    <row r="136" customFormat="false" ht="15" hidden="false" customHeight="true" outlineLevel="0" collapsed="false">
      <c r="A136" s="16"/>
      <c r="B136" s="10"/>
      <c r="C136" s="17" t="str">
        <f aca="false">IF($B136="","",IFERROR(INDEX(품목마스터!$B$3:$B$302,MATCH($B136,품목마스터!$A$3:$A$302,0)),"미등록품번"))</f>
        <v/>
      </c>
      <c r="D136" s="17" t="str">
        <f aca="false">IF($B136="","",IFERROR(INDEX(품목마스터!$D$3:$D$302,MATCH($B136,품목마스터!$A$3:$A$302,0)),""))</f>
        <v/>
      </c>
      <c r="E136" s="12"/>
      <c r="F136" s="10"/>
    </row>
    <row r="137" customFormat="false" ht="15" hidden="false" customHeight="true" outlineLevel="0" collapsed="false">
      <c r="A137" s="16"/>
      <c r="B137" s="10"/>
      <c r="C137" s="17" t="str">
        <f aca="false">IF($B137="","",IFERROR(INDEX(품목마스터!$B$3:$B$302,MATCH($B137,품목마스터!$A$3:$A$302,0)),"미등록품번"))</f>
        <v/>
      </c>
      <c r="D137" s="17" t="str">
        <f aca="false">IF($B137="","",IFERROR(INDEX(품목마스터!$D$3:$D$302,MATCH($B137,품목마스터!$A$3:$A$302,0)),""))</f>
        <v/>
      </c>
      <c r="E137" s="12"/>
      <c r="F137" s="10"/>
    </row>
    <row r="138" customFormat="false" ht="15" hidden="false" customHeight="true" outlineLevel="0" collapsed="false">
      <c r="A138" s="16"/>
      <c r="B138" s="10"/>
      <c r="C138" s="17" t="str">
        <f aca="false">IF($B138="","",IFERROR(INDEX(품목마스터!$B$3:$B$302,MATCH($B138,품목마스터!$A$3:$A$302,0)),"미등록품번"))</f>
        <v/>
      </c>
      <c r="D138" s="17" t="str">
        <f aca="false">IF($B138="","",IFERROR(INDEX(품목마스터!$D$3:$D$302,MATCH($B138,품목마스터!$A$3:$A$302,0)),""))</f>
        <v/>
      </c>
      <c r="E138" s="12"/>
      <c r="F138" s="10"/>
    </row>
    <row r="139" customFormat="false" ht="15" hidden="false" customHeight="true" outlineLevel="0" collapsed="false">
      <c r="A139" s="16"/>
      <c r="B139" s="10"/>
      <c r="C139" s="17" t="str">
        <f aca="false">IF($B139="","",IFERROR(INDEX(품목마스터!$B$3:$B$302,MATCH($B139,품목마스터!$A$3:$A$302,0)),"미등록품번"))</f>
        <v/>
      </c>
      <c r="D139" s="17" t="str">
        <f aca="false">IF($B139="","",IFERROR(INDEX(품목마스터!$D$3:$D$302,MATCH($B139,품목마스터!$A$3:$A$302,0)),""))</f>
        <v/>
      </c>
      <c r="E139" s="12"/>
      <c r="F139" s="10"/>
    </row>
    <row r="140" customFormat="false" ht="15" hidden="false" customHeight="true" outlineLevel="0" collapsed="false">
      <c r="A140" s="16"/>
      <c r="B140" s="10"/>
      <c r="C140" s="17" t="str">
        <f aca="false">IF($B140="","",IFERROR(INDEX(품목마스터!$B$3:$B$302,MATCH($B140,품목마스터!$A$3:$A$302,0)),"미등록품번"))</f>
        <v/>
      </c>
      <c r="D140" s="17" t="str">
        <f aca="false">IF($B140="","",IFERROR(INDEX(품목마스터!$D$3:$D$302,MATCH($B140,품목마스터!$A$3:$A$302,0)),""))</f>
        <v/>
      </c>
      <c r="E140" s="12"/>
      <c r="F140" s="10"/>
    </row>
    <row r="141" customFormat="false" ht="15" hidden="false" customHeight="true" outlineLevel="0" collapsed="false">
      <c r="A141" s="16"/>
      <c r="B141" s="10"/>
      <c r="C141" s="17" t="str">
        <f aca="false">IF($B141="","",IFERROR(INDEX(품목마스터!$B$3:$B$302,MATCH($B141,품목마스터!$A$3:$A$302,0)),"미등록품번"))</f>
        <v/>
      </c>
      <c r="D141" s="17" t="str">
        <f aca="false">IF($B141="","",IFERROR(INDEX(품목마스터!$D$3:$D$302,MATCH($B141,품목마스터!$A$3:$A$302,0)),""))</f>
        <v/>
      </c>
      <c r="E141" s="12"/>
      <c r="F141" s="10"/>
    </row>
    <row r="142" customFormat="false" ht="15" hidden="false" customHeight="true" outlineLevel="0" collapsed="false">
      <c r="A142" s="16"/>
      <c r="B142" s="10"/>
      <c r="C142" s="17" t="str">
        <f aca="false">IF($B142="","",IFERROR(INDEX(품목마스터!$B$3:$B$302,MATCH($B142,품목마스터!$A$3:$A$302,0)),"미등록품번"))</f>
        <v/>
      </c>
      <c r="D142" s="17" t="str">
        <f aca="false">IF($B142="","",IFERROR(INDEX(품목마스터!$D$3:$D$302,MATCH($B142,품목마스터!$A$3:$A$302,0)),""))</f>
        <v/>
      </c>
      <c r="E142" s="12"/>
      <c r="F142" s="10"/>
    </row>
    <row r="143" customFormat="false" ht="15" hidden="false" customHeight="true" outlineLevel="0" collapsed="false">
      <c r="A143" s="16"/>
      <c r="B143" s="10"/>
      <c r="C143" s="17" t="str">
        <f aca="false">IF($B143="","",IFERROR(INDEX(품목마스터!$B$3:$B$302,MATCH($B143,품목마스터!$A$3:$A$302,0)),"미등록품번"))</f>
        <v/>
      </c>
      <c r="D143" s="17" t="str">
        <f aca="false">IF($B143="","",IFERROR(INDEX(품목마스터!$D$3:$D$302,MATCH($B143,품목마스터!$A$3:$A$302,0)),""))</f>
        <v/>
      </c>
      <c r="E143" s="12"/>
      <c r="F143" s="10"/>
    </row>
    <row r="144" customFormat="false" ht="15" hidden="false" customHeight="true" outlineLevel="0" collapsed="false">
      <c r="A144" s="16"/>
      <c r="B144" s="10"/>
      <c r="C144" s="17" t="str">
        <f aca="false">IF($B144="","",IFERROR(INDEX(품목마스터!$B$3:$B$302,MATCH($B144,품목마스터!$A$3:$A$302,0)),"미등록품번"))</f>
        <v/>
      </c>
      <c r="D144" s="17" t="str">
        <f aca="false">IF($B144="","",IFERROR(INDEX(품목마스터!$D$3:$D$302,MATCH($B144,품목마스터!$A$3:$A$302,0)),""))</f>
        <v/>
      </c>
      <c r="E144" s="12"/>
      <c r="F144" s="10"/>
    </row>
    <row r="145" customFormat="false" ht="15" hidden="false" customHeight="true" outlineLevel="0" collapsed="false">
      <c r="A145" s="16"/>
      <c r="B145" s="10"/>
      <c r="C145" s="17" t="str">
        <f aca="false">IF($B145="","",IFERROR(INDEX(품목마스터!$B$3:$B$302,MATCH($B145,품목마스터!$A$3:$A$302,0)),"미등록품번"))</f>
        <v/>
      </c>
      <c r="D145" s="17" t="str">
        <f aca="false">IF($B145="","",IFERROR(INDEX(품목마스터!$D$3:$D$302,MATCH($B145,품목마스터!$A$3:$A$302,0)),""))</f>
        <v/>
      </c>
      <c r="E145" s="12"/>
      <c r="F145" s="10"/>
    </row>
    <row r="146" customFormat="false" ht="15" hidden="false" customHeight="true" outlineLevel="0" collapsed="false">
      <c r="A146" s="16"/>
      <c r="B146" s="10"/>
      <c r="C146" s="17" t="str">
        <f aca="false">IF($B146="","",IFERROR(INDEX(품목마스터!$B$3:$B$302,MATCH($B146,품목마스터!$A$3:$A$302,0)),"미등록품번"))</f>
        <v/>
      </c>
      <c r="D146" s="17" t="str">
        <f aca="false">IF($B146="","",IFERROR(INDEX(품목마스터!$D$3:$D$302,MATCH($B146,품목마스터!$A$3:$A$302,0)),""))</f>
        <v/>
      </c>
      <c r="E146" s="12"/>
      <c r="F146" s="10"/>
    </row>
    <row r="147" customFormat="false" ht="15" hidden="false" customHeight="true" outlineLevel="0" collapsed="false">
      <c r="A147" s="16"/>
      <c r="B147" s="10"/>
      <c r="C147" s="17" t="str">
        <f aca="false">IF($B147="","",IFERROR(INDEX(품목마스터!$B$3:$B$302,MATCH($B147,품목마스터!$A$3:$A$302,0)),"미등록품번"))</f>
        <v/>
      </c>
      <c r="D147" s="17" t="str">
        <f aca="false">IF($B147="","",IFERROR(INDEX(품목마스터!$D$3:$D$302,MATCH($B147,품목마스터!$A$3:$A$302,0)),""))</f>
        <v/>
      </c>
      <c r="E147" s="12"/>
      <c r="F147" s="10"/>
    </row>
    <row r="148" customFormat="false" ht="15" hidden="false" customHeight="true" outlineLevel="0" collapsed="false">
      <c r="A148" s="16"/>
      <c r="B148" s="10"/>
      <c r="C148" s="17" t="str">
        <f aca="false">IF($B148="","",IFERROR(INDEX(품목마스터!$B$3:$B$302,MATCH($B148,품목마스터!$A$3:$A$302,0)),"미등록품번"))</f>
        <v/>
      </c>
      <c r="D148" s="17" t="str">
        <f aca="false">IF($B148="","",IFERROR(INDEX(품목마스터!$D$3:$D$302,MATCH($B148,품목마스터!$A$3:$A$302,0)),""))</f>
        <v/>
      </c>
      <c r="E148" s="12"/>
      <c r="F148" s="10"/>
    </row>
    <row r="149" customFormat="false" ht="15" hidden="false" customHeight="true" outlineLevel="0" collapsed="false">
      <c r="A149" s="16"/>
      <c r="B149" s="10"/>
      <c r="C149" s="17" t="str">
        <f aca="false">IF($B149="","",IFERROR(INDEX(품목마스터!$B$3:$B$302,MATCH($B149,품목마스터!$A$3:$A$302,0)),"미등록품번"))</f>
        <v/>
      </c>
      <c r="D149" s="17" t="str">
        <f aca="false">IF($B149="","",IFERROR(INDEX(품목마스터!$D$3:$D$302,MATCH($B149,품목마스터!$A$3:$A$302,0)),""))</f>
        <v/>
      </c>
      <c r="E149" s="12"/>
      <c r="F149" s="10"/>
    </row>
    <row r="150" customFormat="false" ht="15" hidden="false" customHeight="true" outlineLevel="0" collapsed="false">
      <c r="A150" s="16"/>
      <c r="B150" s="10"/>
      <c r="C150" s="17" t="str">
        <f aca="false">IF($B150="","",IFERROR(INDEX(품목마스터!$B$3:$B$302,MATCH($B150,품목마스터!$A$3:$A$302,0)),"미등록품번"))</f>
        <v/>
      </c>
      <c r="D150" s="17" t="str">
        <f aca="false">IF($B150="","",IFERROR(INDEX(품목마스터!$D$3:$D$302,MATCH($B150,품목마스터!$A$3:$A$302,0)),""))</f>
        <v/>
      </c>
      <c r="E150" s="12"/>
      <c r="F150" s="10"/>
    </row>
    <row r="151" customFormat="false" ht="15" hidden="false" customHeight="true" outlineLevel="0" collapsed="false">
      <c r="A151" s="16"/>
      <c r="B151" s="10"/>
      <c r="C151" s="17" t="str">
        <f aca="false">IF($B151="","",IFERROR(INDEX(품목마스터!$B$3:$B$302,MATCH($B151,품목마스터!$A$3:$A$302,0)),"미등록품번"))</f>
        <v/>
      </c>
      <c r="D151" s="17" t="str">
        <f aca="false">IF($B151="","",IFERROR(INDEX(품목마스터!$D$3:$D$302,MATCH($B151,품목마스터!$A$3:$A$302,0)),""))</f>
        <v/>
      </c>
      <c r="E151" s="12"/>
      <c r="F151" s="10"/>
    </row>
    <row r="152" customFormat="false" ht="15" hidden="false" customHeight="true" outlineLevel="0" collapsed="false">
      <c r="A152" s="16"/>
      <c r="B152" s="10"/>
      <c r="C152" s="17" t="str">
        <f aca="false">IF($B152="","",IFERROR(INDEX(품목마스터!$B$3:$B$302,MATCH($B152,품목마스터!$A$3:$A$302,0)),"미등록품번"))</f>
        <v/>
      </c>
      <c r="D152" s="17" t="str">
        <f aca="false">IF($B152="","",IFERROR(INDEX(품목마스터!$D$3:$D$302,MATCH($B152,품목마스터!$A$3:$A$302,0)),""))</f>
        <v/>
      </c>
      <c r="E152" s="12"/>
      <c r="F152" s="10"/>
    </row>
    <row r="153" customFormat="false" ht="15" hidden="false" customHeight="true" outlineLevel="0" collapsed="false">
      <c r="A153" s="16"/>
      <c r="B153" s="10"/>
      <c r="C153" s="17" t="str">
        <f aca="false">IF($B153="","",IFERROR(INDEX(품목마스터!$B$3:$B$302,MATCH($B153,품목마스터!$A$3:$A$302,0)),"미등록품번"))</f>
        <v/>
      </c>
      <c r="D153" s="17" t="str">
        <f aca="false">IF($B153="","",IFERROR(INDEX(품목마스터!$D$3:$D$302,MATCH($B153,품목마스터!$A$3:$A$302,0)),""))</f>
        <v/>
      </c>
      <c r="E153" s="12"/>
      <c r="F153" s="10"/>
    </row>
    <row r="154" customFormat="false" ht="15" hidden="false" customHeight="true" outlineLevel="0" collapsed="false">
      <c r="A154" s="16"/>
      <c r="B154" s="10"/>
      <c r="C154" s="17" t="str">
        <f aca="false">IF($B154="","",IFERROR(INDEX(품목마스터!$B$3:$B$302,MATCH($B154,품목마스터!$A$3:$A$302,0)),"미등록품번"))</f>
        <v/>
      </c>
      <c r="D154" s="17" t="str">
        <f aca="false">IF($B154="","",IFERROR(INDEX(품목마스터!$D$3:$D$302,MATCH($B154,품목마스터!$A$3:$A$302,0)),""))</f>
        <v/>
      </c>
      <c r="E154" s="12"/>
      <c r="F154" s="10"/>
    </row>
    <row r="155" customFormat="false" ht="15" hidden="false" customHeight="true" outlineLevel="0" collapsed="false">
      <c r="A155" s="16"/>
      <c r="B155" s="10"/>
      <c r="C155" s="17" t="str">
        <f aca="false">IF($B155="","",IFERROR(INDEX(품목마스터!$B$3:$B$302,MATCH($B155,품목마스터!$A$3:$A$302,0)),"미등록품번"))</f>
        <v/>
      </c>
      <c r="D155" s="17" t="str">
        <f aca="false">IF($B155="","",IFERROR(INDEX(품목마스터!$D$3:$D$302,MATCH($B155,품목마스터!$A$3:$A$302,0)),""))</f>
        <v/>
      </c>
      <c r="E155" s="12"/>
      <c r="F155" s="10"/>
    </row>
    <row r="156" customFormat="false" ht="15" hidden="false" customHeight="true" outlineLevel="0" collapsed="false">
      <c r="A156" s="16"/>
      <c r="B156" s="10"/>
      <c r="C156" s="17" t="str">
        <f aca="false">IF($B156="","",IFERROR(INDEX(품목마스터!$B$3:$B$302,MATCH($B156,품목마스터!$A$3:$A$302,0)),"미등록품번"))</f>
        <v/>
      </c>
      <c r="D156" s="17" t="str">
        <f aca="false">IF($B156="","",IFERROR(INDEX(품목마스터!$D$3:$D$302,MATCH($B156,품목마스터!$A$3:$A$302,0)),""))</f>
        <v/>
      </c>
      <c r="E156" s="12"/>
      <c r="F156" s="10"/>
    </row>
    <row r="157" customFormat="false" ht="15" hidden="false" customHeight="true" outlineLevel="0" collapsed="false">
      <c r="A157" s="16"/>
      <c r="B157" s="10"/>
      <c r="C157" s="17" t="str">
        <f aca="false">IF($B157="","",IFERROR(INDEX(품목마스터!$B$3:$B$302,MATCH($B157,품목마스터!$A$3:$A$302,0)),"미등록품번"))</f>
        <v/>
      </c>
      <c r="D157" s="17" t="str">
        <f aca="false">IF($B157="","",IFERROR(INDEX(품목마스터!$D$3:$D$302,MATCH($B157,품목마스터!$A$3:$A$302,0)),""))</f>
        <v/>
      </c>
      <c r="E157" s="12"/>
      <c r="F157" s="10"/>
    </row>
    <row r="158" customFormat="false" ht="15" hidden="false" customHeight="true" outlineLevel="0" collapsed="false">
      <c r="A158" s="16"/>
      <c r="B158" s="10"/>
      <c r="C158" s="17" t="str">
        <f aca="false">IF($B158="","",IFERROR(INDEX(품목마스터!$B$3:$B$302,MATCH($B158,품목마스터!$A$3:$A$302,0)),"미등록품번"))</f>
        <v/>
      </c>
      <c r="D158" s="17" t="str">
        <f aca="false">IF($B158="","",IFERROR(INDEX(품목마스터!$D$3:$D$302,MATCH($B158,품목마스터!$A$3:$A$302,0)),""))</f>
        <v/>
      </c>
      <c r="E158" s="12"/>
      <c r="F158" s="10"/>
    </row>
    <row r="159" customFormat="false" ht="15" hidden="false" customHeight="true" outlineLevel="0" collapsed="false">
      <c r="A159" s="16"/>
      <c r="B159" s="10"/>
      <c r="C159" s="17" t="str">
        <f aca="false">IF($B159="","",IFERROR(INDEX(품목마스터!$B$3:$B$302,MATCH($B159,품목마스터!$A$3:$A$302,0)),"미등록품번"))</f>
        <v/>
      </c>
      <c r="D159" s="17" t="str">
        <f aca="false">IF($B159="","",IFERROR(INDEX(품목마스터!$D$3:$D$302,MATCH($B159,품목마스터!$A$3:$A$302,0)),""))</f>
        <v/>
      </c>
      <c r="E159" s="12"/>
      <c r="F159" s="10"/>
    </row>
    <row r="160" customFormat="false" ht="15" hidden="false" customHeight="true" outlineLevel="0" collapsed="false">
      <c r="A160" s="16"/>
      <c r="B160" s="10"/>
      <c r="C160" s="17" t="str">
        <f aca="false">IF($B160="","",IFERROR(INDEX(품목마스터!$B$3:$B$302,MATCH($B160,품목마스터!$A$3:$A$302,0)),"미등록품번"))</f>
        <v/>
      </c>
      <c r="D160" s="17" t="str">
        <f aca="false">IF($B160="","",IFERROR(INDEX(품목마스터!$D$3:$D$302,MATCH($B160,품목마스터!$A$3:$A$302,0)),""))</f>
        <v/>
      </c>
      <c r="E160" s="12"/>
      <c r="F160" s="10"/>
    </row>
    <row r="161" customFormat="false" ht="15" hidden="false" customHeight="true" outlineLevel="0" collapsed="false">
      <c r="A161" s="16"/>
      <c r="B161" s="10"/>
      <c r="C161" s="17" t="str">
        <f aca="false">IF($B161="","",IFERROR(INDEX(품목마스터!$B$3:$B$302,MATCH($B161,품목마스터!$A$3:$A$302,0)),"미등록품번"))</f>
        <v/>
      </c>
      <c r="D161" s="17" t="str">
        <f aca="false">IF($B161="","",IFERROR(INDEX(품목마스터!$D$3:$D$302,MATCH($B161,품목마스터!$A$3:$A$302,0)),""))</f>
        <v/>
      </c>
      <c r="E161" s="12"/>
      <c r="F161" s="10"/>
    </row>
    <row r="162" customFormat="false" ht="15" hidden="false" customHeight="true" outlineLevel="0" collapsed="false">
      <c r="A162" s="16"/>
      <c r="B162" s="10"/>
      <c r="C162" s="17" t="str">
        <f aca="false">IF($B162="","",IFERROR(INDEX(품목마스터!$B$3:$B$302,MATCH($B162,품목마스터!$A$3:$A$302,0)),"미등록품번"))</f>
        <v/>
      </c>
      <c r="D162" s="17" t="str">
        <f aca="false">IF($B162="","",IFERROR(INDEX(품목마스터!$D$3:$D$302,MATCH($B162,품목마스터!$A$3:$A$302,0)),""))</f>
        <v/>
      </c>
      <c r="E162" s="12"/>
      <c r="F162" s="10"/>
    </row>
    <row r="163" customFormat="false" ht="15" hidden="false" customHeight="true" outlineLevel="0" collapsed="false">
      <c r="A163" s="16"/>
      <c r="B163" s="10"/>
      <c r="C163" s="17" t="str">
        <f aca="false">IF($B163="","",IFERROR(INDEX(품목마스터!$B$3:$B$302,MATCH($B163,품목마스터!$A$3:$A$302,0)),"미등록품번"))</f>
        <v/>
      </c>
      <c r="D163" s="17" t="str">
        <f aca="false">IF($B163="","",IFERROR(INDEX(품목마스터!$D$3:$D$302,MATCH($B163,품목마스터!$A$3:$A$302,0)),""))</f>
        <v/>
      </c>
      <c r="E163" s="12"/>
      <c r="F163" s="10"/>
    </row>
    <row r="164" customFormat="false" ht="15" hidden="false" customHeight="true" outlineLevel="0" collapsed="false">
      <c r="A164" s="16"/>
      <c r="B164" s="10"/>
      <c r="C164" s="17" t="str">
        <f aca="false">IF($B164="","",IFERROR(INDEX(품목마스터!$B$3:$B$302,MATCH($B164,품목마스터!$A$3:$A$302,0)),"미등록품번"))</f>
        <v/>
      </c>
      <c r="D164" s="17" t="str">
        <f aca="false">IF($B164="","",IFERROR(INDEX(품목마스터!$D$3:$D$302,MATCH($B164,품목마스터!$A$3:$A$302,0)),""))</f>
        <v/>
      </c>
      <c r="E164" s="12"/>
      <c r="F164" s="10"/>
    </row>
    <row r="165" customFormat="false" ht="15" hidden="false" customHeight="true" outlineLevel="0" collapsed="false">
      <c r="A165" s="16"/>
      <c r="B165" s="10"/>
      <c r="C165" s="17" t="str">
        <f aca="false">IF($B165="","",IFERROR(INDEX(품목마스터!$B$3:$B$302,MATCH($B165,품목마스터!$A$3:$A$302,0)),"미등록품번"))</f>
        <v/>
      </c>
      <c r="D165" s="17" t="str">
        <f aca="false">IF($B165="","",IFERROR(INDEX(품목마스터!$D$3:$D$302,MATCH($B165,품목마스터!$A$3:$A$302,0)),""))</f>
        <v/>
      </c>
      <c r="E165" s="12"/>
      <c r="F165" s="10"/>
    </row>
    <row r="166" customFormat="false" ht="15" hidden="false" customHeight="true" outlineLevel="0" collapsed="false">
      <c r="A166" s="16"/>
      <c r="B166" s="10"/>
      <c r="C166" s="17" t="str">
        <f aca="false">IF($B166="","",IFERROR(INDEX(품목마스터!$B$3:$B$302,MATCH($B166,품목마스터!$A$3:$A$302,0)),"미등록품번"))</f>
        <v/>
      </c>
      <c r="D166" s="17" t="str">
        <f aca="false">IF($B166="","",IFERROR(INDEX(품목마스터!$D$3:$D$302,MATCH($B166,품목마스터!$A$3:$A$302,0)),""))</f>
        <v/>
      </c>
      <c r="E166" s="12"/>
      <c r="F166" s="10"/>
    </row>
    <row r="167" customFormat="false" ht="15" hidden="false" customHeight="true" outlineLevel="0" collapsed="false">
      <c r="A167" s="16"/>
      <c r="B167" s="10"/>
      <c r="C167" s="17" t="str">
        <f aca="false">IF($B167="","",IFERROR(INDEX(품목마스터!$B$3:$B$302,MATCH($B167,품목마스터!$A$3:$A$302,0)),"미등록품번"))</f>
        <v/>
      </c>
      <c r="D167" s="17" t="str">
        <f aca="false">IF($B167="","",IFERROR(INDEX(품목마스터!$D$3:$D$302,MATCH($B167,품목마스터!$A$3:$A$302,0)),""))</f>
        <v/>
      </c>
      <c r="E167" s="12"/>
      <c r="F167" s="10"/>
    </row>
    <row r="168" customFormat="false" ht="15" hidden="false" customHeight="true" outlineLevel="0" collapsed="false">
      <c r="A168" s="16"/>
      <c r="B168" s="10"/>
      <c r="C168" s="17" t="str">
        <f aca="false">IF($B168="","",IFERROR(INDEX(품목마스터!$B$3:$B$302,MATCH($B168,품목마스터!$A$3:$A$302,0)),"미등록품번"))</f>
        <v/>
      </c>
      <c r="D168" s="17" t="str">
        <f aca="false">IF($B168="","",IFERROR(INDEX(품목마스터!$D$3:$D$302,MATCH($B168,품목마스터!$A$3:$A$302,0)),""))</f>
        <v/>
      </c>
      <c r="E168" s="12"/>
      <c r="F168" s="10"/>
    </row>
    <row r="169" customFormat="false" ht="15" hidden="false" customHeight="true" outlineLevel="0" collapsed="false">
      <c r="A169" s="16"/>
      <c r="B169" s="10"/>
      <c r="C169" s="17" t="str">
        <f aca="false">IF($B169="","",IFERROR(INDEX(품목마스터!$B$3:$B$302,MATCH($B169,품목마스터!$A$3:$A$302,0)),"미등록품번"))</f>
        <v/>
      </c>
      <c r="D169" s="17" t="str">
        <f aca="false">IF($B169="","",IFERROR(INDEX(품목마스터!$D$3:$D$302,MATCH($B169,품목마스터!$A$3:$A$302,0)),""))</f>
        <v/>
      </c>
      <c r="E169" s="12"/>
      <c r="F169" s="10"/>
    </row>
    <row r="170" customFormat="false" ht="15" hidden="false" customHeight="true" outlineLevel="0" collapsed="false">
      <c r="A170" s="16"/>
      <c r="B170" s="10"/>
      <c r="C170" s="17" t="str">
        <f aca="false">IF($B170="","",IFERROR(INDEX(품목마스터!$B$3:$B$302,MATCH($B170,품목마스터!$A$3:$A$302,0)),"미등록품번"))</f>
        <v/>
      </c>
      <c r="D170" s="17" t="str">
        <f aca="false">IF($B170="","",IFERROR(INDEX(품목마스터!$D$3:$D$302,MATCH($B170,품목마스터!$A$3:$A$302,0)),""))</f>
        <v/>
      </c>
      <c r="E170" s="12"/>
      <c r="F170" s="10"/>
    </row>
    <row r="171" customFormat="false" ht="15" hidden="false" customHeight="true" outlineLevel="0" collapsed="false">
      <c r="A171" s="16"/>
      <c r="B171" s="10"/>
      <c r="C171" s="17" t="str">
        <f aca="false">IF($B171="","",IFERROR(INDEX(품목마스터!$B$3:$B$302,MATCH($B171,품목마스터!$A$3:$A$302,0)),"미등록품번"))</f>
        <v/>
      </c>
      <c r="D171" s="17" t="str">
        <f aca="false">IF($B171="","",IFERROR(INDEX(품목마스터!$D$3:$D$302,MATCH($B171,품목마스터!$A$3:$A$302,0)),""))</f>
        <v/>
      </c>
      <c r="E171" s="12"/>
      <c r="F171" s="10"/>
    </row>
    <row r="172" customFormat="false" ht="15" hidden="false" customHeight="true" outlineLevel="0" collapsed="false">
      <c r="A172" s="16"/>
      <c r="B172" s="10"/>
      <c r="C172" s="17" t="str">
        <f aca="false">IF($B172="","",IFERROR(INDEX(품목마스터!$B$3:$B$302,MATCH($B172,품목마스터!$A$3:$A$302,0)),"미등록품번"))</f>
        <v/>
      </c>
      <c r="D172" s="17" t="str">
        <f aca="false">IF($B172="","",IFERROR(INDEX(품목마스터!$D$3:$D$302,MATCH($B172,품목마스터!$A$3:$A$302,0)),""))</f>
        <v/>
      </c>
      <c r="E172" s="12"/>
      <c r="F172" s="10"/>
    </row>
    <row r="173" customFormat="false" ht="15" hidden="false" customHeight="true" outlineLevel="0" collapsed="false">
      <c r="A173" s="16"/>
      <c r="B173" s="10"/>
      <c r="C173" s="17" t="str">
        <f aca="false">IF($B173="","",IFERROR(INDEX(품목마스터!$B$3:$B$302,MATCH($B173,품목마스터!$A$3:$A$302,0)),"미등록품번"))</f>
        <v/>
      </c>
      <c r="D173" s="17" t="str">
        <f aca="false">IF($B173="","",IFERROR(INDEX(품목마스터!$D$3:$D$302,MATCH($B173,품목마스터!$A$3:$A$302,0)),""))</f>
        <v/>
      </c>
      <c r="E173" s="12"/>
      <c r="F173" s="10"/>
    </row>
    <row r="174" customFormat="false" ht="15" hidden="false" customHeight="true" outlineLevel="0" collapsed="false">
      <c r="A174" s="16"/>
      <c r="B174" s="10"/>
      <c r="C174" s="17" t="str">
        <f aca="false">IF($B174="","",IFERROR(INDEX(품목마스터!$B$3:$B$302,MATCH($B174,품목마스터!$A$3:$A$302,0)),"미등록품번"))</f>
        <v/>
      </c>
      <c r="D174" s="17" t="str">
        <f aca="false">IF($B174="","",IFERROR(INDEX(품목마스터!$D$3:$D$302,MATCH($B174,품목마스터!$A$3:$A$302,0)),""))</f>
        <v/>
      </c>
      <c r="E174" s="12"/>
      <c r="F174" s="10"/>
    </row>
    <row r="175" customFormat="false" ht="15" hidden="false" customHeight="true" outlineLevel="0" collapsed="false">
      <c r="A175" s="16"/>
      <c r="B175" s="10"/>
      <c r="C175" s="17" t="str">
        <f aca="false">IF($B175="","",IFERROR(INDEX(품목마스터!$B$3:$B$302,MATCH($B175,품목마스터!$A$3:$A$302,0)),"미등록품번"))</f>
        <v/>
      </c>
      <c r="D175" s="17" t="str">
        <f aca="false">IF($B175="","",IFERROR(INDEX(품목마스터!$D$3:$D$302,MATCH($B175,품목마스터!$A$3:$A$302,0)),""))</f>
        <v/>
      </c>
      <c r="E175" s="12"/>
      <c r="F175" s="10"/>
    </row>
    <row r="176" customFormat="false" ht="15" hidden="false" customHeight="true" outlineLevel="0" collapsed="false">
      <c r="A176" s="16"/>
      <c r="B176" s="10"/>
      <c r="C176" s="17" t="str">
        <f aca="false">IF($B176="","",IFERROR(INDEX(품목마스터!$B$3:$B$302,MATCH($B176,품목마스터!$A$3:$A$302,0)),"미등록품번"))</f>
        <v/>
      </c>
      <c r="D176" s="17" t="str">
        <f aca="false">IF($B176="","",IFERROR(INDEX(품목마스터!$D$3:$D$302,MATCH($B176,품목마스터!$A$3:$A$302,0)),""))</f>
        <v/>
      </c>
      <c r="E176" s="12"/>
      <c r="F176" s="10"/>
    </row>
    <row r="177" customFormat="false" ht="15" hidden="false" customHeight="true" outlineLevel="0" collapsed="false">
      <c r="A177" s="16"/>
      <c r="B177" s="10"/>
      <c r="C177" s="17" t="str">
        <f aca="false">IF($B177="","",IFERROR(INDEX(품목마스터!$B$3:$B$302,MATCH($B177,품목마스터!$A$3:$A$302,0)),"미등록품번"))</f>
        <v/>
      </c>
      <c r="D177" s="17" t="str">
        <f aca="false">IF($B177="","",IFERROR(INDEX(품목마스터!$D$3:$D$302,MATCH($B177,품목마스터!$A$3:$A$302,0)),""))</f>
        <v/>
      </c>
      <c r="E177" s="12"/>
      <c r="F177" s="10"/>
    </row>
    <row r="178" customFormat="false" ht="15" hidden="false" customHeight="true" outlineLevel="0" collapsed="false">
      <c r="A178" s="16"/>
      <c r="B178" s="10"/>
      <c r="C178" s="17" t="str">
        <f aca="false">IF($B178="","",IFERROR(INDEX(품목마스터!$B$3:$B$302,MATCH($B178,품목마스터!$A$3:$A$302,0)),"미등록품번"))</f>
        <v/>
      </c>
      <c r="D178" s="17" t="str">
        <f aca="false">IF($B178="","",IFERROR(INDEX(품목마스터!$D$3:$D$302,MATCH($B178,품목마스터!$A$3:$A$302,0)),""))</f>
        <v/>
      </c>
      <c r="E178" s="12"/>
      <c r="F178" s="10"/>
    </row>
    <row r="179" customFormat="false" ht="15" hidden="false" customHeight="true" outlineLevel="0" collapsed="false">
      <c r="A179" s="16"/>
      <c r="B179" s="10"/>
      <c r="C179" s="17" t="str">
        <f aca="false">IF($B179="","",IFERROR(INDEX(품목마스터!$B$3:$B$302,MATCH($B179,품목마스터!$A$3:$A$302,0)),"미등록품번"))</f>
        <v/>
      </c>
      <c r="D179" s="17" t="str">
        <f aca="false">IF($B179="","",IFERROR(INDEX(품목마스터!$D$3:$D$302,MATCH($B179,품목마스터!$A$3:$A$302,0)),""))</f>
        <v/>
      </c>
      <c r="E179" s="12"/>
      <c r="F179" s="10"/>
    </row>
    <row r="180" customFormat="false" ht="15" hidden="false" customHeight="true" outlineLevel="0" collapsed="false">
      <c r="A180" s="16"/>
      <c r="B180" s="10"/>
      <c r="C180" s="17" t="str">
        <f aca="false">IF($B180="","",IFERROR(INDEX(품목마스터!$B$3:$B$302,MATCH($B180,품목마스터!$A$3:$A$302,0)),"미등록품번"))</f>
        <v/>
      </c>
      <c r="D180" s="17" t="str">
        <f aca="false">IF($B180="","",IFERROR(INDEX(품목마스터!$D$3:$D$302,MATCH($B180,품목마스터!$A$3:$A$302,0)),""))</f>
        <v/>
      </c>
      <c r="E180" s="12"/>
      <c r="F180" s="10"/>
    </row>
    <row r="181" customFormat="false" ht="15" hidden="false" customHeight="true" outlineLevel="0" collapsed="false">
      <c r="A181" s="16"/>
      <c r="B181" s="10"/>
      <c r="C181" s="17" t="str">
        <f aca="false">IF($B181="","",IFERROR(INDEX(품목마스터!$B$3:$B$302,MATCH($B181,품목마스터!$A$3:$A$302,0)),"미등록품번"))</f>
        <v/>
      </c>
      <c r="D181" s="17" t="str">
        <f aca="false">IF($B181="","",IFERROR(INDEX(품목마스터!$D$3:$D$302,MATCH($B181,품목마스터!$A$3:$A$302,0)),""))</f>
        <v/>
      </c>
      <c r="E181" s="12"/>
      <c r="F181" s="10"/>
    </row>
    <row r="182" customFormat="false" ht="15" hidden="false" customHeight="true" outlineLevel="0" collapsed="false">
      <c r="A182" s="16"/>
      <c r="B182" s="10"/>
      <c r="C182" s="17" t="str">
        <f aca="false">IF($B182="","",IFERROR(INDEX(품목마스터!$B$3:$B$302,MATCH($B182,품목마스터!$A$3:$A$302,0)),"미등록품번"))</f>
        <v/>
      </c>
      <c r="D182" s="17" t="str">
        <f aca="false">IF($B182="","",IFERROR(INDEX(품목마스터!$D$3:$D$302,MATCH($B182,품목마스터!$A$3:$A$302,0)),""))</f>
        <v/>
      </c>
      <c r="E182" s="12"/>
      <c r="F182" s="10"/>
    </row>
    <row r="183" customFormat="false" ht="15" hidden="false" customHeight="true" outlineLevel="0" collapsed="false">
      <c r="A183" s="16"/>
      <c r="B183" s="10"/>
      <c r="C183" s="17" t="str">
        <f aca="false">IF($B183="","",IFERROR(INDEX(품목마스터!$B$3:$B$302,MATCH($B183,품목마스터!$A$3:$A$302,0)),"미등록품번"))</f>
        <v/>
      </c>
      <c r="D183" s="17" t="str">
        <f aca="false">IF($B183="","",IFERROR(INDEX(품목마스터!$D$3:$D$302,MATCH($B183,품목마스터!$A$3:$A$302,0)),""))</f>
        <v/>
      </c>
      <c r="E183" s="12"/>
      <c r="F183" s="10"/>
    </row>
    <row r="184" customFormat="false" ht="15" hidden="false" customHeight="true" outlineLevel="0" collapsed="false">
      <c r="A184" s="16"/>
      <c r="B184" s="10"/>
      <c r="C184" s="17" t="str">
        <f aca="false">IF($B184="","",IFERROR(INDEX(품목마스터!$B$3:$B$302,MATCH($B184,품목마스터!$A$3:$A$302,0)),"미등록품번"))</f>
        <v/>
      </c>
      <c r="D184" s="17" t="str">
        <f aca="false">IF($B184="","",IFERROR(INDEX(품목마스터!$D$3:$D$302,MATCH($B184,품목마스터!$A$3:$A$302,0)),""))</f>
        <v/>
      </c>
      <c r="E184" s="12"/>
      <c r="F184" s="10"/>
    </row>
    <row r="185" customFormat="false" ht="15" hidden="false" customHeight="true" outlineLevel="0" collapsed="false">
      <c r="A185" s="16"/>
      <c r="B185" s="10"/>
      <c r="C185" s="17" t="str">
        <f aca="false">IF($B185="","",IFERROR(INDEX(품목마스터!$B$3:$B$302,MATCH($B185,품목마스터!$A$3:$A$302,0)),"미등록품번"))</f>
        <v/>
      </c>
      <c r="D185" s="17" t="str">
        <f aca="false">IF($B185="","",IFERROR(INDEX(품목마스터!$D$3:$D$302,MATCH($B185,품목마스터!$A$3:$A$302,0)),""))</f>
        <v/>
      </c>
      <c r="E185" s="12"/>
      <c r="F185" s="10"/>
    </row>
    <row r="186" customFormat="false" ht="15" hidden="false" customHeight="true" outlineLevel="0" collapsed="false">
      <c r="A186" s="16"/>
      <c r="B186" s="10"/>
      <c r="C186" s="17" t="str">
        <f aca="false">IF($B186="","",IFERROR(INDEX(품목마스터!$B$3:$B$302,MATCH($B186,품목마스터!$A$3:$A$302,0)),"미등록품번"))</f>
        <v/>
      </c>
      <c r="D186" s="17" t="str">
        <f aca="false">IF($B186="","",IFERROR(INDEX(품목마스터!$D$3:$D$302,MATCH($B186,품목마스터!$A$3:$A$302,0)),""))</f>
        <v/>
      </c>
      <c r="E186" s="12"/>
      <c r="F186" s="10"/>
    </row>
    <row r="187" customFormat="false" ht="15" hidden="false" customHeight="true" outlineLevel="0" collapsed="false">
      <c r="A187" s="16"/>
      <c r="B187" s="10"/>
      <c r="C187" s="17" t="str">
        <f aca="false">IF($B187="","",IFERROR(INDEX(품목마스터!$B$3:$B$302,MATCH($B187,품목마스터!$A$3:$A$302,0)),"미등록품번"))</f>
        <v/>
      </c>
      <c r="D187" s="17" t="str">
        <f aca="false">IF($B187="","",IFERROR(INDEX(품목마스터!$D$3:$D$302,MATCH($B187,품목마스터!$A$3:$A$302,0)),""))</f>
        <v/>
      </c>
      <c r="E187" s="12"/>
      <c r="F187" s="10"/>
    </row>
    <row r="188" customFormat="false" ht="15" hidden="false" customHeight="true" outlineLevel="0" collapsed="false">
      <c r="A188" s="16"/>
      <c r="B188" s="10"/>
      <c r="C188" s="17" t="str">
        <f aca="false">IF($B188="","",IFERROR(INDEX(품목마스터!$B$3:$B$302,MATCH($B188,품목마스터!$A$3:$A$302,0)),"미등록품번"))</f>
        <v/>
      </c>
      <c r="D188" s="17" t="str">
        <f aca="false">IF($B188="","",IFERROR(INDEX(품목마스터!$D$3:$D$302,MATCH($B188,품목마스터!$A$3:$A$302,0)),""))</f>
        <v/>
      </c>
      <c r="E188" s="12"/>
      <c r="F188" s="10"/>
    </row>
    <row r="189" customFormat="false" ht="15" hidden="false" customHeight="true" outlineLevel="0" collapsed="false">
      <c r="A189" s="16"/>
      <c r="B189" s="10"/>
      <c r="C189" s="17" t="str">
        <f aca="false">IF($B189="","",IFERROR(INDEX(품목마스터!$B$3:$B$302,MATCH($B189,품목마스터!$A$3:$A$302,0)),"미등록품번"))</f>
        <v/>
      </c>
      <c r="D189" s="17" t="str">
        <f aca="false">IF($B189="","",IFERROR(INDEX(품목마스터!$D$3:$D$302,MATCH($B189,품목마스터!$A$3:$A$302,0)),""))</f>
        <v/>
      </c>
      <c r="E189" s="12"/>
      <c r="F189" s="10"/>
    </row>
    <row r="190" customFormat="false" ht="15" hidden="false" customHeight="true" outlineLevel="0" collapsed="false">
      <c r="A190" s="16"/>
      <c r="B190" s="10"/>
      <c r="C190" s="17" t="str">
        <f aca="false">IF($B190="","",IFERROR(INDEX(품목마스터!$B$3:$B$302,MATCH($B190,품목마스터!$A$3:$A$302,0)),"미등록품번"))</f>
        <v/>
      </c>
      <c r="D190" s="17" t="str">
        <f aca="false">IF($B190="","",IFERROR(INDEX(품목마스터!$D$3:$D$302,MATCH($B190,품목마스터!$A$3:$A$302,0)),""))</f>
        <v/>
      </c>
      <c r="E190" s="12"/>
      <c r="F190" s="10"/>
    </row>
    <row r="191" customFormat="false" ht="15" hidden="false" customHeight="true" outlineLevel="0" collapsed="false">
      <c r="A191" s="16"/>
      <c r="B191" s="10"/>
      <c r="C191" s="17" t="str">
        <f aca="false">IF($B191="","",IFERROR(INDEX(품목마스터!$B$3:$B$302,MATCH($B191,품목마스터!$A$3:$A$302,0)),"미등록품번"))</f>
        <v/>
      </c>
      <c r="D191" s="17" t="str">
        <f aca="false">IF($B191="","",IFERROR(INDEX(품목마스터!$D$3:$D$302,MATCH($B191,품목마스터!$A$3:$A$302,0)),""))</f>
        <v/>
      </c>
      <c r="E191" s="12"/>
      <c r="F191" s="10"/>
    </row>
    <row r="192" customFormat="false" ht="15" hidden="false" customHeight="true" outlineLevel="0" collapsed="false">
      <c r="A192" s="16"/>
      <c r="B192" s="10"/>
      <c r="C192" s="17" t="str">
        <f aca="false">IF($B192="","",IFERROR(INDEX(품목마스터!$B$3:$B$302,MATCH($B192,품목마스터!$A$3:$A$302,0)),"미등록품번"))</f>
        <v/>
      </c>
      <c r="D192" s="17" t="str">
        <f aca="false">IF($B192="","",IFERROR(INDEX(품목마스터!$D$3:$D$302,MATCH($B192,품목마스터!$A$3:$A$302,0)),""))</f>
        <v/>
      </c>
      <c r="E192" s="12"/>
      <c r="F192" s="10"/>
    </row>
    <row r="193" customFormat="false" ht="15" hidden="false" customHeight="true" outlineLevel="0" collapsed="false">
      <c r="A193" s="16"/>
      <c r="B193" s="10"/>
      <c r="C193" s="17" t="str">
        <f aca="false">IF($B193="","",IFERROR(INDEX(품목마스터!$B$3:$B$302,MATCH($B193,품목마스터!$A$3:$A$302,0)),"미등록품번"))</f>
        <v/>
      </c>
      <c r="D193" s="17" t="str">
        <f aca="false">IF($B193="","",IFERROR(INDEX(품목마스터!$D$3:$D$302,MATCH($B193,품목마스터!$A$3:$A$302,0)),""))</f>
        <v/>
      </c>
      <c r="E193" s="12"/>
      <c r="F193" s="10"/>
    </row>
    <row r="194" customFormat="false" ht="15" hidden="false" customHeight="true" outlineLevel="0" collapsed="false">
      <c r="A194" s="16"/>
      <c r="B194" s="10"/>
      <c r="C194" s="17" t="str">
        <f aca="false">IF($B194="","",IFERROR(INDEX(품목마스터!$B$3:$B$302,MATCH($B194,품목마스터!$A$3:$A$302,0)),"미등록품번"))</f>
        <v/>
      </c>
      <c r="D194" s="17" t="str">
        <f aca="false">IF($B194="","",IFERROR(INDEX(품목마스터!$D$3:$D$302,MATCH($B194,품목마스터!$A$3:$A$302,0)),""))</f>
        <v/>
      </c>
      <c r="E194" s="12"/>
      <c r="F194" s="10"/>
    </row>
    <row r="195" customFormat="false" ht="15" hidden="false" customHeight="true" outlineLevel="0" collapsed="false">
      <c r="A195" s="16"/>
      <c r="B195" s="10"/>
      <c r="C195" s="17" t="str">
        <f aca="false">IF($B195="","",IFERROR(INDEX(품목마스터!$B$3:$B$302,MATCH($B195,품목마스터!$A$3:$A$302,0)),"미등록품번"))</f>
        <v/>
      </c>
      <c r="D195" s="17" t="str">
        <f aca="false">IF($B195="","",IFERROR(INDEX(품목마스터!$D$3:$D$302,MATCH($B195,품목마스터!$A$3:$A$302,0)),""))</f>
        <v/>
      </c>
      <c r="E195" s="12"/>
      <c r="F195" s="10"/>
    </row>
    <row r="196" customFormat="false" ht="15" hidden="false" customHeight="true" outlineLevel="0" collapsed="false">
      <c r="A196" s="16"/>
      <c r="B196" s="10"/>
      <c r="C196" s="17" t="str">
        <f aca="false">IF($B196="","",IFERROR(INDEX(품목마스터!$B$3:$B$302,MATCH($B196,품목마스터!$A$3:$A$302,0)),"미등록품번"))</f>
        <v/>
      </c>
      <c r="D196" s="17" t="str">
        <f aca="false">IF($B196="","",IFERROR(INDEX(품목마스터!$D$3:$D$302,MATCH($B196,품목마스터!$A$3:$A$302,0)),""))</f>
        <v/>
      </c>
      <c r="E196" s="12"/>
      <c r="F196" s="10"/>
    </row>
    <row r="197" customFormat="false" ht="15" hidden="false" customHeight="true" outlineLevel="0" collapsed="false">
      <c r="A197" s="16"/>
      <c r="B197" s="10"/>
      <c r="C197" s="17" t="str">
        <f aca="false">IF($B197="","",IFERROR(INDEX(품목마스터!$B$3:$B$302,MATCH($B197,품목마스터!$A$3:$A$302,0)),"미등록품번"))</f>
        <v/>
      </c>
      <c r="D197" s="17" t="str">
        <f aca="false">IF($B197="","",IFERROR(INDEX(품목마스터!$D$3:$D$302,MATCH($B197,품목마스터!$A$3:$A$302,0)),""))</f>
        <v/>
      </c>
      <c r="E197" s="12"/>
      <c r="F197" s="10"/>
    </row>
    <row r="198" customFormat="false" ht="15" hidden="false" customHeight="true" outlineLevel="0" collapsed="false">
      <c r="A198" s="16"/>
      <c r="B198" s="10"/>
      <c r="C198" s="17" t="str">
        <f aca="false">IF($B198="","",IFERROR(INDEX(품목마스터!$B$3:$B$302,MATCH($B198,품목마스터!$A$3:$A$302,0)),"미등록품번"))</f>
        <v/>
      </c>
      <c r="D198" s="17" t="str">
        <f aca="false">IF($B198="","",IFERROR(INDEX(품목마스터!$D$3:$D$302,MATCH($B198,품목마스터!$A$3:$A$302,0)),""))</f>
        <v/>
      </c>
      <c r="E198" s="12"/>
      <c r="F198" s="10"/>
    </row>
    <row r="199" customFormat="false" ht="15" hidden="false" customHeight="true" outlineLevel="0" collapsed="false">
      <c r="A199" s="16"/>
      <c r="B199" s="10"/>
      <c r="C199" s="17" t="str">
        <f aca="false">IF($B199="","",IFERROR(INDEX(품목마스터!$B$3:$B$302,MATCH($B199,품목마스터!$A$3:$A$302,0)),"미등록품번"))</f>
        <v/>
      </c>
      <c r="D199" s="17" t="str">
        <f aca="false">IF($B199="","",IFERROR(INDEX(품목마스터!$D$3:$D$302,MATCH($B199,품목마스터!$A$3:$A$302,0)),""))</f>
        <v/>
      </c>
      <c r="E199" s="12"/>
      <c r="F199" s="10"/>
    </row>
    <row r="200" customFormat="false" ht="15" hidden="false" customHeight="true" outlineLevel="0" collapsed="false">
      <c r="A200" s="16"/>
      <c r="B200" s="10"/>
      <c r="C200" s="17" t="str">
        <f aca="false">IF($B200="","",IFERROR(INDEX(품목마스터!$B$3:$B$302,MATCH($B200,품목마스터!$A$3:$A$302,0)),"미등록품번"))</f>
        <v/>
      </c>
      <c r="D200" s="17" t="str">
        <f aca="false">IF($B200="","",IFERROR(INDEX(품목마스터!$D$3:$D$302,MATCH($B200,품목마스터!$A$3:$A$302,0)),""))</f>
        <v/>
      </c>
      <c r="E200" s="12"/>
      <c r="F200" s="10"/>
    </row>
    <row r="201" customFormat="false" ht="15" hidden="false" customHeight="true" outlineLevel="0" collapsed="false">
      <c r="A201" s="16"/>
      <c r="B201" s="10"/>
      <c r="C201" s="17" t="str">
        <f aca="false">IF($B201="","",IFERROR(INDEX(품목마스터!$B$3:$B$302,MATCH($B201,품목마스터!$A$3:$A$302,0)),"미등록품번"))</f>
        <v/>
      </c>
      <c r="D201" s="17" t="str">
        <f aca="false">IF($B201="","",IFERROR(INDEX(품목마스터!$D$3:$D$302,MATCH($B201,품목마스터!$A$3:$A$302,0)),""))</f>
        <v/>
      </c>
      <c r="E201" s="12"/>
      <c r="F201" s="10"/>
    </row>
    <row r="202" customFormat="false" ht="15" hidden="false" customHeight="true" outlineLevel="0" collapsed="false">
      <c r="A202" s="16"/>
      <c r="B202" s="10"/>
      <c r="C202" s="17" t="str">
        <f aca="false">IF($B202="","",IFERROR(INDEX(품목마스터!$B$3:$B$302,MATCH($B202,품목마스터!$A$3:$A$302,0)),"미등록품번"))</f>
        <v/>
      </c>
      <c r="D202" s="17" t="str">
        <f aca="false">IF($B202="","",IFERROR(INDEX(품목마스터!$D$3:$D$302,MATCH($B202,품목마스터!$A$3:$A$302,0)),""))</f>
        <v/>
      </c>
      <c r="E202" s="12"/>
      <c r="F202" s="10"/>
    </row>
    <row r="203" customFormat="false" ht="15" hidden="false" customHeight="true" outlineLevel="0" collapsed="false">
      <c r="A203" s="16"/>
      <c r="B203" s="10"/>
      <c r="C203" s="17" t="str">
        <f aca="false">IF($B203="","",IFERROR(INDEX(품목마스터!$B$3:$B$302,MATCH($B203,품목마스터!$A$3:$A$302,0)),"미등록품번"))</f>
        <v/>
      </c>
      <c r="D203" s="17" t="str">
        <f aca="false">IF($B203="","",IFERROR(INDEX(품목마스터!$D$3:$D$302,MATCH($B203,품목마스터!$A$3:$A$302,0)),""))</f>
        <v/>
      </c>
      <c r="E203" s="12"/>
      <c r="F203" s="10"/>
    </row>
    <row r="204" customFormat="false" ht="15" hidden="false" customHeight="true" outlineLevel="0" collapsed="false">
      <c r="A204" s="16"/>
      <c r="B204" s="10"/>
      <c r="C204" s="17" t="str">
        <f aca="false">IF($B204="","",IFERROR(INDEX(품목마스터!$B$3:$B$302,MATCH($B204,품목마스터!$A$3:$A$302,0)),"미등록품번"))</f>
        <v/>
      </c>
      <c r="D204" s="17" t="str">
        <f aca="false">IF($B204="","",IFERROR(INDEX(품목마스터!$D$3:$D$302,MATCH($B204,품목마스터!$A$3:$A$302,0)),""))</f>
        <v/>
      </c>
      <c r="E204" s="12"/>
      <c r="F204" s="10"/>
    </row>
    <row r="205" customFormat="false" ht="15" hidden="false" customHeight="true" outlineLevel="0" collapsed="false">
      <c r="A205" s="16"/>
      <c r="B205" s="10"/>
      <c r="C205" s="17" t="str">
        <f aca="false">IF($B205="","",IFERROR(INDEX(품목마스터!$B$3:$B$302,MATCH($B205,품목마스터!$A$3:$A$302,0)),"미등록품번"))</f>
        <v/>
      </c>
      <c r="D205" s="17" t="str">
        <f aca="false">IF($B205="","",IFERROR(INDEX(품목마스터!$D$3:$D$302,MATCH($B205,품목마스터!$A$3:$A$302,0)),""))</f>
        <v/>
      </c>
      <c r="E205" s="12"/>
      <c r="F205" s="10"/>
    </row>
    <row r="206" customFormat="false" ht="15" hidden="false" customHeight="true" outlineLevel="0" collapsed="false">
      <c r="A206" s="16"/>
      <c r="B206" s="10"/>
      <c r="C206" s="17" t="str">
        <f aca="false">IF($B206="","",IFERROR(INDEX(품목마스터!$B$3:$B$302,MATCH($B206,품목마스터!$A$3:$A$302,0)),"미등록품번"))</f>
        <v/>
      </c>
      <c r="D206" s="17" t="str">
        <f aca="false">IF($B206="","",IFERROR(INDEX(품목마스터!$D$3:$D$302,MATCH($B206,품목마스터!$A$3:$A$302,0)),""))</f>
        <v/>
      </c>
      <c r="E206" s="12"/>
      <c r="F206" s="10"/>
    </row>
    <row r="207" customFormat="false" ht="15" hidden="false" customHeight="true" outlineLevel="0" collapsed="false">
      <c r="A207" s="16"/>
      <c r="B207" s="10"/>
      <c r="C207" s="17" t="str">
        <f aca="false">IF($B207="","",IFERROR(INDEX(품목마스터!$B$3:$B$302,MATCH($B207,품목마스터!$A$3:$A$302,0)),"미등록품번"))</f>
        <v/>
      </c>
      <c r="D207" s="17" t="str">
        <f aca="false">IF($B207="","",IFERROR(INDEX(품목마스터!$D$3:$D$302,MATCH($B207,품목마스터!$A$3:$A$302,0)),""))</f>
        <v/>
      </c>
      <c r="E207" s="12"/>
      <c r="F207" s="10"/>
    </row>
    <row r="208" customFormat="false" ht="15" hidden="false" customHeight="true" outlineLevel="0" collapsed="false">
      <c r="A208" s="16"/>
      <c r="B208" s="10"/>
      <c r="C208" s="17" t="str">
        <f aca="false">IF($B208="","",IFERROR(INDEX(품목마스터!$B$3:$B$302,MATCH($B208,품목마스터!$A$3:$A$302,0)),"미등록품번"))</f>
        <v/>
      </c>
      <c r="D208" s="17" t="str">
        <f aca="false">IF($B208="","",IFERROR(INDEX(품목마스터!$D$3:$D$302,MATCH($B208,품목마스터!$A$3:$A$302,0)),""))</f>
        <v/>
      </c>
      <c r="E208" s="12"/>
      <c r="F208" s="10"/>
    </row>
    <row r="209" customFormat="false" ht="15" hidden="false" customHeight="true" outlineLevel="0" collapsed="false">
      <c r="A209" s="16"/>
      <c r="B209" s="10"/>
      <c r="C209" s="17" t="str">
        <f aca="false">IF($B209="","",IFERROR(INDEX(품목마스터!$B$3:$B$302,MATCH($B209,품목마스터!$A$3:$A$302,0)),"미등록품번"))</f>
        <v/>
      </c>
      <c r="D209" s="17" t="str">
        <f aca="false">IF($B209="","",IFERROR(INDEX(품목마스터!$D$3:$D$302,MATCH($B209,품목마스터!$A$3:$A$302,0)),""))</f>
        <v/>
      </c>
      <c r="E209" s="12"/>
      <c r="F209" s="10"/>
    </row>
    <row r="210" customFormat="false" ht="15" hidden="false" customHeight="true" outlineLevel="0" collapsed="false">
      <c r="A210" s="16"/>
      <c r="B210" s="10"/>
      <c r="C210" s="17" t="str">
        <f aca="false">IF($B210="","",IFERROR(INDEX(품목마스터!$B$3:$B$302,MATCH($B210,품목마스터!$A$3:$A$302,0)),"미등록품번"))</f>
        <v/>
      </c>
      <c r="D210" s="17" t="str">
        <f aca="false">IF($B210="","",IFERROR(INDEX(품목마스터!$D$3:$D$302,MATCH($B210,품목마스터!$A$3:$A$302,0)),""))</f>
        <v/>
      </c>
      <c r="E210" s="12"/>
      <c r="F210" s="10"/>
    </row>
    <row r="211" customFormat="false" ht="15" hidden="false" customHeight="true" outlineLevel="0" collapsed="false">
      <c r="A211" s="16"/>
      <c r="B211" s="10"/>
      <c r="C211" s="17" t="str">
        <f aca="false">IF($B211="","",IFERROR(INDEX(품목마스터!$B$3:$B$302,MATCH($B211,품목마스터!$A$3:$A$302,0)),"미등록품번"))</f>
        <v/>
      </c>
      <c r="D211" s="17" t="str">
        <f aca="false">IF($B211="","",IFERROR(INDEX(품목마스터!$D$3:$D$302,MATCH($B211,품목마스터!$A$3:$A$302,0)),""))</f>
        <v/>
      </c>
      <c r="E211" s="12"/>
      <c r="F211" s="10"/>
    </row>
    <row r="212" customFormat="false" ht="15" hidden="false" customHeight="true" outlineLevel="0" collapsed="false">
      <c r="A212" s="16"/>
      <c r="B212" s="10"/>
      <c r="C212" s="17" t="str">
        <f aca="false">IF($B212="","",IFERROR(INDEX(품목마스터!$B$3:$B$302,MATCH($B212,품목마스터!$A$3:$A$302,0)),"미등록품번"))</f>
        <v/>
      </c>
      <c r="D212" s="17" t="str">
        <f aca="false">IF($B212="","",IFERROR(INDEX(품목마스터!$D$3:$D$302,MATCH($B212,품목마스터!$A$3:$A$302,0)),""))</f>
        <v/>
      </c>
      <c r="E212" s="12"/>
      <c r="F212" s="10"/>
    </row>
    <row r="213" customFormat="false" ht="15" hidden="false" customHeight="true" outlineLevel="0" collapsed="false">
      <c r="A213" s="16"/>
      <c r="B213" s="10"/>
      <c r="C213" s="17" t="str">
        <f aca="false">IF($B213="","",IFERROR(INDEX(품목마스터!$B$3:$B$302,MATCH($B213,품목마스터!$A$3:$A$302,0)),"미등록품번"))</f>
        <v/>
      </c>
      <c r="D213" s="17" t="str">
        <f aca="false">IF($B213="","",IFERROR(INDEX(품목마스터!$D$3:$D$302,MATCH($B213,품목마스터!$A$3:$A$302,0)),""))</f>
        <v/>
      </c>
      <c r="E213" s="12"/>
      <c r="F213" s="10"/>
    </row>
    <row r="214" customFormat="false" ht="15" hidden="false" customHeight="true" outlineLevel="0" collapsed="false">
      <c r="A214" s="16"/>
      <c r="B214" s="10"/>
      <c r="C214" s="17" t="str">
        <f aca="false">IF($B214="","",IFERROR(INDEX(품목마스터!$B$3:$B$302,MATCH($B214,품목마스터!$A$3:$A$302,0)),"미등록품번"))</f>
        <v/>
      </c>
      <c r="D214" s="17" t="str">
        <f aca="false">IF($B214="","",IFERROR(INDEX(품목마스터!$D$3:$D$302,MATCH($B214,품목마스터!$A$3:$A$302,0)),""))</f>
        <v/>
      </c>
      <c r="E214" s="12"/>
      <c r="F214" s="10"/>
    </row>
    <row r="215" customFormat="false" ht="15" hidden="false" customHeight="true" outlineLevel="0" collapsed="false">
      <c r="A215" s="16"/>
      <c r="B215" s="10"/>
      <c r="C215" s="17" t="str">
        <f aca="false">IF($B215="","",IFERROR(INDEX(품목마스터!$B$3:$B$302,MATCH($B215,품목마스터!$A$3:$A$302,0)),"미등록품번"))</f>
        <v/>
      </c>
      <c r="D215" s="17" t="str">
        <f aca="false">IF($B215="","",IFERROR(INDEX(품목마스터!$D$3:$D$302,MATCH($B215,품목마스터!$A$3:$A$302,0)),""))</f>
        <v/>
      </c>
      <c r="E215" s="12"/>
      <c r="F215" s="10"/>
    </row>
    <row r="216" customFormat="false" ht="15" hidden="false" customHeight="true" outlineLevel="0" collapsed="false">
      <c r="A216" s="16"/>
      <c r="B216" s="10"/>
      <c r="C216" s="17" t="str">
        <f aca="false">IF($B216="","",IFERROR(INDEX(품목마스터!$B$3:$B$302,MATCH($B216,품목마스터!$A$3:$A$302,0)),"미등록품번"))</f>
        <v/>
      </c>
      <c r="D216" s="17" t="str">
        <f aca="false">IF($B216="","",IFERROR(INDEX(품목마스터!$D$3:$D$302,MATCH($B216,품목마스터!$A$3:$A$302,0)),""))</f>
        <v/>
      </c>
      <c r="E216" s="12"/>
      <c r="F216" s="10"/>
    </row>
    <row r="217" customFormat="false" ht="15" hidden="false" customHeight="true" outlineLevel="0" collapsed="false">
      <c r="A217" s="16"/>
      <c r="B217" s="10"/>
      <c r="C217" s="17" t="str">
        <f aca="false">IF($B217="","",IFERROR(INDEX(품목마스터!$B$3:$B$302,MATCH($B217,품목마스터!$A$3:$A$302,0)),"미등록품번"))</f>
        <v/>
      </c>
      <c r="D217" s="17" t="str">
        <f aca="false">IF($B217="","",IFERROR(INDEX(품목마스터!$D$3:$D$302,MATCH($B217,품목마스터!$A$3:$A$302,0)),""))</f>
        <v/>
      </c>
      <c r="E217" s="12"/>
      <c r="F217" s="10"/>
    </row>
    <row r="218" customFormat="false" ht="15" hidden="false" customHeight="true" outlineLevel="0" collapsed="false">
      <c r="A218" s="16"/>
      <c r="B218" s="10"/>
      <c r="C218" s="17" t="str">
        <f aca="false">IF($B218="","",IFERROR(INDEX(품목마스터!$B$3:$B$302,MATCH($B218,품목마스터!$A$3:$A$302,0)),"미등록품번"))</f>
        <v/>
      </c>
      <c r="D218" s="17" t="str">
        <f aca="false">IF($B218="","",IFERROR(INDEX(품목마스터!$D$3:$D$302,MATCH($B218,품목마스터!$A$3:$A$302,0)),""))</f>
        <v/>
      </c>
      <c r="E218" s="12"/>
      <c r="F218" s="10"/>
    </row>
    <row r="219" customFormat="false" ht="15" hidden="false" customHeight="true" outlineLevel="0" collapsed="false">
      <c r="A219" s="16"/>
      <c r="B219" s="10"/>
      <c r="C219" s="17" t="str">
        <f aca="false">IF($B219="","",IFERROR(INDEX(품목마스터!$B$3:$B$302,MATCH($B219,품목마스터!$A$3:$A$302,0)),"미등록품번"))</f>
        <v/>
      </c>
      <c r="D219" s="17" t="str">
        <f aca="false">IF($B219="","",IFERROR(INDEX(품목마스터!$D$3:$D$302,MATCH($B219,품목마스터!$A$3:$A$302,0)),""))</f>
        <v/>
      </c>
      <c r="E219" s="12"/>
      <c r="F219" s="10"/>
    </row>
    <row r="220" customFormat="false" ht="15" hidden="false" customHeight="true" outlineLevel="0" collapsed="false">
      <c r="A220" s="16"/>
      <c r="B220" s="10"/>
      <c r="C220" s="17" t="str">
        <f aca="false">IF($B220="","",IFERROR(INDEX(품목마스터!$B$3:$B$302,MATCH($B220,품목마스터!$A$3:$A$302,0)),"미등록품번"))</f>
        <v/>
      </c>
      <c r="D220" s="17" t="str">
        <f aca="false">IF($B220="","",IFERROR(INDEX(품목마스터!$D$3:$D$302,MATCH($B220,품목마스터!$A$3:$A$302,0)),""))</f>
        <v/>
      </c>
      <c r="E220" s="12"/>
      <c r="F220" s="10"/>
    </row>
    <row r="221" customFormat="false" ht="15" hidden="false" customHeight="true" outlineLevel="0" collapsed="false">
      <c r="A221" s="16"/>
      <c r="B221" s="10"/>
      <c r="C221" s="17" t="str">
        <f aca="false">IF($B221="","",IFERROR(INDEX(품목마스터!$B$3:$B$302,MATCH($B221,품목마스터!$A$3:$A$302,0)),"미등록품번"))</f>
        <v/>
      </c>
      <c r="D221" s="17" t="str">
        <f aca="false">IF($B221="","",IFERROR(INDEX(품목마스터!$D$3:$D$302,MATCH($B221,품목마스터!$A$3:$A$302,0)),""))</f>
        <v/>
      </c>
      <c r="E221" s="12"/>
      <c r="F221" s="10"/>
    </row>
    <row r="222" customFormat="false" ht="15" hidden="false" customHeight="true" outlineLevel="0" collapsed="false">
      <c r="A222" s="16"/>
      <c r="B222" s="10"/>
      <c r="C222" s="17" t="str">
        <f aca="false">IF($B222="","",IFERROR(INDEX(품목마스터!$B$3:$B$302,MATCH($B222,품목마스터!$A$3:$A$302,0)),"미등록품번"))</f>
        <v/>
      </c>
      <c r="D222" s="17" t="str">
        <f aca="false">IF($B222="","",IFERROR(INDEX(품목마스터!$D$3:$D$302,MATCH($B222,품목마스터!$A$3:$A$302,0)),""))</f>
        <v/>
      </c>
      <c r="E222" s="12"/>
      <c r="F222" s="10"/>
    </row>
    <row r="223" customFormat="false" ht="15" hidden="false" customHeight="true" outlineLevel="0" collapsed="false">
      <c r="A223" s="16"/>
      <c r="B223" s="10"/>
      <c r="C223" s="17" t="str">
        <f aca="false">IF($B223="","",IFERROR(INDEX(품목마스터!$B$3:$B$302,MATCH($B223,품목마스터!$A$3:$A$302,0)),"미등록품번"))</f>
        <v/>
      </c>
      <c r="D223" s="17" t="str">
        <f aca="false">IF($B223="","",IFERROR(INDEX(품목마스터!$D$3:$D$302,MATCH($B223,품목마스터!$A$3:$A$302,0)),""))</f>
        <v/>
      </c>
      <c r="E223" s="12"/>
      <c r="F223" s="10"/>
    </row>
    <row r="224" customFormat="false" ht="15" hidden="false" customHeight="true" outlineLevel="0" collapsed="false">
      <c r="A224" s="16"/>
      <c r="B224" s="10"/>
      <c r="C224" s="17" t="str">
        <f aca="false">IF($B224="","",IFERROR(INDEX(품목마스터!$B$3:$B$302,MATCH($B224,품목마스터!$A$3:$A$302,0)),"미등록품번"))</f>
        <v/>
      </c>
      <c r="D224" s="17" t="str">
        <f aca="false">IF($B224="","",IFERROR(INDEX(품목마스터!$D$3:$D$302,MATCH($B224,품목마스터!$A$3:$A$302,0)),""))</f>
        <v/>
      </c>
      <c r="E224" s="12"/>
      <c r="F224" s="10"/>
    </row>
    <row r="225" customFormat="false" ht="15" hidden="false" customHeight="true" outlineLevel="0" collapsed="false">
      <c r="A225" s="16"/>
      <c r="B225" s="10"/>
      <c r="C225" s="17" t="str">
        <f aca="false">IF($B225="","",IFERROR(INDEX(품목마스터!$B$3:$B$302,MATCH($B225,품목마스터!$A$3:$A$302,0)),"미등록품번"))</f>
        <v/>
      </c>
      <c r="D225" s="17" t="str">
        <f aca="false">IF($B225="","",IFERROR(INDEX(품목마스터!$D$3:$D$302,MATCH($B225,품목마스터!$A$3:$A$302,0)),""))</f>
        <v/>
      </c>
      <c r="E225" s="12"/>
      <c r="F225" s="10"/>
    </row>
    <row r="226" customFormat="false" ht="15" hidden="false" customHeight="true" outlineLevel="0" collapsed="false">
      <c r="A226" s="16"/>
      <c r="B226" s="10"/>
      <c r="C226" s="17" t="str">
        <f aca="false">IF($B226="","",IFERROR(INDEX(품목마스터!$B$3:$B$302,MATCH($B226,품목마스터!$A$3:$A$302,0)),"미등록품번"))</f>
        <v/>
      </c>
      <c r="D226" s="17" t="str">
        <f aca="false">IF($B226="","",IFERROR(INDEX(품목마스터!$D$3:$D$302,MATCH($B226,품목마스터!$A$3:$A$302,0)),""))</f>
        <v/>
      </c>
      <c r="E226" s="12"/>
      <c r="F226" s="10"/>
    </row>
    <row r="227" customFormat="false" ht="15" hidden="false" customHeight="true" outlineLevel="0" collapsed="false">
      <c r="A227" s="16"/>
      <c r="B227" s="10"/>
      <c r="C227" s="17" t="str">
        <f aca="false">IF($B227="","",IFERROR(INDEX(품목마스터!$B$3:$B$302,MATCH($B227,품목마스터!$A$3:$A$302,0)),"미등록품번"))</f>
        <v/>
      </c>
      <c r="D227" s="17" t="str">
        <f aca="false">IF($B227="","",IFERROR(INDEX(품목마스터!$D$3:$D$302,MATCH($B227,품목마스터!$A$3:$A$302,0)),""))</f>
        <v/>
      </c>
      <c r="E227" s="12"/>
      <c r="F227" s="10"/>
    </row>
    <row r="228" customFormat="false" ht="15" hidden="false" customHeight="true" outlineLevel="0" collapsed="false">
      <c r="A228" s="16"/>
      <c r="B228" s="10"/>
      <c r="C228" s="17" t="str">
        <f aca="false">IF($B228="","",IFERROR(INDEX(품목마스터!$B$3:$B$302,MATCH($B228,품목마스터!$A$3:$A$302,0)),"미등록품번"))</f>
        <v/>
      </c>
      <c r="D228" s="17" t="str">
        <f aca="false">IF($B228="","",IFERROR(INDEX(품목마스터!$D$3:$D$302,MATCH($B228,품목마스터!$A$3:$A$302,0)),""))</f>
        <v/>
      </c>
      <c r="E228" s="12"/>
      <c r="F228" s="10"/>
    </row>
    <row r="229" customFormat="false" ht="15" hidden="false" customHeight="true" outlineLevel="0" collapsed="false">
      <c r="A229" s="16"/>
      <c r="B229" s="10"/>
      <c r="C229" s="17" t="str">
        <f aca="false">IF($B229="","",IFERROR(INDEX(품목마스터!$B$3:$B$302,MATCH($B229,품목마스터!$A$3:$A$302,0)),"미등록품번"))</f>
        <v/>
      </c>
      <c r="D229" s="17" t="str">
        <f aca="false">IF($B229="","",IFERROR(INDEX(품목마스터!$D$3:$D$302,MATCH($B229,품목마스터!$A$3:$A$302,0)),""))</f>
        <v/>
      </c>
      <c r="E229" s="12"/>
      <c r="F229" s="10"/>
    </row>
    <row r="230" customFormat="false" ht="15" hidden="false" customHeight="true" outlineLevel="0" collapsed="false">
      <c r="A230" s="16"/>
      <c r="B230" s="10"/>
      <c r="C230" s="17" t="str">
        <f aca="false">IF($B230="","",IFERROR(INDEX(품목마스터!$B$3:$B$302,MATCH($B230,품목마스터!$A$3:$A$302,0)),"미등록품번"))</f>
        <v/>
      </c>
      <c r="D230" s="17" t="str">
        <f aca="false">IF($B230="","",IFERROR(INDEX(품목마스터!$D$3:$D$302,MATCH($B230,품목마스터!$A$3:$A$302,0)),""))</f>
        <v/>
      </c>
      <c r="E230" s="12"/>
      <c r="F230" s="10"/>
    </row>
    <row r="231" customFormat="false" ht="15" hidden="false" customHeight="true" outlineLevel="0" collapsed="false">
      <c r="A231" s="16"/>
      <c r="B231" s="10"/>
      <c r="C231" s="17" t="str">
        <f aca="false">IF($B231="","",IFERROR(INDEX(품목마스터!$B$3:$B$302,MATCH($B231,품목마스터!$A$3:$A$302,0)),"미등록품번"))</f>
        <v/>
      </c>
      <c r="D231" s="17" t="str">
        <f aca="false">IF($B231="","",IFERROR(INDEX(품목마스터!$D$3:$D$302,MATCH($B231,품목마스터!$A$3:$A$302,0)),""))</f>
        <v/>
      </c>
      <c r="E231" s="12"/>
      <c r="F231" s="10"/>
    </row>
    <row r="232" customFormat="false" ht="15" hidden="false" customHeight="true" outlineLevel="0" collapsed="false">
      <c r="A232" s="16"/>
      <c r="B232" s="10"/>
      <c r="C232" s="17" t="str">
        <f aca="false">IF($B232="","",IFERROR(INDEX(품목마스터!$B$3:$B$302,MATCH($B232,품목마스터!$A$3:$A$302,0)),"미등록품번"))</f>
        <v/>
      </c>
      <c r="D232" s="17" t="str">
        <f aca="false">IF($B232="","",IFERROR(INDEX(품목마스터!$D$3:$D$302,MATCH($B232,품목마스터!$A$3:$A$302,0)),""))</f>
        <v/>
      </c>
      <c r="E232" s="12"/>
      <c r="F232" s="10"/>
    </row>
    <row r="233" customFormat="false" ht="15" hidden="false" customHeight="true" outlineLevel="0" collapsed="false">
      <c r="A233" s="16"/>
      <c r="B233" s="10"/>
      <c r="C233" s="17" t="str">
        <f aca="false">IF($B233="","",IFERROR(INDEX(품목마스터!$B$3:$B$302,MATCH($B233,품목마스터!$A$3:$A$302,0)),"미등록품번"))</f>
        <v/>
      </c>
      <c r="D233" s="17" t="str">
        <f aca="false">IF($B233="","",IFERROR(INDEX(품목마스터!$D$3:$D$302,MATCH($B233,품목마스터!$A$3:$A$302,0)),""))</f>
        <v/>
      </c>
      <c r="E233" s="12"/>
      <c r="F233" s="10"/>
    </row>
    <row r="234" customFormat="false" ht="15" hidden="false" customHeight="true" outlineLevel="0" collapsed="false">
      <c r="A234" s="16"/>
      <c r="B234" s="10"/>
      <c r="C234" s="17" t="str">
        <f aca="false">IF($B234="","",IFERROR(INDEX(품목마스터!$B$3:$B$302,MATCH($B234,품목마스터!$A$3:$A$302,0)),"미등록품번"))</f>
        <v/>
      </c>
      <c r="D234" s="17" t="str">
        <f aca="false">IF($B234="","",IFERROR(INDEX(품목마스터!$D$3:$D$302,MATCH($B234,품목마스터!$A$3:$A$302,0)),""))</f>
        <v/>
      </c>
      <c r="E234" s="12"/>
      <c r="F234" s="10"/>
    </row>
    <row r="235" customFormat="false" ht="15" hidden="false" customHeight="true" outlineLevel="0" collapsed="false">
      <c r="A235" s="16"/>
      <c r="B235" s="10"/>
      <c r="C235" s="17" t="str">
        <f aca="false">IF($B235="","",IFERROR(INDEX(품목마스터!$B$3:$B$302,MATCH($B235,품목마스터!$A$3:$A$302,0)),"미등록품번"))</f>
        <v/>
      </c>
      <c r="D235" s="17" t="str">
        <f aca="false">IF($B235="","",IFERROR(INDEX(품목마스터!$D$3:$D$302,MATCH($B235,품목마스터!$A$3:$A$302,0)),""))</f>
        <v/>
      </c>
      <c r="E235" s="12"/>
      <c r="F235" s="10"/>
    </row>
    <row r="236" customFormat="false" ht="15" hidden="false" customHeight="true" outlineLevel="0" collapsed="false">
      <c r="A236" s="16"/>
      <c r="B236" s="10"/>
      <c r="C236" s="17" t="str">
        <f aca="false">IF($B236="","",IFERROR(INDEX(품목마스터!$B$3:$B$302,MATCH($B236,품목마스터!$A$3:$A$302,0)),"미등록품번"))</f>
        <v/>
      </c>
      <c r="D236" s="17" t="str">
        <f aca="false">IF($B236="","",IFERROR(INDEX(품목마스터!$D$3:$D$302,MATCH($B236,품목마스터!$A$3:$A$302,0)),""))</f>
        <v/>
      </c>
      <c r="E236" s="12"/>
      <c r="F236" s="10"/>
    </row>
    <row r="237" customFormat="false" ht="15" hidden="false" customHeight="true" outlineLevel="0" collapsed="false">
      <c r="A237" s="16"/>
      <c r="B237" s="10"/>
      <c r="C237" s="17" t="str">
        <f aca="false">IF($B237="","",IFERROR(INDEX(품목마스터!$B$3:$B$302,MATCH($B237,품목마스터!$A$3:$A$302,0)),"미등록품번"))</f>
        <v/>
      </c>
      <c r="D237" s="17" t="str">
        <f aca="false">IF($B237="","",IFERROR(INDEX(품목마스터!$D$3:$D$302,MATCH($B237,품목마스터!$A$3:$A$302,0)),""))</f>
        <v/>
      </c>
      <c r="E237" s="12"/>
      <c r="F237" s="10"/>
    </row>
    <row r="238" customFormat="false" ht="15" hidden="false" customHeight="true" outlineLevel="0" collapsed="false">
      <c r="A238" s="16"/>
      <c r="B238" s="10"/>
      <c r="C238" s="17" t="str">
        <f aca="false">IF($B238="","",IFERROR(INDEX(품목마스터!$B$3:$B$302,MATCH($B238,품목마스터!$A$3:$A$302,0)),"미등록품번"))</f>
        <v/>
      </c>
      <c r="D238" s="17" t="str">
        <f aca="false">IF($B238="","",IFERROR(INDEX(품목마스터!$D$3:$D$302,MATCH($B238,품목마스터!$A$3:$A$302,0)),""))</f>
        <v/>
      </c>
      <c r="E238" s="12"/>
      <c r="F238" s="10"/>
    </row>
    <row r="239" customFormat="false" ht="15" hidden="false" customHeight="true" outlineLevel="0" collapsed="false">
      <c r="A239" s="16"/>
      <c r="B239" s="10"/>
      <c r="C239" s="17" t="str">
        <f aca="false">IF($B239="","",IFERROR(INDEX(품목마스터!$B$3:$B$302,MATCH($B239,품목마스터!$A$3:$A$302,0)),"미등록품번"))</f>
        <v/>
      </c>
      <c r="D239" s="17" t="str">
        <f aca="false">IF($B239="","",IFERROR(INDEX(품목마스터!$D$3:$D$302,MATCH($B239,품목마스터!$A$3:$A$302,0)),""))</f>
        <v/>
      </c>
      <c r="E239" s="12"/>
      <c r="F239" s="10"/>
    </row>
    <row r="240" customFormat="false" ht="15" hidden="false" customHeight="true" outlineLevel="0" collapsed="false">
      <c r="A240" s="16"/>
      <c r="B240" s="10"/>
      <c r="C240" s="17" t="str">
        <f aca="false">IF($B240="","",IFERROR(INDEX(품목마스터!$B$3:$B$302,MATCH($B240,품목마스터!$A$3:$A$302,0)),"미등록품번"))</f>
        <v/>
      </c>
      <c r="D240" s="17" t="str">
        <f aca="false">IF($B240="","",IFERROR(INDEX(품목마스터!$D$3:$D$302,MATCH($B240,품목마스터!$A$3:$A$302,0)),""))</f>
        <v/>
      </c>
      <c r="E240" s="12"/>
      <c r="F240" s="10"/>
    </row>
    <row r="241" customFormat="false" ht="15" hidden="false" customHeight="true" outlineLevel="0" collapsed="false">
      <c r="A241" s="16"/>
      <c r="B241" s="10"/>
      <c r="C241" s="17" t="str">
        <f aca="false">IF($B241="","",IFERROR(INDEX(품목마스터!$B$3:$B$302,MATCH($B241,품목마스터!$A$3:$A$302,0)),"미등록품번"))</f>
        <v/>
      </c>
      <c r="D241" s="17" t="str">
        <f aca="false">IF($B241="","",IFERROR(INDEX(품목마스터!$D$3:$D$302,MATCH($B241,품목마스터!$A$3:$A$302,0)),""))</f>
        <v/>
      </c>
      <c r="E241" s="12"/>
      <c r="F241" s="10"/>
    </row>
    <row r="242" customFormat="false" ht="15" hidden="false" customHeight="true" outlineLevel="0" collapsed="false">
      <c r="A242" s="16"/>
      <c r="B242" s="10"/>
      <c r="C242" s="17" t="str">
        <f aca="false">IF($B242="","",IFERROR(INDEX(품목마스터!$B$3:$B$302,MATCH($B242,품목마스터!$A$3:$A$302,0)),"미등록품번"))</f>
        <v/>
      </c>
      <c r="D242" s="17" t="str">
        <f aca="false">IF($B242="","",IFERROR(INDEX(품목마스터!$D$3:$D$302,MATCH($B242,품목마스터!$A$3:$A$302,0)),""))</f>
        <v/>
      </c>
      <c r="E242" s="12"/>
      <c r="F242" s="10"/>
    </row>
    <row r="243" customFormat="false" ht="15" hidden="false" customHeight="true" outlineLevel="0" collapsed="false">
      <c r="A243" s="16"/>
      <c r="B243" s="10"/>
      <c r="C243" s="17" t="str">
        <f aca="false">IF($B243="","",IFERROR(INDEX(품목마스터!$B$3:$B$302,MATCH($B243,품목마스터!$A$3:$A$302,0)),"미등록품번"))</f>
        <v/>
      </c>
      <c r="D243" s="17" t="str">
        <f aca="false">IF($B243="","",IFERROR(INDEX(품목마스터!$D$3:$D$302,MATCH($B243,품목마스터!$A$3:$A$302,0)),""))</f>
        <v/>
      </c>
      <c r="E243" s="12"/>
      <c r="F243" s="10"/>
    </row>
    <row r="244" customFormat="false" ht="15" hidden="false" customHeight="true" outlineLevel="0" collapsed="false">
      <c r="A244" s="16"/>
      <c r="B244" s="10"/>
      <c r="C244" s="17" t="str">
        <f aca="false">IF($B244="","",IFERROR(INDEX(품목마스터!$B$3:$B$302,MATCH($B244,품목마스터!$A$3:$A$302,0)),"미등록품번"))</f>
        <v/>
      </c>
      <c r="D244" s="17" t="str">
        <f aca="false">IF($B244="","",IFERROR(INDEX(품목마스터!$D$3:$D$302,MATCH($B244,품목마스터!$A$3:$A$302,0)),""))</f>
        <v/>
      </c>
      <c r="E244" s="12"/>
      <c r="F244" s="10"/>
    </row>
    <row r="245" customFormat="false" ht="15" hidden="false" customHeight="true" outlineLevel="0" collapsed="false">
      <c r="A245" s="16"/>
      <c r="B245" s="10"/>
      <c r="C245" s="17" t="str">
        <f aca="false">IF($B245="","",IFERROR(INDEX(품목마스터!$B$3:$B$302,MATCH($B245,품목마스터!$A$3:$A$302,0)),"미등록품번"))</f>
        <v/>
      </c>
      <c r="D245" s="17" t="str">
        <f aca="false">IF($B245="","",IFERROR(INDEX(품목마스터!$D$3:$D$302,MATCH($B245,품목마스터!$A$3:$A$302,0)),""))</f>
        <v/>
      </c>
      <c r="E245" s="12"/>
      <c r="F245" s="10"/>
    </row>
    <row r="246" customFormat="false" ht="15" hidden="false" customHeight="true" outlineLevel="0" collapsed="false">
      <c r="A246" s="16"/>
      <c r="B246" s="10"/>
      <c r="C246" s="17" t="str">
        <f aca="false">IF($B246="","",IFERROR(INDEX(품목마스터!$B$3:$B$302,MATCH($B246,품목마스터!$A$3:$A$302,0)),"미등록품번"))</f>
        <v/>
      </c>
      <c r="D246" s="17" t="str">
        <f aca="false">IF($B246="","",IFERROR(INDEX(품목마스터!$D$3:$D$302,MATCH($B246,품목마스터!$A$3:$A$302,0)),""))</f>
        <v/>
      </c>
      <c r="E246" s="12"/>
      <c r="F246" s="10"/>
    </row>
    <row r="247" customFormat="false" ht="15" hidden="false" customHeight="true" outlineLevel="0" collapsed="false">
      <c r="A247" s="16"/>
      <c r="B247" s="10"/>
      <c r="C247" s="17" t="str">
        <f aca="false">IF($B247="","",IFERROR(INDEX(품목마스터!$B$3:$B$302,MATCH($B247,품목마스터!$A$3:$A$302,0)),"미등록품번"))</f>
        <v/>
      </c>
      <c r="D247" s="17" t="str">
        <f aca="false">IF($B247="","",IFERROR(INDEX(품목마스터!$D$3:$D$302,MATCH($B247,품목마스터!$A$3:$A$302,0)),""))</f>
        <v/>
      </c>
      <c r="E247" s="12"/>
      <c r="F247" s="10"/>
    </row>
    <row r="248" customFormat="false" ht="15" hidden="false" customHeight="true" outlineLevel="0" collapsed="false">
      <c r="A248" s="16"/>
      <c r="B248" s="10"/>
      <c r="C248" s="17" t="str">
        <f aca="false">IF($B248="","",IFERROR(INDEX(품목마스터!$B$3:$B$302,MATCH($B248,품목마스터!$A$3:$A$302,0)),"미등록품번"))</f>
        <v/>
      </c>
      <c r="D248" s="17" t="str">
        <f aca="false">IF($B248="","",IFERROR(INDEX(품목마스터!$D$3:$D$302,MATCH($B248,품목마스터!$A$3:$A$302,0)),""))</f>
        <v/>
      </c>
      <c r="E248" s="12"/>
      <c r="F248" s="10"/>
    </row>
    <row r="249" customFormat="false" ht="15" hidden="false" customHeight="true" outlineLevel="0" collapsed="false">
      <c r="A249" s="16"/>
      <c r="B249" s="10"/>
      <c r="C249" s="17" t="str">
        <f aca="false">IF($B249="","",IFERROR(INDEX(품목마스터!$B$3:$B$302,MATCH($B249,품목마스터!$A$3:$A$302,0)),"미등록품번"))</f>
        <v/>
      </c>
      <c r="D249" s="17" t="str">
        <f aca="false">IF($B249="","",IFERROR(INDEX(품목마스터!$D$3:$D$302,MATCH($B249,품목마스터!$A$3:$A$302,0)),""))</f>
        <v/>
      </c>
      <c r="E249" s="12"/>
      <c r="F249" s="10"/>
    </row>
    <row r="250" customFormat="false" ht="15" hidden="false" customHeight="true" outlineLevel="0" collapsed="false">
      <c r="A250" s="16"/>
      <c r="B250" s="10"/>
      <c r="C250" s="17" t="str">
        <f aca="false">IF($B250="","",IFERROR(INDEX(품목마스터!$B$3:$B$302,MATCH($B250,품목마스터!$A$3:$A$302,0)),"미등록품번"))</f>
        <v/>
      </c>
      <c r="D250" s="17" t="str">
        <f aca="false">IF($B250="","",IFERROR(INDEX(품목마스터!$D$3:$D$302,MATCH($B250,품목마스터!$A$3:$A$302,0)),""))</f>
        <v/>
      </c>
      <c r="E250" s="12"/>
      <c r="F250" s="10"/>
    </row>
    <row r="251" customFormat="false" ht="15" hidden="false" customHeight="true" outlineLevel="0" collapsed="false">
      <c r="A251" s="16"/>
      <c r="B251" s="10"/>
      <c r="C251" s="17" t="str">
        <f aca="false">IF($B251="","",IFERROR(INDEX(품목마스터!$B$3:$B$302,MATCH($B251,품목마스터!$A$3:$A$302,0)),"미등록품번"))</f>
        <v/>
      </c>
      <c r="D251" s="17" t="str">
        <f aca="false">IF($B251="","",IFERROR(INDEX(품목마스터!$D$3:$D$302,MATCH($B251,품목마스터!$A$3:$A$302,0)),""))</f>
        <v/>
      </c>
      <c r="E251" s="12"/>
      <c r="F251" s="10"/>
    </row>
    <row r="252" customFormat="false" ht="15" hidden="false" customHeight="true" outlineLevel="0" collapsed="false">
      <c r="A252" s="16"/>
      <c r="B252" s="10"/>
      <c r="C252" s="17" t="str">
        <f aca="false">IF($B252="","",IFERROR(INDEX(품목마스터!$B$3:$B$302,MATCH($B252,품목마스터!$A$3:$A$302,0)),"미등록품번"))</f>
        <v/>
      </c>
      <c r="D252" s="17" t="str">
        <f aca="false">IF($B252="","",IFERROR(INDEX(품목마스터!$D$3:$D$302,MATCH($B252,품목마스터!$A$3:$A$302,0)),""))</f>
        <v/>
      </c>
      <c r="E252" s="12"/>
      <c r="F252" s="10"/>
    </row>
    <row r="253" customFormat="false" ht="15" hidden="false" customHeight="true" outlineLevel="0" collapsed="false">
      <c r="A253" s="16"/>
      <c r="B253" s="10"/>
      <c r="C253" s="17" t="str">
        <f aca="false">IF($B253="","",IFERROR(INDEX(품목마스터!$B$3:$B$302,MATCH($B253,품목마스터!$A$3:$A$302,0)),"미등록품번"))</f>
        <v/>
      </c>
      <c r="D253" s="17" t="str">
        <f aca="false">IF($B253="","",IFERROR(INDEX(품목마스터!$D$3:$D$302,MATCH($B253,품목마스터!$A$3:$A$302,0)),""))</f>
        <v/>
      </c>
      <c r="E253" s="12"/>
      <c r="F253" s="10"/>
    </row>
    <row r="254" customFormat="false" ht="15" hidden="false" customHeight="true" outlineLevel="0" collapsed="false">
      <c r="A254" s="16"/>
      <c r="B254" s="10"/>
      <c r="C254" s="17" t="str">
        <f aca="false">IF($B254="","",IFERROR(INDEX(품목마스터!$B$3:$B$302,MATCH($B254,품목마스터!$A$3:$A$302,0)),"미등록품번"))</f>
        <v/>
      </c>
      <c r="D254" s="17" t="str">
        <f aca="false">IF($B254="","",IFERROR(INDEX(품목마스터!$D$3:$D$302,MATCH($B254,품목마스터!$A$3:$A$302,0)),""))</f>
        <v/>
      </c>
      <c r="E254" s="12"/>
      <c r="F254" s="10"/>
    </row>
    <row r="255" customFormat="false" ht="15" hidden="false" customHeight="true" outlineLevel="0" collapsed="false">
      <c r="A255" s="16"/>
      <c r="B255" s="10"/>
      <c r="C255" s="17" t="str">
        <f aca="false">IF($B255="","",IFERROR(INDEX(품목마스터!$B$3:$B$302,MATCH($B255,품목마스터!$A$3:$A$302,0)),"미등록품번"))</f>
        <v/>
      </c>
      <c r="D255" s="17" t="str">
        <f aca="false">IF($B255="","",IFERROR(INDEX(품목마스터!$D$3:$D$302,MATCH($B255,품목마스터!$A$3:$A$302,0)),""))</f>
        <v/>
      </c>
      <c r="E255" s="12"/>
      <c r="F255" s="10"/>
    </row>
    <row r="256" customFormat="false" ht="15" hidden="false" customHeight="true" outlineLevel="0" collapsed="false">
      <c r="A256" s="16"/>
      <c r="B256" s="10"/>
      <c r="C256" s="17" t="str">
        <f aca="false">IF($B256="","",IFERROR(INDEX(품목마스터!$B$3:$B$302,MATCH($B256,품목마스터!$A$3:$A$302,0)),"미등록품번"))</f>
        <v/>
      </c>
      <c r="D256" s="17" t="str">
        <f aca="false">IF($B256="","",IFERROR(INDEX(품목마스터!$D$3:$D$302,MATCH($B256,품목마스터!$A$3:$A$302,0)),""))</f>
        <v/>
      </c>
      <c r="E256" s="12"/>
      <c r="F256" s="10"/>
    </row>
    <row r="257" customFormat="false" ht="15" hidden="false" customHeight="true" outlineLevel="0" collapsed="false">
      <c r="A257" s="16"/>
      <c r="B257" s="10"/>
      <c r="C257" s="17" t="str">
        <f aca="false">IF($B257="","",IFERROR(INDEX(품목마스터!$B$3:$B$302,MATCH($B257,품목마스터!$A$3:$A$302,0)),"미등록품번"))</f>
        <v/>
      </c>
      <c r="D257" s="17" t="str">
        <f aca="false">IF($B257="","",IFERROR(INDEX(품목마스터!$D$3:$D$302,MATCH($B257,품목마스터!$A$3:$A$302,0)),""))</f>
        <v/>
      </c>
      <c r="E257" s="12"/>
      <c r="F257" s="10"/>
    </row>
    <row r="258" customFormat="false" ht="15" hidden="false" customHeight="true" outlineLevel="0" collapsed="false">
      <c r="A258" s="16"/>
      <c r="B258" s="10"/>
      <c r="C258" s="17" t="str">
        <f aca="false">IF($B258="","",IFERROR(INDEX(품목마스터!$B$3:$B$302,MATCH($B258,품목마스터!$A$3:$A$302,0)),"미등록품번"))</f>
        <v/>
      </c>
      <c r="D258" s="17" t="str">
        <f aca="false">IF($B258="","",IFERROR(INDEX(품목마스터!$D$3:$D$302,MATCH($B258,품목마스터!$A$3:$A$302,0)),""))</f>
        <v/>
      </c>
      <c r="E258" s="12"/>
      <c r="F258" s="10"/>
    </row>
    <row r="259" customFormat="false" ht="15" hidden="false" customHeight="true" outlineLevel="0" collapsed="false">
      <c r="A259" s="16"/>
      <c r="B259" s="10"/>
      <c r="C259" s="17" t="str">
        <f aca="false">IF($B259="","",IFERROR(INDEX(품목마스터!$B$3:$B$302,MATCH($B259,품목마스터!$A$3:$A$302,0)),"미등록품번"))</f>
        <v/>
      </c>
      <c r="D259" s="17" t="str">
        <f aca="false">IF($B259="","",IFERROR(INDEX(품목마스터!$D$3:$D$302,MATCH($B259,품목마스터!$A$3:$A$302,0)),""))</f>
        <v/>
      </c>
      <c r="E259" s="12"/>
      <c r="F259" s="10"/>
    </row>
    <row r="260" customFormat="false" ht="15" hidden="false" customHeight="true" outlineLevel="0" collapsed="false">
      <c r="A260" s="16"/>
      <c r="B260" s="10"/>
      <c r="C260" s="17" t="str">
        <f aca="false">IF($B260="","",IFERROR(INDEX(품목마스터!$B$3:$B$302,MATCH($B260,품목마스터!$A$3:$A$302,0)),"미등록품번"))</f>
        <v/>
      </c>
      <c r="D260" s="17" t="str">
        <f aca="false">IF($B260="","",IFERROR(INDEX(품목마스터!$D$3:$D$302,MATCH($B260,품목마스터!$A$3:$A$302,0)),""))</f>
        <v/>
      </c>
      <c r="E260" s="12"/>
      <c r="F260" s="10"/>
    </row>
    <row r="261" customFormat="false" ht="15" hidden="false" customHeight="true" outlineLevel="0" collapsed="false">
      <c r="A261" s="16"/>
      <c r="B261" s="10"/>
      <c r="C261" s="17" t="str">
        <f aca="false">IF($B261="","",IFERROR(INDEX(품목마스터!$B$3:$B$302,MATCH($B261,품목마스터!$A$3:$A$302,0)),"미등록품번"))</f>
        <v/>
      </c>
      <c r="D261" s="17" t="str">
        <f aca="false">IF($B261="","",IFERROR(INDEX(품목마스터!$D$3:$D$302,MATCH($B261,품목마스터!$A$3:$A$302,0)),""))</f>
        <v/>
      </c>
      <c r="E261" s="12"/>
      <c r="F261" s="10"/>
    </row>
    <row r="262" customFormat="false" ht="15" hidden="false" customHeight="true" outlineLevel="0" collapsed="false">
      <c r="A262" s="16"/>
      <c r="B262" s="10"/>
      <c r="C262" s="17" t="str">
        <f aca="false">IF($B262="","",IFERROR(INDEX(품목마스터!$B$3:$B$302,MATCH($B262,품목마스터!$A$3:$A$302,0)),"미등록품번"))</f>
        <v/>
      </c>
      <c r="D262" s="17" t="str">
        <f aca="false">IF($B262="","",IFERROR(INDEX(품목마스터!$D$3:$D$302,MATCH($B262,품목마스터!$A$3:$A$302,0)),""))</f>
        <v/>
      </c>
      <c r="E262" s="12"/>
      <c r="F262" s="10"/>
    </row>
    <row r="263" customFormat="false" ht="15" hidden="false" customHeight="true" outlineLevel="0" collapsed="false">
      <c r="A263" s="16"/>
      <c r="B263" s="10"/>
      <c r="C263" s="17" t="str">
        <f aca="false">IF($B263="","",IFERROR(INDEX(품목마스터!$B$3:$B$302,MATCH($B263,품목마스터!$A$3:$A$302,0)),"미등록품번"))</f>
        <v/>
      </c>
      <c r="D263" s="17" t="str">
        <f aca="false">IF($B263="","",IFERROR(INDEX(품목마스터!$D$3:$D$302,MATCH($B263,품목마스터!$A$3:$A$302,0)),""))</f>
        <v/>
      </c>
      <c r="E263" s="12"/>
      <c r="F263" s="10"/>
    </row>
    <row r="264" customFormat="false" ht="15" hidden="false" customHeight="true" outlineLevel="0" collapsed="false">
      <c r="A264" s="16"/>
      <c r="B264" s="10"/>
      <c r="C264" s="17" t="str">
        <f aca="false">IF($B264="","",IFERROR(INDEX(품목마스터!$B$3:$B$302,MATCH($B264,품목마스터!$A$3:$A$302,0)),"미등록품번"))</f>
        <v/>
      </c>
      <c r="D264" s="17" t="str">
        <f aca="false">IF($B264="","",IFERROR(INDEX(품목마스터!$D$3:$D$302,MATCH($B264,품목마스터!$A$3:$A$302,0)),""))</f>
        <v/>
      </c>
      <c r="E264" s="12"/>
      <c r="F264" s="10"/>
    </row>
    <row r="265" customFormat="false" ht="15" hidden="false" customHeight="true" outlineLevel="0" collapsed="false">
      <c r="A265" s="16"/>
      <c r="B265" s="10"/>
      <c r="C265" s="17" t="str">
        <f aca="false">IF($B265="","",IFERROR(INDEX(품목마스터!$B$3:$B$302,MATCH($B265,품목마스터!$A$3:$A$302,0)),"미등록품번"))</f>
        <v/>
      </c>
      <c r="D265" s="17" t="str">
        <f aca="false">IF($B265="","",IFERROR(INDEX(품목마스터!$D$3:$D$302,MATCH($B265,품목마스터!$A$3:$A$302,0)),""))</f>
        <v/>
      </c>
      <c r="E265" s="12"/>
      <c r="F265" s="10"/>
    </row>
    <row r="266" customFormat="false" ht="15" hidden="false" customHeight="true" outlineLevel="0" collapsed="false">
      <c r="A266" s="16"/>
      <c r="B266" s="10"/>
      <c r="C266" s="17" t="str">
        <f aca="false">IF($B266="","",IFERROR(INDEX(품목마스터!$B$3:$B$302,MATCH($B266,품목마스터!$A$3:$A$302,0)),"미등록품번"))</f>
        <v/>
      </c>
      <c r="D266" s="17" t="str">
        <f aca="false">IF($B266="","",IFERROR(INDEX(품목마스터!$D$3:$D$302,MATCH($B266,품목마스터!$A$3:$A$302,0)),""))</f>
        <v/>
      </c>
      <c r="E266" s="12"/>
      <c r="F266" s="10"/>
    </row>
    <row r="267" customFormat="false" ht="15" hidden="false" customHeight="true" outlineLevel="0" collapsed="false">
      <c r="A267" s="16"/>
      <c r="B267" s="10"/>
      <c r="C267" s="17" t="str">
        <f aca="false">IF($B267="","",IFERROR(INDEX(품목마스터!$B$3:$B$302,MATCH($B267,품목마스터!$A$3:$A$302,0)),"미등록품번"))</f>
        <v/>
      </c>
      <c r="D267" s="17" t="str">
        <f aca="false">IF($B267="","",IFERROR(INDEX(품목마스터!$D$3:$D$302,MATCH($B267,품목마스터!$A$3:$A$302,0)),""))</f>
        <v/>
      </c>
      <c r="E267" s="12"/>
      <c r="F267" s="10"/>
    </row>
    <row r="268" customFormat="false" ht="15" hidden="false" customHeight="true" outlineLevel="0" collapsed="false">
      <c r="A268" s="16"/>
      <c r="B268" s="10"/>
      <c r="C268" s="17" t="str">
        <f aca="false">IF($B268="","",IFERROR(INDEX(품목마스터!$B$3:$B$302,MATCH($B268,품목마스터!$A$3:$A$302,0)),"미등록품번"))</f>
        <v/>
      </c>
      <c r="D268" s="17" t="str">
        <f aca="false">IF($B268="","",IFERROR(INDEX(품목마스터!$D$3:$D$302,MATCH($B268,품목마스터!$A$3:$A$302,0)),""))</f>
        <v/>
      </c>
      <c r="E268" s="12"/>
      <c r="F268" s="10"/>
    </row>
    <row r="269" customFormat="false" ht="15" hidden="false" customHeight="true" outlineLevel="0" collapsed="false">
      <c r="A269" s="16"/>
      <c r="B269" s="10"/>
      <c r="C269" s="17" t="str">
        <f aca="false">IF($B269="","",IFERROR(INDEX(품목마스터!$B$3:$B$302,MATCH($B269,품목마스터!$A$3:$A$302,0)),"미등록품번"))</f>
        <v/>
      </c>
      <c r="D269" s="17" t="str">
        <f aca="false">IF($B269="","",IFERROR(INDEX(품목마스터!$D$3:$D$302,MATCH($B269,품목마스터!$A$3:$A$302,0)),""))</f>
        <v/>
      </c>
      <c r="E269" s="12"/>
      <c r="F269" s="10"/>
    </row>
    <row r="270" customFormat="false" ht="15" hidden="false" customHeight="true" outlineLevel="0" collapsed="false">
      <c r="A270" s="16"/>
      <c r="B270" s="10"/>
      <c r="C270" s="17" t="str">
        <f aca="false">IF($B270="","",IFERROR(INDEX(품목마스터!$B$3:$B$302,MATCH($B270,품목마스터!$A$3:$A$302,0)),"미등록품번"))</f>
        <v/>
      </c>
      <c r="D270" s="17" t="str">
        <f aca="false">IF($B270="","",IFERROR(INDEX(품목마스터!$D$3:$D$302,MATCH($B270,품목마스터!$A$3:$A$302,0)),""))</f>
        <v/>
      </c>
      <c r="E270" s="12"/>
      <c r="F270" s="10"/>
    </row>
    <row r="271" customFormat="false" ht="15" hidden="false" customHeight="true" outlineLevel="0" collapsed="false">
      <c r="A271" s="16"/>
      <c r="B271" s="10"/>
      <c r="C271" s="17" t="str">
        <f aca="false">IF($B271="","",IFERROR(INDEX(품목마스터!$B$3:$B$302,MATCH($B271,품목마스터!$A$3:$A$302,0)),"미등록품번"))</f>
        <v/>
      </c>
      <c r="D271" s="17" t="str">
        <f aca="false">IF($B271="","",IFERROR(INDEX(품목마스터!$D$3:$D$302,MATCH($B271,품목마스터!$A$3:$A$302,0)),""))</f>
        <v/>
      </c>
      <c r="E271" s="12"/>
      <c r="F271" s="10"/>
    </row>
    <row r="272" customFormat="false" ht="15" hidden="false" customHeight="true" outlineLevel="0" collapsed="false">
      <c r="A272" s="16"/>
      <c r="B272" s="10"/>
      <c r="C272" s="17" t="str">
        <f aca="false">IF($B272="","",IFERROR(INDEX(품목마스터!$B$3:$B$302,MATCH($B272,품목마스터!$A$3:$A$302,0)),"미등록품번"))</f>
        <v/>
      </c>
      <c r="D272" s="17" t="str">
        <f aca="false">IF($B272="","",IFERROR(INDEX(품목마스터!$D$3:$D$302,MATCH($B272,품목마스터!$A$3:$A$302,0)),""))</f>
        <v/>
      </c>
      <c r="E272" s="12"/>
      <c r="F272" s="10"/>
    </row>
    <row r="273" customFormat="false" ht="15" hidden="false" customHeight="true" outlineLevel="0" collapsed="false">
      <c r="A273" s="16"/>
      <c r="B273" s="10"/>
      <c r="C273" s="17" t="str">
        <f aca="false">IF($B273="","",IFERROR(INDEX(품목마스터!$B$3:$B$302,MATCH($B273,품목마스터!$A$3:$A$302,0)),"미등록품번"))</f>
        <v/>
      </c>
      <c r="D273" s="17" t="str">
        <f aca="false">IF($B273="","",IFERROR(INDEX(품목마스터!$D$3:$D$302,MATCH($B273,품목마스터!$A$3:$A$302,0)),""))</f>
        <v/>
      </c>
      <c r="E273" s="12"/>
      <c r="F273" s="10"/>
    </row>
    <row r="274" customFormat="false" ht="15" hidden="false" customHeight="true" outlineLevel="0" collapsed="false">
      <c r="A274" s="16"/>
      <c r="B274" s="10"/>
      <c r="C274" s="17" t="str">
        <f aca="false">IF($B274="","",IFERROR(INDEX(품목마스터!$B$3:$B$302,MATCH($B274,품목마스터!$A$3:$A$302,0)),"미등록품번"))</f>
        <v/>
      </c>
      <c r="D274" s="17" t="str">
        <f aca="false">IF($B274="","",IFERROR(INDEX(품목마스터!$D$3:$D$302,MATCH($B274,품목마스터!$A$3:$A$302,0)),""))</f>
        <v/>
      </c>
      <c r="E274" s="12"/>
      <c r="F274" s="10"/>
    </row>
    <row r="275" customFormat="false" ht="15" hidden="false" customHeight="true" outlineLevel="0" collapsed="false">
      <c r="A275" s="16"/>
      <c r="B275" s="10"/>
      <c r="C275" s="17" t="str">
        <f aca="false">IF($B275="","",IFERROR(INDEX(품목마스터!$B$3:$B$302,MATCH($B275,품목마스터!$A$3:$A$302,0)),"미등록품번"))</f>
        <v/>
      </c>
      <c r="D275" s="17" t="str">
        <f aca="false">IF($B275="","",IFERROR(INDEX(품목마스터!$D$3:$D$302,MATCH($B275,품목마스터!$A$3:$A$302,0)),""))</f>
        <v/>
      </c>
      <c r="E275" s="12"/>
      <c r="F275" s="10"/>
    </row>
    <row r="276" customFormat="false" ht="15" hidden="false" customHeight="true" outlineLevel="0" collapsed="false">
      <c r="A276" s="16"/>
      <c r="B276" s="10"/>
      <c r="C276" s="17" t="str">
        <f aca="false">IF($B276="","",IFERROR(INDEX(품목마스터!$B$3:$B$302,MATCH($B276,품목마스터!$A$3:$A$302,0)),"미등록품번"))</f>
        <v/>
      </c>
      <c r="D276" s="17" t="str">
        <f aca="false">IF($B276="","",IFERROR(INDEX(품목마스터!$D$3:$D$302,MATCH($B276,품목마스터!$A$3:$A$302,0)),""))</f>
        <v/>
      </c>
      <c r="E276" s="12"/>
      <c r="F276" s="10"/>
    </row>
    <row r="277" customFormat="false" ht="15" hidden="false" customHeight="true" outlineLevel="0" collapsed="false">
      <c r="A277" s="16"/>
      <c r="B277" s="10"/>
      <c r="C277" s="17" t="str">
        <f aca="false">IF($B277="","",IFERROR(INDEX(품목마스터!$B$3:$B$302,MATCH($B277,품목마스터!$A$3:$A$302,0)),"미등록품번"))</f>
        <v/>
      </c>
      <c r="D277" s="17" t="str">
        <f aca="false">IF($B277="","",IFERROR(INDEX(품목마스터!$D$3:$D$302,MATCH($B277,품목마스터!$A$3:$A$302,0)),""))</f>
        <v/>
      </c>
      <c r="E277" s="12"/>
      <c r="F277" s="10"/>
    </row>
    <row r="278" customFormat="false" ht="15" hidden="false" customHeight="true" outlineLevel="0" collapsed="false">
      <c r="A278" s="16"/>
      <c r="B278" s="10"/>
      <c r="C278" s="17" t="str">
        <f aca="false">IF($B278="","",IFERROR(INDEX(품목마스터!$B$3:$B$302,MATCH($B278,품목마스터!$A$3:$A$302,0)),"미등록품번"))</f>
        <v/>
      </c>
      <c r="D278" s="17" t="str">
        <f aca="false">IF($B278="","",IFERROR(INDEX(품목마스터!$D$3:$D$302,MATCH($B278,품목마스터!$A$3:$A$302,0)),""))</f>
        <v/>
      </c>
      <c r="E278" s="12"/>
      <c r="F278" s="10"/>
    </row>
    <row r="279" customFormat="false" ht="15" hidden="false" customHeight="true" outlineLevel="0" collapsed="false">
      <c r="A279" s="16"/>
      <c r="B279" s="10"/>
      <c r="C279" s="17" t="str">
        <f aca="false">IF($B279="","",IFERROR(INDEX(품목마스터!$B$3:$B$302,MATCH($B279,품목마스터!$A$3:$A$302,0)),"미등록품번"))</f>
        <v/>
      </c>
      <c r="D279" s="17" t="str">
        <f aca="false">IF($B279="","",IFERROR(INDEX(품목마스터!$D$3:$D$302,MATCH($B279,품목마스터!$A$3:$A$302,0)),""))</f>
        <v/>
      </c>
      <c r="E279" s="12"/>
      <c r="F279" s="10"/>
    </row>
    <row r="280" customFormat="false" ht="15" hidden="false" customHeight="true" outlineLevel="0" collapsed="false">
      <c r="A280" s="16"/>
      <c r="B280" s="10"/>
      <c r="C280" s="17" t="str">
        <f aca="false">IF($B280="","",IFERROR(INDEX(품목마스터!$B$3:$B$302,MATCH($B280,품목마스터!$A$3:$A$302,0)),"미등록품번"))</f>
        <v/>
      </c>
      <c r="D280" s="17" t="str">
        <f aca="false">IF($B280="","",IFERROR(INDEX(품목마스터!$D$3:$D$302,MATCH($B280,품목마스터!$A$3:$A$302,0)),""))</f>
        <v/>
      </c>
      <c r="E280" s="12"/>
      <c r="F280" s="10"/>
    </row>
    <row r="281" customFormat="false" ht="15" hidden="false" customHeight="true" outlineLevel="0" collapsed="false">
      <c r="A281" s="16"/>
      <c r="B281" s="10"/>
      <c r="C281" s="17" t="str">
        <f aca="false">IF($B281="","",IFERROR(INDEX(품목마스터!$B$3:$B$302,MATCH($B281,품목마스터!$A$3:$A$302,0)),"미등록품번"))</f>
        <v/>
      </c>
      <c r="D281" s="17" t="str">
        <f aca="false">IF($B281="","",IFERROR(INDEX(품목마스터!$D$3:$D$302,MATCH($B281,품목마스터!$A$3:$A$302,0)),""))</f>
        <v/>
      </c>
      <c r="E281" s="12"/>
      <c r="F281" s="10"/>
    </row>
    <row r="282" customFormat="false" ht="15" hidden="false" customHeight="true" outlineLevel="0" collapsed="false">
      <c r="A282" s="16"/>
      <c r="B282" s="10"/>
      <c r="C282" s="17" t="str">
        <f aca="false">IF($B282="","",IFERROR(INDEX(품목마스터!$B$3:$B$302,MATCH($B282,품목마스터!$A$3:$A$302,0)),"미등록품번"))</f>
        <v/>
      </c>
      <c r="D282" s="17" t="str">
        <f aca="false">IF($B282="","",IFERROR(INDEX(품목마스터!$D$3:$D$302,MATCH($B282,품목마스터!$A$3:$A$302,0)),""))</f>
        <v/>
      </c>
      <c r="E282" s="12"/>
      <c r="F282" s="10"/>
    </row>
    <row r="283" customFormat="false" ht="15" hidden="false" customHeight="true" outlineLevel="0" collapsed="false">
      <c r="A283" s="16"/>
      <c r="B283" s="10"/>
      <c r="C283" s="17" t="str">
        <f aca="false">IF($B283="","",IFERROR(INDEX(품목마스터!$B$3:$B$302,MATCH($B283,품목마스터!$A$3:$A$302,0)),"미등록품번"))</f>
        <v/>
      </c>
      <c r="D283" s="17" t="str">
        <f aca="false">IF($B283="","",IFERROR(INDEX(품목마스터!$D$3:$D$302,MATCH($B283,품목마스터!$A$3:$A$302,0)),""))</f>
        <v/>
      </c>
      <c r="E283" s="12"/>
      <c r="F283" s="10"/>
    </row>
    <row r="284" customFormat="false" ht="15" hidden="false" customHeight="true" outlineLevel="0" collapsed="false">
      <c r="A284" s="16"/>
      <c r="B284" s="10"/>
      <c r="C284" s="17" t="str">
        <f aca="false">IF($B284="","",IFERROR(INDEX(품목마스터!$B$3:$B$302,MATCH($B284,품목마스터!$A$3:$A$302,0)),"미등록품번"))</f>
        <v/>
      </c>
      <c r="D284" s="17" t="str">
        <f aca="false">IF($B284="","",IFERROR(INDEX(품목마스터!$D$3:$D$302,MATCH($B284,품목마스터!$A$3:$A$302,0)),""))</f>
        <v/>
      </c>
      <c r="E284" s="12"/>
      <c r="F284" s="10"/>
    </row>
    <row r="285" customFormat="false" ht="15" hidden="false" customHeight="true" outlineLevel="0" collapsed="false">
      <c r="A285" s="16"/>
      <c r="B285" s="10"/>
      <c r="C285" s="17" t="str">
        <f aca="false">IF($B285="","",IFERROR(INDEX(품목마스터!$B$3:$B$302,MATCH($B285,품목마스터!$A$3:$A$302,0)),"미등록품번"))</f>
        <v/>
      </c>
      <c r="D285" s="17" t="str">
        <f aca="false">IF($B285="","",IFERROR(INDEX(품목마스터!$D$3:$D$302,MATCH($B285,품목마스터!$A$3:$A$302,0)),""))</f>
        <v/>
      </c>
      <c r="E285" s="12"/>
      <c r="F285" s="10"/>
    </row>
    <row r="286" customFormat="false" ht="15" hidden="false" customHeight="true" outlineLevel="0" collapsed="false">
      <c r="A286" s="16"/>
      <c r="B286" s="10"/>
      <c r="C286" s="17" t="str">
        <f aca="false">IF($B286="","",IFERROR(INDEX(품목마스터!$B$3:$B$302,MATCH($B286,품목마스터!$A$3:$A$302,0)),"미등록품번"))</f>
        <v/>
      </c>
      <c r="D286" s="17" t="str">
        <f aca="false">IF($B286="","",IFERROR(INDEX(품목마스터!$D$3:$D$302,MATCH($B286,품목마스터!$A$3:$A$302,0)),""))</f>
        <v/>
      </c>
      <c r="E286" s="12"/>
      <c r="F286" s="10"/>
    </row>
    <row r="287" customFormat="false" ht="15" hidden="false" customHeight="true" outlineLevel="0" collapsed="false">
      <c r="A287" s="16"/>
      <c r="B287" s="10"/>
      <c r="C287" s="17" t="str">
        <f aca="false">IF($B287="","",IFERROR(INDEX(품목마스터!$B$3:$B$302,MATCH($B287,품목마스터!$A$3:$A$302,0)),"미등록품번"))</f>
        <v/>
      </c>
      <c r="D287" s="17" t="str">
        <f aca="false">IF($B287="","",IFERROR(INDEX(품목마스터!$D$3:$D$302,MATCH($B287,품목마스터!$A$3:$A$302,0)),""))</f>
        <v/>
      </c>
      <c r="E287" s="12"/>
      <c r="F287" s="10"/>
    </row>
    <row r="288" customFormat="false" ht="15" hidden="false" customHeight="true" outlineLevel="0" collapsed="false">
      <c r="A288" s="16"/>
      <c r="B288" s="10"/>
      <c r="C288" s="17" t="str">
        <f aca="false">IF($B288="","",IFERROR(INDEX(품목마스터!$B$3:$B$302,MATCH($B288,품목마스터!$A$3:$A$302,0)),"미등록품번"))</f>
        <v/>
      </c>
      <c r="D288" s="17" t="str">
        <f aca="false">IF($B288="","",IFERROR(INDEX(품목마스터!$D$3:$D$302,MATCH($B288,품목마스터!$A$3:$A$302,0)),""))</f>
        <v/>
      </c>
      <c r="E288" s="12"/>
      <c r="F288" s="10"/>
    </row>
    <row r="289" customFormat="false" ht="15" hidden="false" customHeight="true" outlineLevel="0" collapsed="false">
      <c r="A289" s="16"/>
      <c r="B289" s="10"/>
      <c r="C289" s="17" t="str">
        <f aca="false">IF($B289="","",IFERROR(INDEX(품목마스터!$B$3:$B$302,MATCH($B289,품목마스터!$A$3:$A$302,0)),"미등록품번"))</f>
        <v/>
      </c>
      <c r="D289" s="17" t="str">
        <f aca="false">IF($B289="","",IFERROR(INDEX(품목마스터!$D$3:$D$302,MATCH($B289,품목마스터!$A$3:$A$302,0)),""))</f>
        <v/>
      </c>
      <c r="E289" s="12"/>
      <c r="F289" s="10"/>
    </row>
    <row r="290" customFormat="false" ht="15" hidden="false" customHeight="true" outlineLevel="0" collapsed="false">
      <c r="A290" s="16"/>
      <c r="B290" s="10"/>
      <c r="C290" s="17" t="str">
        <f aca="false">IF($B290="","",IFERROR(INDEX(품목마스터!$B$3:$B$302,MATCH($B290,품목마스터!$A$3:$A$302,0)),"미등록품번"))</f>
        <v/>
      </c>
      <c r="D290" s="17" t="str">
        <f aca="false">IF($B290="","",IFERROR(INDEX(품목마스터!$D$3:$D$302,MATCH($B290,품목마스터!$A$3:$A$302,0)),""))</f>
        <v/>
      </c>
      <c r="E290" s="12"/>
      <c r="F290" s="10"/>
    </row>
    <row r="291" customFormat="false" ht="15" hidden="false" customHeight="true" outlineLevel="0" collapsed="false">
      <c r="A291" s="16"/>
      <c r="B291" s="10"/>
      <c r="C291" s="17" t="str">
        <f aca="false">IF($B291="","",IFERROR(INDEX(품목마스터!$B$3:$B$302,MATCH($B291,품목마스터!$A$3:$A$302,0)),"미등록품번"))</f>
        <v/>
      </c>
      <c r="D291" s="17" t="str">
        <f aca="false">IF($B291="","",IFERROR(INDEX(품목마스터!$D$3:$D$302,MATCH($B291,품목마스터!$A$3:$A$302,0)),""))</f>
        <v/>
      </c>
      <c r="E291" s="12"/>
      <c r="F291" s="10"/>
    </row>
    <row r="292" customFormat="false" ht="15" hidden="false" customHeight="true" outlineLevel="0" collapsed="false">
      <c r="A292" s="16"/>
      <c r="B292" s="10"/>
      <c r="C292" s="17" t="str">
        <f aca="false">IF($B292="","",IFERROR(INDEX(품목마스터!$B$3:$B$302,MATCH($B292,품목마스터!$A$3:$A$302,0)),"미등록품번"))</f>
        <v/>
      </c>
      <c r="D292" s="17" t="str">
        <f aca="false">IF($B292="","",IFERROR(INDEX(품목마스터!$D$3:$D$302,MATCH($B292,품목마스터!$A$3:$A$302,0)),""))</f>
        <v/>
      </c>
      <c r="E292" s="12"/>
      <c r="F292" s="10"/>
    </row>
    <row r="293" customFormat="false" ht="15" hidden="false" customHeight="true" outlineLevel="0" collapsed="false">
      <c r="A293" s="16"/>
      <c r="B293" s="10"/>
      <c r="C293" s="17" t="str">
        <f aca="false">IF($B293="","",IFERROR(INDEX(품목마스터!$B$3:$B$302,MATCH($B293,품목마스터!$A$3:$A$302,0)),"미등록품번"))</f>
        <v/>
      </c>
      <c r="D293" s="17" t="str">
        <f aca="false">IF($B293="","",IFERROR(INDEX(품목마스터!$D$3:$D$302,MATCH($B293,품목마스터!$A$3:$A$302,0)),""))</f>
        <v/>
      </c>
      <c r="E293" s="12"/>
      <c r="F293" s="10"/>
    </row>
    <row r="294" customFormat="false" ht="15" hidden="false" customHeight="true" outlineLevel="0" collapsed="false">
      <c r="A294" s="16"/>
      <c r="B294" s="10"/>
      <c r="C294" s="17" t="str">
        <f aca="false">IF($B294="","",IFERROR(INDEX(품목마스터!$B$3:$B$302,MATCH($B294,품목마스터!$A$3:$A$302,0)),"미등록품번"))</f>
        <v/>
      </c>
      <c r="D294" s="17" t="str">
        <f aca="false">IF($B294="","",IFERROR(INDEX(품목마스터!$D$3:$D$302,MATCH($B294,품목마스터!$A$3:$A$302,0)),""))</f>
        <v/>
      </c>
      <c r="E294" s="12"/>
      <c r="F294" s="10"/>
    </row>
    <row r="295" customFormat="false" ht="15" hidden="false" customHeight="true" outlineLevel="0" collapsed="false">
      <c r="A295" s="16"/>
      <c r="B295" s="10"/>
      <c r="C295" s="17" t="str">
        <f aca="false">IF($B295="","",IFERROR(INDEX(품목마스터!$B$3:$B$302,MATCH($B295,품목마스터!$A$3:$A$302,0)),"미등록품번"))</f>
        <v/>
      </c>
      <c r="D295" s="17" t="str">
        <f aca="false">IF($B295="","",IFERROR(INDEX(품목마스터!$D$3:$D$302,MATCH($B295,품목마스터!$A$3:$A$302,0)),""))</f>
        <v/>
      </c>
      <c r="E295" s="12"/>
      <c r="F295" s="10"/>
    </row>
    <row r="296" customFormat="false" ht="15" hidden="false" customHeight="true" outlineLevel="0" collapsed="false">
      <c r="A296" s="16"/>
      <c r="B296" s="10"/>
      <c r="C296" s="17" t="str">
        <f aca="false">IF($B296="","",IFERROR(INDEX(품목마스터!$B$3:$B$302,MATCH($B296,품목마스터!$A$3:$A$302,0)),"미등록품번"))</f>
        <v/>
      </c>
      <c r="D296" s="17" t="str">
        <f aca="false">IF($B296="","",IFERROR(INDEX(품목마스터!$D$3:$D$302,MATCH($B296,품목마스터!$A$3:$A$302,0)),""))</f>
        <v/>
      </c>
      <c r="E296" s="12"/>
      <c r="F296" s="10"/>
    </row>
    <row r="297" customFormat="false" ht="15" hidden="false" customHeight="true" outlineLevel="0" collapsed="false">
      <c r="A297" s="16"/>
      <c r="B297" s="10"/>
      <c r="C297" s="17" t="str">
        <f aca="false">IF($B297="","",IFERROR(INDEX(품목마스터!$B$3:$B$302,MATCH($B297,품목마스터!$A$3:$A$302,0)),"미등록품번"))</f>
        <v/>
      </c>
      <c r="D297" s="17" t="str">
        <f aca="false">IF($B297="","",IFERROR(INDEX(품목마스터!$D$3:$D$302,MATCH($B297,품목마스터!$A$3:$A$302,0)),""))</f>
        <v/>
      </c>
      <c r="E297" s="12"/>
      <c r="F297" s="10"/>
    </row>
    <row r="298" customFormat="false" ht="15" hidden="false" customHeight="true" outlineLevel="0" collapsed="false">
      <c r="A298" s="16"/>
      <c r="B298" s="10"/>
      <c r="C298" s="17" t="str">
        <f aca="false">IF($B298="","",IFERROR(INDEX(품목마스터!$B$3:$B$302,MATCH($B298,품목마스터!$A$3:$A$302,0)),"미등록품번"))</f>
        <v/>
      </c>
      <c r="D298" s="17" t="str">
        <f aca="false">IF($B298="","",IFERROR(INDEX(품목마스터!$D$3:$D$302,MATCH($B298,품목마스터!$A$3:$A$302,0)),""))</f>
        <v/>
      </c>
      <c r="E298" s="12"/>
      <c r="F298" s="10"/>
    </row>
    <row r="299" customFormat="false" ht="15" hidden="false" customHeight="true" outlineLevel="0" collapsed="false">
      <c r="A299" s="16"/>
      <c r="B299" s="10"/>
      <c r="C299" s="17" t="str">
        <f aca="false">IF($B299="","",IFERROR(INDEX(품목마스터!$B$3:$B$302,MATCH($B299,품목마스터!$A$3:$A$302,0)),"미등록품번"))</f>
        <v/>
      </c>
      <c r="D299" s="17" t="str">
        <f aca="false">IF($B299="","",IFERROR(INDEX(품목마스터!$D$3:$D$302,MATCH($B299,품목마스터!$A$3:$A$302,0)),""))</f>
        <v/>
      </c>
      <c r="E299" s="12"/>
      <c r="F299" s="10"/>
    </row>
    <row r="300" customFormat="false" ht="15" hidden="false" customHeight="true" outlineLevel="0" collapsed="false">
      <c r="A300" s="16"/>
      <c r="B300" s="10"/>
      <c r="C300" s="17" t="str">
        <f aca="false">IF($B300="","",IFERROR(INDEX(품목마스터!$B$3:$B$302,MATCH($B300,품목마스터!$A$3:$A$302,0)),"미등록품번"))</f>
        <v/>
      </c>
      <c r="D300" s="17" t="str">
        <f aca="false">IF($B300="","",IFERROR(INDEX(품목마스터!$D$3:$D$302,MATCH($B300,품목마스터!$A$3:$A$302,0)),""))</f>
        <v/>
      </c>
      <c r="E300" s="12"/>
      <c r="F300" s="10"/>
    </row>
    <row r="301" customFormat="false" ht="15" hidden="false" customHeight="true" outlineLevel="0" collapsed="false">
      <c r="A301" s="16"/>
      <c r="B301" s="10"/>
      <c r="C301" s="17" t="str">
        <f aca="false">IF($B301="","",IFERROR(INDEX(품목마스터!$B$3:$B$302,MATCH($B301,품목마스터!$A$3:$A$302,0)),"미등록품번"))</f>
        <v/>
      </c>
      <c r="D301" s="17" t="str">
        <f aca="false">IF($B301="","",IFERROR(INDEX(품목마스터!$D$3:$D$302,MATCH($B301,품목마스터!$A$3:$A$302,0)),""))</f>
        <v/>
      </c>
      <c r="E301" s="12"/>
      <c r="F301" s="10"/>
    </row>
    <row r="302" customFormat="false" ht="15" hidden="false" customHeight="true" outlineLevel="0" collapsed="false">
      <c r="A302" s="16"/>
      <c r="B302" s="10"/>
      <c r="C302" s="17" t="str">
        <f aca="false">IF($B302="","",IFERROR(INDEX(품목마스터!$B$3:$B$302,MATCH($B302,품목마스터!$A$3:$A$302,0)),"미등록품번"))</f>
        <v/>
      </c>
      <c r="D302" s="17" t="str">
        <f aca="false">IF($B302="","",IFERROR(INDEX(품목마스터!$D$3:$D$302,MATCH($B302,품목마스터!$A$3:$A$302,0)),""))</f>
        <v/>
      </c>
      <c r="E302" s="12"/>
      <c r="F302" s="10"/>
    </row>
    <row r="303" customFormat="false" ht="15" hidden="false" customHeight="true" outlineLevel="0" collapsed="false">
      <c r="A303" s="16"/>
      <c r="B303" s="10"/>
      <c r="C303" s="17" t="str">
        <f aca="false">IF($B303="","",IFERROR(INDEX(품목마스터!$B$3:$B$302,MATCH($B303,품목마스터!$A$3:$A$302,0)),"미등록품번"))</f>
        <v/>
      </c>
      <c r="D303" s="17" t="str">
        <f aca="false">IF($B303="","",IFERROR(INDEX(품목마스터!$D$3:$D$302,MATCH($B303,품목마스터!$A$3:$A$302,0)),""))</f>
        <v/>
      </c>
      <c r="E303" s="12"/>
      <c r="F303" s="10"/>
    </row>
    <row r="304" customFormat="false" ht="15" hidden="false" customHeight="true" outlineLevel="0" collapsed="false">
      <c r="A304" s="16"/>
      <c r="B304" s="10"/>
      <c r="C304" s="17" t="str">
        <f aca="false">IF($B304="","",IFERROR(INDEX(품목마스터!$B$3:$B$302,MATCH($B304,품목마스터!$A$3:$A$302,0)),"미등록품번"))</f>
        <v/>
      </c>
      <c r="D304" s="17" t="str">
        <f aca="false">IF($B304="","",IFERROR(INDEX(품목마스터!$D$3:$D$302,MATCH($B304,품목마스터!$A$3:$A$302,0)),""))</f>
        <v/>
      </c>
      <c r="E304" s="12"/>
      <c r="F304" s="10"/>
    </row>
    <row r="305" customFormat="false" ht="15" hidden="false" customHeight="true" outlineLevel="0" collapsed="false">
      <c r="A305" s="16"/>
      <c r="B305" s="10"/>
      <c r="C305" s="17" t="str">
        <f aca="false">IF($B305="","",IFERROR(INDEX(품목마스터!$B$3:$B$302,MATCH($B305,품목마스터!$A$3:$A$302,0)),"미등록품번"))</f>
        <v/>
      </c>
      <c r="D305" s="17" t="str">
        <f aca="false">IF($B305="","",IFERROR(INDEX(품목마스터!$D$3:$D$302,MATCH($B305,품목마스터!$A$3:$A$302,0)),""))</f>
        <v/>
      </c>
      <c r="E305" s="12"/>
      <c r="F305" s="10"/>
    </row>
    <row r="306" customFormat="false" ht="15" hidden="false" customHeight="true" outlineLevel="0" collapsed="false">
      <c r="A306" s="16"/>
      <c r="B306" s="10"/>
      <c r="C306" s="17" t="str">
        <f aca="false">IF($B306="","",IFERROR(INDEX(품목마스터!$B$3:$B$302,MATCH($B306,품목마스터!$A$3:$A$302,0)),"미등록품번"))</f>
        <v/>
      </c>
      <c r="D306" s="17" t="str">
        <f aca="false">IF($B306="","",IFERROR(INDEX(품목마스터!$D$3:$D$302,MATCH($B306,품목마스터!$A$3:$A$302,0)),""))</f>
        <v/>
      </c>
      <c r="E306" s="12"/>
      <c r="F306" s="10"/>
    </row>
    <row r="307" customFormat="false" ht="15" hidden="false" customHeight="true" outlineLevel="0" collapsed="false">
      <c r="A307" s="16"/>
      <c r="B307" s="10"/>
      <c r="C307" s="17" t="str">
        <f aca="false">IF($B307="","",IFERROR(INDEX(품목마스터!$B$3:$B$302,MATCH($B307,품목마스터!$A$3:$A$302,0)),"미등록품번"))</f>
        <v/>
      </c>
      <c r="D307" s="17" t="str">
        <f aca="false">IF($B307="","",IFERROR(INDEX(품목마스터!$D$3:$D$302,MATCH($B307,품목마스터!$A$3:$A$302,0)),""))</f>
        <v/>
      </c>
      <c r="E307" s="12"/>
      <c r="F307" s="10"/>
    </row>
    <row r="308" customFormat="false" ht="15" hidden="false" customHeight="true" outlineLevel="0" collapsed="false">
      <c r="A308" s="16"/>
      <c r="B308" s="10"/>
      <c r="C308" s="17" t="str">
        <f aca="false">IF($B308="","",IFERROR(INDEX(품목마스터!$B$3:$B$302,MATCH($B308,품목마스터!$A$3:$A$302,0)),"미등록품번"))</f>
        <v/>
      </c>
      <c r="D308" s="17" t="str">
        <f aca="false">IF($B308="","",IFERROR(INDEX(품목마스터!$D$3:$D$302,MATCH($B308,품목마스터!$A$3:$A$302,0)),""))</f>
        <v/>
      </c>
      <c r="E308" s="12"/>
      <c r="F308" s="10"/>
    </row>
    <row r="309" customFormat="false" ht="15" hidden="false" customHeight="true" outlineLevel="0" collapsed="false">
      <c r="A309" s="16"/>
      <c r="B309" s="10"/>
      <c r="C309" s="17" t="str">
        <f aca="false">IF($B309="","",IFERROR(INDEX(품목마스터!$B$3:$B$302,MATCH($B309,품목마스터!$A$3:$A$302,0)),"미등록품번"))</f>
        <v/>
      </c>
      <c r="D309" s="17" t="str">
        <f aca="false">IF($B309="","",IFERROR(INDEX(품목마스터!$D$3:$D$302,MATCH($B309,품목마스터!$A$3:$A$302,0)),""))</f>
        <v/>
      </c>
      <c r="E309" s="12"/>
      <c r="F309" s="10"/>
    </row>
    <row r="310" customFormat="false" ht="15" hidden="false" customHeight="true" outlineLevel="0" collapsed="false">
      <c r="A310" s="16"/>
      <c r="B310" s="10"/>
      <c r="C310" s="17" t="str">
        <f aca="false">IF($B310="","",IFERROR(INDEX(품목마스터!$B$3:$B$302,MATCH($B310,품목마스터!$A$3:$A$302,0)),"미등록품번"))</f>
        <v/>
      </c>
      <c r="D310" s="17" t="str">
        <f aca="false">IF($B310="","",IFERROR(INDEX(품목마스터!$D$3:$D$302,MATCH($B310,품목마스터!$A$3:$A$302,0)),""))</f>
        <v/>
      </c>
      <c r="E310" s="12"/>
      <c r="F310" s="10"/>
    </row>
    <row r="311" customFormat="false" ht="15" hidden="false" customHeight="true" outlineLevel="0" collapsed="false">
      <c r="A311" s="16"/>
      <c r="B311" s="10"/>
      <c r="C311" s="17" t="str">
        <f aca="false">IF($B311="","",IFERROR(INDEX(품목마스터!$B$3:$B$302,MATCH($B311,품목마스터!$A$3:$A$302,0)),"미등록품번"))</f>
        <v/>
      </c>
      <c r="D311" s="17" t="str">
        <f aca="false">IF($B311="","",IFERROR(INDEX(품목마스터!$D$3:$D$302,MATCH($B311,품목마스터!$A$3:$A$302,0)),""))</f>
        <v/>
      </c>
      <c r="E311" s="12"/>
      <c r="F311" s="10"/>
    </row>
    <row r="312" customFormat="false" ht="15" hidden="false" customHeight="true" outlineLevel="0" collapsed="false">
      <c r="A312" s="16"/>
      <c r="B312" s="10"/>
      <c r="C312" s="17" t="str">
        <f aca="false">IF($B312="","",IFERROR(INDEX(품목마스터!$B$3:$B$302,MATCH($B312,품목마스터!$A$3:$A$302,0)),"미등록품번"))</f>
        <v/>
      </c>
      <c r="D312" s="17" t="str">
        <f aca="false">IF($B312="","",IFERROR(INDEX(품목마스터!$D$3:$D$302,MATCH($B312,품목마스터!$A$3:$A$302,0)),""))</f>
        <v/>
      </c>
      <c r="E312" s="12"/>
      <c r="F312" s="10"/>
    </row>
    <row r="313" customFormat="false" ht="15" hidden="false" customHeight="true" outlineLevel="0" collapsed="false">
      <c r="A313" s="16"/>
      <c r="B313" s="10"/>
      <c r="C313" s="17" t="str">
        <f aca="false">IF($B313="","",IFERROR(INDEX(품목마스터!$B$3:$B$302,MATCH($B313,품목마스터!$A$3:$A$302,0)),"미등록품번"))</f>
        <v/>
      </c>
      <c r="D313" s="17" t="str">
        <f aca="false">IF($B313="","",IFERROR(INDEX(품목마스터!$D$3:$D$302,MATCH($B313,품목마스터!$A$3:$A$302,0)),""))</f>
        <v/>
      </c>
      <c r="E313" s="12"/>
      <c r="F313" s="10"/>
    </row>
    <row r="314" customFormat="false" ht="15" hidden="false" customHeight="true" outlineLevel="0" collapsed="false">
      <c r="A314" s="16"/>
      <c r="B314" s="10"/>
      <c r="C314" s="17" t="str">
        <f aca="false">IF($B314="","",IFERROR(INDEX(품목마스터!$B$3:$B$302,MATCH($B314,품목마스터!$A$3:$A$302,0)),"미등록품번"))</f>
        <v/>
      </c>
      <c r="D314" s="17" t="str">
        <f aca="false">IF($B314="","",IFERROR(INDEX(품목마스터!$D$3:$D$302,MATCH($B314,품목마스터!$A$3:$A$302,0)),""))</f>
        <v/>
      </c>
      <c r="E314" s="12"/>
      <c r="F314" s="10"/>
    </row>
    <row r="315" customFormat="false" ht="15" hidden="false" customHeight="true" outlineLevel="0" collapsed="false">
      <c r="A315" s="16"/>
      <c r="B315" s="10"/>
      <c r="C315" s="17" t="str">
        <f aca="false">IF($B315="","",IFERROR(INDEX(품목마스터!$B$3:$B$302,MATCH($B315,품목마스터!$A$3:$A$302,0)),"미등록품번"))</f>
        <v/>
      </c>
      <c r="D315" s="17" t="str">
        <f aca="false">IF($B315="","",IFERROR(INDEX(품목마스터!$D$3:$D$302,MATCH($B315,품목마스터!$A$3:$A$302,0)),""))</f>
        <v/>
      </c>
      <c r="E315" s="12"/>
      <c r="F315" s="10"/>
    </row>
    <row r="316" customFormat="false" ht="15" hidden="false" customHeight="true" outlineLevel="0" collapsed="false">
      <c r="A316" s="16"/>
      <c r="B316" s="10"/>
      <c r="C316" s="17" t="str">
        <f aca="false">IF($B316="","",IFERROR(INDEX(품목마스터!$B$3:$B$302,MATCH($B316,품목마스터!$A$3:$A$302,0)),"미등록품번"))</f>
        <v/>
      </c>
      <c r="D316" s="17" t="str">
        <f aca="false">IF($B316="","",IFERROR(INDEX(품목마스터!$D$3:$D$302,MATCH($B316,품목마스터!$A$3:$A$302,0)),""))</f>
        <v/>
      </c>
      <c r="E316" s="12"/>
      <c r="F316" s="10"/>
    </row>
    <row r="317" customFormat="false" ht="15" hidden="false" customHeight="true" outlineLevel="0" collapsed="false">
      <c r="A317" s="16"/>
      <c r="B317" s="10"/>
      <c r="C317" s="17" t="str">
        <f aca="false">IF($B317="","",IFERROR(INDEX(품목마스터!$B$3:$B$302,MATCH($B317,품목마스터!$A$3:$A$302,0)),"미등록품번"))</f>
        <v/>
      </c>
      <c r="D317" s="17" t="str">
        <f aca="false">IF($B317="","",IFERROR(INDEX(품목마스터!$D$3:$D$302,MATCH($B317,품목마스터!$A$3:$A$302,0)),""))</f>
        <v/>
      </c>
      <c r="E317" s="12"/>
      <c r="F317" s="10"/>
    </row>
    <row r="318" customFormat="false" ht="15" hidden="false" customHeight="true" outlineLevel="0" collapsed="false">
      <c r="A318" s="16"/>
      <c r="B318" s="10"/>
      <c r="C318" s="17" t="str">
        <f aca="false">IF($B318="","",IFERROR(INDEX(품목마스터!$B$3:$B$302,MATCH($B318,품목마스터!$A$3:$A$302,0)),"미등록품번"))</f>
        <v/>
      </c>
      <c r="D318" s="17" t="str">
        <f aca="false">IF($B318="","",IFERROR(INDEX(품목마스터!$D$3:$D$302,MATCH($B318,품목마스터!$A$3:$A$302,0)),""))</f>
        <v/>
      </c>
      <c r="E318" s="12"/>
      <c r="F318" s="10"/>
    </row>
    <row r="319" customFormat="false" ht="15" hidden="false" customHeight="true" outlineLevel="0" collapsed="false">
      <c r="A319" s="16"/>
      <c r="B319" s="10"/>
      <c r="C319" s="17" t="str">
        <f aca="false">IF($B319="","",IFERROR(INDEX(품목마스터!$B$3:$B$302,MATCH($B319,품목마스터!$A$3:$A$302,0)),"미등록품번"))</f>
        <v/>
      </c>
      <c r="D319" s="17" t="str">
        <f aca="false">IF($B319="","",IFERROR(INDEX(품목마스터!$D$3:$D$302,MATCH($B319,품목마스터!$A$3:$A$302,0)),""))</f>
        <v/>
      </c>
      <c r="E319" s="12"/>
      <c r="F319" s="10"/>
    </row>
    <row r="320" customFormat="false" ht="15" hidden="false" customHeight="true" outlineLevel="0" collapsed="false">
      <c r="A320" s="16"/>
      <c r="B320" s="10"/>
      <c r="C320" s="17" t="str">
        <f aca="false">IF($B320="","",IFERROR(INDEX(품목마스터!$B$3:$B$302,MATCH($B320,품목마스터!$A$3:$A$302,0)),"미등록품번"))</f>
        <v/>
      </c>
      <c r="D320" s="17" t="str">
        <f aca="false">IF($B320="","",IFERROR(INDEX(품목마스터!$D$3:$D$302,MATCH($B320,품목마스터!$A$3:$A$302,0)),""))</f>
        <v/>
      </c>
      <c r="E320" s="12"/>
      <c r="F320" s="10"/>
    </row>
    <row r="321" customFormat="false" ht="15" hidden="false" customHeight="true" outlineLevel="0" collapsed="false">
      <c r="A321" s="16"/>
      <c r="B321" s="10"/>
      <c r="C321" s="17" t="str">
        <f aca="false">IF($B321="","",IFERROR(INDEX(품목마스터!$B$3:$B$302,MATCH($B321,품목마스터!$A$3:$A$302,0)),"미등록품번"))</f>
        <v/>
      </c>
      <c r="D321" s="17" t="str">
        <f aca="false">IF($B321="","",IFERROR(INDEX(품목마스터!$D$3:$D$302,MATCH($B321,품목마스터!$A$3:$A$302,0)),""))</f>
        <v/>
      </c>
      <c r="E321" s="12"/>
      <c r="F321" s="10"/>
    </row>
    <row r="322" customFormat="false" ht="15" hidden="false" customHeight="true" outlineLevel="0" collapsed="false">
      <c r="A322" s="16"/>
      <c r="B322" s="10"/>
      <c r="C322" s="17" t="str">
        <f aca="false">IF($B322="","",IFERROR(INDEX(품목마스터!$B$3:$B$302,MATCH($B322,품목마스터!$A$3:$A$302,0)),"미등록품번"))</f>
        <v/>
      </c>
      <c r="D322" s="17" t="str">
        <f aca="false">IF($B322="","",IFERROR(INDEX(품목마스터!$D$3:$D$302,MATCH($B322,품목마스터!$A$3:$A$302,0)),""))</f>
        <v/>
      </c>
      <c r="E322" s="12"/>
      <c r="F322" s="10"/>
    </row>
    <row r="323" customFormat="false" ht="15" hidden="false" customHeight="true" outlineLevel="0" collapsed="false">
      <c r="A323" s="16"/>
      <c r="B323" s="10"/>
      <c r="C323" s="17" t="str">
        <f aca="false">IF($B323="","",IFERROR(INDEX(품목마스터!$B$3:$B$302,MATCH($B323,품목마스터!$A$3:$A$302,0)),"미등록품번"))</f>
        <v/>
      </c>
      <c r="D323" s="17" t="str">
        <f aca="false">IF($B323="","",IFERROR(INDEX(품목마스터!$D$3:$D$302,MATCH($B323,품목마스터!$A$3:$A$302,0)),""))</f>
        <v/>
      </c>
      <c r="E323" s="12"/>
      <c r="F323" s="10"/>
    </row>
    <row r="324" customFormat="false" ht="15" hidden="false" customHeight="true" outlineLevel="0" collapsed="false">
      <c r="A324" s="16"/>
      <c r="B324" s="10"/>
      <c r="C324" s="17" t="str">
        <f aca="false">IF($B324="","",IFERROR(INDEX(품목마스터!$B$3:$B$302,MATCH($B324,품목마스터!$A$3:$A$302,0)),"미등록품번"))</f>
        <v/>
      </c>
      <c r="D324" s="17" t="str">
        <f aca="false">IF($B324="","",IFERROR(INDEX(품목마스터!$D$3:$D$302,MATCH($B324,품목마스터!$A$3:$A$302,0)),""))</f>
        <v/>
      </c>
      <c r="E324" s="12"/>
      <c r="F324" s="10"/>
    </row>
    <row r="325" customFormat="false" ht="15" hidden="false" customHeight="true" outlineLevel="0" collapsed="false">
      <c r="A325" s="16"/>
      <c r="B325" s="10"/>
      <c r="C325" s="17" t="str">
        <f aca="false">IF($B325="","",IFERROR(INDEX(품목마스터!$B$3:$B$302,MATCH($B325,품목마스터!$A$3:$A$302,0)),"미등록품번"))</f>
        <v/>
      </c>
      <c r="D325" s="17" t="str">
        <f aca="false">IF($B325="","",IFERROR(INDEX(품목마스터!$D$3:$D$302,MATCH($B325,품목마스터!$A$3:$A$302,0)),""))</f>
        <v/>
      </c>
      <c r="E325" s="12"/>
      <c r="F325" s="10"/>
    </row>
    <row r="326" customFormat="false" ht="15" hidden="false" customHeight="true" outlineLevel="0" collapsed="false">
      <c r="A326" s="16"/>
      <c r="B326" s="10"/>
      <c r="C326" s="17" t="str">
        <f aca="false">IF($B326="","",IFERROR(INDEX(품목마스터!$B$3:$B$302,MATCH($B326,품목마스터!$A$3:$A$302,0)),"미등록품번"))</f>
        <v/>
      </c>
      <c r="D326" s="17" t="str">
        <f aca="false">IF($B326="","",IFERROR(INDEX(품목마스터!$D$3:$D$302,MATCH($B326,품목마스터!$A$3:$A$302,0)),""))</f>
        <v/>
      </c>
      <c r="E326" s="12"/>
      <c r="F326" s="10"/>
    </row>
    <row r="327" customFormat="false" ht="15" hidden="false" customHeight="true" outlineLevel="0" collapsed="false">
      <c r="A327" s="16"/>
      <c r="B327" s="10"/>
      <c r="C327" s="17" t="str">
        <f aca="false">IF($B327="","",IFERROR(INDEX(품목마스터!$B$3:$B$302,MATCH($B327,품목마스터!$A$3:$A$302,0)),"미등록품번"))</f>
        <v/>
      </c>
      <c r="D327" s="17" t="str">
        <f aca="false">IF($B327="","",IFERROR(INDEX(품목마스터!$D$3:$D$302,MATCH($B327,품목마스터!$A$3:$A$302,0)),""))</f>
        <v/>
      </c>
      <c r="E327" s="12"/>
      <c r="F327" s="10"/>
    </row>
    <row r="328" customFormat="false" ht="15" hidden="false" customHeight="true" outlineLevel="0" collapsed="false">
      <c r="A328" s="16"/>
      <c r="B328" s="10"/>
      <c r="C328" s="17" t="str">
        <f aca="false">IF($B328="","",IFERROR(INDEX(품목마스터!$B$3:$B$302,MATCH($B328,품목마스터!$A$3:$A$302,0)),"미등록품번"))</f>
        <v/>
      </c>
      <c r="D328" s="17" t="str">
        <f aca="false">IF($B328="","",IFERROR(INDEX(품목마스터!$D$3:$D$302,MATCH($B328,품목마스터!$A$3:$A$302,0)),""))</f>
        <v/>
      </c>
      <c r="E328" s="12"/>
      <c r="F328" s="10"/>
    </row>
    <row r="329" customFormat="false" ht="15" hidden="false" customHeight="true" outlineLevel="0" collapsed="false">
      <c r="A329" s="16"/>
      <c r="B329" s="10"/>
      <c r="C329" s="17" t="str">
        <f aca="false">IF($B329="","",IFERROR(INDEX(품목마스터!$B$3:$B$302,MATCH($B329,품목마스터!$A$3:$A$302,0)),"미등록품번"))</f>
        <v/>
      </c>
      <c r="D329" s="17" t="str">
        <f aca="false">IF($B329="","",IFERROR(INDEX(품목마스터!$D$3:$D$302,MATCH($B329,품목마스터!$A$3:$A$302,0)),""))</f>
        <v/>
      </c>
      <c r="E329" s="12"/>
      <c r="F329" s="10"/>
    </row>
    <row r="330" customFormat="false" ht="15" hidden="false" customHeight="true" outlineLevel="0" collapsed="false">
      <c r="A330" s="16"/>
      <c r="B330" s="10"/>
      <c r="C330" s="17" t="str">
        <f aca="false">IF($B330="","",IFERROR(INDEX(품목마스터!$B$3:$B$302,MATCH($B330,품목마스터!$A$3:$A$302,0)),"미등록품번"))</f>
        <v/>
      </c>
      <c r="D330" s="17" t="str">
        <f aca="false">IF($B330="","",IFERROR(INDEX(품목마스터!$D$3:$D$302,MATCH($B330,품목마스터!$A$3:$A$302,0)),""))</f>
        <v/>
      </c>
      <c r="E330" s="12"/>
      <c r="F330" s="10"/>
    </row>
    <row r="331" customFormat="false" ht="15" hidden="false" customHeight="true" outlineLevel="0" collapsed="false">
      <c r="A331" s="16"/>
      <c r="B331" s="10"/>
      <c r="C331" s="17" t="str">
        <f aca="false">IF($B331="","",IFERROR(INDEX(품목마스터!$B$3:$B$302,MATCH($B331,품목마스터!$A$3:$A$302,0)),"미등록품번"))</f>
        <v/>
      </c>
      <c r="D331" s="17" t="str">
        <f aca="false">IF($B331="","",IFERROR(INDEX(품목마스터!$D$3:$D$302,MATCH($B331,품목마스터!$A$3:$A$302,0)),""))</f>
        <v/>
      </c>
      <c r="E331" s="12"/>
      <c r="F331" s="10"/>
    </row>
    <row r="332" customFormat="false" ht="15" hidden="false" customHeight="true" outlineLevel="0" collapsed="false">
      <c r="A332" s="16"/>
      <c r="B332" s="10"/>
      <c r="C332" s="17" t="str">
        <f aca="false">IF($B332="","",IFERROR(INDEX(품목마스터!$B$3:$B$302,MATCH($B332,품목마스터!$A$3:$A$302,0)),"미등록품번"))</f>
        <v/>
      </c>
      <c r="D332" s="17" t="str">
        <f aca="false">IF($B332="","",IFERROR(INDEX(품목마스터!$D$3:$D$302,MATCH($B332,품목마스터!$A$3:$A$302,0)),""))</f>
        <v/>
      </c>
      <c r="E332" s="12"/>
      <c r="F332" s="10"/>
    </row>
    <row r="333" customFormat="false" ht="15" hidden="false" customHeight="true" outlineLevel="0" collapsed="false">
      <c r="A333" s="16"/>
      <c r="B333" s="10"/>
      <c r="C333" s="17" t="str">
        <f aca="false">IF($B333="","",IFERROR(INDEX(품목마스터!$B$3:$B$302,MATCH($B333,품목마스터!$A$3:$A$302,0)),"미등록품번"))</f>
        <v/>
      </c>
      <c r="D333" s="17" t="str">
        <f aca="false">IF($B333="","",IFERROR(INDEX(품목마스터!$D$3:$D$302,MATCH($B333,품목마스터!$A$3:$A$302,0)),""))</f>
        <v/>
      </c>
      <c r="E333" s="12"/>
      <c r="F333" s="10"/>
    </row>
    <row r="334" customFormat="false" ht="15" hidden="false" customHeight="true" outlineLevel="0" collapsed="false">
      <c r="A334" s="16"/>
      <c r="B334" s="10"/>
      <c r="C334" s="17" t="str">
        <f aca="false">IF($B334="","",IFERROR(INDEX(품목마스터!$B$3:$B$302,MATCH($B334,품목마스터!$A$3:$A$302,0)),"미등록품번"))</f>
        <v/>
      </c>
      <c r="D334" s="17" t="str">
        <f aca="false">IF($B334="","",IFERROR(INDEX(품목마스터!$D$3:$D$302,MATCH($B334,품목마스터!$A$3:$A$302,0)),""))</f>
        <v/>
      </c>
      <c r="E334" s="12"/>
      <c r="F334" s="10"/>
    </row>
    <row r="335" customFormat="false" ht="15" hidden="false" customHeight="true" outlineLevel="0" collapsed="false">
      <c r="A335" s="16"/>
      <c r="B335" s="10"/>
      <c r="C335" s="17" t="str">
        <f aca="false">IF($B335="","",IFERROR(INDEX(품목마스터!$B$3:$B$302,MATCH($B335,품목마스터!$A$3:$A$302,0)),"미등록품번"))</f>
        <v/>
      </c>
      <c r="D335" s="17" t="str">
        <f aca="false">IF($B335="","",IFERROR(INDEX(품목마스터!$D$3:$D$302,MATCH($B335,품목마스터!$A$3:$A$302,0)),""))</f>
        <v/>
      </c>
      <c r="E335" s="12"/>
      <c r="F335" s="10"/>
    </row>
    <row r="336" customFormat="false" ht="15" hidden="false" customHeight="true" outlineLevel="0" collapsed="false">
      <c r="A336" s="16"/>
      <c r="B336" s="10"/>
      <c r="C336" s="17" t="str">
        <f aca="false">IF($B336="","",IFERROR(INDEX(품목마스터!$B$3:$B$302,MATCH($B336,품목마스터!$A$3:$A$302,0)),"미등록품번"))</f>
        <v/>
      </c>
      <c r="D336" s="17" t="str">
        <f aca="false">IF($B336="","",IFERROR(INDEX(품목마스터!$D$3:$D$302,MATCH($B336,품목마스터!$A$3:$A$302,0)),""))</f>
        <v/>
      </c>
      <c r="E336" s="12"/>
      <c r="F336" s="10"/>
    </row>
    <row r="337" customFormat="false" ht="15" hidden="false" customHeight="true" outlineLevel="0" collapsed="false">
      <c r="A337" s="16"/>
      <c r="B337" s="10"/>
      <c r="C337" s="17" t="str">
        <f aca="false">IF($B337="","",IFERROR(INDEX(품목마스터!$B$3:$B$302,MATCH($B337,품목마스터!$A$3:$A$302,0)),"미등록품번"))</f>
        <v/>
      </c>
      <c r="D337" s="17" t="str">
        <f aca="false">IF($B337="","",IFERROR(INDEX(품목마스터!$D$3:$D$302,MATCH($B337,품목마스터!$A$3:$A$302,0)),""))</f>
        <v/>
      </c>
      <c r="E337" s="12"/>
      <c r="F337" s="10"/>
    </row>
    <row r="338" customFormat="false" ht="15" hidden="false" customHeight="true" outlineLevel="0" collapsed="false">
      <c r="A338" s="16"/>
      <c r="B338" s="10"/>
      <c r="C338" s="17" t="str">
        <f aca="false">IF($B338="","",IFERROR(INDEX(품목마스터!$B$3:$B$302,MATCH($B338,품목마스터!$A$3:$A$302,0)),"미등록품번"))</f>
        <v/>
      </c>
      <c r="D338" s="17" t="str">
        <f aca="false">IF($B338="","",IFERROR(INDEX(품목마스터!$D$3:$D$302,MATCH($B338,품목마스터!$A$3:$A$302,0)),""))</f>
        <v/>
      </c>
      <c r="E338" s="12"/>
      <c r="F338" s="10"/>
    </row>
    <row r="339" customFormat="false" ht="15" hidden="false" customHeight="true" outlineLevel="0" collapsed="false">
      <c r="A339" s="16"/>
      <c r="B339" s="10"/>
      <c r="C339" s="17" t="str">
        <f aca="false">IF($B339="","",IFERROR(INDEX(품목마스터!$B$3:$B$302,MATCH($B339,품목마스터!$A$3:$A$302,0)),"미등록품번"))</f>
        <v/>
      </c>
      <c r="D339" s="17" t="str">
        <f aca="false">IF($B339="","",IFERROR(INDEX(품목마스터!$D$3:$D$302,MATCH($B339,품목마스터!$A$3:$A$302,0)),""))</f>
        <v/>
      </c>
      <c r="E339" s="12"/>
      <c r="F339" s="10"/>
    </row>
    <row r="340" customFormat="false" ht="15" hidden="false" customHeight="true" outlineLevel="0" collapsed="false">
      <c r="A340" s="16"/>
      <c r="B340" s="10"/>
      <c r="C340" s="17" t="str">
        <f aca="false">IF($B340="","",IFERROR(INDEX(품목마스터!$B$3:$B$302,MATCH($B340,품목마스터!$A$3:$A$302,0)),"미등록품번"))</f>
        <v/>
      </c>
      <c r="D340" s="17" t="str">
        <f aca="false">IF($B340="","",IFERROR(INDEX(품목마스터!$D$3:$D$302,MATCH($B340,품목마스터!$A$3:$A$302,0)),""))</f>
        <v/>
      </c>
      <c r="E340" s="12"/>
      <c r="F340" s="10"/>
    </row>
    <row r="341" customFormat="false" ht="15" hidden="false" customHeight="true" outlineLevel="0" collapsed="false">
      <c r="A341" s="16"/>
      <c r="B341" s="10"/>
      <c r="C341" s="17" t="str">
        <f aca="false">IF($B341="","",IFERROR(INDEX(품목마스터!$B$3:$B$302,MATCH($B341,품목마스터!$A$3:$A$302,0)),"미등록품번"))</f>
        <v/>
      </c>
      <c r="D341" s="17" t="str">
        <f aca="false">IF($B341="","",IFERROR(INDEX(품목마스터!$D$3:$D$302,MATCH($B341,품목마스터!$A$3:$A$302,0)),""))</f>
        <v/>
      </c>
      <c r="E341" s="12"/>
      <c r="F341" s="10"/>
    </row>
    <row r="342" customFormat="false" ht="15" hidden="false" customHeight="true" outlineLevel="0" collapsed="false">
      <c r="A342" s="16"/>
      <c r="B342" s="10"/>
      <c r="C342" s="17" t="str">
        <f aca="false">IF($B342="","",IFERROR(INDEX(품목마스터!$B$3:$B$302,MATCH($B342,품목마스터!$A$3:$A$302,0)),"미등록품번"))</f>
        <v/>
      </c>
      <c r="D342" s="17" t="str">
        <f aca="false">IF($B342="","",IFERROR(INDEX(품목마스터!$D$3:$D$302,MATCH($B342,품목마스터!$A$3:$A$302,0)),""))</f>
        <v/>
      </c>
      <c r="E342" s="12"/>
      <c r="F342" s="10"/>
    </row>
    <row r="343" customFormat="false" ht="15" hidden="false" customHeight="true" outlineLevel="0" collapsed="false">
      <c r="A343" s="16"/>
      <c r="B343" s="10"/>
      <c r="C343" s="17" t="str">
        <f aca="false">IF($B343="","",IFERROR(INDEX(품목마스터!$B$3:$B$302,MATCH($B343,품목마스터!$A$3:$A$302,0)),"미등록품번"))</f>
        <v/>
      </c>
      <c r="D343" s="17" t="str">
        <f aca="false">IF($B343="","",IFERROR(INDEX(품목마스터!$D$3:$D$302,MATCH($B343,품목마스터!$A$3:$A$302,0)),""))</f>
        <v/>
      </c>
      <c r="E343" s="12"/>
      <c r="F343" s="10"/>
    </row>
    <row r="344" customFormat="false" ht="15" hidden="false" customHeight="true" outlineLevel="0" collapsed="false">
      <c r="A344" s="16"/>
      <c r="B344" s="10"/>
      <c r="C344" s="17" t="str">
        <f aca="false">IF($B344="","",IFERROR(INDEX(품목마스터!$B$3:$B$302,MATCH($B344,품목마스터!$A$3:$A$302,0)),"미등록품번"))</f>
        <v/>
      </c>
      <c r="D344" s="17" t="str">
        <f aca="false">IF($B344="","",IFERROR(INDEX(품목마스터!$D$3:$D$302,MATCH($B344,품목마스터!$A$3:$A$302,0)),""))</f>
        <v/>
      </c>
      <c r="E344" s="12"/>
      <c r="F344" s="10"/>
    </row>
    <row r="345" customFormat="false" ht="15" hidden="false" customHeight="true" outlineLevel="0" collapsed="false">
      <c r="A345" s="16"/>
      <c r="B345" s="10"/>
      <c r="C345" s="17" t="str">
        <f aca="false">IF($B345="","",IFERROR(INDEX(품목마스터!$B$3:$B$302,MATCH($B345,품목마스터!$A$3:$A$302,0)),"미등록품번"))</f>
        <v/>
      </c>
      <c r="D345" s="17" t="str">
        <f aca="false">IF($B345="","",IFERROR(INDEX(품목마스터!$D$3:$D$302,MATCH($B345,품목마스터!$A$3:$A$302,0)),""))</f>
        <v/>
      </c>
      <c r="E345" s="12"/>
      <c r="F345" s="10"/>
    </row>
    <row r="346" customFormat="false" ht="15" hidden="false" customHeight="true" outlineLevel="0" collapsed="false">
      <c r="A346" s="16"/>
      <c r="B346" s="10"/>
      <c r="C346" s="17" t="str">
        <f aca="false">IF($B346="","",IFERROR(INDEX(품목마스터!$B$3:$B$302,MATCH($B346,품목마스터!$A$3:$A$302,0)),"미등록품번"))</f>
        <v/>
      </c>
      <c r="D346" s="17" t="str">
        <f aca="false">IF($B346="","",IFERROR(INDEX(품목마스터!$D$3:$D$302,MATCH($B346,품목마스터!$A$3:$A$302,0)),""))</f>
        <v/>
      </c>
      <c r="E346" s="12"/>
      <c r="F346" s="10"/>
    </row>
    <row r="347" customFormat="false" ht="15" hidden="false" customHeight="true" outlineLevel="0" collapsed="false">
      <c r="A347" s="16"/>
      <c r="B347" s="10"/>
      <c r="C347" s="17" t="str">
        <f aca="false">IF($B347="","",IFERROR(INDEX(품목마스터!$B$3:$B$302,MATCH($B347,품목마스터!$A$3:$A$302,0)),"미등록품번"))</f>
        <v/>
      </c>
      <c r="D347" s="17" t="str">
        <f aca="false">IF($B347="","",IFERROR(INDEX(품목마스터!$D$3:$D$302,MATCH($B347,품목마스터!$A$3:$A$302,0)),""))</f>
        <v/>
      </c>
      <c r="E347" s="12"/>
      <c r="F347" s="10"/>
    </row>
    <row r="348" customFormat="false" ht="15" hidden="false" customHeight="true" outlineLevel="0" collapsed="false">
      <c r="A348" s="16"/>
      <c r="B348" s="10"/>
      <c r="C348" s="17" t="str">
        <f aca="false">IF($B348="","",IFERROR(INDEX(품목마스터!$B$3:$B$302,MATCH($B348,품목마스터!$A$3:$A$302,0)),"미등록품번"))</f>
        <v/>
      </c>
      <c r="D348" s="17" t="str">
        <f aca="false">IF($B348="","",IFERROR(INDEX(품목마스터!$D$3:$D$302,MATCH($B348,품목마스터!$A$3:$A$302,0)),""))</f>
        <v/>
      </c>
      <c r="E348" s="12"/>
      <c r="F348" s="10"/>
    </row>
    <row r="349" customFormat="false" ht="15" hidden="false" customHeight="true" outlineLevel="0" collapsed="false">
      <c r="A349" s="16"/>
      <c r="B349" s="10"/>
      <c r="C349" s="17" t="str">
        <f aca="false">IF($B349="","",IFERROR(INDEX(품목마스터!$B$3:$B$302,MATCH($B349,품목마스터!$A$3:$A$302,0)),"미등록품번"))</f>
        <v/>
      </c>
      <c r="D349" s="17" t="str">
        <f aca="false">IF($B349="","",IFERROR(INDEX(품목마스터!$D$3:$D$302,MATCH($B349,품목마스터!$A$3:$A$302,0)),""))</f>
        <v/>
      </c>
      <c r="E349" s="12"/>
      <c r="F349" s="10"/>
    </row>
    <row r="350" customFormat="false" ht="15" hidden="false" customHeight="true" outlineLevel="0" collapsed="false">
      <c r="A350" s="16"/>
      <c r="B350" s="10"/>
      <c r="C350" s="17" t="str">
        <f aca="false">IF($B350="","",IFERROR(INDEX(품목마스터!$B$3:$B$302,MATCH($B350,품목마스터!$A$3:$A$302,0)),"미등록품번"))</f>
        <v/>
      </c>
      <c r="D350" s="17" t="str">
        <f aca="false">IF($B350="","",IFERROR(INDEX(품목마스터!$D$3:$D$302,MATCH($B350,품목마스터!$A$3:$A$302,0)),""))</f>
        <v/>
      </c>
      <c r="E350" s="12"/>
      <c r="F350" s="10"/>
    </row>
    <row r="351" customFormat="false" ht="15" hidden="false" customHeight="true" outlineLevel="0" collapsed="false">
      <c r="A351" s="16"/>
      <c r="B351" s="10"/>
      <c r="C351" s="17" t="str">
        <f aca="false">IF($B351="","",IFERROR(INDEX(품목마스터!$B$3:$B$302,MATCH($B351,품목마스터!$A$3:$A$302,0)),"미등록품번"))</f>
        <v/>
      </c>
      <c r="D351" s="17" t="str">
        <f aca="false">IF($B351="","",IFERROR(INDEX(품목마스터!$D$3:$D$302,MATCH($B351,품목마스터!$A$3:$A$302,0)),""))</f>
        <v/>
      </c>
      <c r="E351" s="12"/>
      <c r="F351" s="10"/>
    </row>
    <row r="352" customFormat="false" ht="15" hidden="false" customHeight="true" outlineLevel="0" collapsed="false">
      <c r="A352" s="16"/>
      <c r="B352" s="10"/>
      <c r="C352" s="17" t="str">
        <f aca="false">IF($B352="","",IFERROR(INDEX(품목마스터!$B$3:$B$302,MATCH($B352,품목마스터!$A$3:$A$302,0)),"미등록품번"))</f>
        <v/>
      </c>
      <c r="D352" s="17" t="str">
        <f aca="false">IF($B352="","",IFERROR(INDEX(품목마스터!$D$3:$D$302,MATCH($B352,품목마스터!$A$3:$A$302,0)),""))</f>
        <v/>
      </c>
      <c r="E352" s="12"/>
      <c r="F352" s="10"/>
    </row>
    <row r="353" customFormat="false" ht="15" hidden="false" customHeight="true" outlineLevel="0" collapsed="false">
      <c r="A353" s="16"/>
      <c r="B353" s="10"/>
      <c r="C353" s="17" t="str">
        <f aca="false">IF($B353="","",IFERROR(INDEX(품목마스터!$B$3:$B$302,MATCH($B353,품목마스터!$A$3:$A$302,0)),"미등록품번"))</f>
        <v/>
      </c>
      <c r="D353" s="17" t="str">
        <f aca="false">IF($B353="","",IFERROR(INDEX(품목마스터!$D$3:$D$302,MATCH($B353,품목마스터!$A$3:$A$302,0)),""))</f>
        <v/>
      </c>
      <c r="E353" s="12"/>
      <c r="F353" s="10"/>
    </row>
    <row r="354" customFormat="false" ht="15" hidden="false" customHeight="true" outlineLevel="0" collapsed="false">
      <c r="A354" s="16"/>
      <c r="B354" s="10"/>
      <c r="C354" s="17" t="str">
        <f aca="false">IF($B354="","",IFERROR(INDEX(품목마스터!$B$3:$B$302,MATCH($B354,품목마스터!$A$3:$A$302,0)),"미등록품번"))</f>
        <v/>
      </c>
      <c r="D354" s="17" t="str">
        <f aca="false">IF($B354="","",IFERROR(INDEX(품목마스터!$D$3:$D$302,MATCH($B354,품목마스터!$A$3:$A$302,0)),""))</f>
        <v/>
      </c>
      <c r="E354" s="12"/>
      <c r="F354" s="10"/>
    </row>
    <row r="355" customFormat="false" ht="15" hidden="false" customHeight="true" outlineLevel="0" collapsed="false">
      <c r="A355" s="16"/>
      <c r="B355" s="10"/>
      <c r="C355" s="17" t="str">
        <f aca="false">IF($B355="","",IFERROR(INDEX(품목마스터!$B$3:$B$302,MATCH($B355,품목마스터!$A$3:$A$302,0)),"미등록품번"))</f>
        <v/>
      </c>
      <c r="D355" s="17" t="str">
        <f aca="false">IF($B355="","",IFERROR(INDEX(품목마스터!$D$3:$D$302,MATCH($B355,품목마스터!$A$3:$A$302,0)),""))</f>
        <v/>
      </c>
      <c r="E355" s="12"/>
      <c r="F355" s="10"/>
    </row>
    <row r="356" customFormat="false" ht="15" hidden="false" customHeight="true" outlineLevel="0" collapsed="false">
      <c r="A356" s="16"/>
      <c r="B356" s="10"/>
      <c r="C356" s="17" t="str">
        <f aca="false">IF($B356="","",IFERROR(INDEX(품목마스터!$B$3:$B$302,MATCH($B356,품목마스터!$A$3:$A$302,0)),"미등록품번"))</f>
        <v/>
      </c>
      <c r="D356" s="17" t="str">
        <f aca="false">IF($B356="","",IFERROR(INDEX(품목마스터!$D$3:$D$302,MATCH($B356,품목마스터!$A$3:$A$302,0)),""))</f>
        <v/>
      </c>
      <c r="E356" s="12"/>
      <c r="F356" s="10"/>
    </row>
    <row r="357" customFormat="false" ht="15" hidden="false" customHeight="true" outlineLevel="0" collapsed="false">
      <c r="A357" s="16"/>
      <c r="B357" s="10"/>
      <c r="C357" s="17" t="str">
        <f aca="false">IF($B357="","",IFERROR(INDEX(품목마스터!$B$3:$B$302,MATCH($B357,품목마스터!$A$3:$A$302,0)),"미등록품번"))</f>
        <v/>
      </c>
      <c r="D357" s="17" t="str">
        <f aca="false">IF($B357="","",IFERROR(INDEX(품목마스터!$D$3:$D$302,MATCH($B357,품목마스터!$A$3:$A$302,0)),""))</f>
        <v/>
      </c>
      <c r="E357" s="12"/>
      <c r="F357" s="10"/>
    </row>
    <row r="358" customFormat="false" ht="15" hidden="false" customHeight="true" outlineLevel="0" collapsed="false">
      <c r="A358" s="16"/>
      <c r="B358" s="10"/>
      <c r="C358" s="17" t="str">
        <f aca="false">IF($B358="","",IFERROR(INDEX(품목마스터!$B$3:$B$302,MATCH($B358,품목마스터!$A$3:$A$302,0)),"미등록품번"))</f>
        <v/>
      </c>
      <c r="D358" s="17" t="str">
        <f aca="false">IF($B358="","",IFERROR(INDEX(품목마스터!$D$3:$D$302,MATCH($B358,품목마스터!$A$3:$A$302,0)),""))</f>
        <v/>
      </c>
      <c r="E358" s="12"/>
      <c r="F358" s="10"/>
    </row>
    <row r="359" customFormat="false" ht="15" hidden="false" customHeight="true" outlineLevel="0" collapsed="false">
      <c r="A359" s="16"/>
      <c r="B359" s="10"/>
      <c r="C359" s="17" t="str">
        <f aca="false">IF($B359="","",IFERROR(INDEX(품목마스터!$B$3:$B$302,MATCH($B359,품목마스터!$A$3:$A$302,0)),"미등록품번"))</f>
        <v/>
      </c>
      <c r="D359" s="17" t="str">
        <f aca="false">IF($B359="","",IFERROR(INDEX(품목마스터!$D$3:$D$302,MATCH($B359,품목마스터!$A$3:$A$302,0)),""))</f>
        <v/>
      </c>
      <c r="E359" s="12"/>
      <c r="F359" s="10"/>
    </row>
    <row r="360" customFormat="false" ht="15" hidden="false" customHeight="true" outlineLevel="0" collapsed="false">
      <c r="A360" s="16"/>
      <c r="B360" s="10"/>
      <c r="C360" s="17" t="str">
        <f aca="false">IF($B360="","",IFERROR(INDEX(품목마스터!$B$3:$B$302,MATCH($B360,품목마스터!$A$3:$A$302,0)),"미등록품번"))</f>
        <v/>
      </c>
      <c r="D360" s="17" t="str">
        <f aca="false">IF($B360="","",IFERROR(INDEX(품목마스터!$D$3:$D$302,MATCH($B360,품목마스터!$A$3:$A$302,0)),""))</f>
        <v/>
      </c>
      <c r="E360" s="12"/>
      <c r="F360" s="10"/>
    </row>
    <row r="361" customFormat="false" ht="15" hidden="false" customHeight="true" outlineLevel="0" collapsed="false">
      <c r="A361" s="16"/>
      <c r="B361" s="10"/>
      <c r="C361" s="17" t="str">
        <f aca="false">IF($B361="","",IFERROR(INDEX(품목마스터!$B$3:$B$302,MATCH($B361,품목마스터!$A$3:$A$302,0)),"미등록품번"))</f>
        <v/>
      </c>
      <c r="D361" s="17" t="str">
        <f aca="false">IF($B361="","",IFERROR(INDEX(품목마스터!$D$3:$D$302,MATCH($B361,품목마스터!$A$3:$A$302,0)),""))</f>
        <v/>
      </c>
      <c r="E361" s="12"/>
      <c r="F361" s="10"/>
    </row>
    <row r="362" customFormat="false" ht="15" hidden="false" customHeight="true" outlineLevel="0" collapsed="false">
      <c r="A362" s="16"/>
      <c r="B362" s="10"/>
      <c r="C362" s="17" t="str">
        <f aca="false">IF($B362="","",IFERROR(INDEX(품목마스터!$B$3:$B$302,MATCH($B362,품목마스터!$A$3:$A$302,0)),"미등록품번"))</f>
        <v/>
      </c>
      <c r="D362" s="17" t="str">
        <f aca="false">IF($B362="","",IFERROR(INDEX(품목마스터!$D$3:$D$302,MATCH($B362,품목마스터!$A$3:$A$302,0)),""))</f>
        <v/>
      </c>
      <c r="E362" s="12"/>
      <c r="F362" s="10"/>
    </row>
    <row r="363" customFormat="false" ht="15" hidden="false" customHeight="true" outlineLevel="0" collapsed="false">
      <c r="A363" s="16"/>
      <c r="B363" s="10"/>
      <c r="C363" s="17" t="str">
        <f aca="false">IF($B363="","",IFERROR(INDEX(품목마스터!$B$3:$B$302,MATCH($B363,품목마스터!$A$3:$A$302,0)),"미등록품번"))</f>
        <v/>
      </c>
      <c r="D363" s="17" t="str">
        <f aca="false">IF($B363="","",IFERROR(INDEX(품목마스터!$D$3:$D$302,MATCH($B363,품목마스터!$A$3:$A$302,0)),""))</f>
        <v/>
      </c>
      <c r="E363" s="12"/>
      <c r="F363" s="10"/>
    </row>
    <row r="364" customFormat="false" ht="15" hidden="false" customHeight="true" outlineLevel="0" collapsed="false">
      <c r="A364" s="16"/>
      <c r="B364" s="10"/>
      <c r="C364" s="17" t="str">
        <f aca="false">IF($B364="","",IFERROR(INDEX(품목마스터!$B$3:$B$302,MATCH($B364,품목마스터!$A$3:$A$302,0)),"미등록품번"))</f>
        <v/>
      </c>
      <c r="D364" s="17" t="str">
        <f aca="false">IF($B364="","",IFERROR(INDEX(품목마스터!$D$3:$D$302,MATCH($B364,품목마스터!$A$3:$A$302,0)),""))</f>
        <v/>
      </c>
      <c r="E364" s="12"/>
      <c r="F364" s="10"/>
    </row>
    <row r="365" customFormat="false" ht="15" hidden="false" customHeight="true" outlineLevel="0" collapsed="false">
      <c r="A365" s="16"/>
      <c r="B365" s="10"/>
      <c r="C365" s="17" t="str">
        <f aca="false">IF($B365="","",IFERROR(INDEX(품목마스터!$B$3:$B$302,MATCH($B365,품목마스터!$A$3:$A$302,0)),"미등록품번"))</f>
        <v/>
      </c>
      <c r="D365" s="17" t="str">
        <f aca="false">IF($B365="","",IFERROR(INDEX(품목마스터!$D$3:$D$302,MATCH($B365,품목마스터!$A$3:$A$302,0)),""))</f>
        <v/>
      </c>
      <c r="E365" s="12"/>
      <c r="F365" s="10"/>
    </row>
    <row r="366" customFormat="false" ht="15" hidden="false" customHeight="true" outlineLevel="0" collapsed="false">
      <c r="A366" s="16"/>
      <c r="B366" s="10"/>
      <c r="C366" s="17" t="str">
        <f aca="false">IF($B366="","",IFERROR(INDEX(품목마스터!$B$3:$B$302,MATCH($B366,품목마스터!$A$3:$A$302,0)),"미등록품번"))</f>
        <v/>
      </c>
      <c r="D366" s="17" t="str">
        <f aca="false">IF($B366="","",IFERROR(INDEX(품목마스터!$D$3:$D$302,MATCH($B366,품목마스터!$A$3:$A$302,0)),""))</f>
        <v/>
      </c>
      <c r="E366" s="12"/>
      <c r="F366" s="10"/>
    </row>
    <row r="367" customFormat="false" ht="15" hidden="false" customHeight="true" outlineLevel="0" collapsed="false">
      <c r="A367" s="16"/>
      <c r="B367" s="10"/>
      <c r="C367" s="17" t="str">
        <f aca="false">IF($B367="","",IFERROR(INDEX(품목마스터!$B$3:$B$302,MATCH($B367,품목마스터!$A$3:$A$302,0)),"미등록품번"))</f>
        <v/>
      </c>
      <c r="D367" s="17" t="str">
        <f aca="false">IF($B367="","",IFERROR(INDEX(품목마스터!$D$3:$D$302,MATCH($B367,품목마스터!$A$3:$A$302,0)),""))</f>
        <v/>
      </c>
      <c r="E367" s="12"/>
      <c r="F367" s="10"/>
    </row>
    <row r="368" customFormat="false" ht="15" hidden="false" customHeight="true" outlineLevel="0" collapsed="false">
      <c r="A368" s="16"/>
      <c r="B368" s="10"/>
      <c r="C368" s="17" t="str">
        <f aca="false">IF($B368="","",IFERROR(INDEX(품목마스터!$B$3:$B$302,MATCH($B368,품목마스터!$A$3:$A$302,0)),"미등록품번"))</f>
        <v/>
      </c>
      <c r="D368" s="17" t="str">
        <f aca="false">IF($B368="","",IFERROR(INDEX(품목마스터!$D$3:$D$302,MATCH($B368,품목마스터!$A$3:$A$302,0)),""))</f>
        <v/>
      </c>
      <c r="E368" s="12"/>
      <c r="F368" s="10"/>
    </row>
    <row r="369" customFormat="false" ht="15" hidden="false" customHeight="true" outlineLevel="0" collapsed="false">
      <c r="A369" s="16"/>
      <c r="B369" s="10"/>
      <c r="C369" s="17" t="str">
        <f aca="false">IF($B369="","",IFERROR(INDEX(품목마스터!$B$3:$B$302,MATCH($B369,품목마스터!$A$3:$A$302,0)),"미등록품번"))</f>
        <v/>
      </c>
      <c r="D369" s="17" t="str">
        <f aca="false">IF($B369="","",IFERROR(INDEX(품목마스터!$D$3:$D$302,MATCH($B369,품목마스터!$A$3:$A$302,0)),""))</f>
        <v/>
      </c>
      <c r="E369" s="12"/>
      <c r="F369" s="10"/>
    </row>
    <row r="370" customFormat="false" ht="15" hidden="false" customHeight="true" outlineLevel="0" collapsed="false">
      <c r="A370" s="16"/>
      <c r="B370" s="10"/>
      <c r="C370" s="17" t="str">
        <f aca="false">IF($B370="","",IFERROR(INDEX(품목마스터!$B$3:$B$302,MATCH($B370,품목마스터!$A$3:$A$302,0)),"미등록품번"))</f>
        <v/>
      </c>
      <c r="D370" s="17" t="str">
        <f aca="false">IF($B370="","",IFERROR(INDEX(품목마스터!$D$3:$D$302,MATCH($B370,품목마스터!$A$3:$A$302,0)),""))</f>
        <v/>
      </c>
      <c r="E370" s="12"/>
      <c r="F370" s="10"/>
    </row>
    <row r="371" customFormat="false" ht="15" hidden="false" customHeight="true" outlineLevel="0" collapsed="false">
      <c r="A371" s="16"/>
      <c r="B371" s="10"/>
      <c r="C371" s="17" t="str">
        <f aca="false">IF($B371="","",IFERROR(INDEX(품목마스터!$B$3:$B$302,MATCH($B371,품목마스터!$A$3:$A$302,0)),"미등록품번"))</f>
        <v/>
      </c>
      <c r="D371" s="17" t="str">
        <f aca="false">IF($B371="","",IFERROR(INDEX(품목마스터!$D$3:$D$302,MATCH($B371,품목마스터!$A$3:$A$302,0)),""))</f>
        <v/>
      </c>
      <c r="E371" s="12"/>
      <c r="F371" s="10"/>
    </row>
    <row r="372" customFormat="false" ht="15" hidden="false" customHeight="true" outlineLevel="0" collapsed="false">
      <c r="A372" s="16"/>
      <c r="B372" s="10"/>
      <c r="C372" s="17" t="str">
        <f aca="false">IF($B372="","",IFERROR(INDEX(품목마스터!$B$3:$B$302,MATCH($B372,품목마스터!$A$3:$A$302,0)),"미등록품번"))</f>
        <v/>
      </c>
      <c r="D372" s="17" t="str">
        <f aca="false">IF($B372="","",IFERROR(INDEX(품목마스터!$D$3:$D$302,MATCH($B372,품목마스터!$A$3:$A$302,0)),""))</f>
        <v/>
      </c>
      <c r="E372" s="12"/>
      <c r="F372" s="10"/>
    </row>
    <row r="373" customFormat="false" ht="15" hidden="false" customHeight="true" outlineLevel="0" collapsed="false">
      <c r="A373" s="16"/>
      <c r="B373" s="10"/>
      <c r="C373" s="17" t="str">
        <f aca="false">IF($B373="","",IFERROR(INDEX(품목마스터!$B$3:$B$302,MATCH($B373,품목마스터!$A$3:$A$302,0)),"미등록품번"))</f>
        <v/>
      </c>
      <c r="D373" s="17" t="str">
        <f aca="false">IF($B373="","",IFERROR(INDEX(품목마스터!$D$3:$D$302,MATCH($B373,품목마스터!$A$3:$A$302,0)),""))</f>
        <v/>
      </c>
      <c r="E373" s="12"/>
      <c r="F373" s="10"/>
    </row>
    <row r="374" customFormat="false" ht="15" hidden="false" customHeight="true" outlineLevel="0" collapsed="false">
      <c r="A374" s="16"/>
      <c r="B374" s="10"/>
      <c r="C374" s="17" t="str">
        <f aca="false">IF($B374="","",IFERROR(INDEX(품목마스터!$B$3:$B$302,MATCH($B374,품목마스터!$A$3:$A$302,0)),"미등록품번"))</f>
        <v/>
      </c>
      <c r="D374" s="17" t="str">
        <f aca="false">IF($B374="","",IFERROR(INDEX(품목마스터!$D$3:$D$302,MATCH($B374,품목마스터!$A$3:$A$302,0)),""))</f>
        <v/>
      </c>
      <c r="E374" s="12"/>
      <c r="F374" s="10"/>
    </row>
    <row r="375" customFormat="false" ht="15" hidden="false" customHeight="true" outlineLevel="0" collapsed="false">
      <c r="A375" s="16"/>
      <c r="B375" s="10"/>
      <c r="C375" s="17" t="str">
        <f aca="false">IF($B375="","",IFERROR(INDEX(품목마스터!$B$3:$B$302,MATCH($B375,품목마스터!$A$3:$A$302,0)),"미등록품번"))</f>
        <v/>
      </c>
      <c r="D375" s="17" t="str">
        <f aca="false">IF($B375="","",IFERROR(INDEX(품목마스터!$D$3:$D$302,MATCH($B375,품목마스터!$A$3:$A$302,0)),""))</f>
        <v/>
      </c>
      <c r="E375" s="12"/>
      <c r="F375" s="10"/>
    </row>
    <row r="376" customFormat="false" ht="15" hidden="false" customHeight="true" outlineLevel="0" collapsed="false">
      <c r="A376" s="16"/>
      <c r="B376" s="10"/>
      <c r="C376" s="17" t="str">
        <f aca="false">IF($B376="","",IFERROR(INDEX(품목마스터!$B$3:$B$302,MATCH($B376,품목마스터!$A$3:$A$302,0)),"미등록품번"))</f>
        <v/>
      </c>
      <c r="D376" s="17" t="str">
        <f aca="false">IF($B376="","",IFERROR(INDEX(품목마스터!$D$3:$D$302,MATCH($B376,품목마스터!$A$3:$A$302,0)),""))</f>
        <v/>
      </c>
      <c r="E376" s="12"/>
      <c r="F376" s="10"/>
    </row>
    <row r="377" customFormat="false" ht="15" hidden="false" customHeight="true" outlineLevel="0" collapsed="false">
      <c r="A377" s="16"/>
      <c r="B377" s="10"/>
      <c r="C377" s="17" t="str">
        <f aca="false">IF($B377="","",IFERROR(INDEX(품목마스터!$B$3:$B$302,MATCH($B377,품목마스터!$A$3:$A$302,0)),"미등록품번"))</f>
        <v/>
      </c>
      <c r="D377" s="17" t="str">
        <f aca="false">IF($B377="","",IFERROR(INDEX(품목마스터!$D$3:$D$302,MATCH($B377,품목마스터!$A$3:$A$302,0)),""))</f>
        <v/>
      </c>
      <c r="E377" s="12"/>
      <c r="F377" s="10"/>
    </row>
    <row r="378" customFormat="false" ht="15" hidden="false" customHeight="true" outlineLevel="0" collapsed="false">
      <c r="A378" s="16"/>
      <c r="B378" s="10"/>
      <c r="C378" s="17" t="str">
        <f aca="false">IF($B378="","",IFERROR(INDEX(품목마스터!$B$3:$B$302,MATCH($B378,품목마스터!$A$3:$A$302,0)),"미등록품번"))</f>
        <v/>
      </c>
      <c r="D378" s="17" t="str">
        <f aca="false">IF($B378="","",IFERROR(INDEX(품목마스터!$D$3:$D$302,MATCH($B378,품목마스터!$A$3:$A$302,0)),""))</f>
        <v/>
      </c>
      <c r="E378" s="12"/>
      <c r="F378" s="10"/>
    </row>
    <row r="379" customFormat="false" ht="15" hidden="false" customHeight="true" outlineLevel="0" collapsed="false">
      <c r="A379" s="16"/>
      <c r="B379" s="10"/>
      <c r="C379" s="17" t="str">
        <f aca="false">IF($B379="","",IFERROR(INDEX(품목마스터!$B$3:$B$302,MATCH($B379,품목마스터!$A$3:$A$302,0)),"미등록품번"))</f>
        <v/>
      </c>
      <c r="D379" s="17" t="str">
        <f aca="false">IF($B379="","",IFERROR(INDEX(품목마스터!$D$3:$D$302,MATCH($B379,품목마스터!$A$3:$A$302,0)),""))</f>
        <v/>
      </c>
      <c r="E379" s="12"/>
      <c r="F379" s="10"/>
    </row>
    <row r="380" customFormat="false" ht="15" hidden="false" customHeight="true" outlineLevel="0" collapsed="false">
      <c r="A380" s="16"/>
      <c r="B380" s="10"/>
      <c r="C380" s="17" t="str">
        <f aca="false">IF($B380="","",IFERROR(INDEX(품목마스터!$B$3:$B$302,MATCH($B380,품목마스터!$A$3:$A$302,0)),"미등록품번"))</f>
        <v/>
      </c>
      <c r="D380" s="17" t="str">
        <f aca="false">IF($B380="","",IFERROR(INDEX(품목마스터!$D$3:$D$302,MATCH($B380,품목마스터!$A$3:$A$302,0)),""))</f>
        <v/>
      </c>
      <c r="E380" s="12"/>
      <c r="F380" s="10"/>
    </row>
    <row r="381" customFormat="false" ht="15" hidden="false" customHeight="true" outlineLevel="0" collapsed="false">
      <c r="A381" s="16"/>
      <c r="B381" s="10"/>
      <c r="C381" s="17" t="str">
        <f aca="false">IF($B381="","",IFERROR(INDEX(품목마스터!$B$3:$B$302,MATCH($B381,품목마스터!$A$3:$A$302,0)),"미등록품번"))</f>
        <v/>
      </c>
      <c r="D381" s="17" t="str">
        <f aca="false">IF($B381="","",IFERROR(INDEX(품목마스터!$D$3:$D$302,MATCH($B381,품목마스터!$A$3:$A$302,0)),""))</f>
        <v/>
      </c>
      <c r="E381" s="12"/>
      <c r="F381" s="10"/>
    </row>
    <row r="382" customFormat="false" ht="15" hidden="false" customHeight="true" outlineLevel="0" collapsed="false">
      <c r="A382" s="16"/>
      <c r="B382" s="10"/>
      <c r="C382" s="17" t="str">
        <f aca="false">IF($B382="","",IFERROR(INDEX(품목마스터!$B$3:$B$302,MATCH($B382,품목마스터!$A$3:$A$302,0)),"미등록품번"))</f>
        <v/>
      </c>
      <c r="D382" s="17" t="str">
        <f aca="false">IF($B382="","",IFERROR(INDEX(품목마스터!$D$3:$D$302,MATCH($B382,품목마스터!$A$3:$A$302,0)),""))</f>
        <v/>
      </c>
      <c r="E382" s="12"/>
      <c r="F382" s="10"/>
    </row>
    <row r="383" customFormat="false" ht="15" hidden="false" customHeight="true" outlineLevel="0" collapsed="false">
      <c r="A383" s="16"/>
      <c r="B383" s="10"/>
      <c r="C383" s="17" t="str">
        <f aca="false">IF($B383="","",IFERROR(INDEX(품목마스터!$B$3:$B$302,MATCH($B383,품목마스터!$A$3:$A$302,0)),"미등록품번"))</f>
        <v/>
      </c>
      <c r="D383" s="17" t="str">
        <f aca="false">IF($B383="","",IFERROR(INDEX(품목마스터!$D$3:$D$302,MATCH($B383,품목마스터!$A$3:$A$302,0)),""))</f>
        <v/>
      </c>
      <c r="E383" s="12"/>
      <c r="F383" s="10"/>
    </row>
    <row r="384" customFormat="false" ht="15" hidden="false" customHeight="true" outlineLevel="0" collapsed="false">
      <c r="A384" s="16"/>
      <c r="B384" s="10"/>
      <c r="C384" s="17" t="str">
        <f aca="false">IF($B384="","",IFERROR(INDEX(품목마스터!$B$3:$B$302,MATCH($B384,품목마스터!$A$3:$A$302,0)),"미등록품번"))</f>
        <v/>
      </c>
      <c r="D384" s="17" t="str">
        <f aca="false">IF($B384="","",IFERROR(INDEX(품목마스터!$D$3:$D$302,MATCH($B384,품목마스터!$A$3:$A$302,0)),""))</f>
        <v/>
      </c>
      <c r="E384" s="12"/>
      <c r="F384" s="10"/>
    </row>
    <row r="385" customFormat="false" ht="15" hidden="false" customHeight="true" outlineLevel="0" collapsed="false">
      <c r="A385" s="16"/>
      <c r="B385" s="10"/>
      <c r="C385" s="17" t="str">
        <f aca="false">IF($B385="","",IFERROR(INDEX(품목마스터!$B$3:$B$302,MATCH($B385,품목마스터!$A$3:$A$302,0)),"미등록품번"))</f>
        <v/>
      </c>
      <c r="D385" s="17" t="str">
        <f aca="false">IF($B385="","",IFERROR(INDEX(품목마스터!$D$3:$D$302,MATCH($B385,품목마스터!$A$3:$A$302,0)),""))</f>
        <v/>
      </c>
      <c r="E385" s="12"/>
      <c r="F385" s="10"/>
    </row>
    <row r="386" customFormat="false" ht="15" hidden="false" customHeight="true" outlineLevel="0" collapsed="false">
      <c r="A386" s="16"/>
      <c r="B386" s="10"/>
      <c r="C386" s="17" t="str">
        <f aca="false">IF($B386="","",IFERROR(INDEX(품목마스터!$B$3:$B$302,MATCH($B386,품목마스터!$A$3:$A$302,0)),"미등록품번"))</f>
        <v/>
      </c>
      <c r="D386" s="17" t="str">
        <f aca="false">IF($B386="","",IFERROR(INDEX(품목마스터!$D$3:$D$302,MATCH($B386,품목마스터!$A$3:$A$302,0)),""))</f>
        <v/>
      </c>
      <c r="E386" s="12"/>
      <c r="F386" s="10"/>
    </row>
    <row r="387" customFormat="false" ht="15" hidden="false" customHeight="true" outlineLevel="0" collapsed="false">
      <c r="A387" s="16"/>
      <c r="B387" s="10"/>
      <c r="C387" s="17" t="str">
        <f aca="false">IF($B387="","",IFERROR(INDEX(품목마스터!$B$3:$B$302,MATCH($B387,품목마스터!$A$3:$A$302,0)),"미등록품번"))</f>
        <v/>
      </c>
      <c r="D387" s="17" t="str">
        <f aca="false">IF($B387="","",IFERROR(INDEX(품목마스터!$D$3:$D$302,MATCH($B387,품목마스터!$A$3:$A$302,0)),""))</f>
        <v/>
      </c>
      <c r="E387" s="12"/>
      <c r="F387" s="10"/>
    </row>
    <row r="388" customFormat="false" ht="15" hidden="false" customHeight="true" outlineLevel="0" collapsed="false">
      <c r="A388" s="16"/>
      <c r="B388" s="10"/>
      <c r="C388" s="17" t="str">
        <f aca="false">IF($B388="","",IFERROR(INDEX(품목마스터!$B$3:$B$302,MATCH($B388,품목마스터!$A$3:$A$302,0)),"미등록품번"))</f>
        <v/>
      </c>
      <c r="D388" s="17" t="str">
        <f aca="false">IF($B388="","",IFERROR(INDEX(품목마스터!$D$3:$D$302,MATCH($B388,품목마스터!$A$3:$A$302,0)),""))</f>
        <v/>
      </c>
      <c r="E388" s="12"/>
      <c r="F388" s="10"/>
    </row>
    <row r="389" customFormat="false" ht="15" hidden="false" customHeight="true" outlineLevel="0" collapsed="false">
      <c r="A389" s="16"/>
      <c r="B389" s="10"/>
      <c r="C389" s="17" t="str">
        <f aca="false">IF($B389="","",IFERROR(INDEX(품목마스터!$B$3:$B$302,MATCH($B389,품목마스터!$A$3:$A$302,0)),"미등록품번"))</f>
        <v/>
      </c>
      <c r="D389" s="17" t="str">
        <f aca="false">IF($B389="","",IFERROR(INDEX(품목마스터!$D$3:$D$302,MATCH($B389,품목마스터!$A$3:$A$302,0)),""))</f>
        <v/>
      </c>
      <c r="E389" s="12"/>
      <c r="F389" s="10"/>
    </row>
    <row r="390" customFormat="false" ht="15" hidden="false" customHeight="true" outlineLevel="0" collapsed="false">
      <c r="A390" s="16"/>
      <c r="B390" s="10"/>
      <c r="C390" s="17" t="str">
        <f aca="false">IF($B390="","",IFERROR(INDEX(품목마스터!$B$3:$B$302,MATCH($B390,품목마스터!$A$3:$A$302,0)),"미등록품번"))</f>
        <v/>
      </c>
      <c r="D390" s="17" t="str">
        <f aca="false">IF($B390="","",IFERROR(INDEX(품목마스터!$D$3:$D$302,MATCH($B390,품목마스터!$A$3:$A$302,0)),""))</f>
        <v/>
      </c>
      <c r="E390" s="12"/>
      <c r="F390" s="10"/>
    </row>
    <row r="391" customFormat="false" ht="15" hidden="false" customHeight="true" outlineLevel="0" collapsed="false">
      <c r="A391" s="16"/>
      <c r="B391" s="10"/>
      <c r="C391" s="17" t="str">
        <f aca="false">IF($B391="","",IFERROR(INDEX(품목마스터!$B$3:$B$302,MATCH($B391,품목마스터!$A$3:$A$302,0)),"미등록품번"))</f>
        <v/>
      </c>
      <c r="D391" s="17" t="str">
        <f aca="false">IF($B391="","",IFERROR(INDEX(품목마스터!$D$3:$D$302,MATCH($B391,품목마스터!$A$3:$A$302,0)),""))</f>
        <v/>
      </c>
      <c r="E391" s="12"/>
      <c r="F391" s="10"/>
    </row>
    <row r="392" customFormat="false" ht="15" hidden="false" customHeight="true" outlineLevel="0" collapsed="false">
      <c r="A392" s="16"/>
      <c r="B392" s="10"/>
      <c r="C392" s="17" t="str">
        <f aca="false">IF($B392="","",IFERROR(INDEX(품목마스터!$B$3:$B$302,MATCH($B392,품목마스터!$A$3:$A$302,0)),"미등록품번"))</f>
        <v/>
      </c>
      <c r="D392" s="17" t="str">
        <f aca="false">IF($B392="","",IFERROR(INDEX(품목마스터!$D$3:$D$302,MATCH($B392,품목마스터!$A$3:$A$302,0)),""))</f>
        <v/>
      </c>
      <c r="E392" s="12"/>
      <c r="F392" s="10"/>
    </row>
    <row r="393" customFormat="false" ht="15" hidden="false" customHeight="true" outlineLevel="0" collapsed="false">
      <c r="A393" s="16"/>
      <c r="B393" s="10"/>
      <c r="C393" s="17" t="str">
        <f aca="false">IF($B393="","",IFERROR(INDEX(품목마스터!$B$3:$B$302,MATCH($B393,품목마스터!$A$3:$A$302,0)),"미등록품번"))</f>
        <v/>
      </c>
      <c r="D393" s="17" t="str">
        <f aca="false">IF($B393="","",IFERROR(INDEX(품목마스터!$D$3:$D$302,MATCH($B393,품목마스터!$A$3:$A$302,0)),""))</f>
        <v/>
      </c>
      <c r="E393" s="12"/>
      <c r="F393" s="10"/>
    </row>
    <row r="394" customFormat="false" ht="15" hidden="false" customHeight="true" outlineLevel="0" collapsed="false">
      <c r="A394" s="16"/>
      <c r="B394" s="10"/>
      <c r="C394" s="17" t="str">
        <f aca="false">IF($B394="","",IFERROR(INDEX(품목마스터!$B$3:$B$302,MATCH($B394,품목마스터!$A$3:$A$302,0)),"미등록품번"))</f>
        <v/>
      </c>
      <c r="D394" s="17" t="str">
        <f aca="false">IF($B394="","",IFERROR(INDEX(품목마스터!$D$3:$D$302,MATCH($B394,품목마스터!$A$3:$A$302,0)),""))</f>
        <v/>
      </c>
      <c r="E394" s="12"/>
      <c r="F394" s="10"/>
    </row>
    <row r="395" customFormat="false" ht="15" hidden="false" customHeight="true" outlineLevel="0" collapsed="false">
      <c r="A395" s="16"/>
      <c r="B395" s="10"/>
      <c r="C395" s="17" t="str">
        <f aca="false">IF($B395="","",IFERROR(INDEX(품목마스터!$B$3:$B$302,MATCH($B395,품목마스터!$A$3:$A$302,0)),"미등록품번"))</f>
        <v/>
      </c>
      <c r="D395" s="17" t="str">
        <f aca="false">IF($B395="","",IFERROR(INDEX(품목마스터!$D$3:$D$302,MATCH($B395,품목마스터!$A$3:$A$302,0)),""))</f>
        <v/>
      </c>
      <c r="E395" s="12"/>
      <c r="F395" s="10"/>
    </row>
    <row r="396" customFormat="false" ht="15" hidden="false" customHeight="true" outlineLevel="0" collapsed="false">
      <c r="A396" s="16"/>
      <c r="B396" s="10"/>
      <c r="C396" s="17" t="str">
        <f aca="false">IF($B396="","",IFERROR(INDEX(품목마스터!$B$3:$B$302,MATCH($B396,품목마스터!$A$3:$A$302,0)),"미등록품번"))</f>
        <v/>
      </c>
      <c r="D396" s="17" t="str">
        <f aca="false">IF($B396="","",IFERROR(INDEX(품목마스터!$D$3:$D$302,MATCH($B396,품목마스터!$A$3:$A$302,0)),""))</f>
        <v/>
      </c>
      <c r="E396" s="12"/>
      <c r="F396" s="10"/>
    </row>
    <row r="397" customFormat="false" ht="15" hidden="false" customHeight="true" outlineLevel="0" collapsed="false">
      <c r="A397" s="16"/>
      <c r="B397" s="10"/>
      <c r="C397" s="17" t="str">
        <f aca="false">IF($B397="","",IFERROR(INDEX(품목마스터!$B$3:$B$302,MATCH($B397,품목마스터!$A$3:$A$302,0)),"미등록품번"))</f>
        <v/>
      </c>
      <c r="D397" s="17" t="str">
        <f aca="false">IF($B397="","",IFERROR(INDEX(품목마스터!$D$3:$D$302,MATCH($B397,품목마스터!$A$3:$A$302,0)),""))</f>
        <v/>
      </c>
      <c r="E397" s="12"/>
      <c r="F397" s="10"/>
    </row>
    <row r="398" customFormat="false" ht="15" hidden="false" customHeight="true" outlineLevel="0" collapsed="false">
      <c r="A398" s="16"/>
      <c r="B398" s="10"/>
      <c r="C398" s="17" t="str">
        <f aca="false">IF($B398="","",IFERROR(INDEX(품목마스터!$B$3:$B$302,MATCH($B398,품목마스터!$A$3:$A$302,0)),"미등록품번"))</f>
        <v/>
      </c>
      <c r="D398" s="17" t="str">
        <f aca="false">IF($B398="","",IFERROR(INDEX(품목마스터!$D$3:$D$302,MATCH($B398,품목마스터!$A$3:$A$302,0)),""))</f>
        <v/>
      </c>
      <c r="E398" s="12"/>
      <c r="F398" s="10"/>
    </row>
    <row r="399" customFormat="false" ht="15" hidden="false" customHeight="true" outlineLevel="0" collapsed="false">
      <c r="A399" s="16"/>
      <c r="B399" s="10"/>
      <c r="C399" s="17" t="str">
        <f aca="false">IF($B399="","",IFERROR(INDEX(품목마스터!$B$3:$B$302,MATCH($B399,품목마스터!$A$3:$A$302,0)),"미등록품번"))</f>
        <v/>
      </c>
      <c r="D399" s="17" t="str">
        <f aca="false">IF($B399="","",IFERROR(INDEX(품목마스터!$D$3:$D$302,MATCH($B399,품목마스터!$A$3:$A$302,0)),""))</f>
        <v/>
      </c>
      <c r="E399" s="12"/>
      <c r="F399" s="10"/>
    </row>
    <row r="400" customFormat="false" ht="15" hidden="false" customHeight="true" outlineLevel="0" collapsed="false">
      <c r="A400" s="16"/>
      <c r="B400" s="10"/>
      <c r="C400" s="17" t="str">
        <f aca="false">IF($B400="","",IFERROR(INDEX(품목마스터!$B$3:$B$302,MATCH($B400,품목마스터!$A$3:$A$302,0)),"미등록품번"))</f>
        <v/>
      </c>
      <c r="D400" s="17" t="str">
        <f aca="false">IF($B400="","",IFERROR(INDEX(품목마스터!$D$3:$D$302,MATCH($B400,품목마스터!$A$3:$A$302,0)),""))</f>
        <v/>
      </c>
      <c r="E400" s="12"/>
      <c r="F400" s="10"/>
    </row>
    <row r="401" customFormat="false" ht="15" hidden="false" customHeight="true" outlineLevel="0" collapsed="false">
      <c r="A401" s="16"/>
      <c r="B401" s="10"/>
      <c r="C401" s="17" t="str">
        <f aca="false">IF($B401="","",IFERROR(INDEX(품목마스터!$B$3:$B$302,MATCH($B401,품목마스터!$A$3:$A$302,0)),"미등록품번"))</f>
        <v/>
      </c>
      <c r="D401" s="17" t="str">
        <f aca="false">IF($B401="","",IFERROR(INDEX(품목마스터!$D$3:$D$302,MATCH($B401,품목마스터!$A$3:$A$302,0)),""))</f>
        <v/>
      </c>
      <c r="E401" s="12"/>
      <c r="F401" s="10"/>
    </row>
    <row r="402" customFormat="false" ht="15" hidden="false" customHeight="true" outlineLevel="0" collapsed="false">
      <c r="A402" s="16"/>
      <c r="B402" s="10"/>
      <c r="C402" s="17" t="str">
        <f aca="false">IF($B402="","",IFERROR(INDEX(품목마스터!$B$3:$B$302,MATCH($B402,품목마스터!$A$3:$A$302,0)),"미등록품번"))</f>
        <v/>
      </c>
      <c r="D402" s="17" t="str">
        <f aca="false">IF($B402="","",IFERROR(INDEX(품목마스터!$D$3:$D$302,MATCH($B402,품목마스터!$A$3:$A$302,0)),""))</f>
        <v/>
      </c>
      <c r="E402" s="12"/>
      <c r="F402" s="10"/>
    </row>
    <row r="403" customFormat="false" ht="15" hidden="false" customHeight="true" outlineLevel="0" collapsed="false">
      <c r="A403" s="16"/>
      <c r="B403" s="10"/>
      <c r="C403" s="17" t="str">
        <f aca="false">IF($B403="","",IFERROR(INDEX(품목마스터!$B$3:$B$302,MATCH($B403,품목마스터!$A$3:$A$302,0)),"미등록품번"))</f>
        <v/>
      </c>
      <c r="D403" s="17" t="str">
        <f aca="false">IF($B403="","",IFERROR(INDEX(품목마스터!$D$3:$D$302,MATCH($B403,품목마스터!$A$3:$A$302,0)),""))</f>
        <v/>
      </c>
      <c r="E403" s="12"/>
      <c r="F403" s="10"/>
    </row>
    <row r="404" customFormat="false" ht="15" hidden="false" customHeight="true" outlineLevel="0" collapsed="false">
      <c r="A404" s="16"/>
      <c r="B404" s="10"/>
      <c r="C404" s="17" t="str">
        <f aca="false">IF($B404="","",IFERROR(INDEX(품목마스터!$B$3:$B$302,MATCH($B404,품목마스터!$A$3:$A$302,0)),"미등록품번"))</f>
        <v/>
      </c>
      <c r="D404" s="17" t="str">
        <f aca="false">IF($B404="","",IFERROR(INDEX(품목마스터!$D$3:$D$302,MATCH($B404,품목마스터!$A$3:$A$302,0)),""))</f>
        <v/>
      </c>
      <c r="E404" s="12"/>
      <c r="F404" s="10"/>
    </row>
    <row r="405" customFormat="false" ht="15" hidden="false" customHeight="true" outlineLevel="0" collapsed="false">
      <c r="A405" s="16"/>
      <c r="B405" s="10"/>
      <c r="C405" s="17" t="str">
        <f aca="false">IF($B405="","",IFERROR(INDEX(품목마스터!$B$3:$B$302,MATCH($B405,품목마스터!$A$3:$A$302,0)),"미등록품번"))</f>
        <v/>
      </c>
      <c r="D405" s="17" t="str">
        <f aca="false">IF($B405="","",IFERROR(INDEX(품목마스터!$D$3:$D$302,MATCH($B405,품목마스터!$A$3:$A$302,0)),""))</f>
        <v/>
      </c>
      <c r="E405" s="12"/>
      <c r="F405" s="10"/>
    </row>
    <row r="406" customFormat="false" ht="15" hidden="false" customHeight="true" outlineLevel="0" collapsed="false">
      <c r="A406" s="16"/>
      <c r="B406" s="10"/>
      <c r="C406" s="17" t="str">
        <f aca="false">IF($B406="","",IFERROR(INDEX(품목마스터!$B$3:$B$302,MATCH($B406,품목마스터!$A$3:$A$302,0)),"미등록품번"))</f>
        <v/>
      </c>
      <c r="D406" s="17" t="str">
        <f aca="false">IF($B406="","",IFERROR(INDEX(품목마스터!$D$3:$D$302,MATCH($B406,품목마스터!$A$3:$A$302,0)),""))</f>
        <v/>
      </c>
      <c r="E406" s="12"/>
      <c r="F406" s="10"/>
    </row>
    <row r="407" customFormat="false" ht="15" hidden="false" customHeight="true" outlineLevel="0" collapsed="false">
      <c r="A407" s="16"/>
      <c r="B407" s="10"/>
      <c r="C407" s="17" t="str">
        <f aca="false">IF($B407="","",IFERROR(INDEX(품목마스터!$B$3:$B$302,MATCH($B407,품목마스터!$A$3:$A$302,0)),"미등록품번"))</f>
        <v/>
      </c>
      <c r="D407" s="17" t="str">
        <f aca="false">IF($B407="","",IFERROR(INDEX(품목마스터!$D$3:$D$302,MATCH($B407,품목마스터!$A$3:$A$302,0)),""))</f>
        <v/>
      </c>
      <c r="E407" s="12"/>
      <c r="F407" s="10"/>
    </row>
    <row r="408" customFormat="false" ht="15" hidden="false" customHeight="true" outlineLevel="0" collapsed="false">
      <c r="A408" s="16"/>
      <c r="B408" s="10"/>
      <c r="C408" s="17" t="str">
        <f aca="false">IF($B408="","",IFERROR(INDEX(품목마스터!$B$3:$B$302,MATCH($B408,품목마스터!$A$3:$A$302,0)),"미등록품번"))</f>
        <v/>
      </c>
      <c r="D408" s="17" t="str">
        <f aca="false">IF($B408="","",IFERROR(INDEX(품목마스터!$D$3:$D$302,MATCH($B408,품목마스터!$A$3:$A$302,0)),""))</f>
        <v/>
      </c>
      <c r="E408" s="12"/>
      <c r="F408" s="10"/>
    </row>
    <row r="409" customFormat="false" ht="15" hidden="false" customHeight="true" outlineLevel="0" collapsed="false">
      <c r="A409" s="16"/>
      <c r="B409" s="10"/>
      <c r="C409" s="17" t="str">
        <f aca="false">IF($B409="","",IFERROR(INDEX(품목마스터!$B$3:$B$302,MATCH($B409,품목마스터!$A$3:$A$302,0)),"미등록품번"))</f>
        <v/>
      </c>
      <c r="D409" s="17" t="str">
        <f aca="false">IF($B409="","",IFERROR(INDEX(품목마스터!$D$3:$D$302,MATCH($B409,품목마스터!$A$3:$A$302,0)),""))</f>
        <v/>
      </c>
      <c r="E409" s="12"/>
      <c r="F409" s="10"/>
    </row>
    <row r="410" customFormat="false" ht="15" hidden="false" customHeight="true" outlineLevel="0" collapsed="false">
      <c r="A410" s="16"/>
      <c r="B410" s="10"/>
      <c r="C410" s="17" t="str">
        <f aca="false">IF($B410="","",IFERROR(INDEX(품목마스터!$B$3:$B$302,MATCH($B410,품목마스터!$A$3:$A$302,0)),"미등록품번"))</f>
        <v/>
      </c>
      <c r="D410" s="17" t="str">
        <f aca="false">IF($B410="","",IFERROR(INDEX(품목마스터!$D$3:$D$302,MATCH($B410,품목마스터!$A$3:$A$302,0)),""))</f>
        <v/>
      </c>
      <c r="E410" s="12"/>
      <c r="F410" s="10"/>
    </row>
    <row r="411" customFormat="false" ht="15" hidden="false" customHeight="true" outlineLevel="0" collapsed="false">
      <c r="A411" s="16"/>
      <c r="B411" s="10"/>
      <c r="C411" s="17" t="str">
        <f aca="false">IF($B411="","",IFERROR(INDEX(품목마스터!$B$3:$B$302,MATCH($B411,품목마스터!$A$3:$A$302,0)),"미등록품번"))</f>
        <v/>
      </c>
      <c r="D411" s="17" t="str">
        <f aca="false">IF($B411="","",IFERROR(INDEX(품목마스터!$D$3:$D$302,MATCH($B411,품목마스터!$A$3:$A$302,0)),""))</f>
        <v/>
      </c>
      <c r="E411" s="12"/>
      <c r="F411" s="10"/>
    </row>
    <row r="412" customFormat="false" ht="15" hidden="false" customHeight="true" outlineLevel="0" collapsed="false">
      <c r="A412" s="16"/>
      <c r="B412" s="10"/>
      <c r="C412" s="17" t="str">
        <f aca="false">IF($B412="","",IFERROR(INDEX(품목마스터!$B$3:$B$302,MATCH($B412,품목마스터!$A$3:$A$302,0)),"미등록품번"))</f>
        <v/>
      </c>
      <c r="D412" s="17" t="str">
        <f aca="false">IF($B412="","",IFERROR(INDEX(품목마스터!$D$3:$D$302,MATCH($B412,품목마스터!$A$3:$A$302,0)),""))</f>
        <v/>
      </c>
      <c r="E412" s="12"/>
      <c r="F412" s="10"/>
    </row>
    <row r="413" customFormat="false" ht="15" hidden="false" customHeight="true" outlineLevel="0" collapsed="false">
      <c r="A413" s="16"/>
      <c r="B413" s="10"/>
      <c r="C413" s="17" t="str">
        <f aca="false">IF($B413="","",IFERROR(INDEX(품목마스터!$B$3:$B$302,MATCH($B413,품목마스터!$A$3:$A$302,0)),"미등록품번"))</f>
        <v/>
      </c>
      <c r="D413" s="17" t="str">
        <f aca="false">IF($B413="","",IFERROR(INDEX(품목마스터!$D$3:$D$302,MATCH($B413,품목마스터!$A$3:$A$302,0)),""))</f>
        <v/>
      </c>
      <c r="E413" s="12"/>
      <c r="F413" s="10"/>
    </row>
    <row r="414" customFormat="false" ht="15" hidden="false" customHeight="true" outlineLevel="0" collapsed="false">
      <c r="A414" s="16"/>
      <c r="B414" s="10"/>
      <c r="C414" s="17" t="str">
        <f aca="false">IF($B414="","",IFERROR(INDEX(품목마스터!$B$3:$B$302,MATCH($B414,품목마스터!$A$3:$A$302,0)),"미등록품번"))</f>
        <v/>
      </c>
      <c r="D414" s="17" t="str">
        <f aca="false">IF($B414="","",IFERROR(INDEX(품목마스터!$D$3:$D$302,MATCH($B414,품목마스터!$A$3:$A$302,0)),""))</f>
        <v/>
      </c>
      <c r="E414" s="12"/>
      <c r="F414" s="10"/>
    </row>
    <row r="415" customFormat="false" ht="15" hidden="false" customHeight="true" outlineLevel="0" collapsed="false">
      <c r="A415" s="16"/>
      <c r="B415" s="10"/>
      <c r="C415" s="17" t="str">
        <f aca="false">IF($B415="","",IFERROR(INDEX(품목마스터!$B$3:$B$302,MATCH($B415,품목마스터!$A$3:$A$302,0)),"미등록품번"))</f>
        <v/>
      </c>
      <c r="D415" s="17" t="str">
        <f aca="false">IF($B415="","",IFERROR(INDEX(품목마스터!$D$3:$D$302,MATCH($B415,품목마스터!$A$3:$A$302,0)),""))</f>
        <v/>
      </c>
      <c r="E415" s="12"/>
      <c r="F415" s="10"/>
    </row>
    <row r="416" customFormat="false" ht="15" hidden="false" customHeight="true" outlineLevel="0" collapsed="false">
      <c r="A416" s="16"/>
      <c r="B416" s="10"/>
      <c r="C416" s="17" t="str">
        <f aca="false">IF($B416="","",IFERROR(INDEX(품목마스터!$B$3:$B$302,MATCH($B416,품목마스터!$A$3:$A$302,0)),"미등록품번"))</f>
        <v/>
      </c>
      <c r="D416" s="17" t="str">
        <f aca="false">IF($B416="","",IFERROR(INDEX(품목마스터!$D$3:$D$302,MATCH($B416,품목마스터!$A$3:$A$302,0)),""))</f>
        <v/>
      </c>
      <c r="E416" s="12"/>
      <c r="F416" s="10"/>
    </row>
    <row r="417" customFormat="false" ht="15" hidden="false" customHeight="true" outlineLevel="0" collapsed="false">
      <c r="A417" s="16"/>
      <c r="B417" s="10"/>
      <c r="C417" s="17" t="str">
        <f aca="false">IF($B417="","",IFERROR(INDEX(품목마스터!$B$3:$B$302,MATCH($B417,품목마스터!$A$3:$A$302,0)),"미등록품번"))</f>
        <v/>
      </c>
      <c r="D417" s="17" t="str">
        <f aca="false">IF($B417="","",IFERROR(INDEX(품목마스터!$D$3:$D$302,MATCH($B417,품목마스터!$A$3:$A$302,0)),""))</f>
        <v/>
      </c>
      <c r="E417" s="12"/>
      <c r="F417" s="10"/>
    </row>
    <row r="418" customFormat="false" ht="15" hidden="false" customHeight="true" outlineLevel="0" collapsed="false">
      <c r="A418" s="16"/>
      <c r="B418" s="10"/>
      <c r="C418" s="17" t="str">
        <f aca="false">IF($B418="","",IFERROR(INDEX(품목마스터!$B$3:$B$302,MATCH($B418,품목마스터!$A$3:$A$302,0)),"미등록품번"))</f>
        <v/>
      </c>
      <c r="D418" s="17" t="str">
        <f aca="false">IF($B418="","",IFERROR(INDEX(품목마스터!$D$3:$D$302,MATCH($B418,품목마스터!$A$3:$A$302,0)),""))</f>
        <v/>
      </c>
      <c r="E418" s="12"/>
      <c r="F418" s="10"/>
    </row>
    <row r="419" customFormat="false" ht="15" hidden="false" customHeight="true" outlineLevel="0" collapsed="false">
      <c r="A419" s="16"/>
      <c r="B419" s="10"/>
      <c r="C419" s="17" t="str">
        <f aca="false">IF($B419="","",IFERROR(INDEX(품목마스터!$B$3:$B$302,MATCH($B419,품목마스터!$A$3:$A$302,0)),"미등록품번"))</f>
        <v/>
      </c>
      <c r="D419" s="17" t="str">
        <f aca="false">IF($B419="","",IFERROR(INDEX(품목마스터!$D$3:$D$302,MATCH($B419,품목마스터!$A$3:$A$302,0)),""))</f>
        <v/>
      </c>
      <c r="E419" s="12"/>
      <c r="F419" s="10"/>
    </row>
    <row r="420" customFormat="false" ht="15" hidden="false" customHeight="true" outlineLevel="0" collapsed="false">
      <c r="A420" s="16"/>
      <c r="B420" s="10"/>
      <c r="C420" s="17" t="str">
        <f aca="false">IF($B420="","",IFERROR(INDEX(품목마스터!$B$3:$B$302,MATCH($B420,품목마스터!$A$3:$A$302,0)),"미등록품번"))</f>
        <v/>
      </c>
      <c r="D420" s="17" t="str">
        <f aca="false">IF($B420="","",IFERROR(INDEX(품목마스터!$D$3:$D$302,MATCH($B420,품목마스터!$A$3:$A$302,0)),""))</f>
        <v/>
      </c>
      <c r="E420" s="12"/>
      <c r="F420" s="10"/>
    </row>
    <row r="421" customFormat="false" ht="15" hidden="false" customHeight="true" outlineLevel="0" collapsed="false">
      <c r="A421" s="16"/>
      <c r="B421" s="10"/>
      <c r="C421" s="17" t="str">
        <f aca="false">IF($B421="","",IFERROR(INDEX(품목마스터!$B$3:$B$302,MATCH($B421,품목마스터!$A$3:$A$302,0)),"미등록품번"))</f>
        <v/>
      </c>
      <c r="D421" s="17" t="str">
        <f aca="false">IF($B421="","",IFERROR(INDEX(품목마스터!$D$3:$D$302,MATCH($B421,품목마스터!$A$3:$A$302,0)),""))</f>
        <v/>
      </c>
      <c r="E421" s="12"/>
      <c r="F421" s="10"/>
    </row>
    <row r="422" customFormat="false" ht="15" hidden="false" customHeight="true" outlineLevel="0" collapsed="false">
      <c r="A422" s="16"/>
      <c r="B422" s="10"/>
      <c r="C422" s="17" t="str">
        <f aca="false">IF($B422="","",IFERROR(INDEX(품목마스터!$B$3:$B$302,MATCH($B422,품목마스터!$A$3:$A$302,0)),"미등록품번"))</f>
        <v/>
      </c>
      <c r="D422" s="17" t="str">
        <f aca="false">IF($B422="","",IFERROR(INDEX(품목마스터!$D$3:$D$302,MATCH($B422,품목마스터!$A$3:$A$302,0)),""))</f>
        <v/>
      </c>
      <c r="E422" s="12"/>
      <c r="F422" s="10"/>
    </row>
    <row r="423" customFormat="false" ht="15" hidden="false" customHeight="true" outlineLevel="0" collapsed="false">
      <c r="A423" s="16"/>
      <c r="B423" s="10"/>
      <c r="C423" s="17" t="str">
        <f aca="false">IF($B423="","",IFERROR(INDEX(품목마스터!$B$3:$B$302,MATCH($B423,품목마스터!$A$3:$A$302,0)),"미등록품번"))</f>
        <v/>
      </c>
      <c r="D423" s="17" t="str">
        <f aca="false">IF($B423="","",IFERROR(INDEX(품목마스터!$D$3:$D$302,MATCH($B423,품목마스터!$A$3:$A$302,0)),""))</f>
        <v/>
      </c>
      <c r="E423" s="12"/>
      <c r="F423" s="10"/>
    </row>
    <row r="424" customFormat="false" ht="15" hidden="false" customHeight="true" outlineLevel="0" collapsed="false">
      <c r="A424" s="16"/>
      <c r="B424" s="10"/>
      <c r="C424" s="17" t="str">
        <f aca="false">IF($B424="","",IFERROR(INDEX(품목마스터!$B$3:$B$302,MATCH($B424,품목마스터!$A$3:$A$302,0)),"미등록품번"))</f>
        <v/>
      </c>
      <c r="D424" s="17" t="str">
        <f aca="false">IF($B424="","",IFERROR(INDEX(품목마스터!$D$3:$D$302,MATCH($B424,품목마스터!$A$3:$A$302,0)),""))</f>
        <v/>
      </c>
      <c r="E424" s="12"/>
      <c r="F424" s="10"/>
    </row>
    <row r="425" customFormat="false" ht="15" hidden="false" customHeight="true" outlineLevel="0" collapsed="false">
      <c r="A425" s="16"/>
      <c r="B425" s="10"/>
      <c r="C425" s="17" t="str">
        <f aca="false">IF($B425="","",IFERROR(INDEX(품목마스터!$B$3:$B$302,MATCH($B425,품목마스터!$A$3:$A$302,0)),"미등록품번"))</f>
        <v/>
      </c>
      <c r="D425" s="17" t="str">
        <f aca="false">IF($B425="","",IFERROR(INDEX(품목마스터!$D$3:$D$302,MATCH($B425,품목마스터!$A$3:$A$302,0)),""))</f>
        <v/>
      </c>
      <c r="E425" s="12"/>
      <c r="F425" s="10"/>
    </row>
    <row r="426" customFormat="false" ht="15" hidden="false" customHeight="true" outlineLevel="0" collapsed="false">
      <c r="A426" s="16"/>
      <c r="B426" s="10"/>
      <c r="C426" s="17" t="str">
        <f aca="false">IF($B426="","",IFERROR(INDEX(품목마스터!$B$3:$B$302,MATCH($B426,품목마스터!$A$3:$A$302,0)),"미등록품번"))</f>
        <v/>
      </c>
      <c r="D426" s="17" t="str">
        <f aca="false">IF($B426="","",IFERROR(INDEX(품목마스터!$D$3:$D$302,MATCH($B426,품목마스터!$A$3:$A$302,0)),""))</f>
        <v/>
      </c>
      <c r="E426" s="12"/>
      <c r="F426" s="10"/>
    </row>
    <row r="427" customFormat="false" ht="15" hidden="false" customHeight="true" outlineLevel="0" collapsed="false">
      <c r="A427" s="16"/>
      <c r="B427" s="10"/>
      <c r="C427" s="17" t="str">
        <f aca="false">IF($B427="","",IFERROR(INDEX(품목마스터!$B$3:$B$302,MATCH($B427,품목마스터!$A$3:$A$302,0)),"미등록품번"))</f>
        <v/>
      </c>
      <c r="D427" s="17" t="str">
        <f aca="false">IF($B427="","",IFERROR(INDEX(품목마스터!$D$3:$D$302,MATCH($B427,품목마스터!$A$3:$A$302,0)),""))</f>
        <v/>
      </c>
      <c r="E427" s="12"/>
      <c r="F427" s="10"/>
    </row>
    <row r="428" customFormat="false" ht="15" hidden="false" customHeight="true" outlineLevel="0" collapsed="false">
      <c r="A428" s="16"/>
      <c r="B428" s="10"/>
      <c r="C428" s="17" t="str">
        <f aca="false">IF($B428="","",IFERROR(INDEX(품목마스터!$B$3:$B$302,MATCH($B428,품목마스터!$A$3:$A$302,0)),"미등록품번"))</f>
        <v/>
      </c>
      <c r="D428" s="17" t="str">
        <f aca="false">IF($B428="","",IFERROR(INDEX(품목마스터!$D$3:$D$302,MATCH($B428,품목마스터!$A$3:$A$302,0)),""))</f>
        <v/>
      </c>
      <c r="E428" s="12"/>
      <c r="F428" s="10"/>
    </row>
    <row r="429" customFormat="false" ht="15" hidden="false" customHeight="true" outlineLevel="0" collapsed="false">
      <c r="A429" s="16"/>
      <c r="B429" s="10"/>
      <c r="C429" s="17" t="str">
        <f aca="false">IF($B429="","",IFERROR(INDEX(품목마스터!$B$3:$B$302,MATCH($B429,품목마스터!$A$3:$A$302,0)),"미등록품번"))</f>
        <v/>
      </c>
      <c r="D429" s="17" t="str">
        <f aca="false">IF($B429="","",IFERROR(INDEX(품목마스터!$D$3:$D$302,MATCH($B429,품목마스터!$A$3:$A$302,0)),""))</f>
        <v/>
      </c>
      <c r="E429" s="12"/>
      <c r="F429" s="10"/>
    </row>
    <row r="430" customFormat="false" ht="15" hidden="false" customHeight="true" outlineLevel="0" collapsed="false">
      <c r="A430" s="16"/>
      <c r="B430" s="10"/>
      <c r="C430" s="17" t="str">
        <f aca="false">IF($B430="","",IFERROR(INDEX(품목마스터!$B$3:$B$302,MATCH($B430,품목마스터!$A$3:$A$302,0)),"미등록품번"))</f>
        <v/>
      </c>
      <c r="D430" s="17" t="str">
        <f aca="false">IF($B430="","",IFERROR(INDEX(품목마스터!$D$3:$D$302,MATCH($B430,품목마스터!$A$3:$A$302,0)),""))</f>
        <v/>
      </c>
      <c r="E430" s="12"/>
      <c r="F430" s="10"/>
    </row>
    <row r="431" customFormat="false" ht="15" hidden="false" customHeight="true" outlineLevel="0" collapsed="false">
      <c r="A431" s="16"/>
      <c r="B431" s="10"/>
      <c r="C431" s="17" t="str">
        <f aca="false">IF($B431="","",IFERROR(INDEX(품목마스터!$B$3:$B$302,MATCH($B431,품목마스터!$A$3:$A$302,0)),"미등록품번"))</f>
        <v/>
      </c>
      <c r="D431" s="17" t="str">
        <f aca="false">IF($B431="","",IFERROR(INDEX(품목마스터!$D$3:$D$302,MATCH($B431,품목마스터!$A$3:$A$302,0)),""))</f>
        <v/>
      </c>
      <c r="E431" s="12"/>
      <c r="F431" s="10"/>
    </row>
    <row r="432" customFormat="false" ht="15" hidden="false" customHeight="true" outlineLevel="0" collapsed="false">
      <c r="A432" s="16"/>
      <c r="B432" s="10"/>
      <c r="C432" s="17" t="str">
        <f aca="false">IF($B432="","",IFERROR(INDEX(품목마스터!$B$3:$B$302,MATCH($B432,품목마스터!$A$3:$A$302,0)),"미등록품번"))</f>
        <v/>
      </c>
      <c r="D432" s="17" t="str">
        <f aca="false">IF($B432="","",IFERROR(INDEX(품목마스터!$D$3:$D$302,MATCH($B432,품목마스터!$A$3:$A$302,0)),""))</f>
        <v/>
      </c>
      <c r="E432" s="12"/>
      <c r="F432" s="10"/>
    </row>
    <row r="433" customFormat="false" ht="15" hidden="false" customHeight="true" outlineLevel="0" collapsed="false">
      <c r="A433" s="16"/>
      <c r="B433" s="10"/>
      <c r="C433" s="17" t="str">
        <f aca="false">IF($B433="","",IFERROR(INDEX(품목마스터!$B$3:$B$302,MATCH($B433,품목마스터!$A$3:$A$302,0)),"미등록품번"))</f>
        <v/>
      </c>
      <c r="D433" s="17" t="str">
        <f aca="false">IF($B433="","",IFERROR(INDEX(품목마스터!$D$3:$D$302,MATCH($B433,품목마스터!$A$3:$A$302,0)),""))</f>
        <v/>
      </c>
      <c r="E433" s="12"/>
      <c r="F433" s="10"/>
    </row>
    <row r="434" customFormat="false" ht="15" hidden="false" customHeight="true" outlineLevel="0" collapsed="false">
      <c r="A434" s="16"/>
      <c r="B434" s="10"/>
      <c r="C434" s="17" t="str">
        <f aca="false">IF($B434="","",IFERROR(INDEX(품목마스터!$B$3:$B$302,MATCH($B434,품목마스터!$A$3:$A$302,0)),"미등록품번"))</f>
        <v/>
      </c>
      <c r="D434" s="17" t="str">
        <f aca="false">IF($B434="","",IFERROR(INDEX(품목마스터!$D$3:$D$302,MATCH($B434,품목마스터!$A$3:$A$302,0)),""))</f>
        <v/>
      </c>
      <c r="E434" s="12"/>
      <c r="F434" s="10"/>
    </row>
    <row r="435" customFormat="false" ht="15" hidden="false" customHeight="true" outlineLevel="0" collapsed="false">
      <c r="A435" s="16"/>
      <c r="B435" s="10"/>
      <c r="C435" s="17" t="str">
        <f aca="false">IF($B435="","",IFERROR(INDEX(품목마스터!$B$3:$B$302,MATCH($B435,품목마스터!$A$3:$A$302,0)),"미등록품번"))</f>
        <v/>
      </c>
      <c r="D435" s="17" t="str">
        <f aca="false">IF($B435="","",IFERROR(INDEX(품목마스터!$D$3:$D$302,MATCH($B435,품목마스터!$A$3:$A$302,0)),""))</f>
        <v/>
      </c>
      <c r="E435" s="12"/>
      <c r="F435" s="10"/>
    </row>
    <row r="436" customFormat="false" ht="15" hidden="false" customHeight="true" outlineLevel="0" collapsed="false">
      <c r="A436" s="16"/>
      <c r="B436" s="10"/>
      <c r="C436" s="17" t="str">
        <f aca="false">IF($B436="","",IFERROR(INDEX(품목마스터!$B$3:$B$302,MATCH($B436,품목마스터!$A$3:$A$302,0)),"미등록품번"))</f>
        <v/>
      </c>
      <c r="D436" s="17" t="str">
        <f aca="false">IF($B436="","",IFERROR(INDEX(품목마스터!$D$3:$D$302,MATCH($B436,품목마스터!$A$3:$A$302,0)),""))</f>
        <v/>
      </c>
      <c r="E436" s="12"/>
      <c r="F436" s="10"/>
    </row>
    <row r="437" customFormat="false" ht="15" hidden="false" customHeight="true" outlineLevel="0" collapsed="false">
      <c r="A437" s="16"/>
      <c r="B437" s="10"/>
      <c r="C437" s="17" t="str">
        <f aca="false">IF($B437="","",IFERROR(INDEX(품목마스터!$B$3:$B$302,MATCH($B437,품목마스터!$A$3:$A$302,0)),"미등록품번"))</f>
        <v/>
      </c>
      <c r="D437" s="17" t="str">
        <f aca="false">IF($B437="","",IFERROR(INDEX(품목마스터!$D$3:$D$302,MATCH($B437,품목마스터!$A$3:$A$302,0)),""))</f>
        <v/>
      </c>
      <c r="E437" s="12"/>
      <c r="F437" s="10"/>
    </row>
    <row r="438" customFormat="false" ht="15" hidden="false" customHeight="true" outlineLevel="0" collapsed="false">
      <c r="A438" s="16"/>
      <c r="B438" s="10"/>
      <c r="C438" s="17" t="str">
        <f aca="false">IF($B438="","",IFERROR(INDEX(품목마스터!$B$3:$B$302,MATCH($B438,품목마스터!$A$3:$A$302,0)),"미등록품번"))</f>
        <v/>
      </c>
      <c r="D438" s="17" t="str">
        <f aca="false">IF($B438="","",IFERROR(INDEX(품목마스터!$D$3:$D$302,MATCH($B438,품목마스터!$A$3:$A$302,0)),""))</f>
        <v/>
      </c>
      <c r="E438" s="12"/>
      <c r="F438" s="10"/>
    </row>
    <row r="439" customFormat="false" ht="15" hidden="false" customHeight="true" outlineLevel="0" collapsed="false">
      <c r="A439" s="16"/>
      <c r="B439" s="10"/>
      <c r="C439" s="17" t="str">
        <f aca="false">IF($B439="","",IFERROR(INDEX(품목마스터!$B$3:$B$302,MATCH($B439,품목마스터!$A$3:$A$302,0)),"미등록품번"))</f>
        <v/>
      </c>
      <c r="D439" s="17" t="str">
        <f aca="false">IF($B439="","",IFERROR(INDEX(품목마스터!$D$3:$D$302,MATCH($B439,품목마스터!$A$3:$A$302,0)),""))</f>
        <v/>
      </c>
      <c r="E439" s="12"/>
      <c r="F439" s="10"/>
    </row>
    <row r="440" customFormat="false" ht="15" hidden="false" customHeight="true" outlineLevel="0" collapsed="false">
      <c r="A440" s="16"/>
      <c r="B440" s="10"/>
      <c r="C440" s="17" t="str">
        <f aca="false">IF($B440="","",IFERROR(INDEX(품목마스터!$B$3:$B$302,MATCH($B440,품목마스터!$A$3:$A$302,0)),"미등록품번"))</f>
        <v/>
      </c>
      <c r="D440" s="17" t="str">
        <f aca="false">IF($B440="","",IFERROR(INDEX(품목마스터!$D$3:$D$302,MATCH($B440,품목마스터!$A$3:$A$302,0)),""))</f>
        <v/>
      </c>
      <c r="E440" s="12"/>
      <c r="F440" s="10"/>
    </row>
    <row r="441" customFormat="false" ht="15" hidden="false" customHeight="true" outlineLevel="0" collapsed="false">
      <c r="A441" s="16"/>
      <c r="B441" s="10"/>
      <c r="C441" s="17" t="str">
        <f aca="false">IF($B441="","",IFERROR(INDEX(품목마스터!$B$3:$B$302,MATCH($B441,품목마스터!$A$3:$A$302,0)),"미등록품번"))</f>
        <v/>
      </c>
      <c r="D441" s="17" t="str">
        <f aca="false">IF($B441="","",IFERROR(INDEX(품목마스터!$D$3:$D$302,MATCH($B441,품목마스터!$A$3:$A$302,0)),""))</f>
        <v/>
      </c>
      <c r="E441" s="12"/>
      <c r="F441" s="10"/>
    </row>
    <row r="442" customFormat="false" ht="15" hidden="false" customHeight="true" outlineLevel="0" collapsed="false">
      <c r="A442" s="16"/>
      <c r="B442" s="10"/>
      <c r="C442" s="17" t="str">
        <f aca="false">IF($B442="","",IFERROR(INDEX(품목마스터!$B$3:$B$302,MATCH($B442,품목마스터!$A$3:$A$302,0)),"미등록품번"))</f>
        <v/>
      </c>
      <c r="D442" s="17" t="str">
        <f aca="false">IF($B442="","",IFERROR(INDEX(품목마스터!$D$3:$D$302,MATCH($B442,품목마스터!$A$3:$A$302,0)),""))</f>
        <v/>
      </c>
      <c r="E442" s="12"/>
      <c r="F442" s="10"/>
    </row>
    <row r="443" customFormat="false" ht="15" hidden="false" customHeight="true" outlineLevel="0" collapsed="false">
      <c r="A443" s="16"/>
      <c r="B443" s="10"/>
      <c r="C443" s="17" t="str">
        <f aca="false">IF($B443="","",IFERROR(INDEX(품목마스터!$B$3:$B$302,MATCH($B443,품목마스터!$A$3:$A$302,0)),"미등록품번"))</f>
        <v/>
      </c>
      <c r="D443" s="17" t="str">
        <f aca="false">IF($B443="","",IFERROR(INDEX(품목마스터!$D$3:$D$302,MATCH($B443,품목마스터!$A$3:$A$302,0)),""))</f>
        <v/>
      </c>
      <c r="E443" s="12"/>
      <c r="F443" s="10"/>
    </row>
    <row r="444" customFormat="false" ht="15" hidden="false" customHeight="true" outlineLevel="0" collapsed="false">
      <c r="A444" s="16"/>
      <c r="B444" s="10"/>
      <c r="C444" s="17" t="str">
        <f aca="false">IF($B444="","",IFERROR(INDEX(품목마스터!$B$3:$B$302,MATCH($B444,품목마스터!$A$3:$A$302,0)),"미등록품번"))</f>
        <v/>
      </c>
      <c r="D444" s="17" t="str">
        <f aca="false">IF($B444="","",IFERROR(INDEX(품목마스터!$D$3:$D$302,MATCH($B444,품목마스터!$A$3:$A$302,0)),""))</f>
        <v/>
      </c>
      <c r="E444" s="12"/>
      <c r="F444" s="10"/>
    </row>
    <row r="445" customFormat="false" ht="15" hidden="false" customHeight="true" outlineLevel="0" collapsed="false">
      <c r="A445" s="16"/>
      <c r="B445" s="10"/>
      <c r="C445" s="17" t="str">
        <f aca="false">IF($B445="","",IFERROR(INDEX(품목마스터!$B$3:$B$302,MATCH($B445,품목마스터!$A$3:$A$302,0)),"미등록품번"))</f>
        <v/>
      </c>
      <c r="D445" s="17" t="str">
        <f aca="false">IF($B445="","",IFERROR(INDEX(품목마스터!$D$3:$D$302,MATCH($B445,품목마스터!$A$3:$A$302,0)),""))</f>
        <v/>
      </c>
      <c r="E445" s="12"/>
      <c r="F445" s="10"/>
    </row>
    <row r="446" customFormat="false" ht="15" hidden="false" customHeight="true" outlineLevel="0" collapsed="false">
      <c r="A446" s="16"/>
      <c r="B446" s="10"/>
      <c r="C446" s="17" t="str">
        <f aca="false">IF($B446="","",IFERROR(INDEX(품목마스터!$B$3:$B$302,MATCH($B446,품목마스터!$A$3:$A$302,0)),"미등록품번"))</f>
        <v/>
      </c>
      <c r="D446" s="17" t="str">
        <f aca="false">IF($B446="","",IFERROR(INDEX(품목마스터!$D$3:$D$302,MATCH($B446,품목마스터!$A$3:$A$302,0)),""))</f>
        <v/>
      </c>
      <c r="E446" s="12"/>
      <c r="F446" s="10"/>
    </row>
    <row r="447" customFormat="false" ht="15" hidden="false" customHeight="true" outlineLevel="0" collapsed="false">
      <c r="A447" s="16"/>
      <c r="B447" s="10"/>
      <c r="C447" s="17" t="str">
        <f aca="false">IF($B447="","",IFERROR(INDEX(품목마스터!$B$3:$B$302,MATCH($B447,품목마스터!$A$3:$A$302,0)),"미등록품번"))</f>
        <v/>
      </c>
      <c r="D447" s="17" t="str">
        <f aca="false">IF($B447="","",IFERROR(INDEX(품목마스터!$D$3:$D$302,MATCH($B447,품목마스터!$A$3:$A$302,0)),""))</f>
        <v/>
      </c>
      <c r="E447" s="12"/>
      <c r="F447" s="10"/>
    </row>
    <row r="448" customFormat="false" ht="15" hidden="false" customHeight="true" outlineLevel="0" collapsed="false">
      <c r="A448" s="16"/>
      <c r="B448" s="10"/>
      <c r="C448" s="17" t="str">
        <f aca="false">IF($B448="","",IFERROR(INDEX(품목마스터!$B$3:$B$302,MATCH($B448,품목마스터!$A$3:$A$302,0)),"미등록품번"))</f>
        <v/>
      </c>
      <c r="D448" s="17" t="str">
        <f aca="false">IF($B448="","",IFERROR(INDEX(품목마스터!$D$3:$D$302,MATCH($B448,품목마스터!$A$3:$A$302,0)),""))</f>
        <v/>
      </c>
      <c r="E448" s="12"/>
      <c r="F448" s="10"/>
    </row>
    <row r="449" customFormat="false" ht="15" hidden="false" customHeight="true" outlineLevel="0" collapsed="false">
      <c r="A449" s="16"/>
      <c r="B449" s="10"/>
      <c r="C449" s="17" t="str">
        <f aca="false">IF($B449="","",IFERROR(INDEX(품목마스터!$B$3:$B$302,MATCH($B449,품목마스터!$A$3:$A$302,0)),"미등록품번"))</f>
        <v/>
      </c>
      <c r="D449" s="17" t="str">
        <f aca="false">IF($B449="","",IFERROR(INDEX(품목마스터!$D$3:$D$302,MATCH($B449,품목마스터!$A$3:$A$302,0)),""))</f>
        <v/>
      </c>
      <c r="E449" s="12"/>
      <c r="F449" s="10"/>
    </row>
    <row r="450" customFormat="false" ht="15" hidden="false" customHeight="true" outlineLevel="0" collapsed="false">
      <c r="A450" s="16"/>
      <c r="B450" s="10"/>
      <c r="C450" s="17" t="str">
        <f aca="false">IF($B450="","",IFERROR(INDEX(품목마스터!$B$3:$B$302,MATCH($B450,품목마스터!$A$3:$A$302,0)),"미등록품번"))</f>
        <v/>
      </c>
      <c r="D450" s="17" t="str">
        <f aca="false">IF($B450="","",IFERROR(INDEX(품목마스터!$D$3:$D$302,MATCH($B450,품목마스터!$A$3:$A$302,0)),""))</f>
        <v/>
      </c>
      <c r="E450" s="12"/>
      <c r="F450" s="10"/>
    </row>
    <row r="451" customFormat="false" ht="15" hidden="false" customHeight="true" outlineLevel="0" collapsed="false">
      <c r="A451" s="16"/>
      <c r="B451" s="10"/>
      <c r="C451" s="17" t="str">
        <f aca="false">IF($B451="","",IFERROR(INDEX(품목마스터!$B$3:$B$302,MATCH($B451,품목마스터!$A$3:$A$302,0)),"미등록품번"))</f>
        <v/>
      </c>
      <c r="D451" s="17" t="str">
        <f aca="false">IF($B451="","",IFERROR(INDEX(품목마스터!$D$3:$D$302,MATCH($B451,품목마스터!$A$3:$A$302,0)),""))</f>
        <v/>
      </c>
      <c r="E451" s="12"/>
      <c r="F451" s="10"/>
    </row>
    <row r="452" customFormat="false" ht="15" hidden="false" customHeight="true" outlineLevel="0" collapsed="false">
      <c r="A452" s="16"/>
      <c r="B452" s="10"/>
      <c r="C452" s="17" t="str">
        <f aca="false">IF($B452="","",IFERROR(INDEX(품목마스터!$B$3:$B$302,MATCH($B452,품목마스터!$A$3:$A$302,0)),"미등록품번"))</f>
        <v/>
      </c>
      <c r="D452" s="17" t="str">
        <f aca="false">IF($B452="","",IFERROR(INDEX(품목마스터!$D$3:$D$302,MATCH($B452,품목마스터!$A$3:$A$302,0)),""))</f>
        <v/>
      </c>
      <c r="E452" s="12"/>
      <c r="F452" s="10"/>
    </row>
    <row r="453" customFormat="false" ht="15" hidden="false" customHeight="true" outlineLevel="0" collapsed="false">
      <c r="A453" s="16"/>
      <c r="B453" s="10"/>
      <c r="C453" s="17" t="str">
        <f aca="false">IF($B453="","",IFERROR(INDEX(품목마스터!$B$3:$B$302,MATCH($B453,품목마스터!$A$3:$A$302,0)),"미등록품번"))</f>
        <v/>
      </c>
      <c r="D453" s="17" t="str">
        <f aca="false">IF($B453="","",IFERROR(INDEX(품목마스터!$D$3:$D$302,MATCH($B453,품목마스터!$A$3:$A$302,0)),""))</f>
        <v/>
      </c>
      <c r="E453" s="12"/>
      <c r="F453" s="10"/>
    </row>
    <row r="454" customFormat="false" ht="15" hidden="false" customHeight="true" outlineLevel="0" collapsed="false">
      <c r="A454" s="16"/>
      <c r="B454" s="10"/>
      <c r="C454" s="17" t="str">
        <f aca="false">IF($B454="","",IFERROR(INDEX(품목마스터!$B$3:$B$302,MATCH($B454,품목마스터!$A$3:$A$302,0)),"미등록품번"))</f>
        <v/>
      </c>
      <c r="D454" s="17" t="str">
        <f aca="false">IF($B454="","",IFERROR(INDEX(품목마스터!$D$3:$D$302,MATCH($B454,품목마스터!$A$3:$A$302,0)),""))</f>
        <v/>
      </c>
      <c r="E454" s="12"/>
      <c r="F454" s="10"/>
    </row>
    <row r="455" customFormat="false" ht="15" hidden="false" customHeight="true" outlineLevel="0" collapsed="false">
      <c r="A455" s="16"/>
      <c r="B455" s="10"/>
      <c r="C455" s="17" t="str">
        <f aca="false">IF($B455="","",IFERROR(INDEX(품목마스터!$B$3:$B$302,MATCH($B455,품목마스터!$A$3:$A$302,0)),"미등록품번"))</f>
        <v/>
      </c>
      <c r="D455" s="17" t="str">
        <f aca="false">IF($B455="","",IFERROR(INDEX(품목마스터!$D$3:$D$302,MATCH($B455,품목마스터!$A$3:$A$302,0)),""))</f>
        <v/>
      </c>
      <c r="E455" s="12"/>
      <c r="F455" s="10"/>
    </row>
    <row r="456" customFormat="false" ht="15" hidden="false" customHeight="true" outlineLevel="0" collapsed="false">
      <c r="A456" s="16"/>
      <c r="B456" s="10"/>
      <c r="C456" s="17" t="str">
        <f aca="false">IF($B456="","",IFERROR(INDEX(품목마스터!$B$3:$B$302,MATCH($B456,품목마스터!$A$3:$A$302,0)),"미등록품번"))</f>
        <v/>
      </c>
      <c r="D456" s="17" t="str">
        <f aca="false">IF($B456="","",IFERROR(INDEX(품목마스터!$D$3:$D$302,MATCH($B456,품목마스터!$A$3:$A$302,0)),""))</f>
        <v/>
      </c>
      <c r="E456" s="12"/>
      <c r="F456" s="10"/>
    </row>
    <row r="457" customFormat="false" ht="15" hidden="false" customHeight="true" outlineLevel="0" collapsed="false">
      <c r="A457" s="16"/>
      <c r="B457" s="10"/>
      <c r="C457" s="17" t="str">
        <f aca="false">IF($B457="","",IFERROR(INDEX(품목마스터!$B$3:$B$302,MATCH($B457,품목마스터!$A$3:$A$302,0)),"미등록품번"))</f>
        <v/>
      </c>
      <c r="D457" s="17" t="str">
        <f aca="false">IF($B457="","",IFERROR(INDEX(품목마스터!$D$3:$D$302,MATCH($B457,품목마스터!$A$3:$A$302,0)),""))</f>
        <v/>
      </c>
      <c r="E457" s="12"/>
      <c r="F457" s="10"/>
    </row>
    <row r="458" customFormat="false" ht="15" hidden="false" customHeight="true" outlineLevel="0" collapsed="false">
      <c r="A458" s="16"/>
      <c r="B458" s="10"/>
      <c r="C458" s="17" t="str">
        <f aca="false">IF($B458="","",IFERROR(INDEX(품목마스터!$B$3:$B$302,MATCH($B458,품목마스터!$A$3:$A$302,0)),"미등록품번"))</f>
        <v/>
      </c>
      <c r="D458" s="17" t="str">
        <f aca="false">IF($B458="","",IFERROR(INDEX(품목마스터!$D$3:$D$302,MATCH($B458,품목마스터!$A$3:$A$302,0)),""))</f>
        <v/>
      </c>
      <c r="E458" s="12"/>
      <c r="F458" s="10"/>
    </row>
    <row r="459" customFormat="false" ht="15" hidden="false" customHeight="true" outlineLevel="0" collapsed="false">
      <c r="A459" s="16"/>
      <c r="B459" s="10"/>
      <c r="C459" s="17" t="str">
        <f aca="false">IF($B459="","",IFERROR(INDEX(품목마스터!$B$3:$B$302,MATCH($B459,품목마스터!$A$3:$A$302,0)),"미등록품번"))</f>
        <v/>
      </c>
      <c r="D459" s="17" t="str">
        <f aca="false">IF($B459="","",IFERROR(INDEX(품목마스터!$D$3:$D$302,MATCH($B459,품목마스터!$A$3:$A$302,0)),""))</f>
        <v/>
      </c>
      <c r="E459" s="12"/>
      <c r="F459" s="10"/>
    </row>
    <row r="460" customFormat="false" ht="15" hidden="false" customHeight="true" outlineLevel="0" collapsed="false">
      <c r="A460" s="16"/>
      <c r="B460" s="10"/>
      <c r="C460" s="17" t="str">
        <f aca="false">IF($B460="","",IFERROR(INDEX(품목마스터!$B$3:$B$302,MATCH($B460,품목마스터!$A$3:$A$302,0)),"미등록품번"))</f>
        <v/>
      </c>
      <c r="D460" s="17" t="str">
        <f aca="false">IF($B460="","",IFERROR(INDEX(품목마스터!$D$3:$D$302,MATCH($B460,품목마스터!$A$3:$A$302,0)),""))</f>
        <v/>
      </c>
      <c r="E460" s="12"/>
      <c r="F460" s="10"/>
    </row>
    <row r="461" customFormat="false" ht="15" hidden="false" customHeight="true" outlineLevel="0" collapsed="false">
      <c r="A461" s="16"/>
      <c r="B461" s="10"/>
      <c r="C461" s="17" t="str">
        <f aca="false">IF($B461="","",IFERROR(INDEX(품목마스터!$B$3:$B$302,MATCH($B461,품목마스터!$A$3:$A$302,0)),"미등록품번"))</f>
        <v/>
      </c>
      <c r="D461" s="17" t="str">
        <f aca="false">IF($B461="","",IFERROR(INDEX(품목마스터!$D$3:$D$302,MATCH($B461,품목마스터!$A$3:$A$302,0)),""))</f>
        <v/>
      </c>
      <c r="E461" s="12"/>
      <c r="F461" s="10"/>
    </row>
    <row r="462" customFormat="false" ht="15" hidden="false" customHeight="true" outlineLevel="0" collapsed="false">
      <c r="A462" s="16"/>
      <c r="B462" s="10"/>
      <c r="C462" s="17" t="str">
        <f aca="false">IF($B462="","",IFERROR(INDEX(품목마스터!$B$3:$B$302,MATCH($B462,품목마스터!$A$3:$A$302,0)),"미등록품번"))</f>
        <v/>
      </c>
      <c r="D462" s="17" t="str">
        <f aca="false">IF($B462="","",IFERROR(INDEX(품목마스터!$D$3:$D$302,MATCH($B462,품목마스터!$A$3:$A$302,0)),""))</f>
        <v/>
      </c>
      <c r="E462" s="12"/>
      <c r="F462" s="10"/>
    </row>
    <row r="463" customFormat="false" ht="15" hidden="false" customHeight="true" outlineLevel="0" collapsed="false">
      <c r="A463" s="16"/>
      <c r="B463" s="10"/>
      <c r="C463" s="17" t="str">
        <f aca="false">IF($B463="","",IFERROR(INDEX(품목마스터!$B$3:$B$302,MATCH($B463,품목마스터!$A$3:$A$302,0)),"미등록품번"))</f>
        <v/>
      </c>
      <c r="D463" s="17" t="str">
        <f aca="false">IF($B463="","",IFERROR(INDEX(품목마스터!$D$3:$D$302,MATCH($B463,품목마스터!$A$3:$A$302,0)),""))</f>
        <v/>
      </c>
      <c r="E463" s="12"/>
      <c r="F463" s="10"/>
    </row>
    <row r="464" customFormat="false" ht="15" hidden="false" customHeight="true" outlineLevel="0" collapsed="false">
      <c r="A464" s="16"/>
      <c r="B464" s="10"/>
      <c r="C464" s="17" t="str">
        <f aca="false">IF($B464="","",IFERROR(INDEX(품목마스터!$B$3:$B$302,MATCH($B464,품목마스터!$A$3:$A$302,0)),"미등록품번"))</f>
        <v/>
      </c>
      <c r="D464" s="17" t="str">
        <f aca="false">IF($B464="","",IFERROR(INDEX(품목마스터!$D$3:$D$302,MATCH($B464,품목마스터!$A$3:$A$302,0)),""))</f>
        <v/>
      </c>
      <c r="E464" s="12"/>
      <c r="F464" s="10"/>
    </row>
    <row r="465" customFormat="false" ht="15" hidden="false" customHeight="true" outlineLevel="0" collapsed="false">
      <c r="A465" s="16"/>
      <c r="B465" s="10"/>
      <c r="C465" s="17" t="str">
        <f aca="false">IF($B465="","",IFERROR(INDEX(품목마스터!$B$3:$B$302,MATCH($B465,품목마스터!$A$3:$A$302,0)),"미등록품번"))</f>
        <v/>
      </c>
      <c r="D465" s="17" t="str">
        <f aca="false">IF($B465="","",IFERROR(INDEX(품목마스터!$D$3:$D$302,MATCH($B465,품목마스터!$A$3:$A$302,0)),""))</f>
        <v/>
      </c>
      <c r="E465" s="12"/>
      <c r="F465" s="10"/>
    </row>
    <row r="466" customFormat="false" ht="15" hidden="false" customHeight="true" outlineLevel="0" collapsed="false">
      <c r="A466" s="16"/>
      <c r="B466" s="10"/>
      <c r="C466" s="17" t="str">
        <f aca="false">IF($B466="","",IFERROR(INDEX(품목마스터!$B$3:$B$302,MATCH($B466,품목마스터!$A$3:$A$302,0)),"미등록품번"))</f>
        <v/>
      </c>
      <c r="D466" s="17" t="str">
        <f aca="false">IF($B466="","",IFERROR(INDEX(품목마스터!$D$3:$D$302,MATCH($B466,품목마스터!$A$3:$A$302,0)),""))</f>
        <v/>
      </c>
      <c r="E466" s="12"/>
      <c r="F466" s="10"/>
    </row>
    <row r="467" customFormat="false" ht="15" hidden="false" customHeight="true" outlineLevel="0" collapsed="false">
      <c r="A467" s="16"/>
      <c r="B467" s="10"/>
      <c r="C467" s="17" t="str">
        <f aca="false">IF($B467="","",IFERROR(INDEX(품목마스터!$B$3:$B$302,MATCH($B467,품목마스터!$A$3:$A$302,0)),"미등록품번"))</f>
        <v/>
      </c>
      <c r="D467" s="17" t="str">
        <f aca="false">IF($B467="","",IFERROR(INDEX(품목마스터!$D$3:$D$302,MATCH($B467,품목마스터!$A$3:$A$302,0)),""))</f>
        <v/>
      </c>
      <c r="E467" s="12"/>
      <c r="F467" s="10"/>
    </row>
    <row r="468" customFormat="false" ht="15" hidden="false" customHeight="true" outlineLevel="0" collapsed="false">
      <c r="A468" s="16"/>
      <c r="B468" s="10"/>
      <c r="C468" s="17" t="str">
        <f aca="false">IF($B468="","",IFERROR(INDEX(품목마스터!$B$3:$B$302,MATCH($B468,품목마스터!$A$3:$A$302,0)),"미등록품번"))</f>
        <v/>
      </c>
      <c r="D468" s="17" t="str">
        <f aca="false">IF($B468="","",IFERROR(INDEX(품목마스터!$D$3:$D$302,MATCH($B468,품목마스터!$A$3:$A$302,0)),""))</f>
        <v/>
      </c>
      <c r="E468" s="12"/>
      <c r="F468" s="10"/>
    </row>
    <row r="469" customFormat="false" ht="15" hidden="false" customHeight="true" outlineLevel="0" collapsed="false">
      <c r="A469" s="16"/>
      <c r="B469" s="10"/>
      <c r="C469" s="17" t="str">
        <f aca="false">IF($B469="","",IFERROR(INDEX(품목마스터!$B$3:$B$302,MATCH($B469,품목마스터!$A$3:$A$302,0)),"미등록품번"))</f>
        <v/>
      </c>
      <c r="D469" s="17" t="str">
        <f aca="false">IF($B469="","",IFERROR(INDEX(품목마스터!$D$3:$D$302,MATCH($B469,품목마스터!$A$3:$A$302,0)),""))</f>
        <v/>
      </c>
      <c r="E469" s="12"/>
      <c r="F469" s="10"/>
    </row>
    <row r="470" customFormat="false" ht="15" hidden="false" customHeight="true" outlineLevel="0" collapsed="false">
      <c r="A470" s="16"/>
      <c r="B470" s="10"/>
      <c r="C470" s="17" t="str">
        <f aca="false">IF($B470="","",IFERROR(INDEX(품목마스터!$B$3:$B$302,MATCH($B470,품목마스터!$A$3:$A$302,0)),"미등록품번"))</f>
        <v/>
      </c>
      <c r="D470" s="17" t="str">
        <f aca="false">IF($B470="","",IFERROR(INDEX(품목마스터!$D$3:$D$302,MATCH($B470,품목마스터!$A$3:$A$302,0)),""))</f>
        <v/>
      </c>
      <c r="E470" s="12"/>
      <c r="F470" s="10"/>
    </row>
    <row r="471" customFormat="false" ht="15" hidden="false" customHeight="true" outlineLevel="0" collapsed="false">
      <c r="A471" s="16"/>
      <c r="B471" s="10"/>
      <c r="C471" s="17" t="str">
        <f aca="false">IF($B471="","",IFERROR(INDEX(품목마스터!$B$3:$B$302,MATCH($B471,품목마스터!$A$3:$A$302,0)),"미등록품번"))</f>
        <v/>
      </c>
      <c r="D471" s="17" t="str">
        <f aca="false">IF($B471="","",IFERROR(INDEX(품목마스터!$D$3:$D$302,MATCH($B471,품목마스터!$A$3:$A$302,0)),""))</f>
        <v/>
      </c>
      <c r="E471" s="12"/>
      <c r="F471" s="10"/>
    </row>
    <row r="472" customFormat="false" ht="15" hidden="false" customHeight="true" outlineLevel="0" collapsed="false">
      <c r="A472" s="16"/>
      <c r="B472" s="10"/>
      <c r="C472" s="17" t="str">
        <f aca="false">IF($B472="","",IFERROR(INDEX(품목마스터!$B$3:$B$302,MATCH($B472,품목마스터!$A$3:$A$302,0)),"미등록품번"))</f>
        <v/>
      </c>
      <c r="D472" s="17" t="str">
        <f aca="false">IF($B472="","",IFERROR(INDEX(품목마스터!$D$3:$D$302,MATCH($B472,품목마스터!$A$3:$A$302,0)),""))</f>
        <v/>
      </c>
      <c r="E472" s="12"/>
      <c r="F472" s="10"/>
    </row>
    <row r="473" customFormat="false" ht="15" hidden="false" customHeight="true" outlineLevel="0" collapsed="false">
      <c r="A473" s="16"/>
      <c r="B473" s="10"/>
      <c r="C473" s="17" t="str">
        <f aca="false">IF($B473="","",IFERROR(INDEX(품목마스터!$B$3:$B$302,MATCH($B473,품목마스터!$A$3:$A$302,0)),"미등록품번"))</f>
        <v/>
      </c>
      <c r="D473" s="17" t="str">
        <f aca="false">IF($B473="","",IFERROR(INDEX(품목마스터!$D$3:$D$302,MATCH($B473,품목마스터!$A$3:$A$302,0)),""))</f>
        <v/>
      </c>
      <c r="E473" s="12"/>
      <c r="F473" s="10"/>
    </row>
    <row r="474" customFormat="false" ht="15" hidden="false" customHeight="true" outlineLevel="0" collapsed="false">
      <c r="A474" s="16"/>
      <c r="B474" s="10"/>
      <c r="C474" s="17" t="str">
        <f aca="false">IF($B474="","",IFERROR(INDEX(품목마스터!$B$3:$B$302,MATCH($B474,품목마스터!$A$3:$A$302,0)),"미등록품번"))</f>
        <v/>
      </c>
      <c r="D474" s="17" t="str">
        <f aca="false">IF($B474="","",IFERROR(INDEX(품목마스터!$D$3:$D$302,MATCH($B474,품목마스터!$A$3:$A$302,0)),""))</f>
        <v/>
      </c>
      <c r="E474" s="12"/>
      <c r="F474" s="10"/>
    </row>
    <row r="475" customFormat="false" ht="15" hidden="false" customHeight="true" outlineLevel="0" collapsed="false">
      <c r="A475" s="16"/>
      <c r="B475" s="10"/>
      <c r="C475" s="17" t="str">
        <f aca="false">IF($B475="","",IFERROR(INDEX(품목마스터!$B$3:$B$302,MATCH($B475,품목마스터!$A$3:$A$302,0)),"미등록품번"))</f>
        <v/>
      </c>
      <c r="D475" s="17" t="str">
        <f aca="false">IF($B475="","",IFERROR(INDEX(품목마스터!$D$3:$D$302,MATCH($B475,품목마스터!$A$3:$A$302,0)),""))</f>
        <v/>
      </c>
      <c r="E475" s="12"/>
      <c r="F475" s="10"/>
    </row>
    <row r="476" customFormat="false" ht="15" hidden="false" customHeight="true" outlineLevel="0" collapsed="false">
      <c r="A476" s="16"/>
      <c r="B476" s="10"/>
      <c r="C476" s="17" t="str">
        <f aca="false">IF($B476="","",IFERROR(INDEX(품목마스터!$B$3:$B$302,MATCH($B476,품목마스터!$A$3:$A$302,0)),"미등록품번"))</f>
        <v/>
      </c>
      <c r="D476" s="17" t="str">
        <f aca="false">IF($B476="","",IFERROR(INDEX(품목마스터!$D$3:$D$302,MATCH($B476,품목마스터!$A$3:$A$302,0)),""))</f>
        <v/>
      </c>
      <c r="E476" s="12"/>
      <c r="F476" s="10"/>
    </row>
    <row r="477" customFormat="false" ht="15" hidden="false" customHeight="true" outlineLevel="0" collapsed="false">
      <c r="A477" s="16"/>
      <c r="B477" s="10"/>
      <c r="C477" s="17" t="str">
        <f aca="false">IF($B477="","",IFERROR(INDEX(품목마스터!$B$3:$B$302,MATCH($B477,품목마스터!$A$3:$A$302,0)),"미등록품번"))</f>
        <v/>
      </c>
      <c r="D477" s="17" t="str">
        <f aca="false">IF($B477="","",IFERROR(INDEX(품목마스터!$D$3:$D$302,MATCH($B477,품목마스터!$A$3:$A$302,0)),""))</f>
        <v/>
      </c>
      <c r="E477" s="12"/>
      <c r="F477" s="10"/>
    </row>
    <row r="478" customFormat="false" ht="15" hidden="false" customHeight="true" outlineLevel="0" collapsed="false">
      <c r="A478" s="16"/>
      <c r="B478" s="10"/>
      <c r="C478" s="17" t="str">
        <f aca="false">IF($B478="","",IFERROR(INDEX(품목마스터!$B$3:$B$302,MATCH($B478,품목마스터!$A$3:$A$302,0)),"미등록품번"))</f>
        <v/>
      </c>
      <c r="D478" s="17" t="str">
        <f aca="false">IF($B478="","",IFERROR(INDEX(품목마스터!$D$3:$D$302,MATCH($B478,품목마스터!$A$3:$A$302,0)),""))</f>
        <v/>
      </c>
      <c r="E478" s="12"/>
      <c r="F478" s="10"/>
    </row>
    <row r="479" customFormat="false" ht="15" hidden="false" customHeight="true" outlineLevel="0" collapsed="false">
      <c r="A479" s="16"/>
      <c r="B479" s="10"/>
      <c r="C479" s="17" t="str">
        <f aca="false">IF($B479="","",IFERROR(INDEX(품목마스터!$B$3:$B$302,MATCH($B479,품목마스터!$A$3:$A$302,0)),"미등록품번"))</f>
        <v/>
      </c>
      <c r="D479" s="17" t="str">
        <f aca="false">IF($B479="","",IFERROR(INDEX(품목마스터!$D$3:$D$302,MATCH($B479,품목마스터!$A$3:$A$302,0)),""))</f>
        <v/>
      </c>
      <c r="E479" s="12"/>
      <c r="F479" s="10"/>
    </row>
    <row r="480" customFormat="false" ht="15" hidden="false" customHeight="true" outlineLevel="0" collapsed="false">
      <c r="A480" s="16"/>
      <c r="B480" s="10"/>
      <c r="C480" s="17" t="str">
        <f aca="false">IF($B480="","",IFERROR(INDEX(품목마스터!$B$3:$B$302,MATCH($B480,품목마스터!$A$3:$A$302,0)),"미등록품번"))</f>
        <v/>
      </c>
      <c r="D480" s="17" t="str">
        <f aca="false">IF($B480="","",IFERROR(INDEX(품목마스터!$D$3:$D$302,MATCH($B480,품목마스터!$A$3:$A$302,0)),""))</f>
        <v/>
      </c>
      <c r="E480" s="12"/>
      <c r="F480" s="10"/>
    </row>
    <row r="481" customFormat="false" ht="15" hidden="false" customHeight="true" outlineLevel="0" collapsed="false">
      <c r="A481" s="16"/>
      <c r="B481" s="10"/>
      <c r="C481" s="17" t="str">
        <f aca="false">IF($B481="","",IFERROR(INDEX(품목마스터!$B$3:$B$302,MATCH($B481,품목마스터!$A$3:$A$302,0)),"미등록품번"))</f>
        <v/>
      </c>
      <c r="D481" s="17" t="str">
        <f aca="false">IF($B481="","",IFERROR(INDEX(품목마스터!$D$3:$D$302,MATCH($B481,품목마스터!$A$3:$A$302,0)),""))</f>
        <v/>
      </c>
      <c r="E481" s="12"/>
      <c r="F481" s="10"/>
    </row>
    <row r="482" customFormat="false" ht="15" hidden="false" customHeight="true" outlineLevel="0" collapsed="false">
      <c r="A482" s="16"/>
      <c r="B482" s="10"/>
      <c r="C482" s="17" t="str">
        <f aca="false">IF($B482="","",IFERROR(INDEX(품목마스터!$B$3:$B$302,MATCH($B482,품목마스터!$A$3:$A$302,0)),"미등록품번"))</f>
        <v/>
      </c>
      <c r="D482" s="17" t="str">
        <f aca="false">IF($B482="","",IFERROR(INDEX(품목마스터!$D$3:$D$302,MATCH($B482,품목마스터!$A$3:$A$302,0)),""))</f>
        <v/>
      </c>
      <c r="E482" s="12"/>
      <c r="F482" s="10"/>
    </row>
    <row r="483" customFormat="false" ht="15" hidden="false" customHeight="true" outlineLevel="0" collapsed="false">
      <c r="A483" s="16"/>
      <c r="B483" s="10"/>
      <c r="C483" s="17" t="str">
        <f aca="false">IF($B483="","",IFERROR(INDEX(품목마스터!$B$3:$B$302,MATCH($B483,품목마스터!$A$3:$A$302,0)),"미등록품번"))</f>
        <v/>
      </c>
      <c r="D483" s="17" t="str">
        <f aca="false">IF($B483="","",IFERROR(INDEX(품목마스터!$D$3:$D$302,MATCH($B483,품목마스터!$A$3:$A$302,0)),""))</f>
        <v/>
      </c>
      <c r="E483" s="12"/>
      <c r="F483" s="10"/>
    </row>
    <row r="484" customFormat="false" ht="15" hidden="false" customHeight="true" outlineLevel="0" collapsed="false">
      <c r="A484" s="16"/>
      <c r="B484" s="10"/>
      <c r="C484" s="17" t="str">
        <f aca="false">IF($B484="","",IFERROR(INDEX(품목마스터!$B$3:$B$302,MATCH($B484,품목마스터!$A$3:$A$302,0)),"미등록품번"))</f>
        <v/>
      </c>
      <c r="D484" s="17" t="str">
        <f aca="false">IF($B484="","",IFERROR(INDEX(품목마스터!$D$3:$D$302,MATCH($B484,품목마스터!$A$3:$A$302,0)),""))</f>
        <v/>
      </c>
      <c r="E484" s="12"/>
      <c r="F484" s="10"/>
    </row>
    <row r="485" customFormat="false" ht="15" hidden="false" customHeight="true" outlineLevel="0" collapsed="false">
      <c r="A485" s="16"/>
      <c r="B485" s="10"/>
      <c r="C485" s="17" t="str">
        <f aca="false">IF($B485="","",IFERROR(INDEX(품목마스터!$B$3:$B$302,MATCH($B485,품목마스터!$A$3:$A$302,0)),"미등록품번"))</f>
        <v/>
      </c>
      <c r="D485" s="17" t="str">
        <f aca="false">IF($B485="","",IFERROR(INDEX(품목마스터!$D$3:$D$302,MATCH($B485,품목마스터!$A$3:$A$302,0)),""))</f>
        <v/>
      </c>
      <c r="E485" s="12"/>
      <c r="F485" s="10"/>
    </row>
    <row r="486" customFormat="false" ht="15" hidden="false" customHeight="true" outlineLevel="0" collapsed="false">
      <c r="A486" s="16"/>
      <c r="B486" s="10"/>
      <c r="C486" s="17" t="str">
        <f aca="false">IF($B486="","",IFERROR(INDEX(품목마스터!$B$3:$B$302,MATCH($B486,품목마스터!$A$3:$A$302,0)),"미등록품번"))</f>
        <v/>
      </c>
      <c r="D486" s="17" t="str">
        <f aca="false">IF($B486="","",IFERROR(INDEX(품목마스터!$D$3:$D$302,MATCH($B486,품목마스터!$A$3:$A$302,0)),""))</f>
        <v/>
      </c>
      <c r="E486" s="12"/>
      <c r="F486" s="10"/>
    </row>
    <row r="487" customFormat="false" ht="15" hidden="false" customHeight="true" outlineLevel="0" collapsed="false">
      <c r="A487" s="16"/>
      <c r="B487" s="10"/>
      <c r="C487" s="17" t="str">
        <f aca="false">IF($B487="","",IFERROR(INDEX(품목마스터!$B$3:$B$302,MATCH($B487,품목마스터!$A$3:$A$302,0)),"미등록품번"))</f>
        <v/>
      </c>
      <c r="D487" s="17" t="str">
        <f aca="false">IF($B487="","",IFERROR(INDEX(품목마스터!$D$3:$D$302,MATCH($B487,품목마스터!$A$3:$A$302,0)),""))</f>
        <v/>
      </c>
      <c r="E487" s="12"/>
      <c r="F487" s="10"/>
    </row>
    <row r="488" customFormat="false" ht="15" hidden="false" customHeight="true" outlineLevel="0" collapsed="false">
      <c r="A488" s="16"/>
      <c r="B488" s="10"/>
      <c r="C488" s="17" t="str">
        <f aca="false">IF($B488="","",IFERROR(INDEX(품목마스터!$B$3:$B$302,MATCH($B488,품목마스터!$A$3:$A$302,0)),"미등록품번"))</f>
        <v/>
      </c>
      <c r="D488" s="17" t="str">
        <f aca="false">IF($B488="","",IFERROR(INDEX(품목마스터!$D$3:$D$302,MATCH($B488,품목마스터!$A$3:$A$302,0)),""))</f>
        <v/>
      </c>
      <c r="E488" s="12"/>
      <c r="F488" s="10"/>
    </row>
    <row r="489" customFormat="false" ht="15" hidden="false" customHeight="true" outlineLevel="0" collapsed="false">
      <c r="A489" s="16"/>
      <c r="B489" s="10"/>
      <c r="C489" s="17" t="str">
        <f aca="false">IF($B489="","",IFERROR(INDEX(품목마스터!$B$3:$B$302,MATCH($B489,품목마스터!$A$3:$A$302,0)),"미등록품번"))</f>
        <v/>
      </c>
      <c r="D489" s="17" t="str">
        <f aca="false">IF($B489="","",IFERROR(INDEX(품목마스터!$D$3:$D$302,MATCH($B489,품목마스터!$A$3:$A$302,0)),""))</f>
        <v/>
      </c>
      <c r="E489" s="12"/>
      <c r="F489" s="10"/>
    </row>
    <row r="490" customFormat="false" ht="15" hidden="false" customHeight="true" outlineLevel="0" collapsed="false">
      <c r="A490" s="16"/>
      <c r="B490" s="10"/>
      <c r="C490" s="17" t="str">
        <f aca="false">IF($B490="","",IFERROR(INDEX(품목마스터!$B$3:$B$302,MATCH($B490,품목마스터!$A$3:$A$302,0)),"미등록품번"))</f>
        <v/>
      </c>
      <c r="D490" s="17" t="str">
        <f aca="false">IF($B490="","",IFERROR(INDEX(품목마스터!$D$3:$D$302,MATCH($B490,품목마스터!$A$3:$A$302,0)),""))</f>
        <v/>
      </c>
      <c r="E490" s="12"/>
      <c r="F490" s="10"/>
    </row>
    <row r="491" customFormat="false" ht="15" hidden="false" customHeight="true" outlineLevel="0" collapsed="false">
      <c r="A491" s="16"/>
      <c r="B491" s="10"/>
      <c r="C491" s="17" t="str">
        <f aca="false">IF($B491="","",IFERROR(INDEX(품목마스터!$B$3:$B$302,MATCH($B491,품목마스터!$A$3:$A$302,0)),"미등록품번"))</f>
        <v/>
      </c>
      <c r="D491" s="17" t="str">
        <f aca="false">IF($B491="","",IFERROR(INDEX(품목마스터!$D$3:$D$302,MATCH($B491,품목마스터!$A$3:$A$302,0)),""))</f>
        <v/>
      </c>
      <c r="E491" s="12"/>
      <c r="F491" s="10"/>
    </row>
    <row r="492" customFormat="false" ht="15" hidden="false" customHeight="true" outlineLevel="0" collapsed="false">
      <c r="A492" s="16"/>
      <c r="B492" s="10"/>
      <c r="C492" s="17" t="str">
        <f aca="false">IF($B492="","",IFERROR(INDEX(품목마스터!$B$3:$B$302,MATCH($B492,품목마스터!$A$3:$A$302,0)),"미등록품번"))</f>
        <v/>
      </c>
      <c r="D492" s="17" t="str">
        <f aca="false">IF($B492="","",IFERROR(INDEX(품목마스터!$D$3:$D$302,MATCH($B492,품목마스터!$A$3:$A$302,0)),""))</f>
        <v/>
      </c>
      <c r="E492" s="12"/>
      <c r="F492" s="10"/>
    </row>
    <row r="493" customFormat="false" ht="15" hidden="false" customHeight="true" outlineLevel="0" collapsed="false">
      <c r="A493" s="16"/>
      <c r="B493" s="10"/>
      <c r="C493" s="17" t="str">
        <f aca="false">IF($B493="","",IFERROR(INDEX(품목마스터!$B$3:$B$302,MATCH($B493,품목마스터!$A$3:$A$302,0)),"미등록품번"))</f>
        <v/>
      </c>
      <c r="D493" s="17" t="str">
        <f aca="false">IF($B493="","",IFERROR(INDEX(품목마스터!$D$3:$D$302,MATCH($B493,품목마스터!$A$3:$A$302,0)),""))</f>
        <v/>
      </c>
      <c r="E493" s="12"/>
      <c r="F493" s="10"/>
    </row>
    <row r="494" customFormat="false" ht="15" hidden="false" customHeight="true" outlineLevel="0" collapsed="false">
      <c r="A494" s="16"/>
      <c r="B494" s="10"/>
      <c r="C494" s="17" t="str">
        <f aca="false">IF($B494="","",IFERROR(INDEX(품목마스터!$B$3:$B$302,MATCH($B494,품목마스터!$A$3:$A$302,0)),"미등록품번"))</f>
        <v/>
      </c>
      <c r="D494" s="17" t="str">
        <f aca="false">IF($B494="","",IFERROR(INDEX(품목마스터!$D$3:$D$302,MATCH($B494,품목마스터!$A$3:$A$302,0)),""))</f>
        <v/>
      </c>
      <c r="E494" s="12"/>
      <c r="F494" s="10"/>
    </row>
    <row r="495" customFormat="false" ht="15" hidden="false" customHeight="true" outlineLevel="0" collapsed="false">
      <c r="A495" s="16"/>
      <c r="B495" s="10"/>
      <c r="C495" s="17" t="str">
        <f aca="false">IF($B495="","",IFERROR(INDEX(품목마스터!$B$3:$B$302,MATCH($B495,품목마스터!$A$3:$A$302,0)),"미등록품번"))</f>
        <v/>
      </c>
      <c r="D495" s="17" t="str">
        <f aca="false">IF($B495="","",IFERROR(INDEX(품목마스터!$D$3:$D$302,MATCH($B495,품목마스터!$A$3:$A$302,0)),""))</f>
        <v/>
      </c>
      <c r="E495" s="12"/>
      <c r="F495" s="10"/>
    </row>
    <row r="496" customFormat="false" ht="15" hidden="false" customHeight="true" outlineLevel="0" collapsed="false">
      <c r="A496" s="16"/>
      <c r="B496" s="10"/>
      <c r="C496" s="17" t="str">
        <f aca="false">IF($B496="","",IFERROR(INDEX(품목마스터!$B$3:$B$302,MATCH($B496,품목마스터!$A$3:$A$302,0)),"미등록품번"))</f>
        <v/>
      </c>
      <c r="D496" s="17" t="str">
        <f aca="false">IF($B496="","",IFERROR(INDEX(품목마스터!$D$3:$D$302,MATCH($B496,품목마스터!$A$3:$A$302,0)),""))</f>
        <v/>
      </c>
      <c r="E496" s="12"/>
      <c r="F496" s="10"/>
    </row>
    <row r="497" customFormat="false" ht="15" hidden="false" customHeight="true" outlineLevel="0" collapsed="false">
      <c r="A497" s="16"/>
      <c r="B497" s="10"/>
      <c r="C497" s="17" t="str">
        <f aca="false">IF($B497="","",IFERROR(INDEX(품목마스터!$B$3:$B$302,MATCH($B497,품목마스터!$A$3:$A$302,0)),"미등록품번"))</f>
        <v/>
      </c>
      <c r="D497" s="17" t="str">
        <f aca="false">IF($B497="","",IFERROR(INDEX(품목마스터!$D$3:$D$302,MATCH($B497,품목마스터!$A$3:$A$302,0)),""))</f>
        <v/>
      </c>
      <c r="E497" s="12"/>
      <c r="F497" s="10"/>
    </row>
    <row r="498" customFormat="false" ht="15" hidden="false" customHeight="true" outlineLevel="0" collapsed="false">
      <c r="A498" s="16"/>
      <c r="B498" s="10"/>
      <c r="C498" s="17" t="str">
        <f aca="false">IF($B498="","",IFERROR(INDEX(품목마스터!$B$3:$B$302,MATCH($B498,품목마스터!$A$3:$A$302,0)),"미등록품번"))</f>
        <v/>
      </c>
      <c r="D498" s="17" t="str">
        <f aca="false">IF($B498="","",IFERROR(INDEX(품목마스터!$D$3:$D$302,MATCH($B498,품목마스터!$A$3:$A$302,0)),""))</f>
        <v/>
      </c>
      <c r="E498" s="12"/>
      <c r="F498" s="10"/>
    </row>
    <row r="499" customFormat="false" ht="15" hidden="false" customHeight="true" outlineLevel="0" collapsed="false">
      <c r="A499" s="16"/>
      <c r="B499" s="10"/>
      <c r="C499" s="17" t="str">
        <f aca="false">IF($B499="","",IFERROR(INDEX(품목마스터!$B$3:$B$302,MATCH($B499,품목마스터!$A$3:$A$302,0)),"미등록품번"))</f>
        <v/>
      </c>
      <c r="D499" s="17" t="str">
        <f aca="false">IF($B499="","",IFERROR(INDEX(품목마스터!$D$3:$D$302,MATCH($B499,품목마스터!$A$3:$A$302,0)),""))</f>
        <v/>
      </c>
      <c r="E499" s="12"/>
      <c r="F499" s="10"/>
    </row>
    <row r="500" customFormat="false" ht="15" hidden="false" customHeight="true" outlineLevel="0" collapsed="false">
      <c r="A500" s="16"/>
      <c r="B500" s="10"/>
      <c r="C500" s="17" t="str">
        <f aca="false">IF($B500="","",IFERROR(INDEX(품목마스터!$B$3:$B$302,MATCH($B500,품목마스터!$A$3:$A$302,0)),"미등록품번"))</f>
        <v/>
      </c>
      <c r="D500" s="17" t="str">
        <f aca="false">IF($B500="","",IFERROR(INDEX(품목마스터!$D$3:$D$302,MATCH($B500,품목마스터!$A$3:$A$302,0)),""))</f>
        <v/>
      </c>
      <c r="E500" s="12"/>
      <c r="F500" s="10"/>
    </row>
    <row r="501" customFormat="false" ht="15" hidden="false" customHeight="true" outlineLevel="0" collapsed="false">
      <c r="A501" s="16"/>
      <c r="B501" s="10"/>
      <c r="C501" s="17" t="str">
        <f aca="false">IF($B501="","",IFERROR(INDEX(품목마스터!$B$3:$B$302,MATCH($B501,품목마스터!$A$3:$A$302,0)),"미등록품번"))</f>
        <v/>
      </c>
      <c r="D501" s="17" t="str">
        <f aca="false">IF($B501="","",IFERROR(INDEX(품목마스터!$D$3:$D$302,MATCH($B501,품목마스터!$A$3:$A$302,0)),""))</f>
        <v/>
      </c>
      <c r="E501" s="12"/>
      <c r="F501" s="10"/>
    </row>
    <row r="502" customFormat="false" ht="15" hidden="false" customHeight="true" outlineLevel="0" collapsed="false">
      <c r="A502" s="16"/>
      <c r="B502" s="10"/>
      <c r="C502" s="17" t="str">
        <f aca="false">IF($B502="","",IFERROR(INDEX(품목마스터!$B$3:$B$302,MATCH($B502,품목마스터!$A$3:$A$302,0)),"미등록품번"))</f>
        <v/>
      </c>
      <c r="D502" s="17" t="str">
        <f aca="false">IF($B502="","",IFERROR(INDEX(품목마스터!$D$3:$D$302,MATCH($B502,품목마스터!$A$3:$A$302,0)),""))</f>
        <v/>
      </c>
      <c r="E502" s="12"/>
      <c r="F502" s="10"/>
    </row>
    <row r="503" customFormat="false" ht="15" hidden="false" customHeight="true" outlineLevel="0" collapsed="false">
      <c r="A503" s="16"/>
      <c r="B503" s="10"/>
      <c r="C503" s="17" t="str">
        <f aca="false">IF($B503="","",IFERROR(INDEX(품목마스터!$B$3:$B$302,MATCH($B503,품목마스터!$A$3:$A$302,0)),"미등록품번"))</f>
        <v/>
      </c>
      <c r="D503" s="17" t="str">
        <f aca="false">IF($B503="","",IFERROR(INDEX(품목마스터!$D$3:$D$302,MATCH($B503,품목마스터!$A$3:$A$302,0)),""))</f>
        <v/>
      </c>
      <c r="E503" s="12"/>
      <c r="F503" s="10"/>
    </row>
    <row r="504" customFormat="false" ht="15" hidden="false" customHeight="true" outlineLevel="0" collapsed="false">
      <c r="A504" s="16"/>
      <c r="B504" s="10"/>
      <c r="C504" s="17" t="str">
        <f aca="false">IF($B504="","",IFERROR(INDEX(품목마스터!$B$3:$B$302,MATCH($B504,품목마스터!$A$3:$A$302,0)),"미등록품번"))</f>
        <v/>
      </c>
      <c r="D504" s="17" t="str">
        <f aca="false">IF($B504="","",IFERROR(INDEX(품목마스터!$D$3:$D$302,MATCH($B504,품목마스터!$A$3:$A$302,0)),""))</f>
        <v/>
      </c>
      <c r="E504" s="12"/>
      <c r="F504" s="10"/>
    </row>
    <row r="505" customFormat="false" ht="15" hidden="false" customHeight="true" outlineLevel="0" collapsed="false">
      <c r="A505" s="16"/>
      <c r="B505" s="10"/>
      <c r="C505" s="17" t="str">
        <f aca="false">IF($B505="","",IFERROR(INDEX(품목마스터!$B$3:$B$302,MATCH($B505,품목마스터!$A$3:$A$302,0)),"미등록품번"))</f>
        <v/>
      </c>
      <c r="D505" s="17" t="str">
        <f aca="false">IF($B505="","",IFERROR(INDEX(품목마스터!$D$3:$D$302,MATCH($B505,품목마스터!$A$3:$A$302,0)),""))</f>
        <v/>
      </c>
      <c r="E505" s="12"/>
      <c r="F505" s="10"/>
    </row>
    <row r="506" customFormat="false" ht="15" hidden="false" customHeight="true" outlineLevel="0" collapsed="false">
      <c r="A506" s="16"/>
      <c r="B506" s="10"/>
      <c r="C506" s="17" t="str">
        <f aca="false">IF($B506="","",IFERROR(INDEX(품목마스터!$B$3:$B$302,MATCH($B506,품목마스터!$A$3:$A$302,0)),"미등록품번"))</f>
        <v/>
      </c>
      <c r="D506" s="17" t="str">
        <f aca="false">IF($B506="","",IFERROR(INDEX(품목마스터!$D$3:$D$302,MATCH($B506,품목마스터!$A$3:$A$302,0)),""))</f>
        <v/>
      </c>
      <c r="E506" s="12"/>
      <c r="F506" s="10"/>
    </row>
    <row r="507" customFormat="false" ht="15" hidden="false" customHeight="true" outlineLevel="0" collapsed="false">
      <c r="A507" s="16"/>
      <c r="B507" s="10"/>
      <c r="C507" s="17" t="str">
        <f aca="false">IF($B507="","",IFERROR(INDEX(품목마스터!$B$3:$B$302,MATCH($B507,품목마스터!$A$3:$A$302,0)),"미등록품번"))</f>
        <v/>
      </c>
      <c r="D507" s="17" t="str">
        <f aca="false">IF($B507="","",IFERROR(INDEX(품목마스터!$D$3:$D$302,MATCH($B507,품목마스터!$A$3:$A$302,0)),""))</f>
        <v/>
      </c>
      <c r="E507" s="12"/>
      <c r="F507" s="10"/>
    </row>
    <row r="508" customFormat="false" ht="15" hidden="false" customHeight="true" outlineLevel="0" collapsed="false">
      <c r="A508" s="16"/>
      <c r="B508" s="10"/>
      <c r="C508" s="17" t="str">
        <f aca="false">IF($B508="","",IFERROR(INDEX(품목마스터!$B$3:$B$302,MATCH($B508,품목마스터!$A$3:$A$302,0)),"미등록품번"))</f>
        <v/>
      </c>
      <c r="D508" s="17" t="str">
        <f aca="false">IF($B508="","",IFERROR(INDEX(품목마스터!$D$3:$D$302,MATCH($B508,품목마스터!$A$3:$A$302,0)),""))</f>
        <v/>
      </c>
      <c r="E508" s="12"/>
      <c r="F508" s="10"/>
    </row>
    <row r="509" customFormat="false" ht="15" hidden="false" customHeight="true" outlineLevel="0" collapsed="false">
      <c r="A509" s="16"/>
      <c r="B509" s="10"/>
      <c r="C509" s="17" t="str">
        <f aca="false">IF($B509="","",IFERROR(INDEX(품목마스터!$B$3:$B$302,MATCH($B509,품목마스터!$A$3:$A$302,0)),"미등록품번"))</f>
        <v/>
      </c>
      <c r="D509" s="17" t="str">
        <f aca="false">IF($B509="","",IFERROR(INDEX(품목마스터!$D$3:$D$302,MATCH($B509,품목마스터!$A$3:$A$302,0)),""))</f>
        <v/>
      </c>
      <c r="E509" s="12"/>
      <c r="F509" s="10"/>
    </row>
    <row r="510" customFormat="false" ht="15" hidden="false" customHeight="true" outlineLevel="0" collapsed="false">
      <c r="A510" s="16"/>
      <c r="B510" s="10"/>
      <c r="C510" s="17" t="str">
        <f aca="false">IF($B510="","",IFERROR(INDEX(품목마스터!$B$3:$B$302,MATCH($B510,품목마스터!$A$3:$A$302,0)),"미등록품번"))</f>
        <v/>
      </c>
      <c r="D510" s="17" t="str">
        <f aca="false">IF($B510="","",IFERROR(INDEX(품목마스터!$D$3:$D$302,MATCH($B510,품목마스터!$A$3:$A$302,0)),""))</f>
        <v/>
      </c>
      <c r="E510" s="12"/>
      <c r="F510" s="10"/>
    </row>
    <row r="511" customFormat="false" ht="15" hidden="false" customHeight="true" outlineLevel="0" collapsed="false">
      <c r="A511" s="16"/>
      <c r="B511" s="10"/>
      <c r="C511" s="17" t="str">
        <f aca="false">IF($B511="","",IFERROR(INDEX(품목마스터!$B$3:$B$302,MATCH($B511,품목마스터!$A$3:$A$302,0)),"미등록품번"))</f>
        <v/>
      </c>
      <c r="D511" s="17" t="str">
        <f aca="false">IF($B511="","",IFERROR(INDEX(품목마스터!$D$3:$D$302,MATCH($B511,품목마스터!$A$3:$A$302,0)),""))</f>
        <v/>
      </c>
      <c r="E511" s="12"/>
      <c r="F511" s="10"/>
    </row>
    <row r="512" customFormat="false" ht="15" hidden="false" customHeight="true" outlineLevel="0" collapsed="false">
      <c r="A512" s="16"/>
      <c r="B512" s="10"/>
      <c r="C512" s="17" t="str">
        <f aca="false">IF($B512="","",IFERROR(INDEX(품목마스터!$B$3:$B$302,MATCH($B512,품목마스터!$A$3:$A$302,0)),"미등록품번"))</f>
        <v/>
      </c>
      <c r="D512" s="17" t="str">
        <f aca="false">IF($B512="","",IFERROR(INDEX(품목마스터!$D$3:$D$302,MATCH($B512,품목마스터!$A$3:$A$302,0)),""))</f>
        <v/>
      </c>
      <c r="E512" s="12"/>
      <c r="F512" s="10"/>
    </row>
    <row r="513" customFormat="false" ht="15" hidden="false" customHeight="true" outlineLevel="0" collapsed="false">
      <c r="A513" s="16"/>
      <c r="B513" s="10"/>
      <c r="C513" s="17" t="str">
        <f aca="false">IF($B513="","",IFERROR(INDEX(품목마스터!$B$3:$B$302,MATCH($B513,품목마스터!$A$3:$A$302,0)),"미등록품번"))</f>
        <v/>
      </c>
      <c r="D513" s="17" t="str">
        <f aca="false">IF($B513="","",IFERROR(INDEX(품목마스터!$D$3:$D$302,MATCH($B513,품목마스터!$A$3:$A$302,0)),""))</f>
        <v/>
      </c>
      <c r="E513" s="12"/>
      <c r="F513" s="10"/>
    </row>
    <row r="514" customFormat="false" ht="15" hidden="false" customHeight="true" outlineLevel="0" collapsed="false">
      <c r="A514" s="16"/>
      <c r="B514" s="10"/>
      <c r="C514" s="17" t="str">
        <f aca="false">IF($B514="","",IFERROR(INDEX(품목마스터!$B$3:$B$302,MATCH($B514,품목마스터!$A$3:$A$302,0)),"미등록품번"))</f>
        <v/>
      </c>
      <c r="D514" s="17" t="str">
        <f aca="false">IF($B514="","",IFERROR(INDEX(품목마스터!$D$3:$D$302,MATCH($B514,품목마스터!$A$3:$A$302,0)),""))</f>
        <v/>
      </c>
      <c r="E514" s="12"/>
      <c r="F514" s="10"/>
    </row>
    <row r="515" customFormat="false" ht="15" hidden="false" customHeight="true" outlineLevel="0" collapsed="false">
      <c r="A515" s="16"/>
      <c r="B515" s="10"/>
      <c r="C515" s="17" t="str">
        <f aca="false">IF($B515="","",IFERROR(INDEX(품목마스터!$B$3:$B$302,MATCH($B515,품목마스터!$A$3:$A$302,0)),"미등록품번"))</f>
        <v/>
      </c>
      <c r="D515" s="17" t="str">
        <f aca="false">IF($B515="","",IFERROR(INDEX(품목마스터!$D$3:$D$302,MATCH($B515,품목마스터!$A$3:$A$302,0)),""))</f>
        <v/>
      </c>
      <c r="E515" s="12"/>
      <c r="F515" s="10"/>
    </row>
    <row r="516" customFormat="false" ht="15" hidden="false" customHeight="true" outlineLevel="0" collapsed="false">
      <c r="A516" s="16"/>
      <c r="B516" s="10"/>
      <c r="C516" s="17" t="str">
        <f aca="false">IF($B516="","",IFERROR(INDEX(품목마스터!$B$3:$B$302,MATCH($B516,품목마스터!$A$3:$A$302,0)),"미등록품번"))</f>
        <v/>
      </c>
      <c r="D516" s="17" t="str">
        <f aca="false">IF($B516="","",IFERROR(INDEX(품목마스터!$D$3:$D$302,MATCH($B516,품목마스터!$A$3:$A$302,0)),""))</f>
        <v/>
      </c>
      <c r="E516" s="12"/>
      <c r="F516" s="10"/>
    </row>
    <row r="517" customFormat="false" ht="15" hidden="false" customHeight="true" outlineLevel="0" collapsed="false">
      <c r="A517" s="16"/>
      <c r="B517" s="10"/>
      <c r="C517" s="17" t="str">
        <f aca="false">IF($B517="","",IFERROR(INDEX(품목마스터!$B$3:$B$302,MATCH($B517,품목마스터!$A$3:$A$302,0)),"미등록품번"))</f>
        <v/>
      </c>
      <c r="D517" s="17" t="str">
        <f aca="false">IF($B517="","",IFERROR(INDEX(품목마스터!$D$3:$D$302,MATCH($B517,품목마스터!$A$3:$A$302,0)),""))</f>
        <v/>
      </c>
      <c r="E517" s="12"/>
      <c r="F517" s="10"/>
    </row>
    <row r="518" customFormat="false" ht="15" hidden="false" customHeight="true" outlineLevel="0" collapsed="false">
      <c r="A518" s="16"/>
      <c r="B518" s="10"/>
      <c r="C518" s="17" t="str">
        <f aca="false">IF($B518="","",IFERROR(INDEX(품목마스터!$B$3:$B$302,MATCH($B518,품목마스터!$A$3:$A$302,0)),"미등록품번"))</f>
        <v/>
      </c>
      <c r="D518" s="17" t="str">
        <f aca="false">IF($B518="","",IFERROR(INDEX(품목마스터!$D$3:$D$302,MATCH($B518,품목마스터!$A$3:$A$302,0)),""))</f>
        <v/>
      </c>
      <c r="E518" s="12"/>
      <c r="F518" s="10"/>
    </row>
    <row r="519" customFormat="false" ht="15" hidden="false" customHeight="true" outlineLevel="0" collapsed="false">
      <c r="A519" s="16"/>
      <c r="B519" s="10"/>
      <c r="C519" s="17" t="str">
        <f aca="false">IF($B519="","",IFERROR(INDEX(품목마스터!$B$3:$B$302,MATCH($B519,품목마스터!$A$3:$A$302,0)),"미등록품번"))</f>
        <v/>
      </c>
      <c r="D519" s="17" t="str">
        <f aca="false">IF($B519="","",IFERROR(INDEX(품목마스터!$D$3:$D$302,MATCH($B519,품목마스터!$A$3:$A$302,0)),""))</f>
        <v/>
      </c>
      <c r="E519" s="12"/>
      <c r="F519" s="10"/>
    </row>
    <row r="520" customFormat="false" ht="15" hidden="false" customHeight="true" outlineLevel="0" collapsed="false">
      <c r="A520" s="16"/>
      <c r="B520" s="10"/>
      <c r="C520" s="17" t="str">
        <f aca="false">IF($B520="","",IFERROR(INDEX(품목마스터!$B$3:$B$302,MATCH($B520,품목마스터!$A$3:$A$302,0)),"미등록품번"))</f>
        <v/>
      </c>
      <c r="D520" s="17" t="str">
        <f aca="false">IF($B520="","",IFERROR(INDEX(품목마스터!$D$3:$D$302,MATCH($B520,품목마스터!$A$3:$A$302,0)),""))</f>
        <v/>
      </c>
      <c r="E520" s="12"/>
      <c r="F520" s="10"/>
    </row>
    <row r="521" customFormat="false" ht="15" hidden="false" customHeight="true" outlineLevel="0" collapsed="false">
      <c r="A521" s="16"/>
      <c r="B521" s="10"/>
      <c r="C521" s="17" t="str">
        <f aca="false">IF($B521="","",IFERROR(INDEX(품목마스터!$B$3:$B$302,MATCH($B521,품목마스터!$A$3:$A$302,0)),"미등록품번"))</f>
        <v/>
      </c>
      <c r="D521" s="17" t="str">
        <f aca="false">IF($B521="","",IFERROR(INDEX(품목마스터!$D$3:$D$302,MATCH($B521,품목마스터!$A$3:$A$302,0)),""))</f>
        <v/>
      </c>
      <c r="E521" s="12"/>
      <c r="F521" s="10"/>
    </row>
    <row r="522" customFormat="false" ht="15" hidden="false" customHeight="true" outlineLevel="0" collapsed="false">
      <c r="A522" s="16"/>
      <c r="B522" s="10"/>
      <c r="C522" s="17" t="str">
        <f aca="false">IF($B522="","",IFERROR(INDEX(품목마스터!$B$3:$B$302,MATCH($B522,품목마스터!$A$3:$A$302,0)),"미등록품번"))</f>
        <v/>
      </c>
      <c r="D522" s="17" t="str">
        <f aca="false">IF($B522="","",IFERROR(INDEX(품목마스터!$D$3:$D$302,MATCH($B522,품목마스터!$A$3:$A$302,0)),""))</f>
        <v/>
      </c>
      <c r="E522" s="12"/>
      <c r="F522" s="10"/>
    </row>
    <row r="523" customFormat="false" ht="15" hidden="false" customHeight="true" outlineLevel="0" collapsed="false">
      <c r="A523" s="16"/>
      <c r="B523" s="10"/>
      <c r="C523" s="17" t="str">
        <f aca="false">IF($B523="","",IFERROR(INDEX(품목마스터!$B$3:$B$302,MATCH($B523,품목마스터!$A$3:$A$302,0)),"미등록품번"))</f>
        <v/>
      </c>
      <c r="D523" s="17" t="str">
        <f aca="false">IF($B523="","",IFERROR(INDEX(품목마스터!$D$3:$D$302,MATCH($B523,품목마스터!$A$3:$A$302,0)),""))</f>
        <v/>
      </c>
      <c r="E523" s="12"/>
      <c r="F523" s="10"/>
    </row>
    <row r="524" customFormat="false" ht="15" hidden="false" customHeight="true" outlineLevel="0" collapsed="false">
      <c r="A524" s="16"/>
      <c r="B524" s="10"/>
      <c r="C524" s="17" t="str">
        <f aca="false">IF($B524="","",IFERROR(INDEX(품목마스터!$B$3:$B$302,MATCH($B524,품목마스터!$A$3:$A$302,0)),"미등록품번"))</f>
        <v/>
      </c>
      <c r="D524" s="17" t="str">
        <f aca="false">IF($B524="","",IFERROR(INDEX(품목마스터!$D$3:$D$302,MATCH($B524,품목마스터!$A$3:$A$302,0)),""))</f>
        <v/>
      </c>
      <c r="E524" s="12"/>
      <c r="F524" s="10"/>
    </row>
    <row r="525" customFormat="false" ht="15" hidden="false" customHeight="true" outlineLevel="0" collapsed="false">
      <c r="A525" s="16"/>
      <c r="B525" s="10"/>
      <c r="C525" s="17" t="str">
        <f aca="false">IF($B525="","",IFERROR(INDEX(품목마스터!$B$3:$B$302,MATCH($B525,품목마스터!$A$3:$A$302,0)),"미등록품번"))</f>
        <v/>
      </c>
      <c r="D525" s="17" t="str">
        <f aca="false">IF($B525="","",IFERROR(INDEX(품목마스터!$D$3:$D$302,MATCH($B525,품목마스터!$A$3:$A$302,0)),""))</f>
        <v/>
      </c>
      <c r="E525" s="12"/>
      <c r="F525" s="10"/>
    </row>
    <row r="526" customFormat="false" ht="15" hidden="false" customHeight="true" outlineLevel="0" collapsed="false">
      <c r="A526" s="16"/>
      <c r="B526" s="10"/>
      <c r="C526" s="17" t="str">
        <f aca="false">IF($B526="","",IFERROR(INDEX(품목마스터!$B$3:$B$302,MATCH($B526,품목마스터!$A$3:$A$302,0)),"미등록품번"))</f>
        <v/>
      </c>
      <c r="D526" s="17" t="str">
        <f aca="false">IF($B526="","",IFERROR(INDEX(품목마스터!$D$3:$D$302,MATCH($B526,품목마스터!$A$3:$A$302,0)),""))</f>
        <v/>
      </c>
      <c r="E526" s="12"/>
      <c r="F526" s="10"/>
    </row>
    <row r="527" customFormat="false" ht="15" hidden="false" customHeight="true" outlineLevel="0" collapsed="false">
      <c r="A527" s="16"/>
      <c r="B527" s="10"/>
      <c r="C527" s="17" t="str">
        <f aca="false">IF($B527="","",IFERROR(INDEX(품목마스터!$B$3:$B$302,MATCH($B527,품목마스터!$A$3:$A$302,0)),"미등록품번"))</f>
        <v/>
      </c>
      <c r="D527" s="17" t="str">
        <f aca="false">IF($B527="","",IFERROR(INDEX(품목마스터!$D$3:$D$302,MATCH($B527,품목마스터!$A$3:$A$302,0)),""))</f>
        <v/>
      </c>
      <c r="E527" s="12"/>
      <c r="F527" s="10"/>
    </row>
    <row r="528" customFormat="false" ht="15" hidden="false" customHeight="true" outlineLevel="0" collapsed="false">
      <c r="A528" s="16"/>
      <c r="B528" s="10"/>
      <c r="C528" s="17" t="str">
        <f aca="false">IF($B528="","",IFERROR(INDEX(품목마스터!$B$3:$B$302,MATCH($B528,품목마스터!$A$3:$A$302,0)),"미등록품번"))</f>
        <v/>
      </c>
      <c r="D528" s="17" t="str">
        <f aca="false">IF($B528="","",IFERROR(INDEX(품목마스터!$D$3:$D$302,MATCH($B528,품목마스터!$A$3:$A$302,0)),""))</f>
        <v/>
      </c>
      <c r="E528" s="12"/>
      <c r="F528" s="10"/>
    </row>
    <row r="529" customFormat="false" ht="15" hidden="false" customHeight="true" outlineLevel="0" collapsed="false">
      <c r="A529" s="16"/>
      <c r="B529" s="10"/>
      <c r="C529" s="17" t="str">
        <f aca="false">IF($B529="","",IFERROR(INDEX(품목마스터!$B$3:$B$302,MATCH($B529,품목마스터!$A$3:$A$302,0)),"미등록품번"))</f>
        <v/>
      </c>
      <c r="D529" s="17" t="str">
        <f aca="false">IF($B529="","",IFERROR(INDEX(품목마스터!$D$3:$D$302,MATCH($B529,품목마스터!$A$3:$A$302,0)),""))</f>
        <v/>
      </c>
      <c r="E529" s="12"/>
      <c r="F529" s="10"/>
    </row>
    <row r="530" customFormat="false" ht="15" hidden="false" customHeight="true" outlineLevel="0" collapsed="false">
      <c r="A530" s="16"/>
      <c r="B530" s="10"/>
      <c r="C530" s="17" t="str">
        <f aca="false">IF($B530="","",IFERROR(INDEX(품목마스터!$B$3:$B$302,MATCH($B530,품목마스터!$A$3:$A$302,0)),"미등록품번"))</f>
        <v/>
      </c>
      <c r="D530" s="17" t="str">
        <f aca="false">IF($B530="","",IFERROR(INDEX(품목마스터!$D$3:$D$302,MATCH($B530,품목마스터!$A$3:$A$302,0)),""))</f>
        <v/>
      </c>
      <c r="E530" s="12"/>
      <c r="F530" s="10"/>
    </row>
    <row r="531" customFormat="false" ht="15" hidden="false" customHeight="true" outlineLevel="0" collapsed="false">
      <c r="A531" s="16"/>
      <c r="B531" s="10"/>
      <c r="C531" s="17" t="str">
        <f aca="false">IF($B531="","",IFERROR(INDEX(품목마스터!$B$3:$B$302,MATCH($B531,품목마스터!$A$3:$A$302,0)),"미등록품번"))</f>
        <v/>
      </c>
      <c r="D531" s="17" t="str">
        <f aca="false">IF($B531="","",IFERROR(INDEX(품목마스터!$D$3:$D$302,MATCH($B531,품목마스터!$A$3:$A$302,0)),""))</f>
        <v/>
      </c>
      <c r="E531" s="12"/>
      <c r="F531" s="10"/>
    </row>
    <row r="532" customFormat="false" ht="15" hidden="false" customHeight="true" outlineLevel="0" collapsed="false">
      <c r="A532" s="16"/>
      <c r="B532" s="10"/>
      <c r="C532" s="17" t="str">
        <f aca="false">IF($B532="","",IFERROR(INDEX(품목마스터!$B$3:$B$302,MATCH($B532,품목마스터!$A$3:$A$302,0)),"미등록품번"))</f>
        <v/>
      </c>
      <c r="D532" s="17" t="str">
        <f aca="false">IF($B532="","",IFERROR(INDEX(품목마스터!$D$3:$D$302,MATCH($B532,품목마스터!$A$3:$A$302,0)),""))</f>
        <v/>
      </c>
      <c r="E532" s="12"/>
      <c r="F532" s="10"/>
    </row>
    <row r="533" customFormat="false" ht="15" hidden="false" customHeight="true" outlineLevel="0" collapsed="false">
      <c r="A533" s="16"/>
      <c r="B533" s="10"/>
      <c r="C533" s="17" t="str">
        <f aca="false">IF($B533="","",IFERROR(INDEX(품목마스터!$B$3:$B$302,MATCH($B533,품목마스터!$A$3:$A$302,0)),"미등록품번"))</f>
        <v/>
      </c>
      <c r="D533" s="17" t="str">
        <f aca="false">IF($B533="","",IFERROR(INDEX(품목마스터!$D$3:$D$302,MATCH($B533,품목마스터!$A$3:$A$302,0)),""))</f>
        <v/>
      </c>
      <c r="E533" s="12"/>
      <c r="F533" s="10"/>
    </row>
    <row r="534" customFormat="false" ht="15" hidden="false" customHeight="true" outlineLevel="0" collapsed="false">
      <c r="A534" s="16"/>
      <c r="B534" s="10"/>
      <c r="C534" s="17" t="str">
        <f aca="false">IF($B534="","",IFERROR(INDEX(품목마스터!$B$3:$B$302,MATCH($B534,품목마스터!$A$3:$A$302,0)),"미등록품번"))</f>
        <v/>
      </c>
      <c r="D534" s="17" t="str">
        <f aca="false">IF($B534="","",IFERROR(INDEX(품목마스터!$D$3:$D$302,MATCH($B534,품목마스터!$A$3:$A$302,0)),""))</f>
        <v/>
      </c>
      <c r="E534" s="12"/>
      <c r="F534" s="10"/>
    </row>
    <row r="535" customFormat="false" ht="15" hidden="false" customHeight="true" outlineLevel="0" collapsed="false">
      <c r="A535" s="16"/>
      <c r="B535" s="10"/>
      <c r="C535" s="17" t="str">
        <f aca="false">IF($B535="","",IFERROR(INDEX(품목마스터!$B$3:$B$302,MATCH($B535,품목마스터!$A$3:$A$302,0)),"미등록품번"))</f>
        <v/>
      </c>
      <c r="D535" s="17" t="str">
        <f aca="false">IF($B535="","",IFERROR(INDEX(품목마스터!$D$3:$D$302,MATCH($B535,품목마스터!$A$3:$A$302,0)),""))</f>
        <v/>
      </c>
      <c r="E535" s="12"/>
      <c r="F535" s="10"/>
    </row>
    <row r="536" customFormat="false" ht="15" hidden="false" customHeight="true" outlineLevel="0" collapsed="false">
      <c r="A536" s="16"/>
      <c r="B536" s="10"/>
      <c r="C536" s="17" t="str">
        <f aca="false">IF($B536="","",IFERROR(INDEX(품목마스터!$B$3:$B$302,MATCH($B536,품목마스터!$A$3:$A$302,0)),"미등록품번"))</f>
        <v/>
      </c>
      <c r="D536" s="17" t="str">
        <f aca="false">IF($B536="","",IFERROR(INDEX(품목마스터!$D$3:$D$302,MATCH($B536,품목마스터!$A$3:$A$302,0)),""))</f>
        <v/>
      </c>
      <c r="E536" s="12"/>
      <c r="F536" s="10"/>
    </row>
    <row r="537" customFormat="false" ht="15" hidden="false" customHeight="true" outlineLevel="0" collapsed="false">
      <c r="A537" s="16"/>
      <c r="B537" s="10"/>
      <c r="C537" s="17" t="str">
        <f aca="false">IF($B537="","",IFERROR(INDEX(품목마스터!$B$3:$B$302,MATCH($B537,품목마스터!$A$3:$A$302,0)),"미등록품번"))</f>
        <v/>
      </c>
      <c r="D537" s="17" t="str">
        <f aca="false">IF($B537="","",IFERROR(INDEX(품목마스터!$D$3:$D$302,MATCH($B537,품목마스터!$A$3:$A$302,0)),""))</f>
        <v/>
      </c>
      <c r="E537" s="12"/>
      <c r="F537" s="10"/>
    </row>
    <row r="538" customFormat="false" ht="15" hidden="false" customHeight="true" outlineLevel="0" collapsed="false">
      <c r="A538" s="16"/>
      <c r="B538" s="10"/>
      <c r="C538" s="17" t="str">
        <f aca="false">IF($B538="","",IFERROR(INDEX(품목마스터!$B$3:$B$302,MATCH($B538,품목마스터!$A$3:$A$302,0)),"미등록품번"))</f>
        <v/>
      </c>
      <c r="D538" s="17" t="str">
        <f aca="false">IF($B538="","",IFERROR(INDEX(품목마스터!$D$3:$D$302,MATCH($B538,품목마스터!$A$3:$A$302,0)),""))</f>
        <v/>
      </c>
      <c r="E538" s="12"/>
      <c r="F538" s="10"/>
    </row>
    <row r="539" customFormat="false" ht="15" hidden="false" customHeight="true" outlineLevel="0" collapsed="false">
      <c r="A539" s="16"/>
      <c r="B539" s="10"/>
      <c r="C539" s="17" t="str">
        <f aca="false">IF($B539="","",IFERROR(INDEX(품목마스터!$B$3:$B$302,MATCH($B539,품목마스터!$A$3:$A$302,0)),"미등록품번"))</f>
        <v/>
      </c>
      <c r="D539" s="17" t="str">
        <f aca="false">IF($B539="","",IFERROR(INDEX(품목마스터!$D$3:$D$302,MATCH($B539,품목마스터!$A$3:$A$302,0)),""))</f>
        <v/>
      </c>
      <c r="E539" s="12"/>
      <c r="F539" s="10"/>
    </row>
    <row r="540" customFormat="false" ht="15" hidden="false" customHeight="true" outlineLevel="0" collapsed="false">
      <c r="A540" s="16"/>
      <c r="B540" s="10"/>
      <c r="C540" s="17" t="str">
        <f aca="false">IF($B540="","",IFERROR(INDEX(품목마스터!$B$3:$B$302,MATCH($B540,품목마스터!$A$3:$A$302,0)),"미등록품번"))</f>
        <v/>
      </c>
      <c r="D540" s="17" t="str">
        <f aca="false">IF($B540="","",IFERROR(INDEX(품목마스터!$D$3:$D$302,MATCH($B540,품목마스터!$A$3:$A$302,0)),""))</f>
        <v/>
      </c>
      <c r="E540" s="12"/>
      <c r="F540" s="10"/>
    </row>
    <row r="541" customFormat="false" ht="15" hidden="false" customHeight="true" outlineLevel="0" collapsed="false">
      <c r="A541" s="16"/>
      <c r="B541" s="10"/>
      <c r="C541" s="17" t="str">
        <f aca="false">IF($B541="","",IFERROR(INDEX(품목마스터!$B$3:$B$302,MATCH($B541,품목마스터!$A$3:$A$302,0)),"미등록품번"))</f>
        <v/>
      </c>
      <c r="D541" s="17" t="str">
        <f aca="false">IF($B541="","",IFERROR(INDEX(품목마스터!$D$3:$D$302,MATCH($B541,품목마스터!$A$3:$A$302,0)),""))</f>
        <v/>
      </c>
      <c r="E541" s="12"/>
      <c r="F541" s="10"/>
    </row>
    <row r="542" customFormat="false" ht="15" hidden="false" customHeight="true" outlineLevel="0" collapsed="false">
      <c r="A542" s="16"/>
      <c r="B542" s="10"/>
      <c r="C542" s="17" t="str">
        <f aca="false">IF($B542="","",IFERROR(INDEX(품목마스터!$B$3:$B$302,MATCH($B542,품목마스터!$A$3:$A$302,0)),"미등록품번"))</f>
        <v/>
      </c>
      <c r="D542" s="17" t="str">
        <f aca="false">IF($B542="","",IFERROR(INDEX(품목마스터!$D$3:$D$302,MATCH($B542,품목마스터!$A$3:$A$302,0)),""))</f>
        <v/>
      </c>
      <c r="E542" s="12"/>
      <c r="F542" s="10"/>
    </row>
    <row r="543" customFormat="false" ht="15" hidden="false" customHeight="true" outlineLevel="0" collapsed="false">
      <c r="A543" s="16"/>
      <c r="B543" s="10"/>
      <c r="C543" s="17" t="str">
        <f aca="false">IF($B543="","",IFERROR(INDEX(품목마스터!$B$3:$B$302,MATCH($B543,품목마스터!$A$3:$A$302,0)),"미등록품번"))</f>
        <v/>
      </c>
      <c r="D543" s="17" t="str">
        <f aca="false">IF($B543="","",IFERROR(INDEX(품목마스터!$D$3:$D$302,MATCH($B543,품목마스터!$A$3:$A$302,0)),""))</f>
        <v/>
      </c>
      <c r="E543" s="12"/>
      <c r="F543" s="10"/>
    </row>
    <row r="544" customFormat="false" ht="15" hidden="false" customHeight="true" outlineLevel="0" collapsed="false">
      <c r="A544" s="16"/>
      <c r="B544" s="10"/>
      <c r="C544" s="17" t="str">
        <f aca="false">IF($B544="","",IFERROR(INDEX(품목마스터!$B$3:$B$302,MATCH($B544,품목마스터!$A$3:$A$302,0)),"미등록품번"))</f>
        <v/>
      </c>
      <c r="D544" s="17" t="str">
        <f aca="false">IF($B544="","",IFERROR(INDEX(품목마스터!$D$3:$D$302,MATCH($B544,품목마스터!$A$3:$A$302,0)),""))</f>
        <v/>
      </c>
      <c r="E544" s="12"/>
      <c r="F544" s="10"/>
    </row>
    <row r="545" customFormat="false" ht="15" hidden="false" customHeight="true" outlineLevel="0" collapsed="false">
      <c r="A545" s="16"/>
      <c r="B545" s="10"/>
      <c r="C545" s="17" t="str">
        <f aca="false">IF($B545="","",IFERROR(INDEX(품목마스터!$B$3:$B$302,MATCH($B545,품목마스터!$A$3:$A$302,0)),"미등록품번"))</f>
        <v/>
      </c>
      <c r="D545" s="17" t="str">
        <f aca="false">IF($B545="","",IFERROR(INDEX(품목마스터!$D$3:$D$302,MATCH($B545,품목마스터!$A$3:$A$302,0)),""))</f>
        <v/>
      </c>
      <c r="E545" s="12"/>
      <c r="F545" s="10"/>
    </row>
    <row r="546" customFormat="false" ht="15" hidden="false" customHeight="true" outlineLevel="0" collapsed="false">
      <c r="A546" s="16"/>
      <c r="B546" s="10"/>
      <c r="C546" s="17" t="str">
        <f aca="false">IF($B546="","",IFERROR(INDEX(품목마스터!$B$3:$B$302,MATCH($B546,품목마스터!$A$3:$A$302,0)),"미등록품번"))</f>
        <v/>
      </c>
      <c r="D546" s="17" t="str">
        <f aca="false">IF($B546="","",IFERROR(INDEX(품목마스터!$D$3:$D$302,MATCH($B546,품목마스터!$A$3:$A$302,0)),""))</f>
        <v/>
      </c>
      <c r="E546" s="12"/>
      <c r="F546" s="10"/>
    </row>
    <row r="547" customFormat="false" ht="15" hidden="false" customHeight="true" outlineLevel="0" collapsed="false">
      <c r="A547" s="16"/>
      <c r="B547" s="10"/>
      <c r="C547" s="17" t="str">
        <f aca="false">IF($B547="","",IFERROR(INDEX(품목마스터!$B$3:$B$302,MATCH($B547,품목마스터!$A$3:$A$302,0)),"미등록품번"))</f>
        <v/>
      </c>
      <c r="D547" s="17" t="str">
        <f aca="false">IF($B547="","",IFERROR(INDEX(품목마스터!$D$3:$D$302,MATCH($B547,품목마스터!$A$3:$A$302,0)),""))</f>
        <v/>
      </c>
      <c r="E547" s="12"/>
      <c r="F547" s="10"/>
    </row>
    <row r="548" customFormat="false" ht="15" hidden="false" customHeight="true" outlineLevel="0" collapsed="false">
      <c r="A548" s="16"/>
      <c r="B548" s="10"/>
      <c r="C548" s="17" t="str">
        <f aca="false">IF($B548="","",IFERROR(INDEX(품목마스터!$B$3:$B$302,MATCH($B548,품목마스터!$A$3:$A$302,0)),"미등록품번"))</f>
        <v/>
      </c>
      <c r="D548" s="17" t="str">
        <f aca="false">IF($B548="","",IFERROR(INDEX(품목마스터!$D$3:$D$302,MATCH($B548,품목마스터!$A$3:$A$302,0)),""))</f>
        <v/>
      </c>
      <c r="E548" s="12"/>
      <c r="F548" s="10"/>
    </row>
    <row r="549" customFormat="false" ht="15" hidden="false" customHeight="true" outlineLevel="0" collapsed="false">
      <c r="A549" s="16"/>
      <c r="B549" s="10"/>
      <c r="C549" s="17" t="str">
        <f aca="false">IF($B549="","",IFERROR(INDEX(품목마스터!$B$3:$B$302,MATCH($B549,품목마스터!$A$3:$A$302,0)),"미등록품번"))</f>
        <v/>
      </c>
      <c r="D549" s="17" t="str">
        <f aca="false">IF($B549="","",IFERROR(INDEX(품목마스터!$D$3:$D$302,MATCH($B549,품목마스터!$A$3:$A$302,0)),""))</f>
        <v/>
      </c>
      <c r="E549" s="12"/>
      <c r="F549" s="10"/>
    </row>
    <row r="550" customFormat="false" ht="15" hidden="false" customHeight="true" outlineLevel="0" collapsed="false">
      <c r="A550" s="16"/>
      <c r="B550" s="10"/>
      <c r="C550" s="17" t="str">
        <f aca="false">IF($B550="","",IFERROR(INDEX(품목마스터!$B$3:$B$302,MATCH($B550,품목마스터!$A$3:$A$302,0)),"미등록품번"))</f>
        <v/>
      </c>
      <c r="D550" s="17" t="str">
        <f aca="false">IF($B550="","",IFERROR(INDEX(품목마스터!$D$3:$D$302,MATCH($B550,품목마스터!$A$3:$A$302,0)),""))</f>
        <v/>
      </c>
      <c r="E550" s="12"/>
      <c r="F550" s="10"/>
    </row>
    <row r="551" customFormat="false" ht="15" hidden="false" customHeight="true" outlineLevel="0" collapsed="false">
      <c r="A551" s="16"/>
      <c r="B551" s="10"/>
      <c r="C551" s="17" t="str">
        <f aca="false">IF($B551="","",IFERROR(INDEX(품목마스터!$B$3:$B$302,MATCH($B551,품목마스터!$A$3:$A$302,0)),"미등록품번"))</f>
        <v/>
      </c>
      <c r="D551" s="17" t="str">
        <f aca="false">IF($B551="","",IFERROR(INDEX(품목마스터!$D$3:$D$302,MATCH($B551,품목마스터!$A$3:$A$302,0)),""))</f>
        <v/>
      </c>
      <c r="E551" s="12"/>
      <c r="F551" s="10"/>
    </row>
    <row r="552" customFormat="false" ht="15" hidden="false" customHeight="true" outlineLevel="0" collapsed="false">
      <c r="A552" s="16"/>
      <c r="B552" s="10"/>
      <c r="C552" s="17" t="str">
        <f aca="false">IF($B552="","",IFERROR(INDEX(품목마스터!$B$3:$B$302,MATCH($B552,품목마스터!$A$3:$A$302,0)),"미등록품번"))</f>
        <v/>
      </c>
      <c r="D552" s="17" t="str">
        <f aca="false">IF($B552="","",IFERROR(INDEX(품목마스터!$D$3:$D$302,MATCH($B552,품목마스터!$A$3:$A$302,0)),""))</f>
        <v/>
      </c>
      <c r="E552" s="12"/>
      <c r="F552" s="10"/>
    </row>
    <row r="553" customFormat="false" ht="15" hidden="false" customHeight="true" outlineLevel="0" collapsed="false">
      <c r="A553" s="16"/>
      <c r="B553" s="10"/>
      <c r="C553" s="17" t="str">
        <f aca="false">IF($B553="","",IFERROR(INDEX(품목마스터!$B$3:$B$302,MATCH($B553,품목마스터!$A$3:$A$302,0)),"미등록품번"))</f>
        <v/>
      </c>
      <c r="D553" s="17" t="str">
        <f aca="false">IF($B553="","",IFERROR(INDEX(품목마스터!$D$3:$D$302,MATCH($B553,품목마스터!$A$3:$A$302,0)),""))</f>
        <v/>
      </c>
      <c r="E553" s="12"/>
      <c r="F553" s="10"/>
    </row>
    <row r="554" customFormat="false" ht="15" hidden="false" customHeight="true" outlineLevel="0" collapsed="false">
      <c r="A554" s="16"/>
      <c r="B554" s="10"/>
      <c r="C554" s="17" t="str">
        <f aca="false">IF($B554="","",IFERROR(INDEX(품목마스터!$B$3:$B$302,MATCH($B554,품목마스터!$A$3:$A$302,0)),"미등록품번"))</f>
        <v/>
      </c>
      <c r="D554" s="17" t="str">
        <f aca="false">IF($B554="","",IFERROR(INDEX(품목마스터!$D$3:$D$302,MATCH($B554,품목마스터!$A$3:$A$302,0)),""))</f>
        <v/>
      </c>
      <c r="E554" s="12"/>
      <c r="F554" s="10"/>
    </row>
    <row r="555" customFormat="false" ht="15" hidden="false" customHeight="true" outlineLevel="0" collapsed="false">
      <c r="A555" s="16"/>
      <c r="B555" s="10"/>
      <c r="C555" s="17" t="str">
        <f aca="false">IF($B555="","",IFERROR(INDEX(품목마스터!$B$3:$B$302,MATCH($B555,품목마스터!$A$3:$A$302,0)),"미등록품번"))</f>
        <v/>
      </c>
      <c r="D555" s="17" t="str">
        <f aca="false">IF($B555="","",IFERROR(INDEX(품목마스터!$D$3:$D$302,MATCH($B555,품목마스터!$A$3:$A$302,0)),""))</f>
        <v/>
      </c>
      <c r="E555" s="12"/>
      <c r="F555" s="10"/>
    </row>
    <row r="556" customFormat="false" ht="15" hidden="false" customHeight="true" outlineLevel="0" collapsed="false">
      <c r="A556" s="16"/>
      <c r="B556" s="10"/>
      <c r="C556" s="17" t="str">
        <f aca="false">IF($B556="","",IFERROR(INDEX(품목마스터!$B$3:$B$302,MATCH($B556,품목마스터!$A$3:$A$302,0)),"미등록품번"))</f>
        <v/>
      </c>
      <c r="D556" s="17" t="str">
        <f aca="false">IF($B556="","",IFERROR(INDEX(품목마스터!$D$3:$D$302,MATCH($B556,품목마스터!$A$3:$A$302,0)),""))</f>
        <v/>
      </c>
      <c r="E556" s="12"/>
      <c r="F556" s="10"/>
    </row>
    <row r="557" customFormat="false" ht="15" hidden="false" customHeight="true" outlineLevel="0" collapsed="false">
      <c r="A557" s="16"/>
      <c r="B557" s="10"/>
      <c r="C557" s="17" t="str">
        <f aca="false">IF($B557="","",IFERROR(INDEX(품목마스터!$B$3:$B$302,MATCH($B557,품목마스터!$A$3:$A$302,0)),"미등록품번"))</f>
        <v/>
      </c>
      <c r="D557" s="17" t="str">
        <f aca="false">IF($B557="","",IFERROR(INDEX(품목마스터!$D$3:$D$302,MATCH($B557,품목마스터!$A$3:$A$302,0)),""))</f>
        <v/>
      </c>
      <c r="E557" s="12"/>
      <c r="F557" s="10"/>
    </row>
    <row r="558" customFormat="false" ht="15" hidden="false" customHeight="true" outlineLevel="0" collapsed="false">
      <c r="A558" s="16"/>
      <c r="B558" s="10"/>
      <c r="C558" s="17" t="str">
        <f aca="false">IF($B558="","",IFERROR(INDEX(품목마스터!$B$3:$B$302,MATCH($B558,품목마스터!$A$3:$A$302,0)),"미등록품번"))</f>
        <v/>
      </c>
      <c r="D558" s="17" t="str">
        <f aca="false">IF($B558="","",IFERROR(INDEX(품목마스터!$D$3:$D$302,MATCH($B558,품목마스터!$A$3:$A$302,0)),""))</f>
        <v/>
      </c>
      <c r="E558" s="12"/>
      <c r="F558" s="10"/>
    </row>
    <row r="559" customFormat="false" ht="15" hidden="false" customHeight="true" outlineLevel="0" collapsed="false">
      <c r="A559" s="16"/>
      <c r="B559" s="10"/>
      <c r="C559" s="17" t="str">
        <f aca="false">IF($B559="","",IFERROR(INDEX(품목마스터!$B$3:$B$302,MATCH($B559,품목마스터!$A$3:$A$302,0)),"미등록품번"))</f>
        <v/>
      </c>
      <c r="D559" s="17" t="str">
        <f aca="false">IF($B559="","",IFERROR(INDEX(품목마스터!$D$3:$D$302,MATCH($B559,품목마스터!$A$3:$A$302,0)),""))</f>
        <v/>
      </c>
      <c r="E559" s="12"/>
      <c r="F559" s="10"/>
    </row>
    <row r="560" customFormat="false" ht="15" hidden="false" customHeight="true" outlineLevel="0" collapsed="false">
      <c r="A560" s="16"/>
      <c r="B560" s="10"/>
      <c r="C560" s="17" t="str">
        <f aca="false">IF($B560="","",IFERROR(INDEX(품목마스터!$B$3:$B$302,MATCH($B560,품목마스터!$A$3:$A$302,0)),"미등록품번"))</f>
        <v/>
      </c>
      <c r="D560" s="17" t="str">
        <f aca="false">IF($B560="","",IFERROR(INDEX(품목마스터!$D$3:$D$302,MATCH($B560,품목마스터!$A$3:$A$302,0)),""))</f>
        <v/>
      </c>
      <c r="E560" s="12"/>
      <c r="F560" s="10"/>
    </row>
    <row r="561" customFormat="false" ht="15" hidden="false" customHeight="true" outlineLevel="0" collapsed="false">
      <c r="A561" s="16"/>
      <c r="B561" s="10"/>
      <c r="C561" s="17" t="str">
        <f aca="false">IF($B561="","",IFERROR(INDEX(품목마스터!$B$3:$B$302,MATCH($B561,품목마스터!$A$3:$A$302,0)),"미등록품번"))</f>
        <v/>
      </c>
      <c r="D561" s="17" t="str">
        <f aca="false">IF($B561="","",IFERROR(INDEX(품목마스터!$D$3:$D$302,MATCH($B561,품목마스터!$A$3:$A$302,0)),""))</f>
        <v/>
      </c>
      <c r="E561" s="12"/>
      <c r="F561" s="10"/>
    </row>
    <row r="562" customFormat="false" ht="15" hidden="false" customHeight="true" outlineLevel="0" collapsed="false">
      <c r="A562" s="16"/>
      <c r="B562" s="10"/>
      <c r="C562" s="17" t="str">
        <f aca="false">IF($B562="","",IFERROR(INDEX(품목마스터!$B$3:$B$302,MATCH($B562,품목마스터!$A$3:$A$302,0)),"미등록품번"))</f>
        <v/>
      </c>
      <c r="D562" s="17" t="str">
        <f aca="false">IF($B562="","",IFERROR(INDEX(품목마스터!$D$3:$D$302,MATCH($B562,품목마스터!$A$3:$A$302,0)),""))</f>
        <v/>
      </c>
      <c r="E562" s="12"/>
      <c r="F562" s="10"/>
    </row>
    <row r="563" customFormat="false" ht="15" hidden="false" customHeight="true" outlineLevel="0" collapsed="false">
      <c r="A563" s="16"/>
      <c r="B563" s="10"/>
      <c r="C563" s="17" t="str">
        <f aca="false">IF($B563="","",IFERROR(INDEX(품목마스터!$B$3:$B$302,MATCH($B563,품목마스터!$A$3:$A$302,0)),"미등록품번"))</f>
        <v/>
      </c>
      <c r="D563" s="17" t="str">
        <f aca="false">IF($B563="","",IFERROR(INDEX(품목마스터!$D$3:$D$302,MATCH($B563,품목마스터!$A$3:$A$302,0)),""))</f>
        <v/>
      </c>
      <c r="E563" s="12"/>
      <c r="F563" s="10"/>
    </row>
    <row r="564" customFormat="false" ht="15" hidden="false" customHeight="true" outlineLevel="0" collapsed="false">
      <c r="A564" s="16"/>
      <c r="B564" s="10"/>
      <c r="C564" s="17" t="str">
        <f aca="false">IF($B564="","",IFERROR(INDEX(품목마스터!$B$3:$B$302,MATCH($B564,품목마스터!$A$3:$A$302,0)),"미등록품번"))</f>
        <v/>
      </c>
      <c r="D564" s="17" t="str">
        <f aca="false">IF($B564="","",IFERROR(INDEX(품목마스터!$D$3:$D$302,MATCH($B564,품목마스터!$A$3:$A$302,0)),""))</f>
        <v/>
      </c>
      <c r="E564" s="12"/>
      <c r="F564" s="10"/>
    </row>
    <row r="565" customFormat="false" ht="15" hidden="false" customHeight="true" outlineLevel="0" collapsed="false">
      <c r="A565" s="16"/>
      <c r="B565" s="10"/>
      <c r="C565" s="17" t="str">
        <f aca="false">IF($B565="","",IFERROR(INDEX(품목마스터!$B$3:$B$302,MATCH($B565,품목마스터!$A$3:$A$302,0)),"미등록품번"))</f>
        <v/>
      </c>
      <c r="D565" s="17" t="str">
        <f aca="false">IF($B565="","",IFERROR(INDEX(품목마스터!$D$3:$D$302,MATCH($B565,품목마스터!$A$3:$A$302,0)),""))</f>
        <v/>
      </c>
      <c r="E565" s="12"/>
      <c r="F565" s="10"/>
    </row>
    <row r="566" customFormat="false" ht="15" hidden="false" customHeight="true" outlineLevel="0" collapsed="false">
      <c r="A566" s="16"/>
      <c r="B566" s="10"/>
      <c r="C566" s="17" t="str">
        <f aca="false">IF($B566="","",IFERROR(INDEX(품목마스터!$B$3:$B$302,MATCH($B566,품목마스터!$A$3:$A$302,0)),"미등록품번"))</f>
        <v/>
      </c>
      <c r="D566" s="17" t="str">
        <f aca="false">IF($B566="","",IFERROR(INDEX(품목마스터!$D$3:$D$302,MATCH($B566,품목마스터!$A$3:$A$302,0)),""))</f>
        <v/>
      </c>
      <c r="E566" s="12"/>
      <c r="F566" s="10"/>
    </row>
    <row r="567" customFormat="false" ht="15" hidden="false" customHeight="true" outlineLevel="0" collapsed="false">
      <c r="A567" s="16"/>
      <c r="B567" s="10"/>
      <c r="C567" s="17" t="str">
        <f aca="false">IF($B567="","",IFERROR(INDEX(품목마스터!$B$3:$B$302,MATCH($B567,품목마스터!$A$3:$A$302,0)),"미등록품번"))</f>
        <v/>
      </c>
      <c r="D567" s="17" t="str">
        <f aca="false">IF($B567="","",IFERROR(INDEX(품목마스터!$D$3:$D$302,MATCH($B567,품목마스터!$A$3:$A$302,0)),""))</f>
        <v/>
      </c>
      <c r="E567" s="12"/>
      <c r="F567" s="10"/>
    </row>
    <row r="568" customFormat="false" ht="15" hidden="false" customHeight="true" outlineLevel="0" collapsed="false">
      <c r="A568" s="16"/>
      <c r="B568" s="10"/>
      <c r="C568" s="17" t="str">
        <f aca="false">IF($B568="","",IFERROR(INDEX(품목마스터!$B$3:$B$302,MATCH($B568,품목마스터!$A$3:$A$302,0)),"미등록품번"))</f>
        <v/>
      </c>
      <c r="D568" s="17" t="str">
        <f aca="false">IF($B568="","",IFERROR(INDEX(품목마스터!$D$3:$D$302,MATCH($B568,품목마스터!$A$3:$A$302,0)),""))</f>
        <v/>
      </c>
      <c r="E568" s="12"/>
      <c r="F568" s="10"/>
    </row>
    <row r="569" customFormat="false" ht="15" hidden="false" customHeight="true" outlineLevel="0" collapsed="false">
      <c r="A569" s="16"/>
      <c r="B569" s="10"/>
      <c r="C569" s="17" t="str">
        <f aca="false">IF($B569="","",IFERROR(INDEX(품목마스터!$B$3:$B$302,MATCH($B569,품목마스터!$A$3:$A$302,0)),"미등록품번"))</f>
        <v/>
      </c>
      <c r="D569" s="17" t="str">
        <f aca="false">IF($B569="","",IFERROR(INDEX(품목마스터!$D$3:$D$302,MATCH($B569,품목마스터!$A$3:$A$302,0)),""))</f>
        <v/>
      </c>
      <c r="E569" s="12"/>
      <c r="F569" s="10"/>
    </row>
    <row r="570" customFormat="false" ht="15" hidden="false" customHeight="true" outlineLevel="0" collapsed="false">
      <c r="A570" s="16"/>
      <c r="B570" s="10"/>
      <c r="C570" s="17" t="str">
        <f aca="false">IF($B570="","",IFERROR(INDEX(품목마스터!$B$3:$B$302,MATCH($B570,품목마스터!$A$3:$A$302,0)),"미등록품번"))</f>
        <v/>
      </c>
      <c r="D570" s="17" t="str">
        <f aca="false">IF($B570="","",IFERROR(INDEX(품목마스터!$D$3:$D$302,MATCH($B570,품목마스터!$A$3:$A$302,0)),""))</f>
        <v/>
      </c>
      <c r="E570" s="12"/>
      <c r="F570" s="10"/>
    </row>
    <row r="571" customFormat="false" ht="15" hidden="false" customHeight="true" outlineLevel="0" collapsed="false">
      <c r="A571" s="16"/>
      <c r="B571" s="10"/>
      <c r="C571" s="17" t="str">
        <f aca="false">IF($B571="","",IFERROR(INDEX(품목마스터!$B$3:$B$302,MATCH($B571,품목마스터!$A$3:$A$302,0)),"미등록품번"))</f>
        <v/>
      </c>
      <c r="D571" s="17" t="str">
        <f aca="false">IF($B571="","",IFERROR(INDEX(품목마스터!$D$3:$D$302,MATCH($B571,품목마스터!$A$3:$A$302,0)),""))</f>
        <v/>
      </c>
      <c r="E571" s="12"/>
      <c r="F571" s="10"/>
    </row>
    <row r="572" customFormat="false" ht="15" hidden="false" customHeight="true" outlineLevel="0" collapsed="false">
      <c r="A572" s="16"/>
      <c r="B572" s="10"/>
      <c r="C572" s="17" t="str">
        <f aca="false">IF($B572="","",IFERROR(INDEX(품목마스터!$B$3:$B$302,MATCH($B572,품목마스터!$A$3:$A$302,0)),"미등록품번"))</f>
        <v/>
      </c>
      <c r="D572" s="17" t="str">
        <f aca="false">IF($B572="","",IFERROR(INDEX(품목마스터!$D$3:$D$302,MATCH($B572,품목마스터!$A$3:$A$302,0)),""))</f>
        <v/>
      </c>
      <c r="E572" s="12"/>
      <c r="F572" s="10"/>
    </row>
    <row r="573" customFormat="false" ht="15" hidden="false" customHeight="true" outlineLevel="0" collapsed="false">
      <c r="A573" s="16"/>
      <c r="B573" s="10"/>
      <c r="C573" s="17" t="str">
        <f aca="false">IF($B573="","",IFERROR(INDEX(품목마스터!$B$3:$B$302,MATCH($B573,품목마스터!$A$3:$A$302,0)),"미등록품번"))</f>
        <v/>
      </c>
      <c r="D573" s="17" t="str">
        <f aca="false">IF($B573="","",IFERROR(INDEX(품목마스터!$D$3:$D$302,MATCH($B573,품목마스터!$A$3:$A$302,0)),""))</f>
        <v/>
      </c>
      <c r="E573" s="12"/>
      <c r="F573" s="10"/>
    </row>
    <row r="574" customFormat="false" ht="15" hidden="false" customHeight="true" outlineLevel="0" collapsed="false">
      <c r="A574" s="16"/>
      <c r="B574" s="10"/>
      <c r="C574" s="17" t="str">
        <f aca="false">IF($B574="","",IFERROR(INDEX(품목마스터!$B$3:$B$302,MATCH($B574,품목마스터!$A$3:$A$302,0)),"미등록품번"))</f>
        <v/>
      </c>
      <c r="D574" s="17" t="str">
        <f aca="false">IF($B574="","",IFERROR(INDEX(품목마스터!$D$3:$D$302,MATCH($B574,품목마스터!$A$3:$A$302,0)),""))</f>
        <v/>
      </c>
      <c r="E574" s="12"/>
      <c r="F574" s="10"/>
    </row>
    <row r="575" customFormat="false" ht="15" hidden="false" customHeight="true" outlineLevel="0" collapsed="false">
      <c r="A575" s="16"/>
      <c r="B575" s="10"/>
      <c r="C575" s="17" t="str">
        <f aca="false">IF($B575="","",IFERROR(INDEX(품목마스터!$B$3:$B$302,MATCH($B575,품목마스터!$A$3:$A$302,0)),"미등록품번"))</f>
        <v/>
      </c>
      <c r="D575" s="17" t="str">
        <f aca="false">IF($B575="","",IFERROR(INDEX(품목마스터!$D$3:$D$302,MATCH($B575,품목마스터!$A$3:$A$302,0)),""))</f>
        <v/>
      </c>
      <c r="E575" s="12"/>
      <c r="F575" s="10"/>
    </row>
    <row r="576" customFormat="false" ht="15" hidden="false" customHeight="true" outlineLevel="0" collapsed="false">
      <c r="A576" s="16"/>
      <c r="B576" s="10"/>
      <c r="C576" s="17" t="str">
        <f aca="false">IF($B576="","",IFERROR(INDEX(품목마스터!$B$3:$B$302,MATCH($B576,품목마스터!$A$3:$A$302,0)),"미등록품번"))</f>
        <v/>
      </c>
      <c r="D576" s="17" t="str">
        <f aca="false">IF($B576="","",IFERROR(INDEX(품목마스터!$D$3:$D$302,MATCH($B576,품목마스터!$A$3:$A$302,0)),""))</f>
        <v/>
      </c>
      <c r="E576" s="12"/>
      <c r="F576" s="10"/>
    </row>
    <row r="577" customFormat="false" ht="15" hidden="false" customHeight="true" outlineLevel="0" collapsed="false">
      <c r="A577" s="16"/>
      <c r="B577" s="10"/>
      <c r="C577" s="17" t="str">
        <f aca="false">IF($B577="","",IFERROR(INDEX(품목마스터!$B$3:$B$302,MATCH($B577,품목마스터!$A$3:$A$302,0)),"미등록품번"))</f>
        <v/>
      </c>
      <c r="D577" s="17" t="str">
        <f aca="false">IF($B577="","",IFERROR(INDEX(품목마스터!$D$3:$D$302,MATCH($B577,품목마스터!$A$3:$A$302,0)),""))</f>
        <v/>
      </c>
      <c r="E577" s="12"/>
      <c r="F577" s="10"/>
    </row>
    <row r="578" customFormat="false" ht="15" hidden="false" customHeight="true" outlineLevel="0" collapsed="false">
      <c r="A578" s="16"/>
      <c r="B578" s="10"/>
      <c r="C578" s="17" t="str">
        <f aca="false">IF($B578="","",IFERROR(INDEX(품목마스터!$B$3:$B$302,MATCH($B578,품목마스터!$A$3:$A$302,0)),"미등록품번"))</f>
        <v/>
      </c>
      <c r="D578" s="17" t="str">
        <f aca="false">IF($B578="","",IFERROR(INDEX(품목마스터!$D$3:$D$302,MATCH($B578,품목마스터!$A$3:$A$302,0)),""))</f>
        <v/>
      </c>
      <c r="E578" s="12"/>
      <c r="F578" s="10"/>
    </row>
    <row r="579" customFormat="false" ht="15" hidden="false" customHeight="true" outlineLevel="0" collapsed="false">
      <c r="A579" s="16"/>
      <c r="B579" s="10"/>
      <c r="C579" s="17" t="str">
        <f aca="false">IF($B579="","",IFERROR(INDEX(품목마스터!$B$3:$B$302,MATCH($B579,품목마스터!$A$3:$A$302,0)),"미등록품번"))</f>
        <v/>
      </c>
      <c r="D579" s="17" t="str">
        <f aca="false">IF($B579="","",IFERROR(INDEX(품목마스터!$D$3:$D$302,MATCH($B579,품목마스터!$A$3:$A$302,0)),""))</f>
        <v/>
      </c>
      <c r="E579" s="12"/>
      <c r="F579" s="10"/>
    </row>
    <row r="580" customFormat="false" ht="15" hidden="false" customHeight="true" outlineLevel="0" collapsed="false">
      <c r="A580" s="16"/>
      <c r="B580" s="10"/>
      <c r="C580" s="17" t="str">
        <f aca="false">IF($B580="","",IFERROR(INDEX(품목마스터!$B$3:$B$302,MATCH($B580,품목마스터!$A$3:$A$302,0)),"미등록품번"))</f>
        <v/>
      </c>
      <c r="D580" s="17" t="str">
        <f aca="false">IF($B580="","",IFERROR(INDEX(품목마스터!$D$3:$D$302,MATCH($B580,품목마스터!$A$3:$A$302,0)),""))</f>
        <v/>
      </c>
      <c r="E580" s="12"/>
      <c r="F580" s="10"/>
    </row>
    <row r="581" customFormat="false" ht="15" hidden="false" customHeight="true" outlineLevel="0" collapsed="false">
      <c r="A581" s="16"/>
      <c r="B581" s="10"/>
      <c r="C581" s="17" t="str">
        <f aca="false">IF($B581="","",IFERROR(INDEX(품목마스터!$B$3:$B$302,MATCH($B581,품목마스터!$A$3:$A$302,0)),"미등록품번"))</f>
        <v/>
      </c>
      <c r="D581" s="17" t="str">
        <f aca="false">IF($B581="","",IFERROR(INDEX(품목마스터!$D$3:$D$302,MATCH($B581,품목마스터!$A$3:$A$302,0)),""))</f>
        <v/>
      </c>
      <c r="E581" s="12"/>
      <c r="F581" s="10"/>
    </row>
    <row r="582" customFormat="false" ht="15" hidden="false" customHeight="true" outlineLevel="0" collapsed="false">
      <c r="A582" s="16"/>
      <c r="B582" s="10"/>
      <c r="C582" s="17" t="str">
        <f aca="false">IF($B582="","",IFERROR(INDEX(품목마스터!$B$3:$B$302,MATCH($B582,품목마스터!$A$3:$A$302,0)),"미등록품번"))</f>
        <v/>
      </c>
      <c r="D582" s="17" t="str">
        <f aca="false">IF($B582="","",IFERROR(INDEX(품목마스터!$D$3:$D$302,MATCH($B582,품목마스터!$A$3:$A$302,0)),""))</f>
        <v/>
      </c>
      <c r="E582" s="12"/>
      <c r="F582" s="10"/>
    </row>
    <row r="583" customFormat="false" ht="15" hidden="false" customHeight="true" outlineLevel="0" collapsed="false">
      <c r="A583" s="16"/>
      <c r="B583" s="10"/>
      <c r="C583" s="17" t="str">
        <f aca="false">IF($B583="","",IFERROR(INDEX(품목마스터!$B$3:$B$302,MATCH($B583,품목마스터!$A$3:$A$302,0)),"미등록품번"))</f>
        <v/>
      </c>
      <c r="D583" s="17" t="str">
        <f aca="false">IF($B583="","",IFERROR(INDEX(품목마스터!$D$3:$D$302,MATCH($B583,품목마스터!$A$3:$A$302,0)),""))</f>
        <v/>
      </c>
      <c r="E583" s="12"/>
      <c r="F583" s="10"/>
    </row>
    <row r="584" customFormat="false" ht="15" hidden="false" customHeight="true" outlineLevel="0" collapsed="false">
      <c r="A584" s="16"/>
      <c r="B584" s="10"/>
      <c r="C584" s="17" t="str">
        <f aca="false">IF($B584="","",IFERROR(INDEX(품목마스터!$B$3:$B$302,MATCH($B584,품목마스터!$A$3:$A$302,0)),"미등록품번"))</f>
        <v/>
      </c>
      <c r="D584" s="17" t="str">
        <f aca="false">IF($B584="","",IFERROR(INDEX(품목마스터!$D$3:$D$302,MATCH($B584,품목마스터!$A$3:$A$302,0)),""))</f>
        <v/>
      </c>
      <c r="E584" s="12"/>
      <c r="F584" s="10"/>
    </row>
    <row r="585" customFormat="false" ht="15" hidden="false" customHeight="true" outlineLevel="0" collapsed="false">
      <c r="A585" s="16"/>
      <c r="B585" s="10"/>
      <c r="C585" s="17" t="str">
        <f aca="false">IF($B585="","",IFERROR(INDEX(품목마스터!$B$3:$B$302,MATCH($B585,품목마스터!$A$3:$A$302,0)),"미등록품번"))</f>
        <v/>
      </c>
      <c r="D585" s="17" t="str">
        <f aca="false">IF($B585="","",IFERROR(INDEX(품목마스터!$D$3:$D$302,MATCH($B585,품목마스터!$A$3:$A$302,0)),""))</f>
        <v/>
      </c>
      <c r="E585" s="12"/>
      <c r="F585" s="10"/>
    </row>
    <row r="586" customFormat="false" ht="15" hidden="false" customHeight="true" outlineLevel="0" collapsed="false">
      <c r="A586" s="16"/>
      <c r="B586" s="10"/>
      <c r="C586" s="17" t="str">
        <f aca="false">IF($B586="","",IFERROR(INDEX(품목마스터!$B$3:$B$302,MATCH($B586,품목마스터!$A$3:$A$302,0)),"미등록품번"))</f>
        <v/>
      </c>
      <c r="D586" s="17" t="str">
        <f aca="false">IF($B586="","",IFERROR(INDEX(품목마스터!$D$3:$D$302,MATCH($B586,품목마스터!$A$3:$A$302,0)),""))</f>
        <v/>
      </c>
      <c r="E586" s="12"/>
      <c r="F586" s="10"/>
    </row>
    <row r="587" customFormat="false" ht="15" hidden="false" customHeight="true" outlineLevel="0" collapsed="false">
      <c r="A587" s="16"/>
      <c r="B587" s="10"/>
      <c r="C587" s="17" t="str">
        <f aca="false">IF($B587="","",IFERROR(INDEX(품목마스터!$B$3:$B$302,MATCH($B587,품목마스터!$A$3:$A$302,0)),"미등록품번"))</f>
        <v/>
      </c>
      <c r="D587" s="17" t="str">
        <f aca="false">IF($B587="","",IFERROR(INDEX(품목마스터!$D$3:$D$302,MATCH($B587,품목마스터!$A$3:$A$302,0)),""))</f>
        <v/>
      </c>
      <c r="E587" s="12"/>
      <c r="F587" s="10"/>
    </row>
    <row r="588" customFormat="false" ht="15" hidden="false" customHeight="true" outlineLevel="0" collapsed="false">
      <c r="A588" s="16"/>
      <c r="B588" s="10"/>
      <c r="C588" s="17" t="str">
        <f aca="false">IF($B588="","",IFERROR(INDEX(품목마스터!$B$3:$B$302,MATCH($B588,품목마스터!$A$3:$A$302,0)),"미등록품번"))</f>
        <v/>
      </c>
      <c r="D588" s="17" t="str">
        <f aca="false">IF($B588="","",IFERROR(INDEX(품목마스터!$D$3:$D$302,MATCH($B588,품목마스터!$A$3:$A$302,0)),""))</f>
        <v/>
      </c>
      <c r="E588" s="12"/>
      <c r="F588" s="10"/>
    </row>
    <row r="589" customFormat="false" ht="15" hidden="false" customHeight="true" outlineLevel="0" collapsed="false">
      <c r="A589" s="16"/>
      <c r="B589" s="10"/>
      <c r="C589" s="17" t="str">
        <f aca="false">IF($B589="","",IFERROR(INDEX(품목마스터!$B$3:$B$302,MATCH($B589,품목마스터!$A$3:$A$302,0)),"미등록품번"))</f>
        <v/>
      </c>
      <c r="D589" s="17" t="str">
        <f aca="false">IF($B589="","",IFERROR(INDEX(품목마스터!$D$3:$D$302,MATCH($B589,품목마스터!$A$3:$A$302,0)),""))</f>
        <v/>
      </c>
      <c r="E589" s="12"/>
      <c r="F589" s="10"/>
    </row>
    <row r="590" customFormat="false" ht="15" hidden="false" customHeight="true" outlineLevel="0" collapsed="false">
      <c r="A590" s="16"/>
      <c r="B590" s="10"/>
      <c r="C590" s="17" t="str">
        <f aca="false">IF($B590="","",IFERROR(INDEX(품목마스터!$B$3:$B$302,MATCH($B590,품목마스터!$A$3:$A$302,0)),"미등록품번"))</f>
        <v/>
      </c>
      <c r="D590" s="17" t="str">
        <f aca="false">IF($B590="","",IFERROR(INDEX(품목마스터!$D$3:$D$302,MATCH($B590,품목마스터!$A$3:$A$302,0)),""))</f>
        <v/>
      </c>
      <c r="E590" s="12"/>
      <c r="F590" s="10"/>
    </row>
    <row r="591" customFormat="false" ht="15" hidden="false" customHeight="true" outlineLevel="0" collapsed="false">
      <c r="A591" s="16"/>
      <c r="B591" s="10"/>
      <c r="C591" s="17" t="str">
        <f aca="false">IF($B591="","",IFERROR(INDEX(품목마스터!$B$3:$B$302,MATCH($B591,품목마스터!$A$3:$A$302,0)),"미등록품번"))</f>
        <v/>
      </c>
      <c r="D591" s="17" t="str">
        <f aca="false">IF($B591="","",IFERROR(INDEX(품목마스터!$D$3:$D$302,MATCH($B591,품목마스터!$A$3:$A$302,0)),""))</f>
        <v/>
      </c>
      <c r="E591" s="12"/>
      <c r="F591" s="10"/>
    </row>
    <row r="592" customFormat="false" ht="15" hidden="false" customHeight="true" outlineLevel="0" collapsed="false">
      <c r="A592" s="16"/>
      <c r="B592" s="10"/>
      <c r="C592" s="17" t="str">
        <f aca="false">IF($B592="","",IFERROR(INDEX(품목마스터!$B$3:$B$302,MATCH($B592,품목마스터!$A$3:$A$302,0)),"미등록품번"))</f>
        <v/>
      </c>
      <c r="D592" s="17" t="str">
        <f aca="false">IF($B592="","",IFERROR(INDEX(품목마스터!$D$3:$D$302,MATCH($B592,품목마스터!$A$3:$A$302,0)),""))</f>
        <v/>
      </c>
      <c r="E592" s="12"/>
      <c r="F592" s="10"/>
    </row>
    <row r="593" customFormat="false" ht="15" hidden="false" customHeight="true" outlineLevel="0" collapsed="false">
      <c r="A593" s="16"/>
      <c r="B593" s="10"/>
      <c r="C593" s="17" t="str">
        <f aca="false">IF($B593="","",IFERROR(INDEX(품목마스터!$B$3:$B$302,MATCH($B593,품목마스터!$A$3:$A$302,0)),"미등록품번"))</f>
        <v/>
      </c>
      <c r="D593" s="17" t="str">
        <f aca="false">IF($B593="","",IFERROR(INDEX(품목마스터!$D$3:$D$302,MATCH($B593,품목마스터!$A$3:$A$302,0)),""))</f>
        <v/>
      </c>
      <c r="E593" s="12"/>
      <c r="F593" s="10"/>
    </row>
    <row r="594" customFormat="false" ht="15" hidden="false" customHeight="true" outlineLevel="0" collapsed="false">
      <c r="A594" s="16"/>
      <c r="B594" s="10"/>
      <c r="C594" s="17" t="str">
        <f aca="false">IF($B594="","",IFERROR(INDEX(품목마스터!$B$3:$B$302,MATCH($B594,품목마스터!$A$3:$A$302,0)),"미등록품번"))</f>
        <v/>
      </c>
      <c r="D594" s="17" t="str">
        <f aca="false">IF($B594="","",IFERROR(INDEX(품목마스터!$D$3:$D$302,MATCH($B594,품목마스터!$A$3:$A$302,0)),""))</f>
        <v/>
      </c>
      <c r="E594" s="12"/>
      <c r="F594" s="10"/>
    </row>
    <row r="595" customFormat="false" ht="15" hidden="false" customHeight="true" outlineLevel="0" collapsed="false">
      <c r="A595" s="16"/>
      <c r="B595" s="10"/>
      <c r="C595" s="17" t="str">
        <f aca="false">IF($B595="","",IFERROR(INDEX(품목마스터!$B$3:$B$302,MATCH($B595,품목마스터!$A$3:$A$302,0)),"미등록품번"))</f>
        <v/>
      </c>
      <c r="D595" s="17" t="str">
        <f aca="false">IF($B595="","",IFERROR(INDEX(품목마스터!$D$3:$D$302,MATCH($B595,품목마스터!$A$3:$A$302,0)),""))</f>
        <v/>
      </c>
      <c r="E595" s="12"/>
      <c r="F595" s="10"/>
    </row>
    <row r="596" customFormat="false" ht="15" hidden="false" customHeight="true" outlineLevel="0" collapsed="false">
      <c r="A596" s="16"/>
      <c r="B596" s="10"/>
      <c r="C596" s="17" t="str">
        <f aca="false">IF($B596="","",IFERROR(INDEX(품목마스터!$B$3:$B$302,MATCH($B596,품목마스터!$A$3:$A$302,0)),"미등록품번"))</f>
        <v/>
      </c>
      <c r="D596" s="17" t="str">
        <f aca="false">IF($B596="","",IFERROR(INDEX(품목마스터!$D$3:$D$302,MATCH($B596,품목마스터!$A$3:$A$302,0)),""))</f>
        <v/>
      </c>
      <c r="E596" s="12"/>
      <c r="F596" s="10"/>
    </row>
    <row r="597" customFormat="false" ht="15" hidden="false" customHeight="true" outlineLevel="0" collapsed="false">
      <c r="A597" s="16"/>
      <c r="B597" s="10"/>
      <c r="C597" s="17" t="str">
        <f aca="false">IF($B597="","",IFERROR(INDEX(품목마스터!$B$3:$B$302,MATCH($B597,품목마스터!$A$3:$A$302,0)),"미등록품번"))</f>
        <v/>
      </c>
      <c r="D597" s="17" t="str">
        <f aca="false">IF($B597="","",IFERROR(INDEX(품목마스터!$D$3:$D$302,MATCH($B597,품목마스터!$A$3:$A$302,0)),""))</f>
        <v/>
      </c>
      <c r="E597" s="12"/>
      <c r="F597" s="10"/>
    </row>
    <row r="598" customFormat="false" ht="15" hidden="false" customHeight="true" outlineLevel="0" collapsed="false">
      <c r="A598" s="16"/>
      <c r="B598" s="10"/>
      <c r="C598" s="17" t="str">
        <f aca="false">IF($B598="","",IFERROR(INDEX(품목마스터!$B$3:$B$302,MATCH($B598,품목마스터!$A$3:$A$302,0)),"미등록품번"))</f>
        <v/>
      </c>
      <c r="D598" s="17" t="str">
        <f aca="false">IF($B598="","",IFERROR(INDEX(품목마스터!$D$3:$D$302,MATCH($B598,품목마스터!$A$3:$A$302,0)),""))</f>
        <v/>
      </c>
      <c r="E598" s="12"/>
      <c r="F598" s="10"/>
    </row>
    <row r="599" customFormat="false" ht="15" hidden="false" customHeight="true" outlineLevel="0" collapsed="false">
      <c r="A599" s="16"/>
      <c r="B599" s="10"/>
      <c r="C599" s="17" t="str">
        <f aca="false">IF($B599="","",IFERROR(INDEX(품목마스터!$B$3:$B$302,MATCH($B599,품목마스터!$A$3:$A$302,0)),"미등록품번"))</f>
        <v/>
      </c>
      <c r="D599" s="17" t="str">
        <f aca="false">IF($B599="","",IFERROR(INDEX(품목마스터!$D$3:$D$302,MATCH($B599,품목마스터!$A$3:$A$302,0)),""))</f>
        <v/>
      </c>
      <c r="E599" s="12"/>
      <c r="F599" s="10"/>
    </row>
    <row r="600" customFormat="false" ht="15" hidden="false" customHeight="true" outlineLevel="0" collapsed="false">
      <c r="A600" s="16"/>
      <c r="B600" s="10"/>
      <c r="C600" s="17" t="str">
        <f aca="false">IF($B600="","",IFERROR(INDEX(품목마스터!$B$3:$B$302,MATCH($B600,품목마스터!$A$3:$A$302,0)),"미등록품번"))</f>
        <v/>
      </c>
      <c r="D600" s="17" t="str">
        <f aca="false">IF($B600="","",IFERROR(INDEX(품목마스터!$D$3:$D$302,MATCH($B600,품목마스터!$A$3:$A$302,0)),""))</f>
        <v/>
      </c>
      <c r="E600" s="12"/>
      <c r="F600" s="10"/>
    </row>
    <row r="601" customFormat="false" ht="15" hidden="false" customHeight="true" outlineLevel="0" collapsed="false">
      <c r="A601" s="16"/>
      <c r="B601" s="10"/>
      <c r="C601" s="17" t="str">
        <f aca="false">IF($B601="","",IFERROR(INDEX(품목마스터!$B$3:$B$302,MATCH($B601,품목마스터!$A$3:$A$302,0)),"미등록품번"))</f>
        <v/>
      </c>
      <c r="D601" s="17" t="str">
        <f aca="false">IF($B601="","",IFERROR(INDEX(품목마스터!$D$3:$D$302,MATCH($B601,품목마스터!$A$3:$A$302,0)),""))</f>
        <v/>
      </c>
      <c r="E601" s="12"/>
      <c r="F601" s="10"/>
    </row>
    <row r="602" customFormat="false" ht="15" hidden="false" customHeight="true" outlineLevel="0" collapsed="false">
      <c r="A602" s="16"/>
      <c r="B602" s="10"/>
      <c r="C602" s="17" t="str">
        <f aca="false">IF($B602="","",IFERROR(INDEX(품목마스터!$B$3:$B$302,MATCH($B602,품목마스터!$A$3:$A$302,0)),"미등록품번"))</f>
        <v/>
      </c>
      <c r="D602" s="17" t="str">
        <f aca="false">IF($B602="","",IFERROR(INDEX(품목마스터!$D$3:$D$302,MATCH($B602,품목마스터!$A$3:$A$302,0)),""))</f>
        <v/>
      </c>
      <c r="E602" s="12"/>
      <c r="F602" s="10"/>
    </row>
    <row r="603" customFormat="false" ht="15" hidden="false" customHeight="true" outlineLevel="0" collapsed="false">
      <c r="A603" s="16"/>
      <c r="B603" s="10"/>
      <c r="C603" s="17" t="str">
        <f aca="false">IF($B603="","",IFERROR(INDEX(품목마스터!$B$3:$B$302,MATCH($B603,품목마스터!$A$3:$A$302,0)),"미등록품번"))</f>
        <v/>
      </c>
      <c r="D603" s="17" t="str">
        <f aca="false">IF($B603="","",IFERROR(INDEX(품목마스터!$D$3:$D$302,MATCH($B603,품목마스터!$A$3:$A$302,0)),""))</f>
        <v/>
      </c>
      <c r="E603" s="12"/>
      <c r="F603" s="10"/>
    </row>
    <row r="604" customFormat="false" ht="15" hidden="false" customHeight="true" outlineLevel="0" collapsed="false">
      <c r="A604" s="16"/>
      <c r="B604" s="10"/>
      <c r="C604" s="17" t="str">
        <f aca="false">IF($B604="","",IFERROR(INDEX(품목마스터!$B$3:$B$302,MATCH($B604,품목마스터!$A$3:$A$302,0)),"미등록품번"))</f>
        <v/>
      </c>
      <c r="D604" s="17" t="str">
        <f aca="false">IF($B604="","",IFERROR(INDEX(품목마스터!$D$3:$D$302,MATCH($B604,품목마스터!$A$3:$A$302,0)),""))</f>
        <v/>
      </c>
      <c r="E604" s="12"/>
      <c r="F604" s="10"/>
    </row>
    <row r="605" customFormat="false" ht="15" hidden="false" customHeight="true" outlineLevel="0" collapsed="false">
      <c r="A605" s="16"/>
      <c r="B605" s="10"/>
      <c r="C605" s="17" t="str">
        <f aca="false">IF($B605="","",IFERROR(INDEX(품목마스터!$B$3:$B$302,MATCH($B605,품목마스터!$A$3:$A$302,0)),"미등록품번"))</f>
        <v/>
      </c>
      <c r="D605" s="17" t="str">
        <f aca="false">IF($B605="","",IFERROR(INDEX(품목마스터!$D$3:$D$302,MATCH($B605,품목마스터!$A$3:$A$302,0)),""))</f>
        <v/>
      </c>
      <c r="E605" s="12"/>
      <c r="F605" s="10"/>
    </row>
    <row r="606" customFormat="false" ht="15" hidden="false" customHeight="true" outlineLevel="0" collapsed="false">
      <c r="A606" s="16"/>
      <c r="B606" s="10"/>
      <c r="C606" s="17" t="str">
        <f aca="false">IF($B606="","",IFERROR(INDEX(품목마스터!$B$3:$B$302,MATCH($B606,품목마스터!$A$3:$A$302,0)),"미등록품번"))</f>
        <v/>
      </c>
      <c r="D606" s="17" t="str">
        <f aca="false">IF($B606="","",IFERROR(INDEX(품목마스터!$D$3:$D$302,MATCH($B606,품목마스터!$A$3:$A$302,0)),""))</f>
        <v/>
      </c>
      <c r="E606" s="12"/>
      <c r="F606" s="10"/>
    </row>
    <row r="607" customFormat="false" ht="15" hidden="false" customHeight="true" outlineLevel="0" collapsed="false">
      <c r="A607" s="16"/>
      <c r="B607" s="10"/>
      <c r="C607" s="17" t="str">
        <f aca="false">IF($B607="","",IFERROR(INDEX(품목마스터!$B$3:$B$302,MATCH($B607,품목마스터!$A$3:$A$302,0)),"미등록품번"))</f>
        <v/>
      </c>
      <c r="D607" s="17" t="str">
        <f aca="false">IF($B607="","",IFERROR(INDEX(품목마스터!$D$3:$D$302,MATCH($B607,품목마스터!$A$3:$A$302,0)),""))</f>
        <v/>
      </c>
      <c r="E607" s="12"/>
      <c r="F607" s="10"/>
    </row>
    <row r="608" customFormat="false" ht="15" hidden="false" customHeight="true" outlineLevel="0" collapsed="false">
      <c r="A608" s="16"/>
      <c r="B608" s="10"/>
      <c r="C608" s="17" t="str">
        <f aca="false">IF($B608="","",IFERROR(INDEX(품목마스터!$B$3:$B$302,MATCH($B608,품목마스터!$A$3:$A$302,0)),"미등록품번"))</f>
        <v/>
      </c>
      <c r="D608" s="17" t="str">
        <f aca="false">IF($B608="","",IFERROR(INDEX(품목마스터!$D$3:$D$302,MATCH($B608,품목마스터!$A$3:$A$302,0)),""))</f>
        <v/>
      </c>
      <c r="E608" s="12"/>
      <c r="F608" s="10"/>
    </row>
    <row r="609" customFormat="false" ht="15" hidden="false" customHeight="true" outlineLevel="0" collapsed="false">
      <c r="A609" s="16"/>
      <c r="B609" s="10"/>
      <c r="C609" s="17" t="str">
        <f aca="false">IF($B609="","",IFERROR(INDEX(품목마스터!$B$3:$B$302,MATCH($B609,품목마스터!$A$3:$A$302,0)),"미등록품번"))</f>
        <v/>
      </c>
      <c r="D609" s="17" t="str">
        <f aca="false">IF($B609="","",IFERROR(INDEX(품목마스터!$D$3:$D$302,MATCH($B609,품목마스터!$A$3:$A$302,0)),""))</f>
        <v/>
      </c>
      <c r="E609" s="12"/>
      <c r="F609" s="10"/>
    </row>
    <row r="610" customFormat="false" ht="15" hidden="false" customHeight="true" outlineLevel="0" collapsed="false">
      <c r="A610" s="16"/>
      <c r="B610" s="10"/>
      <c r="C610" s="17" t="str">
        <f aca="false">IF($B610="","",IFERROR(INDEX(품목마스터!$B$3:$B$302,MATCH($B610,품목마스터!$A$3:$A$302,0)),"미등록품번"))</f>
        <v/>
      </c>
      <c r="D610" s="17" t="str">
        <f aca="false">IF($B610="","",IFERROR(INDEX(품목마스터!$D$3:$D$302,MATCH($B610,품목마스터!$A$3:$A$302,0)),""))</f>
        <v/>
      </c>
      <c r="E610" s="12"/>
      <c r="F610" s="10"/>
    </row>
    <row r="611" customFormat="false" ht="15" hidden="false" customHeight="true" outlineLevel="0" collapsed="false">
      <c r="A611" s="16"/>
      <c r="B611" s="10"/>
      <c r="C611" s="17" t="str">
        <f aca="false">IF($B611="","",IFERROR(INDEX(품목마스터!$B$3:$B$302,MATCH($B611,품목마스터!$A$3:$A$302,0)),"미등록품번"))</f>
        <v/>
      </c>
      <c r="D611" s="17" t="str">
        <f aca="false">IF($B611="","",IFERROR(INDEX(품목마스터!$D$3:$D$302,MATCH($B611,품목마스터!$A$3:$A$302,0)),""))</f>
        <v/>
      </c>
      <c r="E611" s="12"/>
      <c r="F611" s="10"/>
    </row>
    <row r="612" customFormat="false" ht="15" hidden="false" customHeight="true" outlineLevel="0" collapsed="false">
      <c r="A612" s="16"/>
      <c r="B612" s="10"/>
      <c r="C612" s="17" t="str">
        <f aca="false">IF($B612="","",IFERROR(INDEX(품목마스터!$B$3:$B$302,MATCH($B612,품목마스터!$A$3:$A$302,0)),"미등록품번"))</f>
        <v/>
      </c>
      <c r="D612" s="17" t="str">
        <f aca="false">IF($B612="","",IFERROR(INDEX(품목마스터!$D$3:$D$302,MATCH($B612,품목마스터!$A$3:$A$302,0)),""))</f>
        <v/>
      </c>
      <c r="E612" s="12"/>
      <c r="F612" s="10"/>
    </row>
    <row r="613" customFormat="false" ht="15" hidden="false" customHeight="true" outlineLevel="0" collapsed="false">
      <c r="A613" s="16"/>
      <c r="B613" s="10"/>
      <c r="C613" s="17" t="str">
        <f aca="false">IF($B613="","",IFERROR(INDEX(품목마스터!$B$3:$B$302,MATCH($B613,품목마스터!$A$3:$A$302,0)),"미등록품번"))</f>
        <v/>
      </c>
      <c r="D613" s="17" t="str">
        <f aca="false">IF($B613="","",IFERROR(INDEX(품목마스터!$D$3:$D$302,MATCH($B613,품목마스터!$A$3:$A$302,0)),""))</f>
        <v/>
      </c>
      <c r="E613" s="12"/>
      <c r="F613" s="10"/>
    </row>
    <row r="614" customFormat="false" ht="15" hidden="false" customHeight="true" outlineLevel="0" collapsed="false">
      <c r="A614" s="16"/>
      <c r="B614" s="10"/>
      <c r="C614" s="17" t="str">
        <f aca="false">IF($B614="","",IFERROR(INDEX(품목마스터!$B$3:$B$302,MATCH($B614,품목마스터!$A$3:$A$302,0)),"미등록품번"))</f>
        <v/>
      </c>
      <c r="D614" s="17" t="str">
        <f aca="false">IF($B614="","",IFERROR(INDEX(품목마스터!$D$3:$D$302,MATCH($B614,품목마스터!$A$3:$A$302,0)),""))</f>
        <v/>
      </c>
      <c r="E614" s="12"/>
      <c r="F614" s="10"/>
    </row>
    <row r="615" customFormat="false" ht="15" hidden="false" customHeight="true" outlineLevel="0" collapsed="false">
      <c r="A615" s="16"/>
      <c r="B615" s="10"/>
      <c r="C615" s="17" t="str">
        <f aca="false">IF($B615="","",IFERROR(INDEX(품목마스터!$B$3:$B$302,MATCH($B615,품목마스터!$A$3:$A$302,0)),"미등록품번"))</f>
        <v/>
      </c>
      <c r="D615" s="17" t="str">
        <f aca="false">IF($B615="","",IFERROR(INDEX(품목마스터!$D$3:$D$302,MATCH($B615,품목마스터!$A$3:$A$302,0)),""))</f>
        <v/>
      </c>
      <c r="E615" s="12"/>
      <c r="F615" s="10"/>
    </row>
    <row r="616" customFormat="false" ht="15" hidden="false" customHeight="true" outlineLevel="0" collapsed="false">
      <c r="A616" s="16"/>
      <c r="B616" s="10"/>
      <c r="C616" s="17" t="str">
        <f aca="false">IF($B616="","",IFERROR(INDEX(품목마스터!$B$3:$B$302,MATCH($B616,품목마스터!$A$3:$A$302,0)),"미등록품번"))</f>
        <v/>
      </c>
      <c r="D616" s="17" t="str">
        <f aca="false">IF($B616="","",IFERROR(INDEX(품목마스터!$D$3:$D$302,MATCH($B616,품목마스터!$A$3:$A$302,0)),""))</f>
        <v/>
      </c>
      <c r="E616" s="12"/>
      <c r="F616" s="10"/>
    </row>
    <row r="617" customFormat="false" ht="15" hidden="false" customHeight="true" outlineLevel="0" collapsed="false">
      <c r="A617" s="16"/>
      <c r="B617" s="10"/>
      <c r="C617" s="17" t="str">
        <f aca="false">IF($B617="","",IFERROR(INDEX(품목마스터!$B$3:$B$302,MATCH($B617,품목마스터!$A$3:$A$302,0)),"미등록품번"))</f>
        <v/>
      </c>
      <c r="D617" s="17" t="str">
        <f aca="false">IF($B617="","",IFERROR(INDEX(품목마스터!$D$3:$D$302,MATCH($B617,품목마스터!$A$3:$A$302,0)),""))</f>
        <v/>
      </c>
      <c r="E617" s="12"/>
      <c r="F617" s="10"/>
    </row>
    <row r="618" customFormat="false" ht="15" hidden="false" customHeight="true" outlineLevel="0" collapsed="false">
      <c r="A618" s="16"/>
      <c r="B618" s="10"/>
      <c r="C618" s="17" t="str">
        <f aca="false">IF($B618="","",IFERROR(INDEX(품목마스터!$B$3:$B$302,MATCH($B618,품목마스터!$A$3:$A$302,0)),"미등록품번"))</f>
        <v/>
      </c>
      <c r="D618" s="17" t="str">
        <f aca="false">IF($B618="","",IFERROR(INDEX(품목마스터!$D$3:$D$302,MATCH($B618,품목마스터!$A$3:$A$302,0)),""))</f>
        <v/>
      </c>
      <c r="E618" s="12"/>
      <c r="F618" s="10"/>
    </row>
    <row r="619" customFormat="false" ht="15" hidden="false" customHeight="true" outlineLevel="0" collapsed="false">
      <c r="A619" s="16"/>
      <c r="B619" s="10"/>
      <c r="C619" s="17" t="str">
        <f aca="false">IF($B619="","",IFERROR(INDEX(품목마스터!$B$3:$B$302,MATCH($B619,품목마스터!$A$3:$A$302,0)),"미등록품번"))</f>
        <v/>
      </c>
      <c r="D619" s="17" t="str">
        <f aca="false">IF($B619="","",IFERROR(INDEX(품목마스터!$D$3:$D$302,MATCH($B619,품목마스터!$A$3:$A$302,0)),""))</f>
        <v/>
      </c>
      <c r="E619" s="12"/>
      <c r="F619" s="10"/>
    </row>
    <row r="620" customFormat="false" ht="15" hidden="false" customHeight="true" outlineLevel="0" collapsed="false">
      <c r="A620" s="16"/>
      <c r="B620" s="10"/>
      <c r="C620" s="17" t="str">
        <f aca="false">IF($B620="","",IFERROR(INDEX(품목마스터!$B$3:$B$302,MATCH($B620,품목마스터!$A$3:$A$302,0)),"미등록품번"))</f>
        <v/>
      </c>
      <c r="D620" s="17" t="str">
        <f aca="false">IF($B620="","",IFERROR(INDEX(품목마스터!$D$3:$D$302,MATCH($B620,품목마스터!$A$3:$A$302,0)),""))</f>
        <v/>
      </c>
      <c r="E620" s="12"/>
      <c r="F620" s="10"/>
    </row>
    <row r="621" customFormat="false" ht="15" hidden="false" customHeight="true" outlineLevel="0" collapsed="false">
      <c r="A621" s="16"/>
      <c r="B621" s="10"/>
      <c r="C621" s="17" t="str">
        <f aca="false">IF($B621="","",IFERROR(INDEX(품목마스터!$B$3:$B$302,MATCH($B621,품목마스터!$A$3:$A$302,0)),"미등록품번"))</f>
        <v/>
      </c>
      <c r="D621" s="17" t="str">
        <f aca="false">IF($B621="","",IFERROR(INDEX(품목마스터!$D$3:$D$302,MATCH($B621,품목마스터!$A$3:$A$302,0)),""))</f>
        <v/>
      </c>
      <c r="E621" s="12"/>
      <c r="F621" s="10"/>
    </row>
    <row r="622" customFormat="false" ht="15" hidden="false" customHeight="true" outlineLevel="0" collapsed="false">
      <c r="A622" s="16"/>
      <c r="B622" s="10"/>
      <c r="C622" s="17" t="str">
        <f aca="false">IF($B622="","",IFERROR(INDEX(품목마스터!$B$3:$B$302,MATCH($B622,품목마스터!$A$3:$A$302,0)),"미등록품번"))</f>
        <v/>
      </c>
      <c r="D622" s="17" t="str">
        <f aca="false">IF($B622="","",IFERROR(INDEX(품목마스터!$D$3:$D$302,MATCH($B622,품목마스터!$A$3:$A$302,0)),""))</f>
        <v/>
      </c>
      <c r="E622" s="12"/>
      <c r="F622" s="10"/>
    </row>
    <row r="623" customFormat="false" ht="15" hidden="false" customHeight="true" outlineLevel="0" collapsed="false">
      <c r="A623" s="16"/>
      <c r="B623" s="10"/>
      <c r="C623" s="17" t="str">
        <f aca="false">IF($B623="","",IFERROR(INDEX(품목마스터!$B$3:$B$302,MATCH($B623,품목마스터!$A$3:$A$302,0)),"미등록품번"))</f>
        <v/>
      </c>
      <c r="D623" s="17" t="str">
        <f aca="false">IF($B623="","",IFERROR(INDEX(품목마스터!$D$3:$D$302,MATCH($B623,품목마스터!$A$3:$A$302,0)),""))</f>
        <v/>
      </c>
      <c r="E623" s="12"/>
      <c r="F623" s="10"/>
    </row>
    <row r="624" customFormat="false" ht="15" hidden="false" customHeight="true" outlineLevel="0" collapsed="false">
      <c r="A624" s="16"/>
      <c r="B624" s="10"/>
      <c r="C624" s="17" t="str">
        <f aca="false">IF($B624="","",IFERROR(INDEX(품목마스터!$B$3:$B$302,MATCH($B624,품목마스터!$A$3:$A$302,0)),"미등록품번"))</f>
        <v/>
      </c>
      <c r="D624" s="17" t="str">
        <f aca="false">IF($B624="","",IFERROR(INDEX(품목마스터!$D$3:$D$302,MATCH($B624,품목마스터!$A$3:$A$302,0)),""))</f>
        <v/>
      </c>
      <c r="E624" s="12"/>
      <c r="F624" s="10"/>
    </row>
    <row r="625" customFormat="false" ht="15" hidden="false" customHeight="true" outlineLevel="0" collapsed="false">
      <c r="A625" s="16"/>
      <c r="B625" s="10"/>
      <c r="C625" s="17" t="str">
        <f aca="false">IF($B625="","",IFERROR(INDEX(품목마스터!$B$3:$B$302,MATCH($B625,품목마스터!$A$3:$A$302,0)),"미등록품번"))</f>
        <v/>
      </c>
      <c r="D625" s="17" t="str">
        <f aca="false">IF($B625="","",IFERROR(INDEX(품목마스터!$D$3:$D$302,MATCH($B625,품목마스터!$A$3:$A$302,0)),""))</f>
        <v/>
      </c>
      <c r="E625" s="12"/>
      <c r="F625" s="10"/>
    </row>
    <row r="626" customFormat="false" ht="15" hidden="false" customHeight="true" outlineLevel="0" collapsed="false">
      <c r="A626" s="16"/>
      <c r="B626" s="10"/>
      <c r="C626" s="17" t="str">
        <f aca="false">IF($B626="","",IFERROR(INDEX(품목마스터!$B$3:$B$302,MATCH($B626,품목마스터!$A$3:$A$302,0)),"미등록품번"))</f>
        <v/>
      </c>
      <c r="D626" s="17" t="str">
        <f aca="false">IF($B626="","",IFERROR(INDEX(품목마스터!$D$3:$D$302,MATCH($B626,품목마스터!$A$3:$A$302,0)),""))</f>
        <v/>
      </c>
      <c r="E626" s="12"/>
      <c r="F626" s="10"/>
    </row>
    <row r="627" customFormat="false" ht="15" hidden="false" customHeight="true" outlineLevel="0" collapsed="false">
      <c r="A627" s="16"/>
      <c r="B627" s="10"/>
      <c r="C627" s="17" t="str">
        <f aca="false">IF($B627="","",IFERROR(INDEX(품목마스터!$B$3:$B$302,MATCH($B627,품목마스터!$A$3:$A$302,0)),"미등록품번"))</f>
        <v/>
      </c>
      <c r="D627" s="17" t="str">
        <f aca="false">IF($B627="","",IFERROR(INDEX(품목마스터!$D$3:$D$302,MATCH($B627,품목마스터!$A$3:$A$302,0)),""))</f>
        <v/>
      </c>
      <c r="E627" s="12"/>
      <c r="F627" s="10"/>
    </row>
    <row r="628" customFormat="false" ht="15" hidden="false" customHeight="true" outlineLevel="0" collapsed="false">
      <c r="A628" s="16"/>
      <c r="B628" s="10"/>
      <c r="C628" s="17" t="str">
        <f aca="false">IF($B628="","",IFERROR(INDEX(품목마스터!$B$3:$B$302,MATCH($B628,품목마스터!$A$3:$A$302,0)),"미등록품번"))</f>
        <v/>
      </c>
      <c r="D628" s="17" t="str">
        <f aca="false">IF($B628="","",IFERROR(INDEX(품목마스터!$D$3:$D$302,MATCH($B628,품목마스터!$A$3:$A$302,0)),""))</f>
        <v/>
      </c>
      <c r="E628" s="12"/>
      <c r="F628" s="10"/>
    </row>
    <row r="629" customFormat="false" ht="15" hidden="false" customHeight="true" outlineLevel="0" collapsed="false">
      <c r="A629" s="16"/>
      <c r="B629" s="10"/>
      <c r="C629" s="17" t="str">
        <f aca="false">IF($B629="","",IFERROR(INDEX(품목마스터!$B$3:$B$302,MATCH($B629,품목마스터!$A$3:$A$302,0)),"미등록품번"))</f>
        <v/>
      </c>
      <c r="D629" s="17" t="str">
        <f aca="false">IF($B629="","",IFERROR(INDEX(품목마스터!$D$3:$D$302,MATCH($B629,품목마스터!$A$3:$A$302,0)),""))</f>
        <v/>
      </c>
      <c r="E629" s="12"/>
      <c r="F629" s="10"/>
    </row>
    <row r="630" customFormat="false" ht="15" hidden="false" customHeight="true" outlineLevel="0" collapsed="false">
      <c r="A630" s="16"/>
      <c r="B630" s="10"/>
      <c r="C630" s="17" t="str">
        <f aca="false">IF($B630="","",IFERROR(INDEX(품목마스터!$B$3:$B$302,MATCH($B630,품목마스터!$A$3:$A$302,0)),"미등록품번"))</f>
        <v/>
      </c>
      <c r="D630" s="17" t="str">
        <f aca="false">IF($B630="","",IFERROR(INDEX(품목마스터!$D$3:$D$302,MATCH($B630,품목마스터!$A$3:$A$302,0)),""))</f>
        <v/>
      </c>
      <c r="E630" s="12"/>
      <c r="F630" s="10"/>
    </row>
    <row r="631" customFormat="false" ht="15" hidden="false" customHeight="true" outlineLevel="0" collapsed="false">
      <c r="A631" s="16"/>
      <c r="B631" s="10"/>
      <c r="C631" s="17" t="str">
        <f aca="false">IF($B631="","",IFERROR(INDEX(품목마스터!$B$3:$B$302,MATCH($B631,품목마스터!$A$3:$A$302,0)),"미등록품번"))</f>
        <v/>
      </c>
      <c r="D631" s="17" t="str">
        <f aca="false">IF($B631="","",IFERROR(INDEX(품목마스터!$D$3:$D$302,MATCH($B631,품목마스터!$A$3:$A$302,0)),""))</f>
        <v/>
      </c>
      <c r="E631" s="12"/>
      <c r="F631" s="10"/>
    </row>
    <row r="632" customFormat="false" ht="15" hidden="false" customHeight="true" outlineLevel="0" collapsed="false">
      <c r="A632" s="16"/>
      <c r="B632" s="10"/>
      <c r="C632" s="17" t="str">
        <f aca="false">IF($B632="","",IFERROR(INDEX(품목마스터!$B$3:$B$302,MATCH($B632,품목마스터!$A$3:$A$302,0)),"미등록품번"))</f>
        <v/>
      </c>
      <c r="D632" s="17" t="str">
        <f aca="false">IF($B632="","",IFERROR(INDEX(품목마스터!$D$3:$D$302,MATCH($B632,품목마스터!$A$3:$A$302,0)),""))</f>
        <v/>
      </c>
      <c r="E632" s="12"/>
      <c r="F632" s="10"/>
    </row>
    <row r="633" customFormat="false" ht="15" hidden="false" customHeight="true" outlineLevel="0" collapsed="false">
      <c r="A633" s="16"/>
      <c r="B633" s="10"/>
      <c r="C633" s="17" t="str">
        <f aca="false">IF($B633="","",IFERROR(INDEX(품목마스터!$B$3:$B$302,MATCH($B633,품목마스터!$A$3:$A$302,0)),"미등록품번"))</f>
        <v/>
      </c>
      <c r="D633" s="17" t="str">
        <f aca="false">IF($B633="","",IFERROR(INDEX(품목마스터!$D$3:$D$302,MATCH($B633,품목마스터!$A$3:$A$302,0)),""))</f>
        <v/>
      </c>
      <c r="E633" s="12"/>
      <c r="F633" s="10"/>
    </row>
    <row r="634" customFormat="false" ht="15" hidden="false" customHeight="true" outlineLevel="0" collapsed="false">
      <c r="A634" s="16"/>
      <c r="B634" s="10"/>
      <c r="C634" s="17" t="str">
        <f aca="false">IF($B634="","",IFERROR(INDEX(품목마스터!$B$3:$B$302,MATCH($B634,품목마스터!$A$3:$A$302,0)),"미등록품번"))</f>
        <v/>
      </c>
      <c r="D634" s="17" t="str">
        <f aca="false">IF($B634="","",IFERROR(INDEX(품목마스터!$D$3:$D$302,MATCH($B634,품목마스터!$A$3:$A$302,0)),""))</f>
        <v/>
      </c>
      <c r="E634" s="12"/>
      <c r="F634" s="10"/>
    </row>
    <row r="635" customFormat="false" ht="15" hidden="false" customHeight="true" outlineLevel="0" collapsed="false">
      <c r="A635" s="16"/>
      <c r="B635" s="10"/>
      <c r="C635" s="17" t="str">
        <f aca="false">IF($B635="","",IFERROR(INDEX(품목마스터!$B$3:$B$302,MATCH($B635,품목마스터!$A$3:$A$302,0)),"미등록품번"))</f>
        <v/>
      </c>
      <c r="D635" s="17" t="str">
        <f aca="false">IF($B635="","",IFERROR(INDEX(품목마스터!$D$3:$D$302,MATCH($B635,품목마스터!$A$3:$A$302,0)),""))</f>
        <v/>
      </c>
      <c r="E635" s="12"/>
      <c r="F635" s="10"/>
    </row>
    <row r="636" customFormat="false" ht="15" hidden="false" customHeight="true" outlineLevel="0" collapsed="false">
      <c r="A636" s="16"/>
      <c r="B636" s="10"/>
      <c r="C636" s="17" t="str">
        <f aca="false">IF($B636="","",IFERROR(INDEX(품목마스터!$B$3:$B$302,MATCH($B636,품목마스터!$A$3:$A$302,0)),"미등록품번"))</f>
        <v/>
      </c>
      <c r="D636" s="17" t="str">
        <f aca="false">IF($B636="","",IFERROR(INDEX(품목마스터!$D$3:$D$302,MATCH($B636,품목마스터!$A$3:$A$302,0)),""))</f>
        <v/>
      </c>
      <c r="E636" s="12"/>
      <c r="F636" s="10"/>
    </row>
    <row r="637" customFormat="false" ht="15" hidden="false" customHeight="true" outlineLevel="0" collapsed="false">
      <c r="A637" s="16"/>
      <c r="B637" s="10"/>
      <c r="C637" s="17" t="str">
        <f aca="false">IF($B637="","",IFERROR(INDEX(품목마스터!$B$3:$B$302,MATCH($B637,품목마스터!$A$3:$A$302,0)),"미등록품번"))</f>
        <v/>
      </c>
      <c r="D637" s="17" t="str">
        <f aca="false">IF($B637="","",IFERROR(INDEX(품목마스터!$D$3:$D$302,MATCH($B637,품목마스터!$A$3:$A$302,0)),""))</f>
        <v/>
      </c>
      <c r="E637" s="12"/>
      <c r="F637" s="10"/>
    </row>
    <row r="638" customFormat="false" ht="15" hidden="false" customHeight="true" outlineLevel="0" collapsed="false">
      <c r="A638" s="16"/>
      <c r="B638" s="10"/>
      <c r="C638" s="17" t="str">
        <f aca="false">IF($B638="","",IFERROR(INDEX(품목마스터!$B$3:$B$302,MATCH($B638,품목마스터!$A$3:$A$302,0)),"미등록품번"))</f>
        <v/>
      </c>
      <c r="D638" s="17" t="str">
        <f aca="false">IF($B638="","",IFERROR(INDEX(품목마스터!$D$3:$D$302,MATCH($B638,품목마스터!$A$3:$A$302,0)),""))</f>
        <v/>
      </c>
      <c r="E638" s="12"/>
      <c r="F638" s="10"/>
    </row>
    <row r="639" customFormat="false" ht="15" hidden="false" customHeight="true" outlineLevel="0" collapsed="false">
      <c r="A639" s="16"/>
      <c r="B639" s="10"/>
      <c r="C639" s="17" t="str">
        <f aca="false">IF($B639="","",IFERROR(INDEX(품목마스터!$B$3:$B$302,MATCH($B639,품목마스터!$A$3:$A$302,0)),"미등록품번"))</f>
        <v/>
      </c>
      <c r="D639" s="17" t="str">
        <f aca="false">IF($B639="","",IFERROR(INDEX(품목마스터!$D$3:$D$302,MATCH($B639,품목마스터!$A$3:$A$302,0)),""))</f>
        <v/>
      </c>
      <c r="E639" s="12"/>
      <c r="F639" s="10"/>
    </row>
    <row r="640" customFormat="false" ht="15" hidden="false" customHeight="true" outlineLevel="0" collapsed="false">
      <c r="A640" s="16"/>
      <c r="B640" s="10"/>
      <c r="C640" s="17" t="str">
        <f aca="false">IF($B640="","",IFERROR(INDEX(품목마스터!$B$3:$B$302,MATCH($B640,품목마스터!$A$3:$A$302,0)),"미등록품번"))</f>
        <v/>
      </c>
      <c r="D640" s="17" t="str">
        <f aca="false">IF($B640="","",IFERROR(INDEX(품목마스터!$D$3:$D$302,MATCH($B640,품목마스터!$A$3:$A$302,0)),""))</f>
        <v/>
      </c>
      <c r="E640" s="12"/>
      <c r="F640" s="10"/>
    </row>
    <row r="641" customFormat="false" ht="15" hidden="false" customHeight="true" outlineLevel="0" collapsed="false">
      <c r="A641" s="16"/>
      <c r="B641" s="10"/>
      <c r="C641" s="17" t="str">
        <f aca="false">IF($B641="","",IFERROR(INDEX(품목마스터!$B$3:$B$302,MATCH($B641,품목마스터!$A$3:$A$302,0)),"미등록품번"))</f>
        <v/>
      </c>
      <c r="D641" s="17" t="str">
        <f aca="false">IF($B641="","",IFERROR(INDEX(품목마스터!$D$3:$D$302,MATCH($B641,품목마스터!$A$3:$A$302,0)),""))</f>
        <v/>
      </c>
      <c r="E641" s="12"/>
      <c r="F641" s="10"/>
    </row>
    <row r="642" customFormat="false" ht="15" hidden="false" customHeight="true" outlineLevel="0" collapsed="false">
      <c r="A642" s="16"/>
      <c r="B642" s="10"/>
      <c r="C642" s="17" t="str">
        <f aca="false">IF($B642="","",IFERROR(INDEX(품목마스터!$B$3:$B$302,MATCH($B642,품목마스터!$A$3:$A$302,0)),"미등록품번"))</f>
        <v/>
      </c>
      <c r="D642" s="17" t="str">
        <f aca="false">IF($B642="","",IFERROR(INDEX(품목마스터!$D$3:$D$302,MATCH($B642,품목마스터!$A$3:$A$302,0)),""))</f>
        <v/>
      </c>
      <c r="E642" s="12"/>
      <c r="F642" s="10"/>
    </row>
    <row r="643" customFormat="false" ht="15" hidden="false" customHeight="true" outlineLevel="0" collapsed="false">
      <c r="A643" s="16"/>
      <c r="B643" s="10"/>
      <c r="C643" s="17" t="str">
        <f aca="false">IF($B643="","",IFERROR(INDEX(품목마스터!$B$3:$B$302,MATCH($B643,품목마스터!$A$3:$A$302,0)),"미등록품번"))</f>
        <v/>
      </c>
      <c r="D643" s="17" t="str">
        <f aca="false">IF($B643="","",IFERROR(INDEX(품목마스터!$D$3:$D$302,MATCH($B643,품목마스터!$A$3:$A$302,0)),""))</f>
        <v/>
      </c>
      <c r="E643" s="12"/>
      <c r="F643" s="10"/>
    </row>
    <row r="644" customFormat="false" ht="15" hidden="false" customHeight="true" outlineLevel="0" collapsed="false">
      <c r="A644" s="16"/>
      <c r="B644" s="10"/>
      <c r="C644" s="17" t="str">
        <f aca="false">IF($B644="","",IFERROR(INDEX(품목마스터!$B$3:$B$302,MATCH($B644,품목마스터!$A$3:$A$302,0)),"미등록품번"))</f>
        <v/>
      </c>
      <c r="D644" s="17" t="str">
        <f aca="false">IF($B644="","",IFERROR(INDEX(품목마스터!$D$3:$D$302,MATCH($B644,품목마스터!$A$3:$A$302,0)),""))</f>
        <v/>
      </c>
      <c r="E644" s="12"/>
      <c r="F644" s="10"/>
    </row>
    <row r="645" customFormat="false" ht="15" hidden="false" customHeight="true" outlineLevel="0" collapsed="false">
      <c r="A645" s="16"/>
      <c r="B645" s="10"/>
      <c r="C645" s="17" t="str">
        <f aca="false">IF($B645="","",IFERROR(INDEX(품목마스터!$B$3:$B$302,MATCH($B645,품목마스터!$A$3:$A$302,0)),"미등록품번"))</f>
        <v/>
      </c>
      <c r="D645" s="17" t="str">
        <f aca="false">IF($B645="","",IFERROR(INDEX(품목마스터!$D$3:$D$302,MATCH($B645,품목마스터!$A$3:$A$302,0)),""))</f>
        <v/>
      </c>
      <c r="E645" s="12"/>
      <c r="F645" s="10"/>
    </row>
    <row r="646" customFormat="false" ht="15" hidden="false" customHeight="true" outlineLevel="0" collapsed="false">
      <c r="A646" s="16"/>
      <c r="B646" s="10"/>
      <c r="C646" s="17" t="str">
        <f aca="false">IF($B646="","",IFERROR(INDEX(품목마스터!$B$3:$B$302,MATCH($B646,품목마스터!$A$3:$A$302,0)),"미등록품번"))</f>
        <v/>
      </c>
      <c r="D646" s="17" t="str">
        <f aca="false">IF($B646="","",IFERROR(INDEX(품목마스터!$D$3:$D$302,MATCH($B646,품목마스터!$A$3:$A$302,0)),""))</f>
        <v/>
      </c>
      <c r="E646" s="12"/>
      <c r="F646" s="10"/>
    </row>
    <row r="647" customFormat="false" ht="15" hidden="false" customHeight="true" outlineLevel="0" collapsed="false">
      <c r="A647" s="16"/>
      <c r="B647" s="10"/>
      <c r="C647" s="17" t="str">
        <f aca="false">IF($B647="","",IFERROR(INDEX(품목마스터!$B$3:$B$302,MATCH($B647,품목마스터!$A$3:$A$302,0)),"미등록품번"))</f>
        <v/>
      </c>
      <c r="D647" s="17" t="str">
        <f aca="false">IF($B647="","",IFERROR(INDEX(품목마스터!$D$3:$D$302,MATCH($B647,품목마스터!$A$3:$A$302,0)),""))</f>
        <v/>
      </c>
      <c r="E647" s="12"/>
      <c r="F647" s="10"/>
    </row>
    <row r="648" customFormat="false" ht="15" hidden="false" customHeight="true" outlineLevel="0" collapsed="false">
      <c r="A648" s="16"/>
      <c r="B648" s="10"/>
      <c r="C648" s="17" t="str">
        <f aca="false">IF($B648="","",IFERROR(INDEX(품목마스터!$B$3:$B$302,MATCH($B648,품목마스터!$A$3:$A$302,0)),"미등록품번"))</f>
        <v/>
      </c>
      <c r="D648" s="17" t="str">
        <f aca="false">IF($B648="","",IFERROR(INDEX(품목마스터!$D$3:$D$302,MATCH($B648,품목마스터!$A$3:$A$302,0)),""))</f>
        <v/>
      </c>
      <c r="E648" s="12"/>
      <c r="F648" s="10"/>
    </row>
    <row r="649" customFormat="false" ht="15" hidden="false" customHeight="true" outlineLevel="0" collapsed="false">
      <c r="A649" s="16"/>
      <c r="B649" s="10"/>
      <c r="C649" s="17" t="str">
        <f aca="false">IF($B649="","",IFERROR(INDEX(품목마스터!$B$3:$B$302,MATCH($B649,품목마스터!$A$3:$A$302,0)),"미등록품번"))</f>
        <v/>
      </c>
      <c r="D649" s="17" t="str">
        <f aca="false">IF($B649="","",IFERROR(INDEX(품목마스터!$D$3:$D$302,MATCH($B649,품목마스터!$A$3:$A$302,0)),""))</f>
        <v/>
      </c>
      <c r="E649" s="12"/>
      <c r="F649" s="10"/>
    </row>
    <row r="650" customFormat="false" ht="15" hidden="false" customHeight="true" outlineLevel="0" collapsed="false">
      <c r="A650" s="16"/>
      <c r="B650" s="10"/>
      <c r="C650" s="17" t="str">
        <f aca="false">IF($B650="","",IFERROR(INDEX(품목마스터!$B$3:$B$302,MATCH($B650,품목마스터!$A$3:$A$302,0)),"미등록품번"))</f>
        <v/>
      </c>
      <c r="D650" s="17" t="str">
        <f aca="false">IF($B650="","",IFERROR(INDEX(품목마스터!$D$3:$D$302,MATCH($B650,품목마스터!$A$3:$A$302,0)),""))</f>
        <v/>
      </c>
      <c r="E650" s="12"/>
      <c r="F650" s="10"/>
    </row>
    <row r="651" customFormat="false" ht="15" hidden="false" customHeight="true" outlineLevel="0" collapsed="false">
      <c r="A651" s="16"/>
      <c r="B651" s="10"/>
      <c r="C651" s="17" t="str">
        <f aca="false">IF($B651="","",IFERROR(INDEX(품목마스터!$B$3:$B$302,MATCH($B651,품목마스터!$A$3:$A$302,0)),"미등록품번"))</f>
        <v/>
      </c>
      <c r="D651" s="17" t="str">
        <f aca="false">IF($B651="","",IFERROR(INDEX(품목마스터!$D$3:$D$302,MATCH($B651,품목마스터!$A$3:$A$302,0)),""))</f>
        <v/>
      </c>
      <c r="E651" s="12"/>
      <c r="F651" s="10"/>
    </row>
    <row r="652" customFormat="false" ht="15" hidden="false" customHeight="true" outlineLevel="0" collapsed="false">
      <c r="A652" s="16"/>
      <c r="B652" s="10"/>
      <c r="C652" s="17" t="str">
        <f aca="false">IF($B652="","",IFERROR(INDEX(품목마스터!$B$3:$B$302,MATCH($B652,품목마스터!$A$3:$A$302,0)),"미등록품번"))</f>
        <v/>
      </c>
      <c r="D652" s="17" t="str">
        <f aca="false">IF($B652="","",IFERROR(INDEX(품목마스터!$D$3:$D$302,MATCH($B652,품목마스터!$A$3:$A$302,0)),""))</f>
        <v/>
      </c>
      <c r="E652" s="12"/>
      <c r="F652" s="10"/>
    </row>
    <row r="653" customFormat="false" ht="15" hidden="false" customHeight="true" outlineLevel="0" collapsed="false">
      <c r="A653" s="16"/>
      <c r="B653" s="10"/>
      <c r="C653" s="17" t="str">
        <f aca="false">IF($B653="","",IFERROR(INDEX(품목마스터!$B$3:$B$302,MATCH($B653,품목마스터!$A$3:$A$302,0)),"미등록품번"))</f>
        <v/>
      </c>
      <c r="D653" s="17" t="str">
        <f aca="false">IF($B653="","",IFERROR(INDEX(품목마스터!$D$3:$D$302,MATCH($B653,품목마스터!$A$3:$A$302,0)),""))</f>
        <v/>
      </c>
      <c r="E653" s="12"/>
      <c r="F653" s="10"/>
    </row>
    <row r="654" customFormat="false" ht="15" hidden="false" customHeight="true" outlineLevel="0" collapsed="false">
      <c r="A654" s="16"/>
      <c r="B654" s="10"/>
      <c r="C654" s="17" t="str">
        <f aca="false">IF($B654="","",IFERROR(INDEX(품목마스터!$B$3:$B$302,MATCH($B654,품목마스터!$A$3:$A$302,0)),"미등록품번"))</f>
        <v/>
      </c>
      <c r="D654" s="17" t="str">
        <f aca="false">IF($B654="","",IFERROR(INDEX(품목마스터!$D$3:$D$302,MATCH($B654,품목마스터!$A$3:$A$302,0)),""))</f>
        <v/>
      </c>
      <c r="E654" s="12"/>
      <c r="F654" s="10"/>
    </row>
    <row r="655" customFormat="false" ht="15" hidden="false" customHeight="true" outlineLevel="0" collapsed="false">
      <c r="A655" s="16"/>
      <c r="B655" s="10"/>
      <c r="C655" s="17" t="str">
        <f aca="false">IF($B655="","",IFERROR(INDEX(품목마스터!$B$3:$B$302,MATCH($B655,품목마스터!$A$3:$A$302,0)),"미등록품번"))</f>
        <v/>
      </c>
      <c r="D655" s="17" t="str">
        <f aca="false">IF($B655="","",IFERROR(INDEX(품목마스터!$D$3:$D$302,MATCH($B655,품목마스터!$A$3:$A$302,0)),""))</f>
        <v/>
      </c>
      <c r="E655" s="12"/>
      <c r="F655" s="10"/>
    </row>
    <row r="656" customFormat="false" ht="15" hidden="false" customHeight="true" outlineLevel="0" collapsed="false">
      <c r="A656" s="16"/>
      <c r="B656" s="10"/>
      <c r="C656" s="17" t="str">
        <f aca="false">IF($B656="","",IFERROR(INDEX(품목마스터!$B$3:$B$302,MATCH($B656,품목마스터!$A$3:$A$302,0)),"미등록품번"))</f>
        <v/>
      </c>
      <c r="D656" s="17" t="str">
        <f aca="false">IF($B656="","",IFERROR(INDEX(품목마스터!$D$3:$D$302,MATCH($B656,품목마스터!$A$3:$A$302,0)),""))</f>
        <v/>
      </c>
      <c r="E656" s="12"/>
      <c r="F656" s="10"/>
    </row>
    <row r="657" customFormat="false" ht="15" hidden="false" customHeight="true" outlineLevel="0" collapsed="false">
      <c r="A657" s="16"/>
      <c r="B657" s="10"/>
      <c r="C657" s="17" t="str">
        <f aca="false">IF($B657="","",IFERROR(INDEX(품목마스터!$B$3:$B$302,MATCH($B657,품목마스터!$A$3:$A$302,0)),"미등록품번"))</f>
        <v/>
      </c>
      <c r="D657" s="17" t="str">
        <f aca="false">IF($B657="","",IFERROR(INDEX(품목마스터!$D$3:$D$302,MATCH($B657,품목마스터!$A$3:$A$302,0)),""))</f>
        <v/>
      </c>
      <c r="E657" s="12"/>
      <c r="F657" s="10"/>
    </row>
    <row r="658" customFormat="false" ht="15" hidden="false" customHeight="true" outlineLevel="0" collapsed="false">
      <c r="A658" s="16"/>
      <c r="B658" s="10"/>
      <c r="C658" s="17" t="str">
        <f aca="false">IF($B658="","",IFERROR(INDEX(품목마스터!$B$3:$B$302,MATCH($B658,품목마스터!$A$3:$A$302,0)),"미등록품번"))</f>
        <v/>
      </c>
      <c r="D658" s="17" t="str">
        <f aca="false">IF($B658="","",IFERROR(INDEX(품목마스터!$D$3:$D$302,MATCH($B658,품목마스터!$A$3:$A$302,0)),""))</f>
        <v/>
      </c>
      <c r="E658" s="12"/>
      <c r="F658" s="10"/>
    </row>
    <row r="659" customFormat="false" ht="15" hidden="false" customHeight="true" outlineLevel="0" collapsed="false">
      <c r="A659" s="16"/>
      <c r="B659" s="10"/>
      <c r="C659" s="17" t="str">
        <f aca="false">IF($B659="","",IFERROR(INDEX(품목마스터!$B$3:$B$302,MATCH($B659,품목마스터!$A$3:$A$302,0)),"미등록품번"))</f>
        <v/>
      </c>
      <c r="D659" s="17" t="str">
        <f aca="false">IF($B659="","",IFERROR(INDEX(품목마스터!$D$3:$D$302,MATCH($B659,품목마스터!$A$3:$A$302,0)),""))</f>
        <v/>
      </c>
      <c r="E659" s="12"/>
      <c r="F659" s="10"/>
    </row>
    <row r="660" customFormat="false" ht="15" hidden="false" customHeight="true" outlineLevel="0" collapsed="false">
      <c r="A660" s="16"/>
      <c r="B660" s="10"/>
      <c r="C660" s="17" t="str">
        <f aca="false">IF($B660="","",IFERROR(INDEX(품목마스터!$B$3:$B$302,MATCH($B660,품목마스터!$A$3:$A$302,0)),"미등록품번"))</f>
        <v/>
      </c>
      <c r="D660" s="17" t="str">
        <f aca="false">IF($B660="","",IFERROR(INDEX(품목마스터!$D$3:$D$302,MATCH($B660,품목마스터!$A$3:$A$302,0)),""))</f>
        <v/>
      </c>
      <c r="E660" s="12"/>
      <c r="F660" s="10"/>
    </row>
    <row r="661" customFormat="false" ht="15" hidden="false" customHeight="true" outlineLevel="0" collapsed="false">
      <c r="A661" s="16"/>
      <c r="B661" s="10"/>
      <c r="C661" s="17" t="str">
        <f aca="false">IF($B661="","",IFERROR(INDEX(품목마스터!$B$3:$B$302,MATCH($B661,품목마스터!$A$3:$A$302,0)),"미등록품번"))</f>
        <v/>
      </c>
      <c r="D661" s="17" t="str">
        <f aca="false">IF($B661="","",IFERROR(INDEX(품목마스터!$D$3:$D$302,MATCH($B661,품목마스터!$A$3:$A$302,0)),""))</f>
        <v/>
      </c>
      <c r="E661" s="12"/>
      <c r="F661" s="10"/>
    </row>
    <row r="662" customFormat="false" ht="15" hidden="false" customHeight="true" outlineLevel="0" collapsed="false">
      <c r="A662" s="16"/>
      <c r="B662" s="10"/>
      <c r="C662" s="17" t="str">
        <f aca="false">IF($B662="","",IFERROR(INDEX(품목마스터!$B$3:$B$302,MATCH($B662,품목마스터!$A$3:$A$302,0)),"미등록품번"))</f>
        <v/>
      </c>
      <c r="D662" s="17" t="str">
        <f aca="false">IF($B662="","",IFERROR(INDEX(품목마스터!$D$3:$D$302,MATCH($B662,품목마스터!$A$3:$A$302,0)),""))</f>
        <v/>
      </c>
      <c r="E662" s="12"/>
      <c r="F662" s="10"/>
    </row>
    <row r="663" customFormat="false" ht="15" hidden="false" customHeight="true" outlineLevel="0" collapsed="false">
      <c r="A663" s="16"/>
      <c r="B663" s="10"/>
      <c r="C663" s="17" t="str">
        <f aca="false">IF($B663="","",IFERROR(INDEX(품목마스터!$B$3:$B$302,MATCH($B663,품목마스터!$A$3:$A$302,0)),"미등록품번"))</f>
        <v/>
      </c>
      <c r="D663" s="17" t="str">
        <f aca="false">IF($B663="","",IFERROR(INDEX(품목마스터!$D$3:$D$302,MATCH($B663,품목마스터!$A$3:$A$302,0)),""))</f>
        <v/>
      </c>
      <c r="E663" s="12"/>
      <c r="F663" s="10"/>
    </row>
    <row r="664" customFormat="false" ht="15" hidden="false" customHeight="true" outlineLevel="0" collapsed="false">
      <c r="A664" s="16"/>
      <c r="B664" s="10"/>
      <c r="C664" s="17" t="str">
        <f aca="false">IF($B664="","",IFERROR(INDEX(품목마스터!$B$3:$B$302,MATCH($B664,품목마스터!$A$3:$A$302,0)),"미등록품번"))</f>
        <v/>
      </c>
      <c r="D664" s="17" t="str">
        <f aca="false">IF($B664="","",IFERROR(INDEX(품목마스터!$D$3:$D$302,MATCH($B664,품목마스터!$A$3:$A$302,0)),""))</f>
        <v/>
      </c>
      <c r="E664" s="12"/>
      <c r="F664" s="10"/>
    </row>
    <row r="665" customFormat="false" ht="15" hidden="false" customHeight="true" outlineLevel="0" collapsed="false">
      <c r="A665" s="16"/>
      <c r="B665" s="10"/>
      <c r="C665" s="17" t="str">
        <f aca="false">IF($B665="","",IFERROR(INDEX(품목마스터!$B$3:$B$302,MATCH($B665,품목마스터!$A$3:$A$302,0)),"미등록품번"))</f>
        <v/>
      </c>
      <c r="D665" s="17" t="str">
        <f aca="false">IF($B665="","",IFERROR(INDEX(품목마스터!$D$3:$D$302,MATCH($B665,품목마스터!$A$3:$A$302,0)),""))</f>
        <v/>
      </c>
      <c r="E665" s="12"/>
      <c r="F665" s="10"/>
    </row>
    <row r="666" customFormat="false" ht="15" hidden="false" customHeight="true" outlineLevel="0" collapsed="false">
      <c r="A666" s="16"/>
      <c r="B666" s="10"/>
      <c r="C666" s="17" t="str">
        <f aca="false">IF($B666="","",IFERROR(INDEX(품목마스터!$B$3:$B$302,MATCH($B666,품목마스터!$A$3:$A$302,0)),"미등록품번"))</f>
        <v/>
      </c>
      <c r="D666" s="17" t="str">
        <f aca="false">IF($B666="","",IFERROR(INDEX(품목마스터!$D$3:$D$302,MATCH($B666,품목마스터!$A$3:$A$302,0)),""))</f>
        <v/>
      </c>
      <c r="E666" s="12"/>
      <c r="F666" s="10"/>
    </row>
    <row r="667" customFormat="false" ht="15" hidden="false" customHeight="true" outlineLevel="0" collapsed="false">
      <c r="A667" s="16"/>
      <c r="B667" s="10"/>
      <c r="C667" s="17" t="str">
        <f aca="false">IF($B667="","",IFERROR(INDEX(품목마스터!$B$3:$B$302,MATCH($B667,품목마스터!$A$3:$A$302,0)),"미등록품번"))</f>
        <v/>
      </c>
      <c r="D667" s="17" t="str">
        <f aca="false">IF($B667="","",IFERROR(INDEX(품목마스터!$D$3:$D$302,MATCH($B667,품목마스터!$A$3:$A$302,0)),""))</f>
        <v/>
      </c>
      <c r="E667" s="12"/>
      <c r="F667" s="10"/>
    </row>
    <row r="668" customFormat="false" ht="15" hidden="false" customHeight="true" outlineLevel="0" collapsed="false">
      <c r="A668" s="16"/>
      <c r="B668" s="10"/>
      <c r="C668" s="17" t="str">
        <f aca="false">IF($B668="","",IFERROR(INDEX(품목마스터!$B$3:$B$302,MATCH($B668,품목마스터!$A$3:$A$302,0)),"미등록품번"))</f>
        <v/>
      </c>
      <c r="D668" s="17" t="str">
        <f aca="false">IF($B668="","",IFERROR(INDEX(품목마스터!$D$3:$D$302,MATCH($B668,품목마스터!$A$3:$A$302,0)),""))</f>
        <v/>
      </c>
      <c r="E668" s="12"/>
      <c r="F668" s="10"/>
    </row>
    <row r="669" customFormat="false" ht="15" hidden="false" customHeight="true" outlineLevel="0" collapsed="false">
      <c r="A669" s="16"/>
      <c r="B669" s="10"/>
      <c r="C669" s="17" t="str">
        <f aca="false">IF($B669="","",IFERROR(INDEX(품목마스터!$B$3:$B$302,MATCH($B669,품목마스터!$A$3:$A$302,0)),"미등록품번"))</f>
        <v/>
      </c>
      <c r="D669" s="17" t="str">
        <f aca="false">IF($B669="","",IFERROR(INDEX(품목마스터!$D$3:$D$302,MATCH($B669,품목마스터!$A$3:$A$302,0)),""))</f>
        <v/>
      </c>
      <c r="E669" s="12"/>
      <c r="F669" s="10"/>
    </row>
    <row r="670" customFormat="false" ht="15" hidden="false" customHeight="true" outlineLevel="0" collapsed="false">
      <c r="A670" s="16"/>
      <c r="B670" s="10"/>
      <c r="C670" s="17" t="str">
        <f aca="false">IF($B670="","",IFERROR(INDEX(품목마스터!$B$3:$B$302,MATCH($B670,품목마스터!$A$3:$A$302,0)),"미등록품번"))</f>
        <v/>
      </c>
      <c r="D670" s="17" t="str">
        <f aca="false">IF($B670="","",IFERROR(INDEX(품목마스터!$D$3:$D$302,MATCH($B670,품목마스터!$A$3:$A$302,0)),""))</f>
        <v/>
      </c>
      <c r="E670" s="12"/>
      <c r="F670" s="10"/>
    </row>
    <row r="671" customFormat="false" ht="15" hidden="false" customHeight="true" outlineLevel="0" collapsed="false">
      <c r="A671" s="16"/>
      <c r="B671" s="10"/>
      <c r="C671" s="17" t="str">
        <f aca="false">IF($B671="","",IFERROR(INDEX(품목마스터!$B$3:$B$302,MATCH($B671,품목마스터!$A$3:$A$302,0)),"미등록품번"))</f>
        <v/>
      </c>
      <c r="D671" s="17" t="str">
        <f aca="false">IF($B671="","",IFERROR(INDEX(품목마스터!$D$3:$D$302,MATCH($B671,품목마스터!$A$3:$A$302,0)),""))</f>
        <v/>
      </c>
      <c r="E671" s="12"/>
      <c r="F671" s="10"/>
    </row>
    <row r="672" customFormat="false" ht="15" hidden="false" customHeight="true" outlineLevel="0" collapsed="false">
      <c r="A672" s="16"/>
      <c r="B672" s="10"/>
      <c r="C672" s="17" t="str">
        <f aca="false">IF($B672="","",IFERROR(INDEX(품목마스터!$B$3:$B$302,MATCH($B672,품목마스터!$A$3:$A$302,0)),"미등록품번"))</f>
        <v/>
      </c>
      <c r="D672" s="17" t="str">
        <f aca="false">IF($B672="","",IFERROR(INDEX(품목마스터!$D$3:$D$302,MATCH($B672,품목마스터!$A$3:$A$302,0)),""))</f>
        <v/>
      </c>
      <c r="E672" s="12"/>
      <c r="F672" s="10"/>
    </row>
    <row r="673" customFormat="false" ht="15" hidden="false" customHeight="true" outlineLevel="0" collapsed="false">
      <c r="A673" s="16"/>
      <c r="B673" s="10"/>
      <c r="C673" s="17" t="str">
        <f aca="false">IF($B673="","",IFERROR(INDEX(품목마스터!$B$3:$B$302,MATCH($B673,품목마스터!$A$3:$A$302,0)),"미등록품번"))</f>
        <v/>
      </c>
      <c r="D673" s="17" t="str">
        <f aca="false">IF($B673="","",IFERROR(INDEX(품목마스터!$D$3:$D$302,MATCH($B673,품목마스터!$A$3:$A$302,0)),""))</f>
        <v/>
      </c>
      <c r="E673" s="12"/>
      <c r="F673" s="10"/>
    </row>
    <row r="674" customFormat="false" ht="15" hidden="false" customHeight="true" outlineLevel="0" collapsed="false">
      <c r="A674" s="16"/>
      <c r="B674" s="10"/>
      <c r="C674" s="17" t="str">
        <f aca="false">IF($B674="","",IFERROR(INDEX(품목마스터!$B$3:$B$302,MATCH($B674,품목마스터!$A$3:$A$302,0)),"미등록품번"))</f>
        <v/>
      </c>
      <c r="D674" s="17" t="str">
        <f aca="false">IF($B674="","",IFERROR(INDEX(품목마스터!$D$3:$D$302,MATCH($B674,품목마스터!$A$3:$A$302,0)),""))</f>
        <v/>
      </c>
      <c r="E674" s="12"/>
      <c r="F674" s="10"/>
    </row>
    <row r="675" customFormat="false" ht="15" hidden="false" customHeight="true" outlineLevel="0" collapsed="false">
      <c r="A675" s="16"/>
      <c r="B675" s="10"/>
      <c r="C675" s="17" t="str">
        <f aca="false">IF($B675="","",IFERROR(INDEX(품목마스터!$B$3:$B$302,MATCH($B675,품목마스터!$A$3:$A$302,0)),"미등록품번"))</f>
        <v/>
      </c>
      <c r="D675" s="17" t="str">
        <f aca="false">IF($B675="","",IFERROR(INDEX(품목마스터!$D$3:$D$302,MATCH($B675,품목마스터!$A$3:$A$302,0)),""))</f>
        <v/>
      </c>
      <c r="E675" s="12"/>
      <c r="F675" s="10"/>
    </row>
    <row r="676" customFormat="false" ht="15" hidden="false" customHeight="true" outlineLevel="0" collapsed="false">
      <c r="A676" s="16"/>
      <c r="B676" s="10"/>
      <c r="C676" s="17" t="str">
        <f aca="false">IF($B676="","",IFERROR(INDEX(품목마스터!$B$3:$B$302,MATCH($B676,품목마스터!$A$3:$A$302,0)),"미등록품번"))</f>
        <v/>
      </c>
      <c r="D676" s="17" t="str">
        <f aca="false">IF($B676="","",IFERROR(INDEX(품목마스터!$D$3:$D$302,MATCH($B676,품목마스터!$A$3:$A$302,0)),""))</f>
        <v/>
      </c>
      <c r="E676" s="12"/>
      <c r="F676" s="10"/>
    </row>
    <row r="677" customFormat="false" ht="15" hidden="false" customHeight="true" outlineLevel="0" collapsed="false">
      <c r="A677" s="16"/>
      <c r="B677" s="10"/>
      <c r="C677" s="17" t="str">
        <f aca="false">IF($B677="","",IFERROR(INDEX(품목마스터!$B$3:$B$302,MATCH($B677,품목마스터!$A$3:$A$302,0)),"미등록품번"))</f>
        <v/>
      </c>
      <c r="D677" s="17" t="str">
        <f aca="false">IF($B677="","",IFERROR(INDEX(품목마스터!$D$3:$D$302,MATCH($B677,품목마스터!$A$3:$A$302,0)),""))</f>
        <v/>
      </c>
      <c r="E677" s="12"/>
      <c r="F677" s="10"/>
    </row>
    <row r="678" customFormat="false" ht="15" hidden="false" customHeight="true" outlineLevel="0" collapsed="false">
      <c r="A678" s="16"/>
      <c r="B678" s="10"/>
      <c r="C678" s="17" t="str">
        <f aca="false">IF($B678="","",IFERROR(INDEX(품목마스터!$B$3:$B$302,MATCH($B678,품목마스터!$A$3:$A$302,0)),"미등록품번"))</f>
        <v/>
      </c>
      <c r="D678" s="17" t="str">
        <f aca="false">IF($B678="","",IFERROR(INDEX(품목마스터!$D$3:$D$302,MATCH($B678,품목마스터!$A$3:$A$302,0)),""))</f>
        <v/>
      </c>
      <c r="E678" s="12"/>
      <c r="F678" s="10"/>
    </row>
    <row r="679" customFormat="false" ht="15" hidden="false" customHeight="true" outlineLevel="0" collapsed="false">
      <c r="A679" s="16"/>
      <c r="B679" s="10"/>
      <c r="C679" s="17" t="str">
        <f aca="false">IF($B679="","",IFERROR(INDEX(품목마스터!$B$3:$B$302,MATCH($B679,품목마스터!$A$3:$A$302,0)),"미등록품번"))</f>
        <v/>
      </c>
      <c r="D679" s="17" t="str">
        <f aca="false">IF($B679="","",IFERROR(INDEX(품목마스터!$D$3:$D$302,MATCH($B679,품목마스터!$A$3:$A$302,0)),""))</f>
        <v/>
      </c>
      <c r="E679" s="12"/>
      <c r="F679" s="10"/>
    </row>
    <row r="680" customFormat="false" ht="15" hidden="false" customHeight="true" outlineLevel="0" collapsed="false">
      <c r="A680" s="16"/>
      <c r="B680" s="10"/>
      <c r="C680" s="17" t="str">
        <f aca="false">IF($B680="","",IFERROR(INDEX(품목마스터!$B$3:$B$302,MATCH($B680,품목마스터!$A$3:$A$302,0)),"미등록품번"))</f>
        <v/>
      </c>
      <c r="D680" s="17" t="str">
        <f aca="false">IF($B680="","",IFERROR(INDEX(품목마스터!$D$3:$D$302,MATCH($B680,품목마스터!$A$3:$A$302,0)),""))</f>
        <v/>
      </c>
      <c r="E680" s="12"/>
      <c r="F680" s="10"/>
    </row>
    <row r="681" customFormat="false" ht="15" hidden="false" customHeight="true" outlineLevel="0" collapsed="false">
      <c r="A681" s="16"/>
      <c r="B681" s="10"/>
      <c r="C681" s="17" t="str">
        <f aca="false">IF($B681="","",IFERROR(INDEX(품목마스터!$B$3:$B$302,MATCH($B681,품목마스터!$A$3:$A$302,0)),"미등록품번"))</f>
        <v/>
      </c>
      <c r="D681" s="17" t="str">
        <f aca="false">IF($B681="","",IFERROR(INDEX(품목마스터!$D$3:$D$302,MATCH($B681,품목마스터!$A$3:$A$302,0)),""))</f>
        <v/>
      </c>
      <c r="E681" s="12"/>
      <c r="F681" s="10"/>
    </row>
    <row r="682" customFormat="false" ht="15" hidden="false" customHeight="true" outlineLevel="0" collapsed="false">
      <c r="A682" s="16"/>
      <c r="B682" s="10"/>
      <c r="C682" s="17" t="str">
        <f aca="false">IF($B682="","",IFERROR(INDEX(품목마스터!$B$3:$B$302,MATCH($B682,품목마스터!$A$3:$A$302,0)),"미등록품번"))</f>
        <v/>
      </c>
      <c r="D682" s="17" t="str">
        <f aca="false">IF($B682="","",IFERROR(INDEX(품목마스터!$D$3:$D$302,MATCH($B682,품목마스터!$A$3:$A$302,0)),""))</f>
        <v/>
      </c>
      <c r="E682" s="12"/>
      <c r="F682" s="10"/>
    </row>
    <row r="683" customFormat="false" ht="15" hidden="false" customHeight="true" outlineLevel="0" collapsed="false">
      <c r="A683" s="16"/>
      <c r="B683" s="10"/>
      <c r="C683" s="17" t="str">
        <f aca="false">IF($B683="","",IFERROR(INDEX(품목마스터!$B$3:$B$302,MATCH($B683,품목마스터!$A$3:$A$302,0)),"미등록품번"))</f>
        <v/>
      </c>
      <c r="D683" s="17" t="str">
        <f aca="false">IF($B683="","",IFERROR(INDEX(품목마스터!$D$3:$D$302,MATCH($B683,품목마스터!$A$3:$A$302,0)),""))</f>
        <v/>
      </c>
      <c r="E683" s="12"/>
      <c r="F683" s="10"/>
    </row>
    <row r="684" customFormat="false" ht="15" hidden="false" customHeight="true" outlineLevel="0" collapsed="false">
      <c r="A684" s="16"/>
      <c r="B684" s="10"/>
      <c r="C684" s="17" t="str">
        <f aca="false">IF($B684="","",IFERROR(INDEX(품목마스터!$B$3:$B$302,MATCH($B684,품목마스터!$A$3:$A$302,0)),"미등록품번"))</f>
        <v/>
      </c>
      <c r="D684" s="17" t="str">
        <f aca="false">IF($B684="","",IFERROR(INDEX(품목마스터!$D$3:$D$302,MATCH($B684,품목마스터!$A$3:$A$302,0)),""))</f>
        <v/>
      </c>
      <c r="E684" s="12"/>
      <c r="F684" s="10"/>
    </row>
    <row r="685" customFormat="false" ht="15" hidden="false" customHeight="true" outlineLevel="0" collapsed="false">
      <c r="A685" s="16"/>
      <c r="B685" s="10"/>
      <c r="C685" s="17" t="str">
        <f aca="false">IF($B685="","",IFERROR(INDEX(품목마스터!$B$3:$B$302,MATCH($B685,품목마스터!$A$3:$A$302,0)),"미등록품번"))</f>
        <v/>
      </c>
      <c r="D685" s="17" t="str">
        <f aca="false">IF($B685="","",IFERROR(INDEX(품목마스터!$D$3:$D$302,MATCH($B685,품목마스터!$A$3:$A$302,0)),""))</f>
        <v/>
      </c>
      <c r="E685" s="12"/>
      <c r="F685" s="10"/>
    </row>
    <row r="686" customFormat="false" ht="15" hidden="false" customHeight="true" outlineLevel="0" collapsed="false">
      <c r="A686" s="16"/>
      <c r="B686" s="10"/>
      <c r="C686" s="17" t="str">
        <f aca="false">IF($B686="","",IFERROR(INDEX(품목마스터!$B$3:$B$302,MATCH($B686,품목마스터!$A$3:$A$302,0)),"미등록품번"))</f>
        <v/>
      </c>
      <c r="D686" s="17" t="str">
        <f aca="false">IF($B686="","",IFERROR(INDEX(품목마스터!$D$3:$D$302,MATCH($B686,품목마스터!$A$3:$A$302,0)),""))</f>
        <v/>
      </c>
      <c r="E686" s="12"/>
      <c r="F686" s="10"/>
    </row>
    <row r="687" customFormat="false" ht="15" hidden="false" customHeight="true" outlineLevel="0" collapsed="false">
      <c r="A687" s="16"/>
      <c r="B687" s="10"/>
      <c r="C687" s="17" t="str">
        <f aca="false">IF($B687="","",IFERROR(INDEX(품목마스터!$B$3:$B$302,MATCH($B687,품목마스터!$A$3:$A$302,0)),"미등록품번"))</f>
        <v/>
      </c>
      <c r="D687" s="17" t="str">
        <f aca="false">IF($B687="","",IFERROR(INDEX(품목마스터!$D$3:$D$302,MATCH($B687,품목마스터!$A$3:$A$302,0)),""))</f>
        <v/>
      </c>
      <c r="E687" s="12"/>
      <c r="F687" s="10"/>
    </row>
    <row r="688" customFormat="false" ht="15" hidden="false" customHeight="true" outlineLevel="0" collapsed="false">
      <c r="A688" s="16"/>
      <c r="B688" s="10"/>
      <c r="C688" s="17" t="str">
        <f aca="false">IF($B688="","",IFERROR(INDEX(품목마스터!$B$3:$B$302,MATCH($B688,품목마스터!$A$3:$A$302,0)),"미등록품번"))</f>
        <v/>
      </c>
      <c r="D688" s="17" t="str">
        <f aca="false">IF($B688="","",IFERROR(INDEX(품목마스터!$D$3:$D$302,MATCH($B688,품목마스터!$A$3:$A$302,0)),""))</f>
        <v/>
      </c>
      <c r="E688" s="12"/>
      <c r="F688" s="10"/>
    </row>
    <row r="689" customFormat="false" ht="15" hidden="false" customHeight="true" outlineLevel="0" collapsed="false">
      <c r="A689" s="16"/>
      <c r="B689" s="10"/>
      <c r="C689" s="17" t="str">
        <f aca="false">IF($B689="","",IFERROR(INDEX(품목마스터!$B$3:$B$302,MATCH($B689,품목마스터!$A$3:$A$302,0)),"미등록품번"))</f>
        <v/>
      </c>
      <c r="D689" s="17" t="str">
        <f aca="false">IF($B689="","",IFERROR(INDEX(품목마스터!$D$3:$D$302,MATCH($B689,품목마스터!$A$3:$A$302,0)),""))</f>
        <v/>
      </c>
      <c r="E689" s="12"/>
      <c r="F689" s="10"/>
    </row>
    <row r="690" customFormat="false" ht="15" hidden="false" customHeight="true" outlineLevel="0" collapsed="false">
      <c r="A690" s="16"/>
      <c r="B690" s="10"/>
      <c r="C690" s="17" t="str">
        <f aca="false">IF($B690="","",IFERROR(INDEX(품목마스터!$B$3:$B$302,MATCH($B690,품목마스터!$A$3:$A$302,0)),"미등록품번"))</f>
        <v/>
      </c>
      <c r="D690" s="17" t="str">
        <f aca="false">IF($B690="","",IFERROR(INDEX(품목마스터!$D$3:$D$302,MATCH($B690,품목마스터!$A$3:$A$302,0)),""))</f>
        <v/>
      </c>
      <c r="E690" s="12"/>
      <c r="F690" s="10"/>
    </row>
    <row r="691" customFormat="false" ht="15" hidden="false" customHeight="true" outlineLevel="0" collapsed="false">
      <c r="A691" s="16"/>
      <c r="B691" s="10"/>
      <c r="C691" s="17" t="str">
        <f aca="false">IF($B691="","",IFERROR(INDEX(품목마스터!$B$3:$B$302,MATCH($B691,품목마스터!$A$3:$A$302,0)),"미등록품번"))</f>
        <v/>
      </c>
      <c r="D691" s="17" t="str">
        <f aca="false">IF($B691="","",IFERROR(INDEX(품목마스터!$D$3:$D$302,MATCH($B691,품목마스터!$A$3:$A$302,0)),""))</f>
        <v/>
      </c>
      <c r="E691" s="12"/>
      <c r="F691" s="10"/>
    </row>
    <row r="692" customFormat="false" ht="15" hidden="false" customHeight="true" outlineLevel="0" collapsed="false">
      <c r="A692" s="16"/>
      <c r="B692" s="10"/>
      <c r="C692" s="17" t="str">
        <f aca="false">IF($B692="","",IFERROR(INDEX(품목마스터!$B$3:$B$302,MATCH($B692,품목마스터!$A$3:$A$302,0)),"미등록품번"))</f>
        <v/>
      </c>
      <c r="D692" s="17" t="str">
        <f aca="false">IF($B692="","",IFERROR(INDEX(품목마스터!$D$3:$D$302,MATCH($B692,품목마스터!$A$3:$A$302,0)),""))</f>
        <v/>
      </c>
      <c r="E692" s="12"/>
      <c r="F692" s="10"/>
    </row>
    <row r="693" customFormat="false" ht="15" hidden="false" customHeight="true" outlineLevel="0" collapsed="false">
      <c r="A693" s="16"/>
      <c r="B693" s="10"/>
      <c r="C693" s="17" t="str">
        <f aca="false">IF($B693="","",IFERROR(INDEX(품목마스터!$B$3:$B$302,MATCH($B693,품목마스터!$A$3:$A$302,0)),"미등록품번"))</f>
        <v/>
      </c>
      <c r="D693" s="17" t="str">
        <f aca="false">IF($B693="","",IFERROR(INDEX(품목마스터!$D$3:$D$302,MATCH($B693,품목마스터!$A$3:$A$302,0)),""))</f>
        <v/>
      </c>
      <c r="E693" s="12"/>
      <c r="F693" s="10"/>
    </row>
    <row r="694" customFormat="false" ht="15" hidden="false" customHeight="true" outlineLevel="0" collapsed="false">
      <c r="A694" s="16"/>
      <c r="B694" s="10"/>
      <c r="C694" s="17" t="str">
        <f aca="false">IF($B694="","",IFERROR(INDEX(품목마스터!$B$3:$B$302,MATCH($B694,품목마스터!$A$3:$A$302,0)),"미등록품번"))</f>
        <v/>
      </c>
      <c r="D694" s="17" t="str">
        <f aca="false">IF($B694="","",IFERROR(INDEX(품목마스터!$D$3:$D$302,MATCH($B694,품목마스터!$A$3:$A$302,0)),""))</f>
        <v/>
      </c>
      <c r="E694" s="12"/>
      <c r="F694" s="10"/>
    </row>
    <row r="695" customFormat="false" ht="15" hidden="false" customHeight="true" outlineLevel="0" collapsed="false">
      <c r="A695" s="16"/>
      <c r="B695" s="10"/>
      <c r="C695" s="17" t="str">
        <f aca="false">IF($B695="","",IFERROR(INDEX(품목마스터!$B$3:$B$302,MATCH($B695,품목마스터!$A$3:$A$302,0)),"미등록품번"))</f>
        <v/>
      </c>
      <c r="D695" s="17" t="str">
        <f aca="false">IF($B695="","",IFERROR(INDEX(품목마스터!$D$3:$D$302,MATCH($B695,품목마스터!$A$3:$A$302,0)),""))</f>
        <v/>
      </c>
      <c r="E695" s="12"/>
      <c r="F695" s="10"/>
    </row>
    <row r="696" customFormat="false" ht="15" hidden="false" customHeight="true" outlineLevel="0" collapsed="false">
      <c r="A696" s="16"/>
      <c r="B696" s="10"/>
      <c r="C696" s="17" t="str">
        <f aca="false">IF($B696="","",IFERROR(INDEX(품목마스터!$B$3:$B$302,MATCH($B696,품목마스터!$A$3:$A$302,0)),"미등록품번"))</f>
        <v/>
      </c>
      <c r="D696" s="17" t="str">
        <f aca="false">IF($B696="","",IFERROR(INDEX(품목마스터!$D$3:$D$302,MATCH($B696,품목마스터!$A$3:$A$302,0)),""))</f>
        <v/>
      </c>
      <c r="E696" s="12"/>
      <c r="F696" s="10"/>
    </row>
    <row r="697" customFormat="false" ht="15" hidden="false" customHeight="true" outlineLevel="0" collapsed="false">
      <c r="A697" s="16"/>
      <c r="B697" s="10"/>
      <c r="C697" s="17" t="str">
        <f aca="false">IF($B697="","",IFERROR(INDEX(품목마스터!$B$3:$B$302,MATCH($B697,품목마스터!$A$3:$A$302,0)),"미등록품번"))</f>
        <v/>
      </c>
      <c r="D697" s="17" t="str">
        <f aca="false">IF($B697="","",IFERROR(INDEX(품목마스터!$D$3:$D$302,MATCH($B697,품목마스터!$A$3:$A$302,0)),""))</f>
        <v/>
      </c>
      <c r="E697" s="12"/>
      <c r="F697" s="10"/>
    </row>
    <row r="698" customFormat="false" ht="15" hidden="false" customHeight="true" outlineLevel="0" collapsed="false">
      <c r="A698" s="16"/>
      <c r="B698" s="10"/>
      <c r="C698" s="17" t="str">
        <f aca="false">IF($B698="","",IFERROR(INDEX(품목마스터!$B$3:$B$302,MATCH($B698,품목마스터!$A$3:$A$302,0)),"미등록품번"))</f>
        <v/>
      </c>
      <c r="D698" s="17" t="str">
        <f aca="false">IF($B698="","",IFERROR(INDEX(품목마스터!$D$3:$D$302,MATCH($B698,품목마스터!$A$3:$A$302,0)),""))</f>
        <v/>
      </c>
      <c r="E698" s="12"/>
      <c r="F698" s="10"/>
    </row>
    <row r="699" customFormat="false" ht="15" hidden="false" customHeight="true" outlineLevel="0" collapsed="false">
      <c r="A699" s="16"/>
      <c r="B699" s="10"/>
      <c r="C699" s="17" t="str">
        <f aca="false">IF($B699="","",IFERROR(INDEX(품목마스터!$B$3:$B$302,MATCH($B699,품목마스터!$A$3:$A$302,0)),"미등록품번"))</f>
        <v/>
      </c>
      <c r="D699" s="17" t="str">
        <f aca="false">IF($B699="","",IFERROR(INDEX(품목마스터!$D$3:$D$302,MATCH($B699,품목마스터!$A$3:$A$302,0)),""))</f>
        <v/>
      </c>
      <c r="E699" s="12"/>
      <c r="F699" s="10"/>
    </row>
    <row r="700" customFormat="false" ht="15" hidden="false" customHeight="true" outlineLevel="0" collapsed="false">
      <c r="A700" s="16"/>
      <c r="B700" s="10"/>
      <c r="C700" s="17" t="str">
        <f aca="false">IF($B700="","",IFERROR(INDEX(품목마스터!$B$3:$B$302,MATCH($B700,품목마스터!$A$3:$A$302,0)),"미등록품번"))</f>
        <v/>
      </c>
      <c r="D700" s="17" t="str">
        <f aca="false">IF($B700="","",IFERROR(INDEX(품목마스터!$D$3:$D$302,MATCH($B700,품목마스터!$A$3:$A$302,0)),""))</f>
        <v/>
      </c>
      <c r="E700" s="12"/>
      <c r="F700" s="10"/>
    </row>
    <row r="701" customFormat="false" ht="15" hidden="false" customHeight="true" outlineLevel="0" collapsed="false">
      <c r="A701" s="16"/>
      <c r="B701" s="10"/>
      <c r="C701" s="17" t="str">
        <f aca="false">IF($B701="","",IFERROR(INDEX(품목마스터!$B$3:$B$302,MATCH($B701,품목마스터!$A$3:$A$302,0)),"미등록품번"))</f>
        <v/>
      </c>
      <c r="D701" s="17" t="str">
        <f aca="false">IF($B701="","",IFERROR(INDEX(품목마스터!$D$3:$D$302,MATCH($B701,품목마스터!$A$3:$A$302,0)),""))</f>
        <v/>
      </c>
      <c r="E701" s="12"/>
      <c r="F701" s="10"/>
    </row>
    <row r="702" customFormat="false" ht="15" hidden="false" customHeight="true" outlineLevel="0" collapsed="false">
      <c r="A702" s="16"/>
      <c r="B702" s="10"/>
      <c r="C702" s="17" t="str">
        <f aca="false">IF($B702="","",IFERROR(INDEX(품목마스터!$B$3:$B$302,MATCH($B702,품목마스터!$A$3:$A$302,0)),"미등록품번"))</f>
        <v/>
      </c>
      <c r="D702" s="17" t="str">
        <f aca="false">IF($B702="","",IFERROR(INDEX(품목마스터!$D$3:$D$302,MATCH($B702,품목마스터!$A$3:$A$302,0)),""))</f>
        <v/>
      </c>
      <c r="E702" s="12"/>
      <c r="F702" s="10"/>
    </row>
    <row r="703" customFormat="false" ht="15" hidden="false" customHeight="true" outlineLevel="0" collapsed="false">
      <c r="A703" s="16"/>
      <c r="B703" s="10"/>
      <c r="C703" s="17" t="str">
        <f aca="false">IF($B703="","",IFERROR(INDEX(품목마스터!$B$3:$B$302,MATCH($B703,품목마스터!$A$3:$A$302,0)),"미등록품번"))</f>
        <v/>
      </c>
      <c r="D703" s="17" t="str">
        <f aca="false">IF($B703="","",IFERROR(INDEX(품목마스터!$D$3:$D$302,MATCH($B703,품목마스터!$A$3:$A$302,0)),""))</f>
        <v/>
      </c>
      <c r="E703" s="12"/>
      <c r="F703" s="10"/>
    </row>
    <row r="704" customFormat="false" ht="15" hidden="false" customHeight="true" outlineLevel="0" collapsed="false">
      <c r="A704" s="16"/>
      <c r="B704" s="10"/>
      <c r="C704" s="17" t="str">
        <f aca="false">IF($B704="","",IFERROR(INDEX(품목마스터!$B$3:$B$302,MATCH($B704,품목마스터!$A$3:$A$302,0)),"미등록품번"))</f>
        <v/>
      </c>
      <c r="D704" s="17" t="str">
        <f aca="false">IF($B704="","",IFERROR(INDEX(품목마스터!$D$3:$D$302,MATCH($B704,품목마스터!$A$3:$A$302,0)),""))</f>
        <v/>
      </c>
      <c r="E704" s="12"/>
      <c r="F704" s="10"/>
    </row>
    <row r="705" customFormat="false" ht="15" hidden="false" customHeight="true" outlineLevel="0" collapsed="false">
      <c r="A705" s="16"/>
      <c r="B705" s="10"/>
      <c r="C705" s="17" t="str">
        <f aca="false">IF($B705="","",IFERROR(INDEX(품목마스터!$B$3:$B$302,MATCH($B705,품목마스터!$A$3:$A$302,0)),"미등록품번"))</f>
        <v/>
      </c>
      <c r="D705" s="17" t="str">
        <f aca="false">IF($B705="","",IFERROR(INDEX(품목마스터!$D$3:$D$302,MATCH($B705,품목마스터!$A$3:$A$302,0)),""))</f>
        <v/>
      </c>
      <c r="E705" s="12"/>
      <c r="F705" s="10"/>
    </row>
    <row r="706" customFormat="false" ht="15" hidden="false" customHeight="true" outlineLevel="0" collapsed="false">
      <c r="A706" s="16"/>
      <c r="B706" s="10"/>
      <c r="C706" s="17" t="str">
        <f aca="false">IF($B706="","",IFERROR(INDEX(품목마스터!$B$3:$B$302,MATCH($B706,품목마스터!$A$3:$A$302,0)),"미등록품번"))</f>
        <v/>
      </c>
      <c r="D706" s="17" t="str">
        <f aca="false">IF($B706="","",IFERROR(INDEX(품목마스터!$D$3:$D$302,MATCH($B706,품목마스터!$A$3:$A$302,0)),""))</f>
        <v/>
      </c>
      <c r="E706" s="12"/>
      <c r="F706" s="10"/>
    </row>
    <row r="707" customFormat="false" ht="15" hidden="false" customHeight="true" outlineLevel="0" collapsed="false">
      <c r="A707" s="16"/>
      <c r="B707" s="10"/>
      <c r="C707" s="17" t="str">
        <f aca="false">IF($B707="","",IFERROR(INDEX(품목마스터!$B$3:$B$302,MATCH($B707,품목마스터!$A$3:$A$302,0)),"미등록품번"))</f>
        <v/>
      </c>
      <c r="D707" s="17" t="str">
        <f aca="false">IF($B707="","",IFERROR(INDEX(품목마스터!$D$3:$D$302,MATCH($B707,품목마스터!$A$3:$A$302,0)),""))</f>
        <v/>
      </c>
      <c r="E707" s="12"/>
      <c r="F707" s="10"/>
    </row>
    <row r="708" customFormat="false" ht="15" hidden="false" customHeight="true" outlineLevel="0" collapsed="false">
      <c r="A708" s="16"/>
      <c r="B708" s="10"/>
      <c r="C708" s="17" t="str">
        <f aca="false">IF($B708="","",IFERROR(INDEX(품목마스터!$B$3:$B$302,MATCH($B708,품목마스터!$A$3:$A$302,0)),"미등록품번"))</f>
        <v/>
      </c>
      <c r="D708" s="17" t="str">
        <f aca="false">IF($B708="","",IFERROR(INDEX(품목마스터!$D$3:$D$302,MATCH($B708,품목마스터!$A$3:$A$302,0)),""))</f>
        <v/>
      </c>
      <c r="E708" s="12"/>
      <c r="F708" s="10"/>
    </row>
    <row r="709" customFormat="false" ht="15" hidden="false" customHeight="true" outlineLevel="0" collapsed="false">
      <c r="A709" s="16"/>
      <c r="B709" s="10"/>
      <c r="C709" s="17" t="str">
        <f aca="false">IF($B709="","",IFERROR(INDEX(품목마스터!$B$3:$B$302,MATCH($B709,품목마스터!$A$3:$A$302,0)),"미등록품번"))</f>
        <v/>
      </c>
      <c r="D709" s="17" t="str">
        <f aca="false">IF($B709="","",IFERROR(INDEX(품목마스터!$D$3:$D$302,MATCH($B709,품목마스터!$A$3:$A$302,0)),""))</f>
        <v/>
      </c>
      <c r="E709" s="12"/>
      <c r="F709" s="10"/>
    </row>
    <row r="710" customFormat="false" ht="15" hidden="false" customHeight="true" outlineLevel="0" collapsed="false">
      <c r="A710" s="16"/>
      <c r="B710" s="10"/>
      <c r="C710" s="17" t="str">
        <f aca="false">IF($B710="","",IFERROR(INDEX(품목마스터!$B$3:$B$302,MATCH($B710,품목마스터!$A$3:$A$302,0)),"미등록품번"))</f>
        <v/>
      </c>
      <c r="D710" s="17" t="str">
        <f aca="false">IF($B710="","",IFERROR(INDEX(품목마스터!$D$3:$D$302,MATCH($B710,품목마스터!$A$3:$A$302,0)),""))</f>
        <v/>
      </c>
      <c r="E710" s="12"/>
      <c r="F710" s="10"/>
    </row>
    <row r="711" customFormat="false" ht="15" hidden="false" customHeight="true" outlineLevel="0" collapsed="false">
      <c r="A711" s="16"/>
      <c r="B711" s="10"/>
      <c r="C711" s="17" t="str">
        <f aca="false">IF($B711="","",IFERROR(INDEX(품목마스터!$B$3:$B$302,MATCH($B711,품목마스터!$A$3:$A$302,0)),"미등록품번"))</f>
        <v/>
      </c>
      <c r="D711" s="17" t="str">
        <f aca="false">IF($B711="","",IFERROR(INDEX(품목마스터!$D$3:$D$302,MATCH($B711,품목마스터!$A$3:$A$302,0)),""))</f>
        <v/>
      </c>
      <c r="E711" s="12"/>
      <c r="F711" s="10"/>
    </row>
    <row r="712" customFormat="false" ht="15" hidden="false" customHeight="true" outlineLevel="0" collapsed="false">
      <c r="A712" s="16"/>
      <c r="B712" s="10"/>
      <c r="C712" s="17" t="str">
        <f aca="false">IF($B712="","",IFERROR(INDEX(품목마스터!$B$3:$B$302,MATCH($B712,품목마스터!$A$3:$A$302,0)),"미등록품번"))</f>
        <v/>
      </c>
      <c r="D712" s="17" t="str">
        <f aca="false">IF($B712="","",IFERROR(INDEX(품목마스터!$D$3:$D$302,MATCH($B712,품목마스터!$A$3:$A$302,0)),""))</f>
        <v/>
      </c>
      <c r="E712" s="12"/>
      <c r="F712" s="10"/>
    </row>
    <row r="713" customFormat="false" ht="15" hidden="false" customHeight="true" outlineLevel="0" collapsed="false">
      <c r="A713" s="16"/>
      <c r="B713" s="10"/>
      <c r="C713" s="17" t="str">
        <f aca="false">IF($B713="","",IFERROR(INDEX(품목마스터!$B$3:$B$302,MATCH($B713,품목마스터!$A$3:$A$302,0)),"미등록품번"))</f>
        <v/>
      </c>
      <c r="D713" s="17" t="str">
        <f aca="false">IF($B713="","",IFERROR(INDEX(품목마스터!$D$3:$D$302,MATCH($B713,품목마스터!$A$3:$A$302,0)),""))</f>
        <v/>
      </c>
      <c r="E713" s="12"/>
      <c r="F713" s="10"/>
    </row>
    <row r="714" customFormat="false" ht="15" hidden="false" customHeight="true" outlineLevel="0" collapsed="false">
      <c r="A714" s="16"/>
      <c r="B714" s="10"/>
      <c r="C714" s="17" t="str">
        <f aca="false">IF($B714="","",IFERROR(INDEX(품목마스터!$B$3:$B$302,MATCH($B714,품목마스터!$A$3:$A$302,0)),"미등록품번"))</f>
        <v/>
      </c>
      <c r="D714" s="17" t="str">
        <f aca="false">IF($B714="","",IFERROR(INDEX(품목마스터!$D$3:$D$302,MATCH($B714,품목마스터!$A$3:$A$302,0)),""))</f>
        <v/>
      </c>
      <c r="E714" s="12"/>
      <c r="F714" s="10"/>
    </row>
    <row r="715" customFormat="false" ht="15" hidden="false" customHeight="true" outlineLevel="0" collapsed="false">
      <c r="A715" s="16"/>
      <c r="B715" s="10"/>
      <c r="C715" s="17" t="str">
        <f aca="false">IF($B715="","",IFERROR(INDEX(품목마스터!$B$3:$B$302,MATCH($B715,품목마스터!$A$3:$A$302,0)),"미등록품번"))</f>
        <v/>
      </c>
      <c r="D715" s="17" t="str">
        <f aca="false">IF($B715="","",IFERROR(INDEX(품목마스터!$D$3:$D$302,MATCH($B715,품목마스터!$A$3:$A$302,0)),""))</f>
        <v/>
      </c>
      <c r="E715" s="12"/>
      <c r="F715" s="10"/>
    </row>
    <row r="716" customFormat="false" ht="15" hidden="false" customHeight="true" outlineLevel="0" collapsed="false">
      <c r="A716" s="16"/>
      <c r="B716" s="10"/>
      <c r="C716" s="17" t="str">
        <f aca="false">IF($B716="","",IFERROR(INDEX(품목마스터!$B$3:$B$302,MATCH($B716,품목마스터!$A$3:$A$302,0)),"미등록품번"))</f>
        <v/>
      </c>
      <c r="D716" s="17" t="str">
        <f aca="false">IF($B716="","",IFERROR(INDEX(품목마스터!$D$3:$D$302,MATCH($B716,품목마스터!$A$3:$A$302,0)),""))</f>
        <v/>
      </c>
      <c r="E716" s="12"/>
      <c r="F716" s="10"/>
    </row>
    <row r="717" customFormat="false" ht="15" hidden="false" customHeight="true" outlineLevel="0" collapsed="false">
      <c r="A717" s="16"/>
      <c r="B717" s="10"/>
      <c r="C717" s="17" t="str">
        <f aca="false">IF($B717="","",IFERROR(INDEX(품목마스터!$B$3:$B$302,MATCH($B717,품목마스터!$A$3:$A$302,0)),"미등록품번"))</f>
        <v/>
      </c>
      <c r="D717" s="17" t="str">
        <f aca="false">IF($B717="","",IFERROR(INDEX(품목마스터!$D$3:$D$302,MATCH($B717,품목마스터!$A$3:$A$302,0)),""))</f>
        <v/>
      </c>
      <c r="E717" s="12"/>
      <c r="F717" s="10"/>
    </row>
    <row r="718" customFormat="false" ht="15" hidden="false" customHeight="true" outlineLevel="0" collapsed="false">
      <c r="A718" s="16"/>
      <c r="B718" s="10"/>
      <c r="C718" s="17" t="str">
        <f aca="false">IF($B718="","",IFERROR(INDEX(품목마스터!$B$3:$B$302,MATCH($B718,품목마스터!$A$3:$A$302,0)),"미등록품번"))</f>
        <v/>
      </c>
      <c r="D718" s="17" t="str">
        <f aca="false">IF($B718="","",IFERROR(INDEX(품목마스터!$D$3:$D$302,MATCH($B718,품목마스터!$A$3:$A$302,0)),""))</f>
        <v/>
      </c>
      <c r="E718" s="12"/>
      <c r="F718" s="10"/>
    </row>
    <row r="719" customFormat="false" ht="15" hidden="false" customHeight="true" outlineLevel="0" collapsed="false">
      <c r="A719" s="16"/>
      <c r="B719" s="10"/>
      <c r="C719" s="17" t="str">
        <f aca="false">IF($B719="","",IFERROR(INDEX(품목마스터!$B$3:$B$302,MATCH($B719,품목마스터!$A$3:$A$302,0)),"미등록품번"))</f>
        <v/>
      </c>
      <c r="D719" s="17" t="str">
        <f aca="false">IF($B719="","",IFERROR(INDEX(품목마스터!$D$3:$D$302,MATCH($B719,품목마스터!$A$3:$A$302,0)),""))</f>
        <v/>
      </c>
      <c r="E719" s="12"/>
      <c r="F719" s="10"/>
    </row>
    <row r="720" customFormat="false" ht="15" hidden="false" customHeight="true" outlineLevel="0" collapsed="false">
      <c r="A720" s="16"/>
      <c r="B720" s="10"/>
      <c r="C720" s="17" t="str">
        <f aca="false">IF($B720="","",IFERROR(INDEX(품목마스터!$B$3:$B$302,MATCH($B720,품목마스터!$A$3:$A$302,0)),"미등록품번"))</f>
        <v/>
      </c>
      <c r="D720" s="17" t="str">
        <f aca="false">IF($B720="","",IFERROR(INDEX(품목마스터!$D$3:$D$302,MATCH($B720,품목마스터!$A$3:$A$302,0)),""))</f>
        <v/>
      </c>
      <c r="E720" s="12"/>
      <c r="F720" s="10"/>
    </row>
    <row r="721" customFormat="false" ht="15" hidden="false" customHeight="true" outlineLevel="0" collapsed="false">
      <c r="A721" s="16"/>
      <c r="B721" s="10"/>
      <c r="C721" s="17" t="str">
        <f aca="false">IF($B721="","",IFERROR(INDEX(품목마스터!$B$3:$B$302,MATCH($B721,품목마스터!$A$3:$A$302,0)),"미등록품번"))</f>
        <v/>
      </c>
      <c r="D721" s="17" t="str">
        <f aca="false">IF($B721="","",IFERROR(INDEX(품목마스터!$D$3:$D$302,MATCH($B721,품목마스터!$A$3:$A$302,0)),""))</f>
        <v/>
      </c>
      <c r="E721" s="12"/>
      <c r="F721" s="10"/>
    </row>
    <row r="722" customFormat="false" ht="15" hidden="false" customHeight="true" outlineLevel="0" collapsed="false">
      <c r="A722" s="16"/>
      <c r="B722" s="10"/>
      <c r="C722" s="17" t="str">
        <f aca="false">IF($B722="","",IFERROR(INDEX(품목마스터!$B$3:$B$302,MATCH($B722,품목마스터!$A$3:$A$302,0)),"미등록품번"))</f>
        <v/>
      </c>
      <c r="D722" s="17" t="str">
        <f aca="false">IF($B722="","",IFERROR(INDEX(품목마스터!$D$3:$D$302,MATCH($B722,품목마스터!$A$3:$A$302,0)),""))</f>
        <v/>
      </c>
      <c r="E722" s="12"/>
      <c r="F722" s="10"/>
    </row>
    <row r="723" customFormat="false" ht="15" hidden="false" customHeight="true" outlineLevel="0" collapsed="false">
      <c r="A723" s="16"/>
      <c r="B723" s="10"/>
      <c r="C723" s="17" t="str">
        <f aca="false">IF($B723="","",IFERROR(INDEX(품목마스터!$B$3:$B$302,MATCH($B723,품목마스터!$A$3:$A$302,0)),"미등록품번"))</f>
        <v/>
      </c>
      <c r="D723" s="17" t="str">
        <f aca="false">IF($B723="","",IFERROR(INDEX(품목마스터!$D$3:$D$302,MATCH($B723,품목마스터!$A$3:$A$302,0)),""))</f>
        <v/>
      </c>
      <c r="E723" s="12"/>
      <c r="F723" s="10"/>
    </row>
    <row r="724" customFormat="false" ht="15" hidden="false" customHeight="true" outlineLevel="0" collapsed="false">
      <c r="A724" s="16"/>
      <c r="B724" s="10"/>
      <c r="C724" s="17" t="str">
        <f aca="false">IF($B724="","",IFERROR(INDEX(품목마스터!$B$3:$B$302,MATCH($B724,품목마스터!$A$3:$A$302,0)),"미등록품번"))</f>
        <v/>
      </c>
      <c r="D724" s="17" t="str">
        <f aca="false">IF($B724="","",IFERROR(INDEX(품목마스터!$D$3:$D$302,MATCH($B724,품목마스터!$A$3:$A$302,0)),""))</f>
        <v/>
      </c>
      <c r="E724" s="12"/>
      <c r="F724" s="10"/>
    </row>
    <row r="725" customFormat="false" ht="15" hidden="false" customHeight="true" outlineLevel="0" collapsed="false">
      <c r="A725" s="16"/>
      <c r="B725" s="10"/>
      <c r="C725" s="17" t="str">
        <f aca="false">IF($B725="","",IFERROR(INDEX(품목마스터!$B$3:$B$302,MATCH($B725,품목마스터!$A$3:$A$302,0)),"미등록품번"))</f>
        <v/>
      </c>
      <c r="D725" s="17" t="str">
        <f aca="false">IF($B725="","",IFERROR(INDEX(품목마스터!$D$3:$D$302,MATCH($B725,품목마스터!$A$3:$A$302,0)),""))</f>
        <v/>
      </c>
      <c r="E725" s="12"/>
      <c r="F725" s="10"/>
    </row>
    <row r="726" customFormat="false" ht="15" hidden="false" customHeight="true" outlineLevel="0" collapsed="false">
      <c r="A726" s="16"/>
      <c r="B726" s="10"/>
      <c r="C726" s="17" t="str">
        <f aca="false">IF($B726="","",IFERROR(INDEX(품목마스터!$B$3:$B$302,MATCH($B726,품목마스터!$A$3:$A$302,0)),"미등록품번"))</f>
        <v/>
      </c>
      <c r="D726" s="17" t="str">
        <f aca="false">IF($B726="","",IFERROR(INDEX(품목마스터!$D$3:$D$302,MATCH($B726,품목마스터!$A$3:$A$302,0)),""))</f>
        <v/>
      </c>
      <c r="E726" s="12"/>
      <c r="F726" s="10"/>
    </row>
    <row r="727" customFormat="false" ht="15" hidden="false" customHeight="true" outlineLevel="0" collapsed="false">
      <c r="A727" s="16"/>
      <c r="B727" s="10"/>
      <c r="C727" s="17" t="str">
        <f aca="false">IF($B727="","",IFERROR(INDEX(품목마스터!$B$3:$B$302,MATCH($B727,품목마스터!$A$3:$A$302,0)),"미등록품번"))</f>
        <v/>
      </c>
      <c r="D727" s="17" t="str">
        <f aca="false">IF($B727="","",IFERROR(INDEX(품목마스터!$D$3:$D$302,MATCH($B727,품목마스터!$A$3:$A$302,0)),""))</f>
        <v/>
      </c>
      <c r="E727" s="12"/>
      <c r="F727" s="10"/>
    </row>
    <row r="728" customFormat="false" ht="15" hidden="false" customHeight="true" outlineLevel="0" collapsed="false">
      <c r="A728" s="16"/>
      <c r="B728" s="10"/>
      <c r="C728" s="17" t="str">
        <f aca="false">IF($B728="","",IFERROR(INDEX(품목마스터!$B$3:$B$302,MATCH($B728,품목마스터!$A$3:$A$302,0)),"미등록품번"))</f>
        <v/>
      </c>
      <c r="D728" s="17" t="str">
        <f aca="false">IF($B728="","",IFERROR(INDEX(품목마스터!$D$3:$D$302,MATCH($B728,품목마스터!$A$3:$A$302,0)),""))</f>
        <v/>
      </c>
      <c r="E728" s="12"/>
      <c r="F728" s="10"/>
    </row>
    <row r="729" customFormat="false" ht="15" hidden="false" customHeight="true" outlineLevel="0" collapsed="false">
      <c r="A729" s="16"/>
      <c r="B729" s="10"/>
      <c r="C729" s="17" t="str">
        <f aca="false">IF($B729="","",IFERROR(INDEX(품목마스터!$B$3:$B$302,MATCH($B729,품목마스터!$A$3:$A$302,0)),"미등록품번"))</f>
        <v/>
      </c>
      <c r="D729" s="17" t="str">
        <f aca="false">IF($B729="","",IFERROR(INDEX(품목마스터!$D$3:$D$302,MATCH($B729,품목마스터!$A$3:$A$302,0)),""))</f>
        <v/>
      </c>
      <c r="E729" s="12"/>
      <c r="F729" s="10"/>
    </row>
    <row r="730" customFormat="false" ht="15" hidden="false" customHeight="true" outlineLevel="0" collapsed="false">
      <c r="A730" s="16"/>
      <c r="B730" s="10"/>
      <c r="C730" s="17" t="str">
        <f aca="false">IF($B730="","",IFERROR(INDEX(품목마스터!$B$3:$B$302,MATCH($B730,품목마스터!$A$3:$A$302,0)),"미등록품번"))</f>
        <v/>
      </c>
      <c r="D730" s="17" t="str">
        <f aca="false">IF($B730="","",IFERROR(INDEX(품목마스터!$D$3:$D$302,MATCH($B730,품목마스터!$A$3:$A$302,0)),""))</f>
        <v/>
      </c>
      <c r="E730" s="12"/>
      <c r="F730" s="10"/>
    </row>
    <row r="731" customFormat="false" ht="15" hidden="false" customHeight="true" outlineLevel="0" collapsed="false">
      <c r="A731" s="16"/>
      <c r="B731" s="10"/>
      <c r="C731" s="17" t="str">
        <f aca="false">IF($B731="","",IFERROR(INDEX(품목마스터!$B$3:$B$302,MATCH($B731,품목마스터!$A$3:$A$302,0)),"미등록품번"))</f>
        <v/>
      </c>
      <c r="D731" s="17" t="str">
        <f aca="false">IF($B731="","",IFERROR(INDEX(품목마스터!$D$3:$D$302,MATCH($B731,품목마스터!$A$3:$A$302,0)),""))</f>
        <v/>
      </c>
      <c r="E731" s="12"/>
      <c r="F731" s="10"/>
    </row>
    <row r="732" customFormat="false" ht="15" hidden="false" customHeight="true" outlineLevel="0" collapsed="false">
      <c r="A732" s="16"/>
      <c r="B732" s="10"/>
      <c r="C732" s="17" t="str">
        <f aca="false">IF($B732="","",IFERROR(INDEX(품목마스터!$B$3:$B$302,MATCH($B732,품목마스터!$A$3:$A$302,0)),"미등록품번"))</f>
        <v/>
      </c>
      <c r="D732" s="17" t="str">
        <f aca="false">IF($B732="","",IFERROR(INDEX(품목마스터!$D$3:$D$302,MATCH($B732,품목마스터!$A$3:$A$302,0)),""))</f>
        <v/>
      </c>
      <c r="E732" s="12"/>
      <c r="F732" s="10"/>
    </row>
    <row r="733" customFormat="false" ht="15" hidden="false" customHeight="true" outlineLevel="0" collapsed="false">
      <c r="A733" s="16"/>
      <c r="B733" s="10"/>
      <c r="C733" s="17" t="str">
        <f aca="false">IF($B733="","",IFERROR(INDEX(품목마스터!$B$3:$B$302,MATCH($B733,품목마스터!$A$3:$A$302,0)),"미등록품번"))</f>
        <v/>
      </c>
      <c r="D733" s="17" t="str">
        <f aca="false">IF($B733="","",IFERROR(INDEX(품목마스터!$D$3:$D$302,MATCH($B733,품목마스터!$A$3:$A$302,0)),""))</f>
        <v/>
      </c>
      <c r="E733" s="12"/>
      <c r="F733" s="10"/>
    </row>
    <row r="734" customFormat="false" ht="15" hidden="false" customHeight="true" outlineLevel="0" collapsed="false">
      <c r="A734" s="16"/>
      <c r="B734" s="10"/>
      <c r="C734" s="17" t="str">
        <f aca="false">IF($B734="","",IFERROR(INDEX(품목마스터!$B$3:$B$302,MATCH($B734,품목마스터!$A$3:$A$302,0)),"미등록품번"))</f>
        <v/>
      </c>
      <c r="D734" s="17" t="str">
        <f aca="false">IF($B734="","",IFERROR(INDEX(품목마스터!$D$3:$D$302,MATCH($B734,품목마스터!$A$3:$A$302,0)),""))</f>
        <v/>
      </c>
      <c r="E734" s="12"/>
      <c r="F734" s="10"/>
    </row>
    <row r="735" customFormat="false" ht="15" hidden="false" customHeight="true" outlineLevel="0" collapsed="false">
      <c r="A735" s="16"/>
      <c r="B735" s="10"/>
      <c r="C735" s="17" t="str">
        <f aca="false">IF($B735="","",IFERROR(INDEX(품목마스터!$B$3:$B$302,MATCH($B735,품목마스터!$A$3:$A$302,0)),"미등록품번"))</f>
        <v/>
      </c>
      <c r="D735" s="17" t="str">
        <f aca="false">IF($B735="","",IFERROR(INDEX(품목마스터!$D$3:$D$302,MATCH($B735,품목마스터!$A$3:$A$302,0)),""))</f>
        <v/>
      </c>
      <c r="E735" s="12"/>
      <c r="F735" s="10"/>
    </row>
    <row r="736" customFormat="false" ht="15" hidden="false" customHeight="true" outlineLevel="0" collapsed="false">
      <c r="A736" s="16"/>
      <c r="B736" s="10"/>
      <c r="C736" s="17" t="str">
        <f aca="false">IF($B736="","",IFERROR(INDEX(품목마스터!$B$3:$B$302,MATCH($B736,품목마스터!$A$3:$A$302,0)),"미등록품번"))</f>
        <v/>
      </c>
      <c r="D736" s="17" t="str">
        <f aca="false">IF($B736="","",IFERROR(INDEX(품목마스터!$D$3:$D$302,MATCH($B736,품목마스터!$A$3:$A$302,0)),""))</f>
        <v/>
      </c>
      <c r="E736" s="12"/>
      <c r="F736" s="10"/>
    </row>
    <row r="737" customFormat="false" ht="15" hidden="false" customHeight="true" outlineLevel="0" collapsed="false">
      <c r="A737" s="16"/>
      <c r="B737" s="10"/>
      <c r="C737" s="17" t="str">
        <f aca="false">IF($B737="","",IFERROR(INDEX(품목마스터!$B$3:$B$302,MATCH($B737,품목마스터!$A$3:$A$302,0)),"미등록품번"))</f>
        <v/>
      </c>
      <c r="D737" s="17" t="str">
        <f aca="false">IF($B737="","",IFERROR(INDEX(품목마스터!$D$3:$D$302,MATCH($B737,품목마스터!$A$3:$A$302,0)),""))</f>
        <v/>
      </c>
      <c r="E737" s="12"/>
      <c r="F737" s="10"/>
    </row>
    <row r="738" customFormat="false" ht="15" hidden="false" customHeight="true" outlineLevel="0" collapsed="false">
      <c r="A738" s="16"/>
      <c r="B738" s="10"/>
      <c r="C738" s="17" t="str">
        <f aca="false">IF($B738="","",IFERROR(INDEX(품목마스터!$B$3:$B$302,MATCH($B738,품목마스터!$A$3:$A$302,0)),"미등록품번"))</f>
        <v/>
      </c>
      <c r="D738" s="17" t="str">
        <f aca="false">IF($B738="","",IFERROR(INDEX(품목마스터!$D$3:$D$302,MATCH($B738,품목마스터!$A$3:$A$302,0)),""))</f>
        <v/>
      </c>
      <c r="E738" s="12"/>
      <c r="F738" s="10"/>
    </row>
    <row r="739" customFormat="false" ht="15" hidden="false" customHeight="true" outlineLevel="0" collapsed="false">
      <c r="A739" s="16"/>
      <c r="B739" s="10"/>
      <c r="C739" s="17" t="str">
        <f aca="false">IF($B739="","",IFERROR(INDEX(품목마스터!$B$3:$B$302,MATCH($B739,품목마스터!$A$3:$A$302,0)),"미등록품번"))</f>
        <v/>
      </c>
      <c r="D739" s="17" t="str">
        <f aca="false">IF($B739="","",IFERROR(INDEX(품목마스터!$D$3:$D$302,MATCH($B739,품목마스터!$A$3:$A$302,0)),""))</f>
        <v/>
      </c>
      <c r="E739" s="12"/>
      <c r="F739" s="10"/>
    </row>
    <row r="740" customFormat="false" ht="15" hidden="false" customHeight="true" outlineLevel="0" collapsed="false">
      <c r="A740" s="16"/>
      <c r="B740" s="10"/>
      <c r="C740" s="17" t="str">
        <f aca="false">IF($B740="","",IFERROR(INDEX(품목마스터!$B$3:$B$302,MATCH($B740,품목마스터!$A$3:$A$302,0)),"미등록품번"))</f>
        <v/>
      </c>
      <c r="D740" s="17" t="str">
        <f aca="false">IF($B740="","",IFERROR(INDEX(품목마스터!$D$3:$D$302,MATCH($B740,품목마스터!$A$3:$A$302,0)),""))</f>
        <v/>
      </c>
      <c r="E740" s="12"/>
      <c r="F740" s="10"/>
    </row>
    <row r="741" customFormat="false" ht="15" hidden="false" customHeight="true" outlineLevel="0" collapsed="false">
      <c r="A741" s="16"/>
      <c r="B741" s="10"/>
      <c r="C741" s="17" t="str">
        <f aca="false">IF($B741="","",IFERROR(INDEX(품목마스터!$B$3:$B$302,MATCH($B741,품목마스터!$A$3:$A$302,0)),"미등록품번"))</f>
        <v/>
      </c>
      <c r="D741" s="17" t="str">
        <f aca="false">IF($B741="","",IFERROR(INDEX(품목마스터!$D$3:$D$302,MATCH($B741,품목마스터!$A$3:$A$302,0)),""))</f>
        <v/>
      </c>
      <c r="E741" s="12"/>
      <c r="F741" s="10"/>
    </row>
    <row r="742" customFormat="false" ht="15" hidden="false" customHeight="true" outlineLevel="0" collapsed="false">
      <c r="A742" s="16"/>
      <c r="B742" s="10"/>
      <c r="C742" s="17" t="str">
        <f aca="false">IF($B742="","",IFERROR(INDEX(품목마스터!$B$3:$B$302,MATCH($B742,품목마스터!$A$3:$A$302,0)),"미등록품번"))</f>
        <v/>
      </c>
      <c r="D742" s="17" t="str">
        <f aca="false">IF($B742="","",IFERROR(INDEX(품목마스터!$D$3:$D$302,MATCH($B742,품목마스터!$A$3:$A$302,0)),""))</f>
        <v/>
      </c>
      <c r="E742" s="12"/>
      <c r="F742" s="10"/>
    </row>
    <row r="743" customFormat="false" ht="15" hidden="false" customHeight="true" outlineLevel="0" collapsed="false">
      <c r="A743" s="16"/>
      <c r="B743" s="10"/>
      <c r="C743" s="17" t="str">
        <f aca="false">IF($B743="","",IFERROR(INDEX(품목마스터!$B$3:$B$302,MATCH($B743,품목마스터!$A$3:$A$302,0)),"미등록품번"))</f>
        <v/>
      </c>
      <c r="D743" s="17" t="str">
        <f aca="false">IF($B743="","",IFERROR(INDEX(품목마스터!$D$3:$D$302,MATCH($B743,품목마스터!$A$3:$A$302,0)),""))</f>
        <v/>
      </c>
      <c r="E743" s="12"/>
      <c r="F743" s="10"/>
    </row>
    <row r="744" customFormat="false" ht="15" hidden="false" customHeight="true" outlineLevel="0" collapsed="false">
      <c r="A744" s="16"/>
      <c r="B744" s="10"/>
      <c r="C744" s="17" t="str">
        <f aca="false">IF($B744="","",IFERROR(INDEX(품목마스터!$B$3:$B$302,MATCH($B744,품목마스터!$A$3:$A$302,0)),"미등록품번"))</f>
        <v/>
      </c>
      <c r="D744" s="17" t="str">
        <f aca="false">IF($B744="","",IFERROR(INDEX(품목마스터!$D$3:$D$302,MATCH($B744,품목마스터!$A$3:$A$302,0)),""))</f>
        <v/>
      </c>
      <c r="E744" s="12"/>
      <c r="F744" s="10"/>
    </row>
    <row r="745" customFormat="false" ht="15" hidden="false" customHeight="true" outlineLevel="0" collapsed="false">
      <c r="A745" s="16"/>
      <c r="B745" s="10"/>
      <c r="C745" s="17" t="str">
        <f aca="false">IF($B745="","",IFERROR(INDEX(품목마스터!$B$3:$B$302,MATCH($B745,품목마스터!$A$3:$A$302,0)),"미등록품번"))</f>
        <v/>
      </c>
      <c r="D745" s="17" t="str">
        <f aca="false">IF($B745="","",IFERROR(INDEX(품목마스터!$D$3:$D$302,MATCH($B745,품목마스터!$A$3:$A$302,0)),""))</f>
        <v/>
      </c>
      <c r="E745" s="12"/>
      <c r="F745" s="10"/>
    </row>
    <row r="746" customFormat="false" ht="15" hidden="false" customHeight="true" outlineLevel="0" collapsed="false">
      <c r="A746" s="16"/>
      <c r="B746" s="10"/>
      <c r="C746" s="17" t="str">
        <f aca="false">IF($B746="","",IFERROR(INDEX(품목마스터!$B$3:$B$302,MATCH($B746,품목마스터!$A$3:$A$302,0)),"미등록품번"))</f>
        <v/>
      </c>
      <c r="D746" s="17" t="str">
        <f aca="false">IF($B746="","",IFERROR(INDEX(품목마스터!$D$3:$D$302,MATCH($B746,품목마스터!$A$3:$A$302,0)),""))</f>
        <v/>
      </c>
      <c r="E746" s="12"/>
      <c r="F746" s="10"/>
    </row>
    <row r="747" customFormat="false" ht="15" hidden="false" customHeight="true" outlineLevel="0" collapsed="false">
      <c r="A747" s="16"/>
      <c r="B747" s="10"/>
      <c r="C747" s="17" t="str">
        <f aca="false">IF($B747="","",IFERROR(INDEX(품목마스터!$B$3:$B$302,MATCH($B747,품목마스터!$A$3:$A$302,0)),"미등록품번"))</f>
        <v/>
      </c>
      <c r="D747" s="17" t="str">
        <f aca="false">IF($B747="","",IFERROR(INDEX(품목마스터!$D$3:$D$302,MATCH($B747,품목마스터!$A$3:$A$302,0)),""))</f>
        <v/>
      </c>
      <c r="E747" s="12"/>
      <c r="F747" s="10"/>
    </row>
    <row r="748" customFormat="false" ht="15" hidden="false" customHeight="true" outlineLevel="0" collapsed="false">
      <c r="A748" s="16"/>
      <c r="B748" s="10"/>
      <c r="C748" s="17" t="str">
        <f aca="false">IF($B748="","",IFERROR(INDEX(품목마스터!$B$3:$B$302,MATCH($B748,품목마스터!$A$3:$A$302,0)),"미등록품번"))</f>
        <v/>
      </c>
      <c r="D748" s="17" t="str">
        <f aca="false">IF($B748="","",IFERROR(INDEX(품목마스터!$D$3:$D$302,MATCH($B748,품목마스터!$A$3:$A$302,0)),""))</f>
        <v/>
      </c>
      <c r="E748" s="12"/>
      <c r="F748" s="10"/>
    </row>
    <row r="749" customFormat="false" ht="15" hidden="false" customHeight="true" outlineLevel="0" collapsed="false">
      <c r="A749" s="16"/>
      <c r="B749" s="10"/>
      <c r="C749" s="17" t="str">
        <f aca="false">IF($B749="","",IFERROR(INDEX(품목마스터!$B$3:$B$302,MATCH($B749,품목마스터!$A$3:$A$302,0)),"미등록품번"))</f>
        <v/>
      </c>
      <c r="D749" s="17" t="str">
        <f aca="false">IF($B749="","",IFERROR(INDEX(품목마스터!$D$3:$D$302,MATCH($B749,품목마스터!$A$3:$A$302,0)),""))</f>
        <v/>
      </c>
      <c r="E749" s="12"/>
      <c r="F749" s="10"/>
    </row>
    <row r="750" customFormat="false" ht="15" hidden="false" customHeight="true" outlineLevel="0" collapsed="false">
      <c r="A750" s="16"/>
      <c r="B750" s="10"/>
      <c r="C750" s="17" t="str">
        <f aca="false">IF($B750="","",IFERROR(INDEX(품목마스터!$B$3:$B$302,MATCH($B750,품목마스터!$A$3:$A$302,0)),"미등록품번"))</f>
        <v/>
      </c>
      <c r="D750" s="17" t="str">
        <f aca="false">IF($B750="","",IFERROR(INDEX(품목마스터!$D$3:$D$302,MATCH($B750,품목마스터!$A$3:$A$302,0)),""))</f>
        <v/>
      </c>
      <c r="E750" s="12"/>
      <c r="F750" s="10"/>
    </row>
    <row r="751" customFormat="false" ht="15" hidden="false" customHeight="true" outlineLevel="0" collapsed="false">
      <c r="A751" s="16"/>
      <c r="B751" s="10"/>
      <c r="C751" s="17" t="str">
        <f aca="false">IF($B751="","",IFERROR(INDEX(품목마스터!$B$3:$B$302,MATCH($B751,품목마스터!$A$3:$A$302,0)),"미등록품번"))</f>
        <v/>
      </c>
      <c r="D751" s="17" t="str">
        <f aca="false">IF($B751="","",IFERROR(INDEX(품목마스터!$D$3:$D$302,MATCH($B751,품목마스터!$A$3:$A$302,0)),""))</f>
        <v/>
      </c>
      <c r="E751" s="12"/>
      <c r="F751" s="10"/>
    </row>
    <row r="752" customFormat="false" ht="15" hidden="false" customHeight="true" outlineLevel="0" collapsed="false">
      <c r="A752" s="16"/>
      <c r="B752" s="10"/>
      <c r="C752" s="17" t="str">
        <f aca="false">IF($B752="","",IFERROR(INDEX(품목마스터!$B$3:$B$302,MATCH($B752,품목마스터!$A$3:$A$302,0)),"미등록품번"))</f>
        <v/>
      </c>
      <c r="D752" s="17" t="str">
        <f aca="false">IF($B752="","",IFERROR(INDEX(품목마스터!$D$3:$D$302,MATCH($B752,품목마스터!$A$3:$A$302,0)),""))</f>
        <v/>
      </c>
      <c r="E752" s="12"/>
      <c r="F752" s="10"/>
    </row>
    <row r="753" customFormat="false" ht="15" hidden="false" customHeight="true" outlineLevel="0" collapsed="false">
      <c r="A753" s="16"/>
      <c r="B753" s="10"/>
      <c r="C753" s="17" t="str">
        <f aca="false">IF($B753="","",IFERROR(INDEX(품목마스터!$B$3:$B$302,MATCH($B753,품목마스터!$A$3:$A$302,0)),"미등록품번"))</f>
        <v/>
      </c>
      <c r="D753" s="17" t="str">
        <f aca="false">IF($B753="","",IFERROR(INDEX(품목마스터!$D$3:$D$302,MATCH($B753,품목마스터!$A$3:$A$302,0)),""))</f>
        <v/>
      </c>
      <c r="E753" s="12"/>
      <c r="F753" s="10"/>
    </row>
    <row r="754" customFormat="false" ht="15" hidden="false" customHeight="true" outlineLevel="0" collapsed="false">
      <c r="A754" s="16"/>
      <c r="B754" s="10"/>
      <c r="C754" s="17" t="str">
        <f aca="false">IF($B754="","",IFERROR(INDEX(품목마스터!$B$3:$B$302,MATCH($B754,품목마스터!$A$3:$A$302,0)),"미등록품번"))</f>
        <v/>
      </c>
      <c r="D754" s="17" t="str">
        <f aca="false">IF($B754="","",IFERROR(INDEX(품목마스터!$D$3:$D$302,MATCH($B754,품목마스터!$A$3:$A$302,0)),""))</f>
        <v/>
      </c>
      <c r="E754" s="12"/>
      <c r="F754" s="10"/>
    </row>
    <row r="755" customFormat="false" ht="15" hidden="false" customHeight="true" outlineLevel="0" collapsed="false">
      <c r="A755" s="16"/>
      <c r="B755" s="10"/>
      <c r="C755" s="17" t="str">
        <f aca="false">IF($B755="","",IFERROR(INDEX(품목마스터!$B$3:$B$302,MATCH($B755,품목마스터!$A$3:$A$302,0)),"미등록품번"))</f>
        <v/>
      </c>
      <c r="D755" s="17" t="str">
        <f aca="false">IF($B755="","",IFERROR(INDEX(품목마스터!$D$3:$D$302,MATCH($B755,품목마스터!$A$3:$A$302,0)),""))</f>
        <v/>
      </c>
      <c r="E755" s="12"/>
      <c r="F755" s="10"/>
    </row>
    <row r="756" customFormat="false" ht="15" hidden="false" customHeight="true" outlineLevel="0" collapsed="false">
      <c r="A756" s="16"/>
      <c r="B756" s="10"/>
      <c r="C756" s="17" t="str">
        <f aca="false">IF($B756="","",IFERROR(INDEX(품목마스터!$B$3:$B$302,MATCH($B756,품목마스터!$A$3:$A$302,0)),"미등록품번"))</f>
        <v/>
      </c>
      <c r="D756" s="17" t="str">
        <f aca="false">IF($B756="","",IFERROR(INDEX(품목마스터!$D$3:$D$302,MATCH($B756,품목마스터!$A$3:$A$302,0)),""))</f>
        <v/>
      </c>
      <c r="E756" s="12"/>
      <c r="F756" s="10"/>
    </row>
    <row r="757" customFormat="false" ht="15" hidden="false" customHeight="true" outlineLevel="0" collapsed="false">
      <c r="A757" s="16"/>
      <c r="B757" s="10"/>
      <c r="C757" s="17" t="str">
        <f aca="false">IF($B757="","",IFERROR(INDEX(품목마스터!$B$3:$B$302,MATCH($B757,품목마스터!$A$3:$A$302,0)),"미등록품번"))</f>
        <v/>
      </c>
      <c r="D757" s="17" t="str">
        <f aca="false">IF($B757="","",IFERROR(INDEX(품목마스터!$D$3:$D$302,MATCH($B757,품목마스터!$A$3:$A$302,0)),""))</f>
        <v/>
      </c>
      <c r="E757" s="12"/>
      <c r="F757" s="10"/>
    </row>
    <row r="758" customFormat="false" ht="15" hidden="false" customHeight="true" outlineLevel="0" collapsed="false">
      <c r="A758" s="16"/>
      <c r="B758" s="10"/>
      <c r="C758" s="17" t="str">
        <f aca="false">IF($B758="","",IFERROR(INDEX(품목마스터!$B$3:$B$302,MATCH($B758,품목마스터!$A$3:$A$302,0)),"미등록품번"))</f>
        <v/>
      </c>
      <c r="D758" s="17" t="str">
        <f aca="false">IF($B758="","",IFERROR(INDEX(품목마스터!$D$3:$D$302,MATCH($B758,품목마스터!$A$3:$A$302,0)),""))</f>
        <v/>
      </c>
      <c r="E758" s="12"/>
      <c r="F758" s="10"/>
    </row>
    <row r="759" customFormat="false" ht="15" hidden="false" customHeight="true" outlineLevel="0" collapsed="false">
      <c r="A759" s="16"/>
      <c r="B759" s="10"/>
      <c r="C759" s="17" t="str">
        <f aca="false">IF($B759="","",IFERROR(INDEX(품목마스터!$B$3:$B$302,MATCH($B759,품목마스터!$A$3:$A$302,0)),"미등록품번"))</f>
        <v/>
      </c>
      <c r="D759" s="17" t="str">
        <f aca="false">IF($B759="","",IFERROR(INDEX(품목마스터!$D$3:$D$302,MATCH($B759,품목마스터!$A$3:$A$302,0)),""))</f>
        <v/>
      </c>
      <c r="E759" s="12"/>
      <c r="F759" s="10"/>
    </row>
    <row r="760" customFormat="false" ht="15" hidden="false" customHeight="true" outlineLevel="0" collapsed="false">
      <c r="A760" s="16"/>
      <c r="B760" s="10"/>
      <c r="C760" s="17" t="str">
        <f aca="false">IF($B760="","",IFERROR(INDEX(품목마스터!$B$3:$B$302,MATCH($B760,품목마스터!$A$3:$A$302,0)),"미등록품번"))</f>
        <v/>
      </c>
      <c r="D760" s="17" t="str">
        <f aca="false">IF($B760="","",IFERROR(INDEX(품목마스터!$D$3:$D$302,MATCH($B760,품목마스터!$A$3:$A$302,0)),""))</f>
        <v/>
      </c>
      <c r="E760" s="12"/>
      <c r="F760" s="10"/>
    </row>
    <row r="761" customFormat="false" ht="15" hidden="false" customHeight="true" outlineLevel="0" collapsed="false">
      <c r="A761" s="16"/>
      <c r="B761" s="10"/>
      <c r="C761" s="17" t="str">
        <f aca="false">IF($B761="","",IFERROR(INDEX(품목마스터!$B$3:$B$302,MATCH($B761,품목마스터!$A$3:$A$302,0)),"미등록품번"))</f>
        <v/>
      </c>
      <c r="D761" s="17" t="str">
        <f aca="false">IF($B761="","",IFERROR(INDEX(품목마스터!$D$3:$D$302,MATCH($B761,품목마스터!$A$3:$A$302,0)),""))</f>
        <v/>
      </c>
      <c r="E761" s="12"/>
      <c r="F761" s="10"/>
    </row>
    <row r="762" customFormat="false" ht="15" hidden="false" customHeight="true" outlineLevel="0" collapsed="false">
      <c r="A762" s="16"/>
      <c r="B762" s="10"/>
      <c r="C762" s="17" t="str">
        <f aca="false">IF($B762="","",IFERROR(INDEX(품목마스터!$B$3:$B$302,MATCH($B762,품목마스터!$A$3:$A$302,0)),"미등록품번"))</f>
        <v/>
      </c>
      <c r="D762" s="17" t="str">
        <f aca="false">IF($B762="","",IFERROR(INDEX(품목마스터!$D$3:$D$302,MATCH($B762,품목마스터!$A$3:$A$302,0)),""))</f>
        <v/>
      </c>
      <c r="E762" s="12"/>
      <c r="F762" s="10"/>
    </row>
    <row r="763" customFormat="false" ht="15" hidden="false" customHeight="true" outlineLevel="0" collapsed="false">
      <c r="A763" s="16"/>
      <c r="B763" s="10"/>
      <c r="C763" s="17" t="str">
        <f aca="false">IF($B763="","",IFERROR(INDEX(품목마스터!$B$3:$B$302,MATCH($B763,품목마스터!$A$3:$A$302,0)),"미등록품번"))</f>
        <v/>
      </c>
      <c r="D763" s="17" t="str">
        <f aca="false">IF($B763="","",IFERROR(INDEX(품목마스터!$D$3:$D$302,MATCH($B763,품목마스터!$A$3:$A$302,0)),""))</f>
        <v/>
      </c>
      <c r="E763" s="12"/>
      <c r="F763" s="10"/>
    </row>
    <row r="764" customFormat="false" ht="15" hidden="false" customHeight="true" outlineLevel="0" collapsed="false">
      <c r="A764" s="16"/>
      <c r="B764" s="10"/>
      <c r="C764" s="17" t="str">
        <f aca="false">IF($B764="","",IFERROR(INDEX(품목마스터!$B$3:$B$302,MATCH($B764,품목마스터!$A$3:$A$302,0)),"미등록품번"))</f>
        <v/>
      </c>
      <c r="D764" s="17" t="str">
        <f aca="false">IF($B764="","",IFERROR(INDEX(품목마스터!$D$3:$D$302,MATCH($B764,품목마스터!$A$3:$A$302,0)),""))</f>
        <v/>
      </c>
      <c r="E764" s="12"/>
      <c r="F764" s="10"/>
    </row>
    <row r="765" customFormat="false" ht="15" hidden="false" customHeight="true" outlineLevel="0" collapsed="false">
      <c r="A765" s="16"/>
      <c r="B765" s="10"/>
      <c r="C765" s="17" t="str">
        <f aca="false">IF($B765="","",IFERROR(INDEX(품목마스터!$B$3:$B$302,MATCH($B765,품목마스터!$A$3:$A$302,0)),"미등록품번"))</f>
        <v/>
      </c>
      <c r="D765" s="17" t="str">
        <f aca="false">IF($B765="","",IFERROR(INDEX(품목마스터!$D$3:$D$302,MATCH($B765,품목마스터!$A$3:$A$302,0)),""))</f>
        <v/>
      </c>
      <c r="E765" s="12"/>
      <c r="F765" s="10"/>
    </row>
    <row r="766" customFormat="false" ht="15" hidden="false" customHeight="true" outlineLevel="0" collapsed="false">
      <c r="A766" s="16"/>
      <c r="B766" s="10"/>
      <c r="C766" s="17" t="str">
        <f aca="false">IF($B766="","",IFERROR(INDEX(품목마스터!$B$3:$B$302,MATCH($B766,품목마스터!$A$3:$A$302,0)),"미등록품번"))</f>
        <v/>
      </c>
      <c r="D766" s="17" t="str">
        <f aca="false">IF($B766="","",IFERROR(INDEX(품목마스터!$D$3:$D$302,MATCH($B766,품목마스터!$A$3:$A$302,0)),""))</f>
        <v/>
      </c>
      <c r="E766" s="12"/>
      <c r="F766" s="10"/>
    </row>
    <row r="767" customFormat="false" ht="15" hidden="false" customHeight="true" outlineLevel="0" collapsed="false">
      <c r="A767" s="16"/>
      <c r="B767" s="10"/>
      <c r="C767" s="17" t="str">
        <f aca="false">IF($B767="","",IFERROR(INDEX(품목마스터!$B$3:$B$302,MATCH($B767,품목마스터!$A$3:$A$302,0)),"미등록품번"))</f>
        <v/>
      </c>
      <c r="D767" s="17" t="str">
        <f aca="false">IF($B767="","",IFERROR(INDEX(품목마스터!$D$3:$D$302,MATCH($B767,품목마스터!$A$3:$A$302,0)),""))</f>
        <v/>
      </c>
      <c r="E767" s="12"/>
      <c r="F767" s="10"/>
    </row>
    <row r="768" customFormat="false" ht="15" hidden="false" customHeight="true" outlineLevel="0" collapsed="false">
      <c r="A768" s="16"/>
      <c r="B768" s="10"/>
      <c r="C768" s="17" t="str">
        <f aca="false">IF($B768="","",IFERROR(INDEX(품목마스터!$B$3:$B$302,MATCH($B768,품목마스터!$A$3:$A$302,0)),"미등록품번"))</f>
        <v/>
      </c>
      <c r="D768" s="17" t="str">
        <f aca="false">IF($B768="","",IFERROR(INDEX(품목마스터!$D$3:$D$302,MATCH($B768,품목마스터!$A$3:$A$302,0)),""))</f>
        <v/>
      </c>
      <c r="E768" s="12"/>
      <c r="F768" s="10"/>
    </row>
    <row r="769" customFormat="false" ht="15" hidden="false" customHeight="true" outlineLevel="0" collapsed="false">
      <c r="A769" s="16"/>
      <c r="B769" s="10"/>
      <c r="C769" s="17" t="str">
        <f aca="false">IF($B769="","",IFERROR(INDEX(품목마스터!$B$3:$B$302,MATCH($B769,품목마스터!$A$3:$A$302,0)),"미등록품번"))</f>
        <v/>
      </c>
      <c r="D769" s="17" t="str">
        <f aca="false">IF($B769="","",IFERROR(INDEX(품목마스터!$D$3:$D$302,MATCH($B769,품목마스터!$A$3:$A$302,0)),""))</f>
        <v/>
      </c>
      <c r="E769" s="12"/>
      <c r="F769" s="10"/>
    </row>
    <row r="770" customFormat="false" ht="15" hidden="false" customHeight="true" outlineLevel="0" collapsed="false">
      <c r="A770" s="16"/>
      <c r="B770" s="10"/>
      <c r="C770" s="17" t="str">
        <f aca="false">IF($B770="","",IFERROR(INDEX(품목마스터!$B$3:$B$302,MATCH($B770,품목마스터!$A$3:$A$302,0)),"미등록품번"))</f>
        <v/>
      </c>
      <c r="D770" s="17" t="str">
        <f aca="false">IF($B770="","",IFERROR(INDEX(품목마스터!$D$3:$D$302,MATCH($B770,품목마스터!$A$3:$A$302,0)),""))</f>
        <v/>
      </c>
      <c r="E770" s="12"/>
      <c r="F770" s="10"/>
    </row>
    <row r="771" customFormat="false" ht="15" hidden="false" customHeight="true" outlineLevel="0" collapsed="false">
      <c r="A771" s="16"/>
      <c r="B771" s="10"/>
      <c r="C771" s="17" t="str">
        <f aca="false">IF($B771="","",IFERROR(INDEX(품목마스터!$B$3:$B$302,MATCH($B771,품목마스터!$A$3:$A$302,0)),"미등록품번"))</f>
        <v/>
      </c>
      <c r="D771" s="17" t="str">
        <f aca="false">IF($B771="","",IFERROR(INDEX(품목마스터!$D$3:$D$302,MATCH($B771,품목마스터!$A$3:$A$302,0)),""))</f>
        <v/>
      </c>
      <c r="E771" s="12"/>
      <c r="F771" s="10"/>
    </row>
    <row r="772" customFormat="false" ht="15" hidden="false" customHeight="true" outlineLevel="0" collapsed="false">
      <c r="A772" s="16"/>
      <c r="B772" s="10"/>
      <c r="C772" s="17" t="str">
        <f aca="false">IF($B772="","",IFERROR(INDEX(품목마스터!$B$3:$B$302,MATCH($B772,품목마스터!$A$3:$A$302,0)),"미등록품번"))</f>
        <v/>
      </c>
      <c r="D772" s="17" t="str">
        <f aca="false">IF($B772="","",IFERROR(INDEX(품목마스터!$D$3:$D$302,MATCH($B772,품목마스터!$A$3:$A$302,0)),""))</f>
        <v/>
      </c>
      <c r="E772" s="12"/>
      <c r="F772" s="10"/>
    </row>
    <row r="773" customFormat="false" ht="15" hidden="false" customHeight="true" outlineLevel="0" collapsed="false">
      <c r="A773" s="16"/>
      <c r="B773" s="10"/>
      <c r="C773" s="17" t="str">
        <f aca="false">IF($B773="","",IFERROR(INDEX(품목마스터!$B$3:$B$302,MATCH($B773,품목마스터!$A$3:$A$302,0)),"미등록품번"))</f>
        <v/>
      </c>
      <c r="D773" s="17" t="str">
        <f aca="false">IF($B773="","",IFERROR(INDEX(품목마스터!$D$3:$D$302,MATCH($B773,품목마스터!$A$3:$A$302,0)),""))</f>
        <v/>
      </c>
      <c r="E773" s="12"/>
      <c r="F773" s="10"/>
    </row>
    <row r="774" customFormat="false" ht="15" hidden="false" customHeight="true" outlineLevel="0" collapsed="false">
      <c r="A774" s="16"/>
      <c r="B774" s="10"/>
      <c r="C774" s="17" t="str">
        <f aca="false">IF($B774="","",IFERROR(INDEX(품목마스터!$B$3:$B$302,MATCH($B774,품목마스터!$A$3:$A$302,0)),"미등록품번"))</f>
        <v/>
      </c>
      <c r="D774" s="17" t="str">
        <f aca="false">IF($B774="","",IFERROR(INDEX(품목마스터!$D$3:$D$302,MATCH($B774,품목마스터!$A$3:$A$302,0)),""))</f>
        <v/>
      </c>
      <c r="E774" s="12"/>
      <c r="F774" s="10"/>
    </row>
    <row r="775" customFormat="false" ht="15" hidden="false" customHeight="true" outlineLevel="0" collapsed="false">
      <c r="A775" s="16"/>
      <c r="B775" s="10"/>
      <c r="C775" s="17" t="str">
        <f aca="false">IF($B775="","",IFERROR(INDEX(품목마스터!$B$3:$B$302,MATCH($B775,품목마스터!$A$3:$A$302,0)),"미등록품번"))</f>
        <v/>
      </c>
      <c r="D775" s="17" t="str">
        <f aca="false">IF($B775="","",IFERROR(INDEX(품목마스터!$D$3:$D$302,MATCH($B775,품목마스터!$A$3:$A$302,0)),""))</f>
        <v/>
      </c>
      <c r="E775" s="12"/>
      <c r="F775" s="10"/>
    </row>
    <row r="776" customFormat="false" ht="15" hidden="false" customHeight="true" outlineLevel="0" collapsed="false">
      <c r="A776" s="16"/>
      <c r="B776" s="10"/>
      <c r="C776" s="17" t="str">
        <f aca="false">IF($B776="","",IFERROR(INDEX(품목마스터!$B$3:$B$302,MATCH($B776,품목마스터!$A$3:$A$302,0)),"미등록품번"))</f>
        <v/>
      </c>
      <c r="D776" s="17" t="str">
        <f aca="false">IF($B776="","",IFERROR(INDEX(품목마스터!$D$3:$D$302,MATCH($B776,품목마스터!$A$3:$A$302,0)),""))</f>
        <v/>
      </c>
      <c r="E776" s="12"/>
      <c r="F776" s="10"/>
    </row>
    <row r="777" customFormat="false" ht="15" hidden="false" customHeight="true" outlineLevel="0" collapsed="false">
      <c r="A777" s="16"/>
      <c r="B777" s="10"/>
      <c r="C777" s="17" t="str">
        <f aca="false">IF($B777="","",IFERROR(INDEX(품목마스터!$B$3:$B$302,MATCH($B777,품목마스터!$A$3:$A$302,0)),"미등록품번"))</f>
        <v/>
      </c>
      <c r="D777" s="17" t="str">
        <f aca="false">IF($B777="","",IFERROR(INDEX(품목마스터!$D$3:$D$302,MATCH($B777,품목마스터!$A$3:$A$302,0)),""))</f>
        <v/>
      </c>
      <c r="E777" s="12"/>
      <c r="F777" s="10"/>
    </row>
    <row r="778" customFormat="false" ht="15" hidden="false" customHeight="true" outlineLevel="0" collapsed="false">
      <c r="A778" s="16"/>
      <c r="B778" s="10"/>
      <c r="C778" s="17" t="str">
        <f aca="false">IF($B778="","",IFERROR(INDEX(품목마스터!$B$3:$B$302,MATCH($B778,품목마스터!$A$3:$A$302,0)),"미등록품번"))</f>
        <v/>
      </c>
      <c r="D778" s="17" t="str">
        <f aca="false">IF($B778="","",IFERROR(INDEX(품목마스터!$D$3:$D$302,MATCH($B778,품목마스터!$A$3:$A$302,0)),""))</f>
        <v/>
      </c>
      <c r="E778" s="12"/>
      <c r="F778" s="10"/>
    </row>
    <row r="779" customFormat="false" ht="15" hidden="false" customHeight="true" outlineLevel="0" collapsed="false">
      <c r="A779" s="16"/>
      <c r="B779" s="10"/>
      <c r="C779" s="17" t="str">
        <f aca="false">IF($B779="","",IFERROR(INDEX(품목마스터!$B$3:$B$302,MATCH($B779,품목마스터!$A$3:$A$302,0)),"미등록품번"))</f>
        <v/>
      </c>
      <c r="D779" s="17" t="str">
        <f aca="false">IF($B779="","",IFERROR(INDEX(품목마스터!$D$3:$D$302,MATCH($B779,품목마스터!$A$3:$A$302,0)),""))</f>
        <v/>
      </c>
      <c r="E779" s="12"/>
      <c r="F779" s="10"/>
    </row>
    <row r="780" customFormat="false" ht="15" hidden="false" customHeight="true" outlineLevel="0" collapsed="false">
      <c r="A780" s="16"/>
      <c r="B780" s="10"/>
      <c r="C780" s="17" t="str">
        <f aca="false">IF($B780="","",IFERROR(INDEX(품목마스터!$B$3:$B$302,MATCH($B780,품목마스터!$A$3:$A$302,0)),"미등록품번"))</f>
        <v/>
      </c>
      <c r="D780" s="17" t="str">
        <f aca="false">IF($B780="","",IFERROR(INDEX(품목마스터!$D$3:$D$302,MATCH($B780,품목마스터!$A$3:$A$302,0)),""))</f>
        <v/>
      </c>
      <c r="E780" s="12"/>
      <c r="F780" s="10"/>
    </row>
    <row r="781" customFormat="false" ht="15" hidden="false" customHeight="true" outlineLevel="0" collapsed="false">
      <c r="A781" s="16"/>
      <c r="B781" s="10"/>
      <c r="C781" s="17" t="str">
        <f aca="false">IF($B781="","",IFERROR(INDEX(품목마스터!$B$3:$B$302,MATCH($B781,품목마스터!$A$3:$A$302,0)),"미등록품번"))</f>
        <v/>
      </c>
      <c r="D781" s="17" t="str">
        <f aca="false">IF($B781="","",IFERROR(INDEX(품목마스터!$D$3:$D$302,MATCH($B781,품목마스터!$A$3:$A$302,0)),""))</f>
        <v/>
      </c>
      <c r="E781" s="12"/>
      <c r="F781" s="10"/>
    </row>
    <row r="782" customFormat="false" ht="15" hidden="false" customHeight="true" outlineLevel="0" collapsed="false">
      <c r="A782" s="16"/>
      <c r="B782" s="10"/>
      <c r="C782" s="17" t="str">
        <f aca="false">IF($B782="","",IFERROR(INDEX(품목마스터!$B$3:$B$302,MATCH($B782,품목마스터!$A$3:$A$302,0)),"미등록품번"))</f>
        <v/>
      </c>
      <c r="D782" s="17" t="str">
        <f aca="false">IF($B782="","",IFERROR(INDEX(품목마스터!$D$3:$D$302,MATCH($B782,품목마스터!$A$3:$A$302,0)),""))</f>
        <v/>
      </c>
      <c r="E782" s="12"/>
      <c r="F782" s="10"/>
    </row>
    <row r="783" customFormat="false" ht="15" hidden="false" customHeight="true" outlineLevel="0" collapsed="false">
      <c r="A783" s="16"/>
      <c r="B783" s="10"/>
      <c r="C783" s="17" t="str">
        <f aca="false">IF($B783="","",IFERROR(INDEX(품목마스터!$B$3:$B$302,MATCH($B783,품목마스터!$A$3:$A$302,0)),"미등록품번"))</f>
        <v/>
      </c>
      <c r="D783" s="17" t="str">
        <f aca="false">IF($B783="","",IFERROR(INDEX(품목마스터!$D$3:$D$302,MATCH($B783,품목마스터!$A$3:$A$302,0)),""))</f>
        <v/>
      </c>
      <c r="E783" s="12"/>
      <c r="F783" s="10"/>
    </row>
    <row r="784" customFormat="false" ht="15" hidden="false" customHeight="true" outlineLevel="0" collapsed="false">
      <c r="A784" s="16"/>
      <c r="B784" s="10"/>
      <c r="C784" s="17" t="str">
        <f aca="false">IF($B784="","",IFERROR(INDEX(품목마스터!$B$3:$B$302,MATCH($B784,품목마스터!$A$3:$A$302,0)),"미등록품번"))</f>
        <v/>
      </c>
      <c r="D784" s="17" t="str">
        <f aca="false">IF($B784="","",IFERROR(INDEX(품목마스터!$D$3:$D$302,MATCH($B784,품목마스터!$A$3:$A$302,0)),""))</f>
        <v/>
      </c>
      <c r="E784" s="12"/>
      <c r="F784" s="10"/>
    </row>
    <row r="785" customFormat="false" ht="15" hidden="false" customHeight="true" outlineLevel="0" collapsed="false">
      <c r="A785" s="16"/>
      <c r="B785" s="10"/>
      <c r="C785" s="17" t="str">
        <f aca="false">IF($B785="","",IFERROR(INDEX(품목마스터!$B$3:$B$302,MATCH($B785,품목마스터!$A$3:$A$302,0)),"미등록품번"))</f>
        <v/>
      </c>
      <c r="D785" s="17" t="str">
        <f aca="false">IF($B785="","",IFERROR(INDEX(품목마스터!$D$3:$D$302,MATCH($B785,품목마스터!$A$3:$A$302,0)),""))</f>
        <v/>
      </c>
      <c r="E785" s="12"/>
      <c r="F785" s="10"/>
    </row>
    <row r="786" customFormat="false" ht="15" hidden="false" customHeight="true" outlineLevel="0" collapsed="false">
      <c r="A786" s="16"/>
      <c r="B786" s="10"/>
      <c r="C786" s="17" t="str">
        <f aca="false">IF($B786="","",IFERROR(INDEX(품목마스터!$B$3:$B$302,MATCH($B786,품목마스터!$A$3:$A$302,0)),"미등록품번"))</f>
        <v/>
      </c>
      <c r="D786" s="17" t="str">
        <f aca="false">IF($B786="","",IFERROR(INDEX(품목마스터!$D$3:$D$302,MATCH($B786,품목마스터!$A$3:$A$302,0)),""))</f>
        <v/>
      </c>
      <c r="E786" s="12"/>
      <c r="F786" s="10"/>
    </row>
    <row r="787" customFormat="false" ht="15" hidden="false" customHeight="true" outlineLevel="0" collapsed="false">
      <c r="A787" s="16"/>
      <c r="B787" s="10"/>
      <c r="C787" s="17" t="str">
        <f aca="false">IF($B787="","",IFERROR(INDEX(품목마스터!$B$3:$B$302,MATCH($B787,품목마스터!$A$3:$A$302,0)),"미등록품번"))</f>
        <v/>
      </c>
      <c r="D787" s="17" t="str">
        <f aca="false">IF($B787="","",IFERROR(INDEX(품목마스터!$D$3:$D$302,MATCH($B787,품목마스터!$A$3:$A$302,0)),""))</f>
        <v/>
      </c>
      <c r="E787" s="12"/>
      <c r="F787" s="10"/>
    </row>
    <row r="788" customFormat="false" ht="15" hidden="false" customHeight="true" outlineLevel="0" collapsed="false">
      <c r="A788" s="16"/>
      <c r="B788" s="10"/>
      <c r="C788" s="17" t="str">
        <f aca="false">IF($B788="","",IFERROR(INDEX(품목마스터!$B$3:$B$302,MATCH($B788,품목마스터!$A$3:$A$302,0)),"미등록품번"))</f>
        <v/>
      </c>
      <c r="D788" s="17" t="str">
        <f aca="false">IF($B788="","",IFERROR(INDEX(품목마스터!$D$3:$D$302,MATCH($B788,품목마스터!$A$3:$A$302,0)),""))</f>
        <v/>
      </c>
      <c r="E788" s="12"/>
      <c r="F788" s="10"/>
    </row>
    <row r="789" customFormat="false" ht="15" hidden="false" customHeight="true" outlineLevel="0" collapsed="false">
      <c r="A789" s="16"/>
      <c r="B789" s="10"/>
      <c r="C789" s="17" t="str">
        <f aca="false">IF($B789="","",IFERROR(INDEX(품목마스터!$B$3:$B$302,MATCH($B789,품목마스터!$A$3:$A$302,0)),"미등록품번"))</f>
        <v/>
      </c>
      <c r="D789" s="17" t="str">
        <f aca="false">IF($B789="","",IFERROR(INDEX(품목마스터!$D$3:$D$302,MATCH($B789,품목마스터!$A$3:$A$302,0)),""))</f>
        <v/>
      </c>
      <c r="E789" s="12"/>
      <c r="F789" s="10"/>
    </row>
    <row r="790" customFormat="false" ht="15" hidden="false" customHeight="true" outlineLevel="0" collapsed="false">
      <c r="A790" s="16"/>
      <c r="B790" s="10"/>
      <c r="C790" s="17" t="str">
        <f aca="false">IF($B790="","",IFERROR(INDEX(품목마스터!$B$3:$B$302,MATCH($B790,품목마스터!$A$3:$A$302,0)),"미등록품번"))</f>
        <v/>
      </c>
      <c r="D790" s="17" t="str">
        <f aca="false">IF($B790="","",IFERROR(INDEX(품목마스터!$D$3:$D$302,MATCH($B790,품목마스터!$A$3:$A$302,0)),""))</f>
        <v/>
      </c>
      <c r="E790" s="12"/>
      <c r="F790" s="10"/>
    </row>
    <row r="791" customFormat="false" ht="15" hidden="false" customHeight="true" outlineLevel="0" collapsed="false">
      <c r="A791" s="16"/>
      <c r="B791" s="10"/>
      <c r="C791" s="17" t="str">
        <f aca="false">IF($B791="","",IFERROR(INDEX(품목마스터!$B$3:$B$302,MATCH($B791,품목마스터!$A$3:$A$302,0)),"미등록품번"))</f>
        <v/>
      </c>
      <c r="D791" s="17" t="str">
        <f aca="false">IF($B791="","",IFERROR(INDEX(품목마스터!$D$3:$D$302,MATCH($B791,품목마스터!$A$3:$A$302,0)),""))</f>
        <v/>
      </c>
      <c r="E791" s="12"/>
      <c r="F791" s="10"/>
    </row>
    <row r="792" customFormat="false" ht="15" hidden="false" customHeight="true" outlineLevel="0" collapsed="false">
      <c r="A792" s="16"/>
      <c r="B792" s="10"/>
      <c r="C792" s="17" t="str">
        <f aca="false">IF($B792="","",IFERROR(INDEX(품목마스터!$B$3:$B$302,MATCH($B792,품목마스터!$A$3:$A$302,0)),"미등록품번"))</f>
        <v/>
      </c>
      <c r="D792" s="17" t="str">
        <f aca="false">IF($B792="","",IFERROR(INDEX(품목마스터!$D$3:$D$302,MATCH($B792,품목마스터!$A$3:$A$302,0)),""))</f>
        <v/>
      </c>
      <c r="E792" s="12"/>
      <c r="F792" s="10"/>
    </row>
    <row r="793" customFormat="false" ht="15" hidden="false" customHeight="true" outlineLevel="0" collapsed="false">
      <c r="A793" s="16"/>
      <c r="B793" s="10"/>
      <c r="C793" s="17" t="str">
        <f aca="false">IF($B793="","",IFERROR(INDEX(품목마스터!$B$3:$B$302,MATCH($B793,품목마스터!$A$3:$A$302,0)),"미등록품번"))</f>
        <v/>
      </c>
      <c r="D793" s="17" t="str">
        <f aca="false">IF($B793="","",IFERROR(INDEX(품목마스터!$D$3:$D$302,MATCH($B793,품목마스터!$A$3:$A$302,0)),""))</f>
        <v/>
      </c>
      <c r="E793" s="12"/>
      <c r="F793" s="10"/>
    </row>
    <row r="794" customFormat="false" ht="15" hidden="false" customHeight="true" outlineLevel="0" collapsed="false">
      <c r="A794" s="16"/>
      <c r="B794" s="10"/>
      <c r="C794" s="17" t="str">
        <f aca="false">IF($B794="","",IFERROR(INDEX(품목마스터!$B$3:$B$302,MATCH($B794,품목마스터!$A$3:$A$302,0)),"미등록품번"))</f>
        <v/>
      </c>
      <c r="D794" s="17" t="str">
        <f aca="false">IF($B794="","",IFERROR(INDEX(품목마스터!$D$3:$D$302,MATCH($B794,품목마스터!$A$3:$A$302,0)),""))</f>
        <v/>
      </c>
      <c r="E794" s="12"/>
      <c r="F794" s="10"/>
    </row>
    <row r="795" customFormat="false" ht="15" hidden="false" customHeight="true" outlineLevel="0" collapsed="false">
      <c r="A795" s="16"/>
      <c r="B795" s="10"/>
      <c r="C795" s="17" t="str">
        <f aca="false">IF($B795="","",IFERROR(INDEX(품목마스터!$B$3:$B$302,MATCH($B795,품목마스터!$A$3:$A$302,0)),"미등록품번"))</f>
        <v/>
      </c>
      <c r="D795" s="17" t="str">
        <f aca="false">IF($B795="","",IFERROR(INDEX(품목마스터!$D$3:$D$302,MATCH($B795,품목마스터!$A$3:$A$302,0)),""))</f>
        <v/>
      </c>
      <c r="E795" s="12"/>
      <c r="F795" s="10"/>
    </row>
    <row r="796" customFormat="false" ht="15" hidden="false" customHeight="true" outlineLevel="0" collapsed="false">
      <c r="A796" s="16"/>
      <c r="B796" s="10"/>
      <c r="C796" s="17" t="str">
        <f aca="false">IF($B796="","",IFERROR(INDEX(품목마스터!$B$3:$B$302,MATCH($B796,품목마스터!$A$3:$A$302,0)),"미등록품번"))</f>
        <v/>
      </c>
      <c r="D796" s="17" t="str">
        <f aca="false">IF($B796="","",IFERROR(INDEX(품목마스터!$D$3:$D$302,MATCH($B796,품목마스터!$A$3:$A$302,0)),""))</f>
        <v/>
      </c>
      <c r="E796" s="12"/>
      <c r="F796" s="10"/>
    </row>
    <row r="797" customFormat="false" ht="15" hidden="false" customHeight="true" outlineLevel="0" collapsed="false">
      <c r="A797" s="16"/>
      <c r="B797" s="10"/>
      <c r="C797" s="17" t="str">
        <f aca="false">IF($B797="","",IFERROR(INDEX(품목마스터!$B$3:$B$302,MATCH($B797,품목마스터!$A$3:$A$302,0)),"미등록품번"))</f>
        <v/>
      </c>
      <c r="D797" s="17" t="str">
        <f aca="false">IF($B797="","",IFERROR(INDEX(품목마스터!$D$3:$D$302,MATCH($B797,품목마스터!$A$3:$A$302,0)),""))</f>
        <v/>
      </c>
      <c r="E797" s="12"/>
      <c r="F797" s="10"/>
    </row>
    <row r="798" customFormat="false" ht="15" hidden="false" customHeight="true" outlineLevel="0" collapsed="false">
      <c r="A798" s="16"/>
      <c r="B798" s="10"/>
      <c r="C798" s="17" t="str">
        <f aca="false">IF($B798="","",IFERROR(INDEX(품목마스터!$B$3:$B$302,MATCH($B798,품목마스터!$A$3:$A$302,0)),"미등록품번"))</f>
        <v/>
      </c>
      <c r="D798" s="17" t="str">
        <f aca="false">IF($B798="","",IFERROR(INDEX(품목마스터!$D$3:$D$302,MATCH($B798,품목마스터!$A$3:$A$302,0)),""))</f>
        <v/>
      </c>
      <c r="E798" s="12"/>
      <c r="F798" s="10"/>
    </row>
    <row r="799" customFormat="false" ht="15" hidden="false" customHeight="true" outlineLevel="0" collapsed="false">
      <c r="A799" s="16"/>
      <c r="B799" s="10"/>
      <c r="C799" s="17" t="str">
        <f aca="false">IF($B799="","",IFERROR(INDEX(품목마스터!$B$3:$B$302,MATCH($B799,품목마스터!$A$3:$A$302,0)),"미등록품번"))</f>
        <v/>
      </c>
      <c r="D799" s="17" t="str">
        <f aca="false">IF($B799="","",IFERROR(INDEX(품목마스터!$D$3:$D$302,MATCH($B799,품목마스터!$A$3:$A$302,0)),""))</f>
        <v/>
      </c>
      <c r="E799" s="12"/>
      <c r="F799" s="10"/>
    </row>
    <row r="800" customFormat="false" ht="15" hidden="false" customHeight="true" outlineLevel="0" collapsed="false">
      <c r="A800" s="16"/>
      <c r="B800" s="10"/>
      <c r="C800" s="17" t="str">
        <f aca="false">IF($B800="","",IFERROR(INDEX(품목마스터!$B$3:$B$302,MATCH($B800,품목마스터!$A$3:$A$302,0)),"미등록품번"))</f>
        <v/>
      </c>
      <c r="D800" s="17" t="str">
        <f aca="false">IF($B800="","",IFERROR(INDEX(품목마스터!$D$3:$D$302,MATCH($B800,품목마스터!$A$3:$A$302,0)),""))</f>
        <v/>
      </c>
      <c r="E800" s="12"/>
      <c r="F800" s="10"/>
    </row>
    <row r="801" customFormat="false" ht="15" hidden="false" customHeight="true" outlineLevel="0" collapsed="false">
      <c r="A801" s="16"/>
      <c r="B801" s="10"/>
      <c r="C801" s="17" t="str">
        <f aca="false">IF($B801="","",IFERROR(INDEX(품목마스터!$B$3:$B$302,MATCH($B801,품목마스터!$A$3:$A$302,0)),"미등록품번"))</f>
        <v/>
      </c>
      <c r="D801" s="17" t="str">
        <f aca="false">IF($B801="","",IFERROR(INDEX(품목마스터!$D$3:$D$302,MATCH($B801,품목마스터!$A$3:$A$302,0)),""))</f>
        <v/>
      </c>
      <c r="E801" s="12"/>
      <c r="F801" s="10"/>
    </row>
    <row r="802" customFormat="false" ht="15" hidden="false" customHeight="true" outlineLevel="0" collapsed="false">
      <c r="A802" s="16"/>
      <c r="B802" s="10"/>
      <c r="C802" s="17" t="str">
        <f aca="false">IF($B802="","",IFERROR(INDEX(품목마스터!$B$3:$B$302,MATCH($B802,품목마스터!$A$3:$A$302,0)),"미등록품번"))</f>
        <v/>
      </c>
      <c r="D802" s="17" t="str">
        <f aca="false">IF($B802="","",IFERROR(INDEX(품목마스터!$D$3:$D$302,MATCH($B802,품목마스터!$A$3:$A$302,0)),""))</f>
        <v/>
      </c>
      <c r="E802" s="12"/>
      <c r="F802" s="10"/>
    </row>
    <row r="803" customFormat="false" ht="15" hidden="false" customHeight="true" outlineLevel="0" collapsed="false">
      <c r="A803" s="16"/>
      <c r="B803" s="10"/>
      <c r="C803" s="17" t="str">
        <f aca="false">IF($B803="","",IFERROR(INDEX(품목마스터!$B$3:$B$302,MATCH($B803,품목마스터!$A$3:$A$302,0)),"미등록품번"))</f>
        <v/>
      </c>
      <c r="D803" s="17" t="str">
        <f aca="false">IF($B803="","",IFERROR(INDEX(품목마스터!$D$3:$D$302,MATCH($B803,품목마스터!$A$3:$A$302,0)),""))</f>
        <v/>
      </c>
      <c r="E803" s="12"/>
      <c r="F803" s="10"/>
    </row>
    <row r="804" customFormat="false" ht="15" hidden="false" customHeight="true" outlineLevel="0" collapsed="false">
      <c r="A804" s="16"/>
      <c r="B804" s="10"/>
      <c r="C804" s="17" t="str">
        <f aca="false">IF($B804="","",IFERROR(INDEX(품목마스터!$B$3:$B$302,MATCH($B804,품목마스터!$A$3:$A$302,0)),"미등록품번"))</f>
        <v/>
      </c>
      <c r="D804" s="17" t="str">
        <f aca="false">IF($B804="","",IFERROR(INDEX(품목마스터!$D$3:$D$302,MATCH($B804,품목마스터!$A$3:$A$302,0)),""))</f>
        <v/>
      </c>
      <c r="E804" s="12"/>
      <c r="F804" s="10"/>
    </row>
    <row r="805" customFormat="false" ht="15" hidden="false" customHeight="true" outlineLevel="0" collapsed="false">
      <c r="A805" s="16"/>
      <c r="B805" s="10"/>
      <c r="C805" s="17" t="str">
        <f aca="false">IF($B805="","",IFERROR(INDEX(품목마스터!$B$3:$B$302,MATCH($B805,품목마스터!$A$3:$A$302,0)),"미등록품번"))</f>
        <v/>
      </c>
      <c r="D805" s="17" t="str">
        <f aca="false">IF($B805="","",IFERROR(INDEX(품목마스터!$D$3:$D$302,MATCH($B805,품목마스터!$A$3:$A$302,0)),""))</f>
        <v/>
      </c>
      <c r="E805" s="12"/>
      <c r="F805" s="10"/>
    </row>
    <row r="806" customFormat="false" ht="15" hidden="false" customHeight="true" outlineLevel="0" collapsed="false">
      <c r="A806" s="16"/>
      <c r="B806" s="10"/>
      <c r="C806" s="17" t="str">
        <f aca="false">IF($B806="","",IFERROR(INDEX(품목마스터!$B$3:$B$302,MATCH($B806,품목마스터!$A$3:$A$302,0)),"미등록품번"))</f>
        <v/>
      </c>
      <c r="D806" s="17" t="str">
        <f aca="false">IF($B806="","",IFERROR(INDEX(품목마스터!$D$3:$D$302,MATCH($B806,품목마스터!$A$3:$A$302,0)),""))</f>
        <v/>
      </c>
      <c r="E806" s="12"/>
      <c r="F806" s="10"/>
    </row>
    <row r="807" customFormat="false" ht="15" hidden="false" customHeight="true" outlineLevel="0" collapsed="false">
      <c r="A807" s="16"/>
      <c r="B807" s="10"/>
      <c r="C807" s="17" t="str">
        <f aca="false">IF($B807="","",IFERROR(INDEX(품목마스터!$B$3:$B$302,MATCH($B807,품목마스터!$A$3:$A$302,0)),"미등록품번"))</f>
        <v/>
      </c>
      <c r="D807" s="17" t="str">
        <f aca="false">IF($B807="","",IFERROR(INDEX(품목마스터!$D$3:$D$302,MATCH($B807,품목마스터!$A$3:$A$302,0)),""))</f>
        <v/>
      </c>
      <c r="E807" s="12"/>
      <c r="F807" s="10"/>
    </row>
    <row r="808" customFormat="false" ht="15" hidden="false" customHeight="true" outlineLevel="0" collapsed="false">
      <c r="A808" s="16"/>
      <c r="B808" s="10"/>
      <c r="C808" s="17" t="str">
        <f aca="false">IF($B808="","",IFERROR(INDEX(품목마스터!$B$3:$B$302,MATCH($B808,품목마스터!$A$3:$A$302,0)),"미등록품번"))</f>
        <v/>
      </c>
      <c r="D808" s="17" t="str">
        <f aca="false">IF($B808="","",IFERROR(INDEX(품목마스터!$D$3:$D$302,MATCH($B808,품목마스터!$A$3:$A$302,0)),""))</f>
        <v/>
      </c>
      <c r="E808" s="12"/>
      <c r="F808" s="10"/>
    </row>
    <row r="809" customFormat="false" ht="15" hidden="false" customHeight="true" outlineLevel="0" collapsed="false">
      <c r="A809" s="16"/>
      <c r="B809" s="10"/>
      <c r="C809" s="17" t="str">
        <f aca="false">IF($B809="","",IFERROR(INDEX(품목마스터!$B$3:$B$302,MATCH($B809,품목마스터!$A$3:$A$302,0)),"미등록품번"))</f>
        <v/>
      </c>
      <c r="D809" s="17" t="str">
        <f aca="false">IF($B809="","",IFERROR(INDEX(품목마스터!$D$3:$D$302,MATCH($B809,품목마스터!$A$3:$A$302,0)),""))</f>
        <v/>
      </c>
      <c r="E809" s="12"/>
      <c r="F809" s="10"/>
    </row>
    <row r="810" customFormat="false" ht="15" hidden="false" customHeight="true" outlineLevel="0" collapsed="false">
      <c r="A810" s="16"/>
      <c r="B810" s="10"/>
      <c r="C810" s="17" t="str">
        <f aca="false">IF($B810="","",IFERROR(INDEX(품목마스터!$B$3:$B$302,MATCH($B810,품목마스터!$A$3:$A$302,0)),"미등록품번"))</f>
        <v/>
      </c>
      <c r="D810" s="17" t="str">
        <f aca="false">IF($B810="","",IFERROR(INDEX(품목마스터!$D$3:$D$302,MATCH($B810,품목마스터!$A$3:$A$302,0)),""))</f>
        <v/>
      </c>
      <c r="E810" s="12"/>
      <c r="F810" s="10"/>
    </row>
    <row r="811" customFormat="false" ht="15" hidden="false" customHeight="true" outlineLevel="0" collapsed="false">
      <c r="A811" s="16"/>
      <c r="B811" s="10"/>
      <c r="C811" s="17" t="str">
        <f aca="false">IF($B811="","",IFERROR(INDEX(품목마스터!$B$3:$B$302,MATCH($B811,품목마스터!$A$3:$A$302,0)),"미등록품번"))</f>
        <v/>
      </c>
      <c r="D811" s="17" t="str">
        <f aca="false">IF($B811="","",IFERROR(INDEX(품목마스터!$D$3:$D$302,MATCH($B811,품목마스터!$A$3:$A$302,0)),""))</f>
        <v/>
      </c>
      <c r="E811" s="12"/>
      <c r="F811" s="10"/>
    </row>
    <row r="812" customFormat="false" ht="15" hidden="false" customHeight="true" outlineLevel="0" collapsed="false">
      <c r="A812" s="16"/>
      <c r="B812" s="10"/>
      <c r="C812" s="17" t="str">
        <f aca="false">IF($B812="","",IFERROR(INDEX(품목마스터!$B$3:$B$302,MATCH($B812,품목마스터!$A$3:$A$302,0)),"미등록품번"))</f>
        <v/>
      </c>
      <c r="D812" s="17" t="str">
        <f aca="false">IF($B812="","",IFERROR(INDEX(품목마스터!$D$3:$D$302,MATCH($B812,품목마스터!$A$3:$A$302,0)),""))</f>
        <v/>
      </c>
      <c r="E812" s="12"/>
      <c r="F812" s="10"/>
    </row>
    <row r="813" customFormat="false" ht="15" hidden="false" customHeight="true" outlineLevel="0" collapsed="false">
      <c r="A813" s="16"/>
      <c r="B813" s="10"/>
      <c r="C813" s="17" t="str">
        <f aca="false">IF($B813="","",IFERROR(INDEX(품목마스터!$B$3:$B$302,MATCH($B813,품목마스터!$A$3:$A$302,0)),"미등록품번"))</f>
        <v/>
      </c>
      <c r="D813" s="17" t="str">
        <f aca="false">IF($B813="","",IFERROR(INDEX(품목마스터!$D$3:$D$302,MATCH($B813,품목마스터!$A$3:$A$302,0)),""))</f>
        <v/>
      </c>
      <c r="E813" s="12"/>
      <c r="F813" s="10"/>
    </row>
    <row r="814" customFormat="false" ht="15" hidden="false" customHeight="true" outlineLevel="0" collapsed="false">
      <c r="A814" s="16"/>
      <c r="B814" s="10"/>
      <c r="C814" s="17" t="str">
        <f aca="false">IF($B814="","",IFERROR(INDEX(품목마스터!$B$3:$B$302,MATCH($B814,품목마스터!$A$3:$A$302,0)),"미등록품번"))</f>
        <v/>
      </c>
      <c r="D814" s="17" t="str">
        <f aca="false">IF($B814="","",IFERROR(INDEX(품목마스터!$D$3:$D$302,MATCH($B814,품목마스터!$A$3:$A$302,0)),""))</f>
        <v/>
      </c>
      <c r="E814" s="12"/>
      <c r="F814" s="10"/>
    </row>
    <row r="815" customFormat="false" ht="15" hidden="false" customHeight="true" outlineLevel="0" collapsed="false">
      <c r="A815" s="16"/>
      <c r="B815" s="10"/>
      <c r="C815" s="17" t="str">
        <f aca="false">IF($B815="","",IFERROR(INDEX(품목마스터!$B$3:$B$302,MATCH($B815,품목마스터!$A$3:$A$302,0)),"미등록품번"))</f>
        <v/>
      </c>
      <c r="D815" s="17" t="str">
        <f aca="false">IF($B815="","",IFERROR(INDEX(품목마스터!$D$3:$D$302,MATCH($B815,품목마스터!$A$3:$A$302,0)),""))</f>
        <v/>
      </c>
      <c r="E815" s="12"/>
      <c r="F815" s="10"/>
    </row>
    <row r="816" customFormat="false" ht="15" hidden="false" customHeight="true" outlineLevel="0" collapsed="false">
      <c r="A816" s="16"/>
      <c r="B816" s="10"/>
      <c r="C816" s="17" t="str">
        <f aca="false">IF($B816="","",IFERROR(INDEX(품목마스터!$B$3:$B$302,MATCH($B816,품목마스터!$A$3:$A$302,0)),"미등록품번"))</f>
        <v/>
      </c>
      <c r="D816" s="17" t="str">
        <f aca="false">IF($B816="","",IFERROR(INDEX(품목마스터!$D$3:$D$302,MATCH($B816,품목마스터!$A$3:$A$302,0)),""))</f>
        <v/>
      </c>
      <c r="E816" s="12"/>
      <c r="F816" s="10"/>
    </row>
    <row r="817" customFormat="false" ht="15" hidden="false" customHeight="true" outlineLevel="0" collapsed="false">
      <c r="A817" s="16"/>
      <c r="B817" s="10"/>
      <c r="C817" s="17" t="str">
        <f aca="false">IF($B817="","",IFERROR(INDEX(품목마스터!$B$3:$B$302,MATCH($B817,품목마스터!$A$3:$A$302,0)),"미등록품번"))</f>
        <v/>
      </c>
      <c r="D817" s="17" t="str">
        <f aca="false">IF($B817="","",IFERROR(INDEX(품목마스터!$D$3:$D$302,MATCH($B817,품목마스터!$A$3:$A$302,0)),""))</f>
        <v/>
      </c>
      <c r="E817" s="12"/>
      <c r="F817" s="10"/>
    </row>
    <row r="818" customFormat="false" ht="15" hidden="false" customHeight="true" outlineLevel="0" collapsed="false">
      <c r="A818" s="16"/>
      <c r="B818" s="10"/>
      <c r="C818" s="17" t="str">
        <f aca="false">IF($B818="","",IFERROR(INDEX(품목마스터!$B$3:$B$302,MATCH($B818,품목마스터!$A$3:$A$302,0)),"미등록품번"))</f>
        <v/>
      </c>
      <c r="D818" s="17" t="str">
        <f aca="false">IF($B818="","",IFERROR(INDEX(품목마스터!$D$3:$D$302,MATCH($B818,품목마스터!$A$3:$A$302,0)),""))</f>
        <v/>
      </c>
      <c r="E818" s="12"/>
      <c r="F818" s="10"/>
    </row>
    <row r="819" customFormat="false" ht="15" hidden="false" customHeight="true" outlineLevel="0" collapsed="false">
      <c r="A819" s="16"/>
      <c r="B819" s="10"/>
      <c r="C819" s="17" t="str">
        <f aca="false">IF($B819="","",IFERROR(INDEX(품목마스터!$B$3:$B$302,MATCH($B819,품목마스터!$A$3:$A$302,0)),"미등록품번"))</f>
        <v/>
      </c>
      <c r="D819" s="17" t="str">
        <f aca="false">IF($B819="","",IFERROR(INDEX(품목마스터!$D$3:$D$302,MATCH($B819,품목마스터!$A$3:$A$302,0)),""))</f>
        <v/>
      </c>
      <c r="E819" s="12"/>
      <c r="F819" s="10"/>
    </row>
    <row r="820" customFormat="false" ht="15" hidden="false" customHeight="true" outlineLevel="0" collapsed="false">
      <c r="A820" s="16"/>
      <c r="B820" s="10"/>
      <c r="C820" s="17" t="str">
        <f aca="false">IF($B820="","",IFERROR(INDEX(품목마스터!$B$3:$B$302,MATCH($B820,품목마스터!$A$3:$A$302,0)),"미등록품번"))</f>
        <v/>
      </c>
      <c r="D820" s="17" t="str">
        <f aca="false">IF($B820="","",IFERROR(INDEX(품목마스터!$D$3:$D$302,MATCH($B820,품목마스터!$A$3:$A$302,0)),""))</f>
        <v/>
      </c>
      <c r="E820" s="12"/>
      <c r="F820" s="10"/>
    </row>
    <row r="821" customFormat="false" ht="15" hidden="false" customHeight="true" outlineLevel="0" collapsed="false">
      <c r="A821" s="16"/>
      <c r="B821" s="10"/>
      <c r="C821" s="17" t="str">
        <f aca="false">IF($B821="","",IFERROR(INDEX(품목마스터!$B$3:$B$302,MATCH($B821,품목마스터!$A$3:$A$302,0)),"미등록품번"))</f>
        <v/>
      </c>
      <c r="D821" s="17" t="str">
        <f aca="false">IF($B821="","",IFERROR(INDEX(품목마스터!$D$3:$D$302,MATCH($B821,품목마스터!$A$3:$A$302,0)),""))</f>
        <v/>
      </c>
      <c r="E821" s="12"/>
      <c r="F821" s="10"/>
    </row>
    <row r="822" customFormat="false" ht="15" hidden="false" customHeight="true" outlineLevel="0" collapsed="false">
      <c r="A822" s="16"/>
      <c r="B822" s="10"/>
      <c r="C822" s="17" t="str">
        <f aca="false">IF($B822="","",IFERROR(INDEX(품목마스터!$B$3:$B$302,MATCH($B822,품목마스터!$A$3:$A$302,0)),"미등록품번"))</f>
        <v/>
      </c>
      <c r="D822" s="17" t="str">
        <f aca="false">IF($B822="","",IFERROR(INDEX(품목마스터!$D$3:$D$302,MATCH($B822,품목마스터!$A$3:$A$302,0)),""))</f>
        <v/>
      </c>
      <c r="E822" s="12"/>
      <c r="F822" s="10"/>
    </row>
    <row r="823" customFormat="false" ht="15" hidden="false" customHeight="true" outlineLevel="0" collapsed="false">
      <c r="A823" s="16"/>
      <c r="B823" s="10"/>
      <c r="C823" s="17" t="str">
        <f aca="false">IF($B823="","",IFERROR(INDEX(품목마스터!$B$3:$B$302,MATCH($B823,품목마스터!$A$3:$A$302,0)),"미등록품번"))</f>
        <v/>
      </c>
      <c r="D823" s="17" t="str">
        <f aca="false">IF($B823="","",IFERROR(INDEX(품목마스터!$D$3:$D$302,MATCH($B823,품목마스터!$A$3:$A$302,0)),""))</f>
        <v/>
      </c>
      <c r="E823" s="12"/>
      <c r="F823" s="10"/>
    </row>
    <row r="824" customFormat="false" ht="15" hidden="false" customHeight="true" outlineLevel="0" collapsed="false">
      <c r="A824" s="16"/>
      <c r="B824" s="10"/>
      <c r="C824" s="17" t="str">
        <f aca="false">IF($B824="","",IFERROR(INDEX(품목마스터!$B$3:$B$302,MATCH($B824,품목마스터!$A$3:$A$302,0)),"미등록품번"))</f>
        <v/>
      </c>
      <c r="D824" s="17" t="str">
        <f aca="false">IF($B824="","",IFERROR(INDEX(품목마스터!$D$3:$D$302,MATCH($B824,품목마스터!$A$3:$A$302,0)),""))</f>
        <v/>
      </c>
      <c r="E824" s="12"/>
      <c r="F824" s="10"/>
    </row>
    <row r="825" customFormat="false" ht="15" hidden="false" customHeight="true" outlineLevel="0" collapsed="false">
      <c r="A825" s="16"/>
      <c r="B825" s="10"/>
      <c r="C825" s="17" t="str">
        <f aca="false">IF($B825="","",IFERROR(INDEX(품목마스터!$B$3:$B$302,MATCH($B825,품목마스터!$A$3:$A$302,0)),"미등록품번"))</f>
        <v/>
      </c>
      <c r="D825" s="17" t="str">
        <f aca="false">IF($B825="","",IFERROR(INDEX(품목마스터!$D$3:$D$302,MATCH($B825,품목마스터!$A$3:$A$302,0)),""))</f>
        <v/>
      </c>
      <c r="E825" s="12"/>
      <c r="F825" s="10"/>
    </row>
    <row r="826" customFormat="false" ht="15" hidden="false" customHeight="true" outlineLevel="0" collapsed="false">
      <c r="A826" s="16"/>
      <c r="B826" s="10"/>
      <c r="C826" s="17" t="str">
        <f aca="false">IF($B826="","",IFERROR(INDEX(품목마스터!$B$3:$B$302,MATCH($B826,품목마스터!$A$3:$A$302,0)),"미등록품번"))</f>
        <v/>
      </c>
      <c r="D826" s="17" t="str">
        <f aca="false">IF($B826="","",IFERROR(INDEX(품목마스터!$D$3:$D$302,MATCH($B826,품목마스터!$A$3:$A$302,0)),""))</f>
        <v/>
      </c>
      <c r="E826" s="12"/>
      <c r="F826" s="10"/>
    </row>
    <row r="827" customFormat="false" ht="15" hidden="false" customHeight="true" outlineLevel="0" collapsed="false">
      <c r="A827" s="16"/>
      <c r="B827" s="10"/>
      <c r="C827" s="17" t="str">
        <f aca="false">IF($B827="","",IFERROR(INDEX(품목마스터!$B$3:$B$302,MATCH($B827,품목마스터!$A$3:$A$302,0)),"미등록품번"))</f>
        <v/>
      </c>
      <c r="D827" s="17" t="str">
        <f aca="false">IF($B827="","",IFERROR(INDEX(품목마스터!$D$3:$D$302,MATCH($B827,품목마스터!$A$3:$A$302,0)),""))</f>
        <v/>
      </c>
      <c r="E827" s="12"/>
      <c r="F827" s="10"/>
    </row>
    <row r="828" customFormat="false" ht="15" hidden="false" customHeight="true" outlineLevel="0" collapsed="false">
      <c r="A828" s="16"/>
      <c r="B828" s="10"/>
      <c r="C828" s="17" t="str">
        <f aca="false">IF($B828="","",IFERROR(INDEX(품목마스터!$B$3:$B$302,MATCH($B828,품목마스터!$A$3:$A$302,0)),"미등록품번"))</f>
        <v/>
      </c>
      <c r="D828" s="17" t="str">
        <f aca="false">IF($B828="","",IFERROR(INDEX(품목마스터!$D$3:$D$302,MATCH($B828,품목마스터!$A$3:$A$302,0)),""))</f>
        <v/>
      </c>
      <c r="E828" s="12"/>
      <c r="F828" s="10"/>
    </row>
    <row r="829" customFormat="false" ht="15" hidden="false" customHeight="true" outlineLevel="0" collapsed="false">
      <c r="A829" s="16"/>
      <c r="B829" s="10"/>
      <c r="C829" s="17" t="str">
        <f aca="false">IF($B829="","",IFERROR(INDEX(품목마스터!$B$3:$B$302,MATCH($B829,품목마스터!$A$3:$A$302,0)),"미등록품번"))</f>
        <v/>
      </c>
      <c r="D829" s="17" t="str">
        <f aca="false">IF($B829="","",IFERROR(INDEX(품목마스터!$D$3:$D$302,MATCH($B829,품목마스터!$A$3:$A$302,0)),""))</f>
        <v/>
      </c>
      <c r="E829" s="12"/>
      <c r="F829" s="10"/>
    </row>
    <row r="830" customFormat="false" ht="15" hidden="false" customHeight="true" outlineLevel="0" collapsed="false">
      <c r="A830" s="16"/>
      <c r="B830" s="10"/>
      <c r="C830" s="17" t="str">
        <f aca="false">IF($B830="","",IFERROR(INDEX(품목마스터!$B$3:$B$302,MATCH($B830,품목마스터!$A$3:$A$302,0)),"미등록품번"))</f>
        <v/>
      </c>
      <c r="D830" s="17" t="str">
        <f aca="false">IF($B830="","",IFERROR(INDEX(품목마스터!$D$3:$D$302,MATCH($B830,품목마스터!$A$3:$A$302,0)),""))</f>
        <v/>
      </c>
      <c r="E830" s="12"/>
      <c r="F830" s="10"/>
    </row>
    <row r="831" customFormat="false" ht="15" hidden="false" customHeight="true" outlineLevel="0" collapsed="false">
      <c r="A831" s="16"/>
      <c r="B831" s="10"/>
      <c r="C831" s="17" t="str">
        <f aca="false">IF($B831="","",IFERROR(INDEX(품목마스터!$B$3:$B$302,MATCH($B831,품목마스터!$A$3:$A$302,0)),"미등록품번"))</f>
        <v/>
      </c>
      <c r="D831" s="17" t="str">
        <f aca="false">IF($B831="","",IFERROR(INDEX(품목마스터!$D$3:$D$302,MATCH($B831,품목마스터!$A$3:$A$302,0)),""))</f>
        <v/>
      </c>
      <c r="E831" s="12"/>
      <c r="F831" s="10"/>
    </row>
    <row r="832" customFormat="false" ht="15" hidden="false" customHeight="true" outlineLevel="0" collapsed="false">
      <c r="A832" s="16"/>
      <c r="B832" s="10"/>
      <c r="C832" s="17" t="str">
        <f aca="false">IF($B832="","",IFERROR(INDEX(품목마스터!$B$3:$B$302,MATCH($B832,품목마스터!$A$3:$A$302,0)),"미등록품번"))</f>
        <v/>
      </c>
      <c r="D832" s="17" t="str">
        <f aca="false">IF($B832="","",IFERROR(INDEX(품목마스터!$D$3:$D$302,MATCH($B832,품목마스터!$A$3:$A$302,0)),""))</f>
        <v/>
      </c>
      <c r="E832" s="12"/>
      <c r="F832" s="10"/>
    </row>
    <row r="833" customFormat="false" ht="15" hidden="false" customHeight="true" outlineLevel="0" collapsed="false">
      <c r="A833" s="16"/>
      <c r="B833" s="10"/>
      <c r="C833" s="17" t="str">
        <f aca="false">IF($B833="","",IFERROR(INDEX(품목마스터!$B$3:$B$302,MATCH($B833,품목마스터!$A$3:$A$302,0)),"미등록품번"))</f>
        <v/>
      </c>
      <c r="D833" s="17" t="str">
        <f aca="false">IF($B833="","",IFERROR(INDEX(품목마스터!$D$3:$D$302,MATCH($B833,품목마스터!$A$3:$A$302,0)),""))</f>
        <v/>
      </c>
      <c r="E833" s="12"/>
      <c r="F833" s="10"/>
    </row>
    <row r="834" customFormat="false" ht="15" hidden="false" customHeight="true" outlineLevel="0" collapsed="false">
      <c r="A834" s="16"/>
      <c r="B834" s="10"/>
      <c r="C834" s="17" t="str">
        <f aca="false">IF($B834="","",IFERROR(INDEX(품목마스터!$B$3:$B$302,MATCH($B834,품목마스터!$A$3:$A$302,0)),"미등록품번"))</f>
        <v/>
      </c>
      <c r="D834" s="17" t="str">
        <f aca="false">IF($B834="","",IFERROR(INDEX(품목마스터!$D$3:$D$302,MATCH($B834,품목마스터!$A$3:$A$302,0)),""))</f>
        <v/>
      </c>
      <c r="E834" s="12"/>
      <c r="F834" s="10"/>
    </row>
    <row r="835" customFormat="false" ht="15" hidden="false" customHeight="true" outlineLevel="0" collapsed="false">
      <c r="A835" s="16"/>
      <c r="B835" s="10"/>
      <c r="C835" s="17" t="str">
        <f aca="false">IF($B835="","",IFERROR(INDEX(품목마스터!$B$3:$B$302,MATCH($B835,품목마스터!$A$3:$A$302,0)),"미등록품번"))</f>
        <v/>
      </c>
      <c r="D835" s="17" t="str">
        <f aca="false">IF($B835="","",IFERROR(INDEX(품목마스터!$D$3:$D$302,MATCH($B835,품목마스터!$A$3:$A$302,0)),""))</f>
        <v/>
      </c>
      <c r="E835" s="12"/>
      <c r="F835" s="10"/>
    </row>
    <row r="836" customFormat="false" ht="15" hidden="false" customHeight="true" outlineLevel="0" collapsed="false">
      <c r="A836" s="16"/>
      <c r="B836" s="10"/>
      <c r="C836" s="17" t="str">
        <f aca="false">IF($B836="","",IFERROR(INDEX(품목마스터!$B$3:$B$302,MATCH($B836,품목마스터!$A$3:$A$302,0)),"미등록품번"))</f>
        <v/>
      </c>
      <c r="D836" s="17" t="str">
        <f aca="false">IF($B836="","",IFERROR(INDEX(품목마스터!$D$3:$D$302,MATCH($B836,품목마스터!$A$3:$A$302,0)),""))</f>
        <v/>
      </c>
      <c r="E836" s="12"/>
      <c r="F836" s="10"/>
    </row>
    <row r="837" customFormat="false" ht="15" hidden="false" customHeight="true" outlineLevel="0" collapsed="false">
      <c r="A837" s="16"/>
      <c r="B837" s="10"/>
      <c r="C837" s="17" t="str">
        <f aca="false">IF($B837="","",IFERROR(INDEX(품목마스터!$B$3:$B$302,MATCH($B837,품목마스터!$A$3:$A$302,0)),"미등록품번"))</f>
        <v/>
      </c>
      <c r="D837" s="17" t="str">
        <f aca="false">IF($B837="","",IFERROR(INDEX(품목마스터!$D$3:$D$302,MATCH($B837,품목마스터!$A$3:$A$302,0)),""))</f>
        <v/>
      </c>
      <c r="E837" s="12"/>
      <c r="F837" s="10"/>
    </row>
    <row r="838" customFormat="false" ht="15" hidden="false" customHeight="true" outlineLevel="0" collapsed="false">
      <c r="A838" s="16"/>
      <c r="B838" s="10"/>
      <c r="C838" s="17" t="str">
        <f aca="false">IF($B838="","",IFERROR(INDEX(품목마스터!$B$3:$B$302,MATCH($B838,품목마스터!$A$3:$A$302,0)),"미등록품번"))</f>
        <v/>
      </c>
      <c r="D838" s="17" t="str">
        <f aca="false">IF($B838="","",IFERROR(INDEX(품목마스터!$D$3:$D$302,MATCH($B838,품목마스터!$A$3:$A$302,0)),""))</f>
        <v/>
      </c>
      <c r="E838" s="12"/>
      <c r="F838" s="10"/>
    </row>
    <row r="839" customFormat="false" ht="15" hidden="false" customHeight="true" outlineLevel="0" collapsed="false">
      <c r="A839" s="16"/>
      <c r="B839" s="10"/>
      <c r="C839" s="17" t="str">
        <f aca="false">IF($B839="","",IFERROR(INDEX(품목마스터!$B$3:$B$302,MATCH($B839,품목마스터!$A$3:$A$302,0)),"미등록품번"))</f>
        <v/>
      </c>
      <c r="D839" s="17" t="str">
        <f aca="false">IF($B839="","",IFERROR(INDEX(품목마스터!$D$3:$D$302,MATCH($B839,품목마스터!$A$3:$A$302,0)),""))</f>
        <v/>
      </c>
      <c r="E839" s="12"/>
      <c r="F839" s="10"/>
    </row>
    <row r="840" customFormat="false" ht="15" hidden="false" customHeight="true" outlineLevel="0" collapsed="false">
      <c r="A840" s="16"/>
      <c r="B840" s="10"/>
      <c r="C840" s="17" t="str">
        <f aca="false">IF($B840="","",IFERROR(INDEX(품목마스터!$B$3:$B$302,MATCH($B840,품목마스터!$A$3:$A$302,0)),"미등록품번"))</f>
        <v/>
      </c>
      <c r="D840" s="17" t="str">
        <f aca="false">IF($B840="","",IFERROR(INDEX(품목마스터!$D$3:$D$302,MATCH($B840,품목마스터!$A$3:$A$302,0)),""))</f>
        <v/>
      </c>
      <c r="E840" s="12"/>
      <c r="F840" s="10"/>
    </row>
    <row r="841" customFormat="false" ht="15" hidden="false" customHeight="true" outlineLevel="0" collapsed="false">
      <c r="A841" s="16"/>
      <c r="B841" s="10"/>
      <c r="C841" s="17" t="str">
        <f aca="false">IF($B841="","",IFERROR(INDEX(품목마스터!$B$3:$B$302,MATCH($B841,품목마스터!$A$3:$A$302,0)),"미등록품번"))</f>
        <v/>
      </c>
      <c r="D841" s="17" t="str">
        <f aca="false">IF($B841="","",IFERROR(INDEX(품목마스터!$D$3:$D$302,MATCH($B841,품목마스터!$A$3:$A$302,0)),""))</f>
        <v/>
      </c>
      <c r="E841" s="12"/>
      <c r="F841" s="10"/>
    </row>
    <row r="842" customFormat="false" ht="15" hidden="false" customHeight="true" outlineLevel="0" collapsed="false">
      <c r="A842" s="16"/>
      <c r="B842" s="10"/>
      <c r="C842" s="17" t="str">
        <f aca="false">IF($B842="","",IFERROR(INDEX(품목마스터!$B$3:$B$302,MATCH($B842,품목마스터!$A$3:$A$302,0)),"미등록품번"))</f>
        <v/>
      </c>
      <c r="D842" s="17" t="str">
        <f aca="false">IF($B842="","",IFERROR(INDEX(품목마스터!$D$3:$D$302,MATCH($B842,품목마스터!$A$3:$A$302,0)),""))</f>
        <v/>
      </c>
      <c r="E842" s="12"/>
      <c r="F842" s="10"/>
    </row>
    <row r="843" customFormat="false" ht="15" hidden="false" customHeight="true" outlineLevel="0" collapsed="false">
      <c r="A843" s="16"/>
      <c r="B843" s="10"/>
      <c r="C843" s="17" t="str">
        <f aca="false">IF($B843="","",IFERROR(INDEX(품목마스터!$B$3:$B$302,MATCH($B843,품목마스터!$A$3:$A$302,0)),"미등록품번"))</f>
        <v/>
      </c>
      <c r="D843" s="17" t="str">
        <f aca="false">IF($B843="","",IFERROR(INDEX(품목마스터!$D$3:$D$302,MATCH($B843,품목마스터!$A$3:$A$302,0)),""))</f>
        <v/>
      </c>
      <c r="E843" s="12"/>
      <c r="F843" s="10"/>
    </row>
    <row r="844" customFormat="false" ht="15" hidden="false" customHeight="true" outlineLevel="0" collapsed="false">
      <c r="A844" s="16"/>
      <c r="B844" s="10"/>
      <c r="C844" s="17" t="str">
        <f aca="false">IF($B844="","",IFERROR(INDEX(품목마스터!$B$3:$B$302,MATCH($B844,품목마스터!$A$3:$A$302,0)),"미등록품번"))</f>
        <v/>
      </c>
      <c r="D844" s="17" t="str">
        <f aca="false">IF($B844="","",IFERROR(INDEX(품목마스터!$D$3:$D$302,MATCH($B844,품목마스터!$A$3:$A$302,0)),""))</f>
        <v/>
      </c>
      <c r="E844" s="12"/>
      <c r="F844" s="10"/>
    </row>
    <row r="845" customFormat="false" ht="15" hidden="false" customHeight="true" outlineLevel="0" collapsed="false">
      <c r="A845" s="16"/>
      <c r="B845" s="10"/>
      <c r="C845" s="17" t="str">
        <f aca="false">IF($B845="","",IFERROR(INDEX(품목마스터!$B$3:$B$302,MATCH($B845,품목마스터!$A$3:$A$302,0)),"미등록품번"))</f>
        <v/>
      </c>
      <c r="D845" s="17" t="str">
        <f aca="false">IF($B845="","",IFERROR(INDEX(품목마스터!$D$3:$D$302,MATCH($B845,품목마스터!$A$3:$A$302,0)),""))</f>
        <v/>
      </c>
      <c r="E845" s="12"/>
      <c r="F845" s="10"/>
    </row>
    <row r="846" customFormat="false" ht="15" hidden="false" customHeight="true" outlineLevel="0" collapsed="false">
      <c r="A846" s="16"/>
      <c r="B846" s="10"/>
      <c r="C846" s="17" t="str">
        <f aca="false">IF($B846="","",IFERROR(INDEX(품목마스터!$B$3:$B$302,MATCH($B846,품목마스터!$A$3:$A$302,0)),"미등록품번"))</f>
        <v/>
      </c>
      <c r="D846" s="17" t="str">
        <f aca="false">IF($B846="","",IFERROR(INDEX(품목마스터!$D$3:$D$302,MATCH($B846,품목마스터!$A$3:$A$302,0)),""))</f>
        <v/>
      </c>
      <c r="E846" s="12"/>
      <c r="F846" s="10"/>
    </row>
    <row r="847" customFormat="false" ht="15" hidden="false" customHeight="true" outlineLevel="0" collapsed="false">
      <c r="A847" s="16"/>
      <c r="B847" s="10"/>
      <c r="C847" s="17" t="str">
        <f aca="false">IF($B847="","",IFERROR(INDEX(품목마스터!$B$3:$B$302,MATCH($B847,품목마스터!$A$3:$A$302,0)),"미등록품번"))</f>
        <v/>
      </c>
      <c r="D847" s="17" t="str">
        <f aca="false">IF($B847="","",IFERROR(INDEX(품목마스터!$D$3:$D$302,MATCH($B847,품목마스터!$A$3:$A$302,0)),""))</f>
        <v/>
      </c>
      <c r="E847" s="12"/>
      <c r="F847" s="10"/>
    </row>
    <row r="848" customFormat="false" ht="15" hidden="false" customHeight="true" outlineLevel="0" collapsed="false">
      <c r="A848" s="16"/>
      <c r="B848" s="10"/>
      <c r="C848" s="17" t="str">
        <f aca="false">IF($B848="","",IFERROR(INDEX(품목마스터!$B$3:$B$302,MATCH($B848,품목마스터!$A$3:$A$302,0)),"미등록품번"))</f>
        <v/>
      </c>
      <c r="D848" s="17" t="str">
        <f aca="false">IF($B848="","",IFERROR(INDEX(품목마스터!$D$3:$D$302,MATCH($B848,품목마스터!$A$3:$A$302,0)),""))</f>
        <v/>
      </c>
      <c r="E848" s="12"/>
      <c r="F848" s="10"/>
    </row>
    <row r="849" customFormat="false" ht="15" hidden="false" customHeight="true" outlineLevel="0" collapsed="false">
      <c r="A849" s="16"/>
      <c r="B849" s="10"/>
      <c r="C849" s="17" t="str">
        <f aca="false">IF($B849="","",IFERROR(INDEX(품목마스터!$B$3:$B$302,MATCH($B849,품목마스터!$A$3:$A$302,0)),"미등록품번"))</f>
        <v/>
      </c>
      <c r="D849" s="17" t="str">
        <f aca="false">IF($B849="","",IFERROR(INDEX(품목마스터!$D$3:$D$302,MATCH($B849,품목마스터!$A$3:$A$302,0)),""))</f>
        <v/>
      </c>
      <c r="E849" s="12"/>
      <c r="F849" s="10"/>
    </row>
    <row r="850" customFormat="false" ht="15" hidden="false" customHeight="true" outlineLevel="0" collapsed="false">
      <c r="A850" s="16"/>
      <c r="B850" s="10"/>
      <c r="C850" s="17" t="str">
        <f aca="false">IF($B850="","",IFERROR(INDEX(품목마스터!$B$3:$B$302,MATCH($B850,품목마스터!$A$3:$A$302,0)),"미등록품번"))</f>
        <v/>
      </c>
      <c r="D850" s="17" t="str">
        <f aca="false">IF($B850="","",IFERROR(INDEX(품목마스터!$D$3:$D$302,MATCH($B850,품목마스터!$A$3:$A$302,0)),""))</f>
        <v/>
      </c>
      <c r="E850" s="12"/>
      <c r="F850" s="10"/>
    </row>
    <row r="851" customFormat="false" ht="15" hidden="false" customHeight="true" outlineLevel="0" collapsed="false">
      <c r="A851" s="16"/>
      <c r="B851" s="10"/>
      <c r="C851" s="17" t="str">
        <f aca="false">IF($B851="","",IFERROR(INDEX(품목마스터!$B$3:$B$302,MATCH($B851,품목마스터!$A$3:$A$302,0)),"미등록품번"))</f>
        <v/>
      </c>
      <c r="D851" s="17" t="str">
        <f aca="false">IF($B851="","",IFERROR(INDEX(품목마스터!$D$3:$D$302,MATCH($B851,품목마스터!$A$3:$A$302,0)),""))</f>
        <v/>
      </c>
      <c r="E851" s="12"/>
      <c r="F851" s="10"/>
    </row>
    <row r="852" customFormat="false" ht="15" hidden="false" customHeight="true" outlineLevel="0" collapsed="false">
      <c r="A852" s="16"/>
      <c r="B852" s="10"/>
      <c r="C852" s="17" t="str">
        <f aca="false">IF($B852="","",IFERROR(INDEX(품목마스터!$B$3:$B$302,MATCH($B852,품목마스터!$A$3:$A$302,0)),"미등록품번"))</f>
        <v/>
      </c>
      <c r="D852" s="17" t="str">
        <f aca="false">IF($B852="","",IFERROR(INDEX(품목마스터!$D$3:$D$302,MATCH($B852,품목마스터!$A$3:$A$302,0)),""))</f>
        <v/>
      </c>
      <c r="E852" s="12"/>
      <c r="F852" s="10"/>
    </row>
    <row r="853" customFormat="false" ht="15" hidden="false" customHeight="true" outlineLevel="0" collapsed="false">
      <c r="A853" s="16"/>
      <c r="B853" s="10"/>
      <c r="C853" s="17" t="str">
        <f aca="false">IF($B853="","",IFERROR(INDEX(품목마스터!$B$3:$B$302,MATCH($B853,품목마스터!$A$3:$A$302,0)),"미등록품번"))</f>
        <v/>
      </c>
      <c r="D853" s="17" t="str">
        <f aca="false">IF($B853="","",IFERROR(INDEX(품목마스터!$D$3:$D$302,MATCH($B853,품목마스터!$A$3:$A$302,0)),""))</f>
        <v/>
      </c>
      <c r="E853" s="12"/>
      <c r="F853" s="10"/>
    </row>
    <row r="854" customFormat="false" ht="15" hidden="false" customHeight="true" outlineLevel="0" collapsed="false">
      <c r="A854" s="16"/>
      <c r="B854" s="10"/>
      <c r="C854" s="17" t="str">
        <f aca="false">IF($B854="","",IFERROR(INDEX(품목마스터!$B$3:$B$302,MATCH($B854,품목마스터!$A$3:$A$302,0)),"미등록품번"))</f>
        <v/>
      </c>
      <c r="D854" s="17" t="str">
        <f aca="false">IF($B854="","",IFERROR(INDEX(품목마스터!$D$3:$D$302,MATCH($B854,품목마스터!$A$3:$A$302,0)),""))</f>
        <v/>
      </c>
      <c r="E854" s="12"/>
      <c r="F854" s="10"/>
    </row>
    <row r="855" customFormat="false" ht="15" hidden="false" customHeight="true" outlineLevel="0" collapsed="false">
      <c r="A855" s="16"/>
      <c r="B855" s="10"/>
      <c r="C855" s="17" t="str">
        <f aca="false">IF($B855="","",IFERROR(INDEX(품목마스터!$B$3:$B$302,MATCH($B855,품목마스터!$A$3:$A$302,0)),"미등록품번"))</f>
        <v/>
      </c>
      <c r="D855" s="17" t="str">
        <f aca="false">IF($B855="","",IFERROR(INDEX(품목마스터!$D$3:$D$302,MATCH($B855,품목마스터!$A$3:$A$302,0)),""))</f>
        <v/>
      </c>
      <c r="E855" s="12"/>
      <c r="F855" s="10"/>
    </row>
    <row r="856" customFormat="false" ht="15" hidden="false" customHeight="true" outlineLevel="0" collapsed="false">
      <c r="A856" s="16"/>
      <c r="B856" s="10"/>
      <c r="C856" s="17" t="str">
        <f aca="false">IF($B856="","",IFERROR(INDEX(품목마스터!$B$3:$B$302,MATCH($B856,품목마스터!$A$3:$A$302,0)),"미등록품번"))</f>
        <v/>
      </c>
      <c r="D856" s="17" t="str">
        <f aca="false">IF($B856="","",IFERROR(INDEX(품목마스터!$D$3:$D$302,MATCH($B856,품목마스터!$A$3:$A$302,0)),""))</f>
        <v/>
      </c>
      <c r="E856" s="12"/>
      <c r="F856" s="10"/>
    </row>
    <row r="857" customFormat="false" ht="15" hidden="false" customHeight="true" outlineLevel="0" collapsed="false">
      <c r="A857" s="16"/>
      <c r="B857" s="10"/>
      <c r="C857" s="17" t="str">
        <f aca="false">IF($B857="","",IFERROR(INDEX(품목마스터!$B$3:$B$302,MATCH($B857,품목마스터!$A$3:$A$302,0)),"미등록품번"))</f>
        <v/>
      </c>
      <c r="D857" s="17" t="str">
        <f aca="false">IF($B857="","",IFERROR(INDEX(품목마스터!$D$3:$D$302,MATCH($B857,품목마스터!$A$3:$A$302,0)),""))</f>
        <v/>
      </c>
      <c r="E857" s="12"/>
      <c r="F857" s="10"/>
    </row>
    <row r="858" customFormat="false" ht="15" hidden="false" customHeight="true" outlineLevel="0" collapsed="false">
      <c r="A858" s="16"/>
      <c r="B858" s="10"/>
      <c r="C858" s="17" t="str">
        <f aca="false">IF($B858="","",IFERROR(INDEX(품목마스터!$B$3:$B$302,MATCH($B858,품목마스터!$A$3:$A$302,0)),"미등록품번"))</f>
        <v/>
      </c>
      <c r="D858" s="17" t="str">
        <f aca="false">IF($B858="","",IFERROR(INDEX(품목마스터!$D$3:$D$302,MATCH($B858,품목마스터!$A$3:$A$302,0)),""))</f>
        <v/>
      </c>
      <c r="E858" s="12"/>
      <c r="F858" s="10"/>
    </row>
    <row r="859" customFormat="false" ht="15" hidden="false" customHeight="true" outlineLevel="0" collapsed="false">
      <c r="A859" s="16"/>
      <c r="B859" s="10"/>
      <c r="C859" s="17" t="str">
        <f aca="false">IF($B859="","",IFERROR(INDEX(품목마스터!$B$3:$B$302,MATCH($B859,품목마스터!$A$3:$A$302,0)),"미등록품번"))</f>
        <v/>
      </c>
      <c r="D859" s="17" t="str">
        <f aca="false">IF($B859="","",IFERROR(INDEX(품목마스터!$D$3:$D$302,MATCH($B859,품목마스터!$A$3:$A$302,0)),""))</f>
        <v/>
      </c>
      <c r="E859" s="12"/>
      <c r="F859" s="10"/>
    </row>
    <row r="860" customFormat="false" ht="15" hidden="false" customHeight="true" outlineLevel="0" collapsed="false">
      <c r="A860" s="16"/>
      <c r="B860" s="10"/>
      <c r="C860" s="17" t="str">
        <f aca="false">IF($B860="","",IFERROR(INDEX(품목마스터!$B$3:$B$302,MATCH($B860,품목마스터!$A$3:$A$302,0)),"미등록품번"))</f>
        <v/>
      </c>
      <c r="D860" s="17" t="str">
        <f aca="false">IF($B860="","",IFERROR(INDEX(품목마스터!$D$3:$D$302,MATCH($B860,품목마스터!$A$3:$A$302,0)),""))</f>
        <v/>
      </c>
      <c r="E860" s="12"/>
      <c r="F860" s="10"/>
    </row>
    <row r="861" customFormat="false" ht="15" hidden="false" customHeight="true" outlineLevel="0" collapsed="false">
      <c r="A861" s="16"/>
      <c r="B861" s="10"/>
      <c r="C861" s="17" t="str">
        <f aca="false">IF($B861="","",IFERROR(INDEX(품목마스터!$B$3:$B$302,MATCH($B861,품목마스터!$A$3:$A$302,0)),"미등록품번"))</f>
        <v/>
      </c>
      <c r="D861" s="17" t="str">
        <f aca="false">IF($B861="","",IFERROR(INDEX(품목마스터!$D$3:$D$302,MATCH($B861,품목마스터!$A$3:$A$302,0)),""))</f>
        <v/>
      </c>
      <c r="E861" s="12"/>
      <c r="F861" s="10"/>
    </row>
    <row r="862" customFormat="false" ht="15" hidden="false" customHeight="true" outlineLevel="0" collapsed="false">
      <c r="A862" s="16"/>
      <c r="B862" s="10"/>
      <c r="C862" s="17" t="str">
        <f aca="false">IF($B862="","",IFERROR(INDEX(품목마스터!$B$3:$B$302,MATCH($B862,품목마스터!$A$3:$A$302,0)),"미등록품번"))</f>
        <v/>
      </c>
      <c r="D862" s="17" t="str">
        <f aca="false">IF($B862="","",IFERROR(INDEX(품목마스터!$D$3:$D$302,MATCH($B862,품목마스터!$A$3:$A$302,0)),""))</f>
        <v/>
      </c>
      <c r="E862" s="12"/>
      <c r="F862" s="10"/>
    </row>
    <row r="863" customFormat="false" ht="15" hidden="false" customHeight="true" outlineLevel="0" collapsed="false">
      <c r="A863" s="16"/>
      <c r="B863" s="10"/>
      <c r="C863" s="17" t="str">
        <f aca="false">IF($B863="","",IFERROR(INDEX(품목마스터!$B$3:$B$302,MATCH($B863,품목마스터!$A$3:$A$302,0)),"미등록품번"))</f>
        <v/>
      </c>
      <c r="D863" s="17" t="str">
        <f aca="false">IF($B863="","",IFERROR(INDEX(품목마스터!$D$3:$D$302,MATCH($B863,품목마스터!$A$3:$A$302,0)),""))</f>
        <v/>
      </c>
      <c r="E863" s="12"/>
      <c r="F863" s="10"/>
    </row>
    <row r="864" customFormat="false" ht="15" hidden="false" customHeight="true" outlineLevel="0" collapsed="false">
      <c r="A864" s="16"/>
      <c r="B864" s="10"/>
      <c r="C864" s="17" t="str">
        <f aca="false">IF($B864="","",IFERROR(INDEX(품목마스터!$B$3:$B$302,MATCH($B864,품목마스터!$A$3:$A$302,0)),"미등록품번"))</f>
        <v/>
      </c>
      <c r="D864" s="17" t="str">
        <f aca="false">IF($B864="","",IFERROR(INDEX(품목마스터!$D$3:$D$302,MATCH($B864,품목마스터!$A$3:$A$302,0)),""))</f>
        <v/>
      </c>
      <c r="E864" s="12"/>
      <c r="F864" s="10"/>
    </row>
    <row r="865" customFormat="false" ht="15" hidden="false" customHeight="true" outlineLevel="0" collapsed="false">
      <c r="A865" s="16"/>
      <c r="B865" s="10"/>
      <c r="C865" s="17" t="str">
        <f aca="false">IF($B865="","",IFERROR(INDEX(품목마스터!$B$3:$B$302,MATCH($B865,품목마스터!$A$3:$A$302,0)),"미등록품번"))</f>
        <v/>
      </c>
      <c r="D865" s="17" t="str">
        <f aca="false">IF($B865="","",IFERROR(INDEX(품목마스터!$D$3:$D$302,MATCH($B865,품목마스터!$A$3:$A$302,0)),""))</f>
        <v/>
      </c>
      <c r="E865" s="12"/>
      <c r="F865" s="10"/>
    </row>
    <row r="866" customFormat="false" ht="15" hidden="false" customHeight="true" outlineLevel="0" collapsed="false">
      <c r="A866" s="16"/>
      <c r="B866" s="10"/>
      <c r="C866" s="17" t="str">
        <f aca="false">IF($B866="","",IFERROR(INDEX(품목마스터!$B$3:$B$302,MATCH($B866,품목마스터!$A$3:$A$302,0)),"미등록품번"))</f>
        <v/>
      </c>
      <c r="D866" s="17" t="str">
        <f aca="false">IF($B866="","",IFERROR(INDEX(품목마스터!$D$3:$D$302,MATCH($B866,품목마스터!$A$3:$A$302,0)),""))</f>
        <v/>
      </c>
      <c r="E866" s="12"/>
      <c r="F866" s="10"/>
    </row>
    <row r="867" customFormat="false" ht="15" hidden="false" customHeight="true" outlineLevel="0" collapsed="false">
      <c r="A867" s="16"/>
      <c r="B867" s="10"/>
      <c r="C867" s="17" t="str">
        <f aca="false">IF($B867="","",IFERROR(INDEX(품목마스터!$B$3:$B$302,MATCH($B867,품목마스터!$A$3:$A$302,0)),"미등록품번"))</f>
        <v/>
      </c>
      <c r="D867" s="17" t="str">
        <f aca="false">IF($B867="","",IFERROR(INDEX(품목마스터!$D$3:$D$302,MATCH($B867,품목마스터!$A$3:$A$302,0)),""))</f>
        <v/>
      </c>
      <c r="E867" s="12"/>
      <c r="F867" s="10"/>
    </row>
    <row r="868" customFormat="false" ht="15" hidden="false" customHeight="true" outlineLevel="0" collapsed="false">
      <c r="A868" s="16"/>
      <c r="B868" s="10"/>
      <c r="C868" s="17" t="str">
        <f aca="false">IF($B868="","",IFERROR(INDEX(품목마스터!$B$3:$B$302,MATCH($B868,품목마스터!$A$3:$A$302,0)),"미등록품번"))</f>
        <v/>
      </c>
      <c r="D868" s="17" t="str">
        <f aca="false">IF($B868="","",IFERROR(INDEX(품목마스터!$D$3:$D$302,MATCH($B868,품목마스터!$A$3:$A$302,0)),""))</f>
        <v/>
      </c>
      <c r="E868" s="12"/>
      <c r="F868" s="10"/>
    </row>
    <row r="869" customFormat="false" ht="15" hidden="false" customHeight="true" outlineLevel="0" collapsed="false">
      <c r="A869" s="16"/>
      <c r="B869" s="10"/>
      <c r="C869" s="17" t="str">
        <f aca="false">IF($B869="","",IFERROR(INDEX(품목마스터!$B$3:$B$302,MATCH($B869,품목마스터!$A$3:$A$302,0)),"미등록품번"))</f>
        <v/>
      </c>
      <c r="D869" s="17" t="str">
        <f aca="false">IF($B869="","",IFERROR(INDEX(품목마스터!$D$3:$D$302,MATCH($B869,품목마스터!$A$3:$A$302,0)),""))</f>
        <v/>
      </c>
      <c r="E869" s="12"/>
      <c r="F869" s="10"/>
    </row>
    <row r="870" customFormat="false" ht="15" hidden="false" customHeight="true" outlineLevel="0" collapsed="false">
      <c r="A870" s="16"/>
      <c r="B870" s="10"/>
      <c r="C870" s="17" t="str">
        <f aca="false">IF($B870="","",IFERROR(INDEX(품목마스터!$B$3:$B$302,MATCH($B870,품목마스터!$A$3:$A$302,0)),"미등록품번"))</f>
        <v/>
      </c>
      <c r="D870" s="17" t="str">
        <f aca="false">IF($B870="","",IFERROR(INDEX(품목마스터!$D$3:$D$302,MATCH($B870,품목마스터!$A$3:$A$302,0)),""))</f>
        <v/>
      </c>
      <c r="E870" s="12"/>
      <c r="F870" s="10"/>
    </row>
    <row r="871" customFormat="false" ht="15" hidden="false" customHeight="true" outlineLevel="0" collapsed="false">
      <c r="A871" s="16"/>
      <c r="B871" s="10"/>
      <c r="C871" s="17" t="str">
        <f aca="false">IF($B871="","",IFERROR(INDEX(품목마스터!$B$3:$B$302,MATCH($B871,품목마스터!$A$3:$A$302,0)),"미등록품번"))</f>
        <v/>
      </c>
      <c r="D871" s="17" t="str">
        <f aca="false">IF($B871="","",IFERROR(INDEX(품목마스터!$D$3:$D$302,MATCH($B871,품목마스터!$A$3:$A$302,0)),""))</f>
        <v/>
      </c>
      <c r="E871" s="12"/>
      <c r="F871" s="10"/>
    </row>
    <row r="872" customFormat="false" ht="15" hidden="false" customHeight="true" outlineLevel="0" collapsed="false">
      <c r="A872" s="16"/>
      <c r="B872" s="10"/>
      <c r="C872" s="17" t="str">
        <f aca="false">IF($B872="","",IFERROR(INDEX(품목마스터!$B$3:$B$302,MATCH($B872,품목마스터!$A$3:$A$302,0)),"미등록품번"))</f>
        <v/>
      </c>
      <c r="D872" s="17" t="str">
        <f aca="false">IF($B872="","",IFERROR(INDEX(품목마스터!$D$3:$D$302,MATCH($B872,품목마스터!$A$3:$A$302,0)),""))</f>
        <v/>
      </c>
      <c r="E872" s="12"/>
      <c r="F872" s="10"/>
    </row>
    <row r="873" customFormat="false" ht="15" hidden="false" customHeight="true" outlineLevel="0" collapsed="false">
      <c r="A873" s="16"/>
      <c r="B873" s="10"/>
      <c r="C873" s="17" t="str">
        <f aca="false">IF($B873="","",IFERROR(INDEX(품목마스터!$B$3:$B$302,MATCH($B873,품목마스터!$A$3:$A$302,0)),"미등록품번"))</f>
        <v/>
      </c>
      <c r="D873" s="17" t="str">
        <f aca="false">IF($B873="","",IFERROR(INDEX(품목마스터!$D$3:$D$302,MATCH($B873,품목마스터!$A$3:$A$302,0)),""))</f>
        <v/>
      </c>
      <c r="E873" s="12"/>
      <c r="F873" s="10"/>
    </row>
    <row r="874" customFormat="false" ht="15" hidden="false" customHeight="true" outlineLevel="0" collapsed="false">
      <c r="A874" s="16"/>
      <c r="B874" s="10"/>
      <c r="C874" s="17" t="str">
        <f aca="false">IF($B874="","",IFERROR(INDEX(품목마스터!$B$3:$B$302,MATCH($B874,품목마스터!$A$3:$A$302,0)),"미등록품번"))</f>
        <v/>
      </c>
      <c r="D874" s="17" t="str">
        <f aca="false">IF($B874="","",IFERROR(INDEX(품목마스터!$D$3:$D$302,MATCH($B874,품목마스터!$A$3:$A$302,0)),""))</f>
        <v/>
      </c>
      <c r="E874" s="12"/>
      <c r="F874" s="10"/>
    </row>
    <row r="875" customFormat="false" ht="15" hidden="false" customHeight="true" outlineLevel="0" collapsed="false">
      <c r="A875" s="16"/>
      <c r="B875" s="10"/>
      <c r="C875" s="17" t="str">
        <f aca="false">IF($B875="","",IFERROR(INDEX(품목마스터!$B$3:$B$302,MATCH($B875,품목마스터!$A$3:$A$302,0)),"미등록품번"))</f>
        <v/>
      </c>
      <c r="D875" s="17" t="str">
        <f aca="false">IF($B875="","",IFERROR(INDEX(품목마스터!$D$3:$D$302,MATCH($B875,품목마스터!$A$3:$A$302,0)),""))</f>
        <v/>
      </c>
      <c r="E875" s="12"/>
      <c r="F875" s="10"/>
    </row>
    <row r="876" customFormat="false" ht="15" hidden="false" customHeight="true" outlineLevel="0" collapsed="false">
      <c r="A876" s="16"/>
      <c r="B876" s="10"/>
      <c r="C876" s="17" t="str">
        <f aca="false">IF($B876="","",IFERROR(INDEX(품목마스터!$B$3:$B$302,MATCH($B876,품목마스터!$A$3:$A$302,0)),"미등록품번"))</f>
        <v/>
      </c>
      <c r="D876" s="17" t="str">
        <f aca="false">IF($B876="","",IFERROR(INDEX(품목마스터!$D$3:$D$302,MATCH($B876,품목마스터!$A$3:$A$302,0)),""))</f>
        <v/>
      </c>
      <c r="E876" s="12"/>
      <c r="F876" s="10"/>
    </row>
    <row r="877" customFormat="false" ht="15" hidden="false" customHeight="true" outlineLevel="0" collapsed="false">
      <c r="A877" s="16"/>
      <c r="B877" s="10"/>
      <c r="C877" s="17" t="str">
        <f aca="false">IF($B877="","",IFERROR(INDEX(품목마스터!$B$3:$B$302,MATCH($B877,품목마스터!$A$3:$A$302,0)),"미등록품번"))</f>
        <v/>
      </c>
      <c r="D877" s="17" t="str">
        <f aca="false">IF($B877="","",IFERROR(INDEX(품목마스터!$D$3:$D$302,MATCH($B877,품목마스터!$A$3:$A$302,0)),""))</f>
        <v/>
      </c>
      <c r="E877" s="12"/>
      <c r="F877" s="10"/>
    </row>
    <row r="878" customFormat="false" ht="15" hidden="false" customHeight="true" outlineLevel="0" collapsed="false">
      <c r="A878" s="16"/>
      <c r="B878" s="10"/>
      <c r="C878" s="17" t="str">
        <f aca="false">IF($B878="","",IFERROR(INDEX(품목마스터!$B$3:$B$302,MATCH($B878,품목마스터!$A$3:$A$302,0)),"미등록품번"))</f>
        <v/>
      </c>
      <c r="D878" s="17" t="str">
        <f aca="false">IF($B878="","",IFERROR(INDEX(품목마스터!$D$3:$D$302,MATCH($B878,품목마스터!$A$3:$A$302,0)),""))</f>
        <v/>
      </c>
      <c r="E878" s="12"/>
      <c r="F878" s="10"/>
    </row>
    <row r="879" customFormat="false" ht="15" hidden="false" customHeight="true" outlineLevel="0" collapsed="false">
      <c r="A879" s="16"/>
      <c r="B879" s="10"/>
      <c r="C879" s="17" t="str">
        <f aca="false">IF($B879="","",IFERROR(INDEX(품목마스터!$B$3:$B$302,MATCH($B879,품목마스터!$A$3:$A$302,0)),"미등록품번"))</f>
        <v/>
      </c>
      <c r="D879" s="17" t="str">
        <f aca="false">IF($B879="","",IFERROR(INDEX(품목마스터!$D$3:$D$302,MATCH($B879,품목마스터!$A$3:$A$302,0)),""))</f>
        <v/>
      </c>
      <c r="E879" s="12"/>
      <c r="F879" s="10"/>
    </row>
    <row r="880" customFormat="false" ht="15" hidden="false" customHeight="true" outlineLevel="0" collapsed="false">
      <c r="A880" s="16"/>
      <c r="B880" s="10"/>
      <c r="C880" s="17" t="str">
        <f aca="false">IF($B880="","",IFERROR(INDEX(품목마스터!$B$3:$B$302,MATCH($B880,품목마스터!$A$3:$A$302,0)),"미등록품번"))</f>
        <v/>
      </c>
      <c r="D880" s="17" t="str">
        <f aca="false">IF($B880="","",IFERROR(INDEX(품목마스터!$D$3:$D$302,MATCH($B880,품목마스터!$A$3:$A$302,0)),""))</f>
        <v/>
      </c>
      <c r="E880" s="12"/>
      <c r="F880" s="10"/>
    </row>
    <row r="881" customFormat="false" ht="15" hidden="false" customHeight="true" outlineLevel="0" collapsed="false">
      <c r="A881" s="16"/>
      <c r="B881" s="10"/>
      <c r="C881" s="17" t="str">
        <f aca="false">IF($B881="","",IFERROR(INDEX(품목마스터!$B$3:$B$302,MATCH($B881,품목마스터!$A$3:$A$302,0)),"미등록품번"))</f>
        <v/>
      </c>
      <c r="D881" s="17" t="str">
        <f aca="false">IF($B881="","",IFERROR(INDEX(품목마스터!$D$3:$D$302,MATCH($B881,품목마스터!$A$3:$A$302,0)),""))</f>
        <v/>
      </c>
      <c r="E881" s="12"/>
      <c r="F881" s="10"/>
    </row>
    <row r="882" customFormat="false" ht="15" hidden="false" customHeight="true" outlineLevel="0" collapsed="false">
      <c r="A882" s="16"/>
      <c r="B882" s="10"/>
      <c r="C882" s="17" t="str">
        <f aca="false">IF($B882="","",IFERROR(INDEX(품목마스터!$B$3:$B$302,MATCH($B882,품목마스터!$A$3:$A$302,0)),"미등록품번"))</f>
        <v/>
      </c>
      <c r="D882" s="17" t="str">
        <f aca="false">IF($B882="","",IFERROR(INDEX(품목마스터!$D$3:$D$302,MATCH($B882,품목마스터!$A$3:$A$302,0)),""))</f>
        <v/>
      </c>
      <c r="E882" s="12"/>
      <c r="F882" s="10"/>
    </row>
    <row r="883" customFormat="false" ht="15" hidden="false" customHeight="true" outlineLevel="0" collapsed="false">
      <c r="A883" s="16"/>
      <c r="B883" s="10"/>
      <c r="C883" s="17" t="str">
        <f aca="false">IF($B883="","",IFERROR(INDEX(품목마스터!$B$3:$B$302,MATCH($B883,품목마스터!$A$3:$A$302,0)),"미등록품번"))</f>
        <v/>
      </c>
      <c r="D883" s="17" t="str">
        <f aca="false">IF($B883="","",IFERROR(INDEX(품목마스터!$D$3:$D$302,MATCH($B883,품목마스터!$A$3:$A$302,0)),""))</f>
        <v/>
      </c>
      <c r="E883" s="12"/>
      <c r="F883" s="10"/>
    </row>
    <row r="884" customFormat="false" ht="15" hidden="false" customHeight="true" outlineLevel="0" collapsed="false">
      <c r="A884" s="16"/>
      <c r="B884" s="10"/>
      <c r="C884" s="17" t="str">
        <f aca="false">IF($B884="","",IFERROR(INDEX(품목마스터!$B$3:$B$302,MATCH($B884,품목마스터!$A$3:$A$302,0)),"미등록품번"))</f>
        <v/>
      </c>
      <c r="D884" s="17" t="str">
        <f aca="false">IF($B884="","",IFERROR(INDEX(품목마스터!$D$3:$D$302,MATCH($B884,품목마스터!$A$3:$A$302,0)),""))</f>
        <v/>
      </c>
      <c r="E884" s="12"/>
      <c r="F884" s="10"/>
    </row>
    <row r="885" customFormat="false" ht="15" hidden="false" customHeight="true" outlineLevel="0" collapsed="false">
      <c r="A885" s="16"/>
      <c r="B885" s="10"/>
      <c r="C885" s="17" t="str">
        <f aca="false">IF($B885="","",IFERROR(INDEX(품목마스터!$B$3:$B$302,MATCH($B885,품목마스터!$A$3:$A$302,0)),"미등록품번"))</f>
        <v/>
      </c>
      <c r="D885" s="17" t="str">
        <f aca="false">IF($B885="","",IFERROR(INDEX(품목마스터!$D$3:$D$302,MATCH($B885,품목마스터!$A$3:$A$302,0)),""))</f>
        <v/>
      </c>
      <c r="E885" s="12"/>
      <c r="F885" s="10"/>
    </row>
    <row r="886" customFormat="false" ht="15" hidden="false" customHeight="true" outlineLevel="0" collapsed="false">
      <c r="A886" s="16"/>
      <c r="B886" s="10"/>
      <c r="C886" s="17" t="str">
        <f aca="false">IF($B886="","",IFERROR(INDEX(품목마스터!$B$3:$B$302,MATCH($B886,품목마스터!$A$3:$A$302,0)),"미등록품번"))</f>
        <v/>
      </c>
      <c r="D886" s="17" t="str">
        <f aca="false">IF($B886="","",IFERROR(INDEX(품목마스터!$D$3:$D$302,MATCH($B886,품목마스터!$A$3:$A$302,0)),""))</f>
        <v/>
      </c>
      <c r="E886" s="12"/>
      <c r="F886" s="10"/>
    </row>
    <row r="887" customFormat="false" ht="15" hidden="false" customHeight="true" outlineLevel="0" collapsed="false">
      <c r="A887" s="16"/>
      <c r="B887" s="10"/>
      <c r="C887" s="17" t="str">
        <f aca="false">IF($B887="","",IFERROR(INDEX(품목마스터!$B$3:$B$302,MATCH($B887,품목마스터!$A$3:$A$302,0)),"미등록품번"))</f>
        <v/>
      </c>
      <c r="D887" s="17" t="str">
        <f aca="false">IF($B887="","",IFERROR(INDEX(품목마스터!$D$3:$D$302,MATCH($B887,품목마스터!$A$3:$A$302,0)),""))</f>
        <v/>
      </c>
      <c r="E887" s="12"/>
      <c r="F887" s="10"/>
    </row>
    <row r="888" customFormat="false" ht="15" hidden="false" customHeight="true" outlineLevel="0" collapsed="false">
      <c r="A888" s="16"/>
      <c r="B888" s="10"/>
      <c r="C888" s="17" t="str">
        <f aca="false">IF($B888="","",IFERROR(INDEX(품목마스터!$B$3:$B$302,MATCH($B888,품목마스터!$A$3:$A$302,0)),"미등록품번"))</f>
        <v/>
      </c>
      <c r="D888" s="17" t="str">
        <f aca="false">IF($B888="","",IFERROR(INDEX(품목마스터!$D$3:$D$302,MATCH($B888,품목마스터!$A$3:$A$302,0)),""))</f>
        <v/>
      </c>
      <c r="E888" s="12"/>
      <c r="F888" s="10"/>
    </row>
    <row r="889" customFormat="false" ht="15" hidden="false" customHeight="true" outlineLevel="0" collapsed="false">
      <c r="A889" s="16"/>
      <c r="B889" s="10"/>
      <c r="C889" s="17" t="str">
        <f aca="false">IF($B889="","",IFERROR(INDEX(품목마스터!$B$3:$B$302,MATCH($B889,품목마스터!$A$3:$A$302,0)),"미등록품번"))</f>
        <v/>
      </c>
      <c r="D889" s="17" t="str">
        <f aca="false">IF($B889="","",IFERROR(INDEX(품목마스터!$D$3:$D$302,MATCH($B889,품목마스터!$A$3:$A$302,0)),""))</f>
        <v/>
      </c>
      <c r="E889" s="12"/>
      <c r="F889" s="10"/>
    </row>
    <row r="890" customFormat="false" ht="15" hidden="false" customHeight="true" outlineLevel="0" collapsed="false">
      <c r="A890" s="16"/>
      <c r="B890" s="10"/>
      <c r="C890" s="17" t="str">
        <f aca="false">IF($B890="","",IFERROR(INDEX(품목마스터!$B$3:$B$302,MATCH($B890,품목마스터!$A$3:$A$302,0)),"미등록품번"))</f>
        <v/>
      </c>
      <c r="D890" s="17" t="str">
        <f aca="false">IF($B890="","",IFERROR(INDEX(품목마스터!$D$3:$D$302,MATCH($B890,품목마스터!$A$3:$A$302,0)),""))</f>
        <v/>
      </c>
      <c r="E890" s="12"/>
      <c r="F890" s="10"/>
    </row>
    <row r="891" customFormat="false" ht="15" hidden="false" customHeight="true" outlineLevel="0" collapsed="false">
      <c r="A891" s="16"/>
      <c r="B891" s="10"/>
      <c r="C891" s="17" t="str">
        <f aca="false">IF($B891="","",IFERROR(INDEX(품목마스터!$B$3:$B$302,MATCH($B891,품목마스터!$A$3:$A$302,0)),"미등록품번"))</f>
        <v/>
      </c>
      <c r="D891" s="17" t="str">
        <f aca="false">IF($B891="","",IFERROR(INDEX(품목마스터!$D$3:$D$302,MATCH($B891,품목마스터!$A$3:$A$302,0)),""))</f>
        <v/>
      </c>
      <c r="E891" s="12"/>
      <c r="F891" s="10"/>
    </row>
    <row r="892" customFormat="false" ht="15" hidden="false" customHeight="true" outlineLevel="0" collapsed="false">
      <c r="A892" s="16"/>
      <c r="B892" s="10"/>
      <c r="C892" s="17" t="str">
        <f aca="false">IF($B892="","",IFERROR(INDEX(품목마스터!$B$3:$B$302,MATCH($B892,품목마스터!$A$3:$A$302,0)),"미등록품번"))</f>
        <v/>
      </c>
      <c r="D892" s="17" t="str">
        <f aca="false">IF($B892="","",IFERROR(INDEX(품목마스터!$D$3:$D$302,MATCH($B892,품목마스터!$A$3:$A$302,0)),""))</f>
        <v/>
      </c>
      <c r="E892" s="12"/>
      <c r="F892" s="10"/>
    </row>
    <row r="893" customFormat="false" ht="15" hidden="false" customHeight="true" outlineLevel="0" collapsed="false">
      <c r="A893" s="16"/>
      <c r="B893" s="10"/>
      <c r="C893" s="17" t="str">
        <f aca="false">IF($B893="","",IFERROR(INDEX(품목마스터!$B$3:$B$302,MATCH($B893,품목마스터!$A$3:$A$302,0)),"미등록품번"))</f>
        <v/>
      </c>
      <c r="D893" s="17" t="str">
        <f aca="false">IF($B893="","",IFERROR(INDEX(품목마스터!$D$3:$D$302,MATCH($B893,품목마스터!$A$3:$A$302,0)),""))</f>
        <v/>
      </c>
      <c r="E893" s="12"/>
      <c r="F893" s="10"/>
    </row>
    <row r="894" customFormat="false" ht="15" hidden="false" customHeight="true" outlineLevel="0" collapsed="false">
      <c r="A894" s="16"/>
      <c r="B894" s="10"/>
      <c r="C894" s="17" t="str">
        <f aca="false">IF($B894="","",IFERROR(INDEX(품목마스터!$B$3:$B$302,MATCH($B894,품목마스터!$A$3:$A$302,0)),"미등록품번"))</f>
        <v/>
      </c>
      <c r="D894" s="17" t="str">
        <f aca="false">IF($B894="","",IFERROR(INDEX(품목마스터!$D$3:$D$302,MATCH($B894,품목마스터!$A$3:$A$302,0)),""))</f>
        <v/>
      </c>
      <c r="E894" s="12"/>
      <c r="F894" s="10"/>
    </row>
    <row r="895" customFormat="false" ht="15" hidden="false" customHeight="true" outlineLevel="0" collapsed="false">
      <c r="A895" s="16"/>
      <c r="B895" s="10"/>
      <c r="C895" s="17" t="str">
        <f aca="false">IF($B895="","",IFERROR(INDEX(품목마스터!$B$3:$B$302,MATCH($B895,품목마스터!$A$3:$A$302,0)),"미등록품번"))</f>
        <v/>
      </c>
      <c r="D895" s="17" t="str">
        <f aca="false">IF($B895="","",IFERROR(INDEX(품목마스터!$D$3:$D$302,MATCH($B895,품목마스터!$A$3:$A$302,0)),""))</f>
        <v/>
      </c>
      <c r="E895" s="12"/>
      <c r="F895" s="10"/>
    </row>
    <row r="896" customFormat="false" ht="15" hidden="false" customHeight="true" outlineLevel="0" collapsed="false">
      <c r="A896" s="16"/>
      <c r="B896" s="10"/>
      <c r="C896" s="17" t="str">
        <f aca="false">IF($B896="","",IFERROR(INDEX(품목마스터!$B$3:$B$302,MATCH($B896,품목마스터!$A$3:$A$302,0)),"미등록품번"))</f>
        <v/>
      </c>
      <c r="D896" s="17" t="str">
        <f aca="false">IF($B896="","",IFERROR(INDEX(품목마스터!$D$3:$D$302,MATCH($B896,품목마스터!$A$3:$A$302,0)),""))</f>
        <v/>
      </c>
      <c r="E896" s="12"/>
      <c r="F896" s="10"/>
    </row>
    <row r="897" customFormat="false" ht="15" hidden="false" customHeight="true" outlineLevel="0" collapsed="false">
      <c r="A897" s="16"/>
      <c r="B897" s="10"/>
      <c r="C897" s="17" t="str">
        <f aca="false">IF($B897="","",IFERROR(INDEX(품목마스터!$B$3:$B$302,MATCH($B897,품목마스터!$A$3:$A$302,0)),"미등록품번"))</f>
        <v/>
      </c>
      <c r="D897" s="17" t="str">
        <f aca="false">IF($B897="","",IFERROR(INDEX(품목마스터!$D$3:$D$302,MATCH($B897,품목마스터!$A$3:$A$302,0)),""))</f>
        <v/>
      </c>
      <c r="E897" s="12"/>
      <c r="F897" s="10"/>
    </row>
    <row r="898" customFormat="false" ht="15" hidden="false" customHeight="true" outlineLevel="0" collapsed="false">
      <c r="A898" s="16"/>
      <c r="B898" s="10"/>
      <c r="C898" s="17" t="str">
        <f aca="false">IF($B898="","",IFERROR(INDEX(품목마스터!$B$3:$B$302,MATCH($B898,품목마스터!$A$3:$A$302,0)),"미등록품번"))</f>
        <v/>
      </c>
      <c r="D898" s="17" t="str">
        <f aca="false">IF($B898="","",IFERROR(INDEX(품목마스터!$D$3:$D$302,MATCH($B898,품목마스터!$A$3:$A$302,0)),""))</f>
        <v/>
      </c>
      <c r="E898" s="12"/>
      <c r="F898" s="10"/>
    </row>
    <row r="899" customFormat="false" ht="15" hidden="false" customHeight="true" outlineLevel="0" collapsed="false">
      <c r="A899" s="16"/>
      <c r="B899" s="10"/>
      <c r="C899" s="17" t="str">
        <f aca="false">IF($B899="","",IFERROR(INDEX(품목마스터!$B$3:$B$302,MATCH($B899,품목마스터!$A$3:$A$302,0)),"미등록품번"))</f>
        <v/>
      </c>
      <c r="D899" s="17" t="str">
        <f aca="false">IF($B899="","",IFERROR(INDEX(품목마스터!$D$3:$D$302,MATCH($B899,품목마스터!$A$3:$A$302,0)),""))</f>
        <v/>
      </c>
      <c r="E899" s="12"/>
      <c r="F899" s="10"/>
    </row>
    <row r="900" customFormat="false" ht="15" hidden="false" customHeight="true" outlineLevel="0" collapsed="false">
      <c r="A900" s="16"/>
      <c r="B900" s="10"/>
      <c r="C900" s="17" t="str">
        <f aca="false">IF($B900="","",IFERROR(INDEX(품목마스터!$B$3:$B$302,MATCH($B900,품목마스터!$A$3:$A$302,0)),"미등록품번"))</f>
        <v/>
      </c>
      <c r="D900" s="17" t="str">
        <f aca="false">IF($B900="","",IFERROR(INDEX(품목마스터!$D$3:$D$302,MATCH($B900,품목마스터!$A$3:$A$302,0)),""))</f>
        <v/>
      </c>
      <c r="E900" s="12"/>
      <c r="F900" s="10"/>
    </row>
    <row r="901" customFormat="false" ht="15" hidden="false" customHeight="true" outlineLevel="0" collapsed="false">
      <c r="A901" s="16"/>
      <c r="B901" s="10"/>
      <c r="C901" s="17" t="str">
        <f aca="false">IF($B901="","",IFERROR(INDEX(품목마스터!$B$3:$B$302,MATCH($B901,품목마스터!$A$3:$A$302,0)),"미등록품번"))</f>
        <v/>
      </c>
      <c r="D901" s="17" t="str">
        <f aca="false">IF($B901="","",IFERROR(INDEX(품목마스터!$D$3:$D$302,MATCH($B901,품목마스터!$A$3:$A$302,0)),""))</f>
        <v/>
      </c>
      <c r="E901" s="12"/>
      <c r="F901" s="10"/>
    </row>
    <row r="902" customFormat="false" ht="15" hidden="false" customHeight="true" outlineLevel="0" collapsed="false">
      <c r="A902" s="16"/>
      <c r="B902" s="10"/>
      <c r="C902" s="17" t="str">
        <f aca="false">IF($B902="","",IFERROR(INDEX(품목마스터!$B$3:$B$302,MATCH($B902,품목마스터!$A$3:$A$302,0)),"미등록품번"))</f>
        <v/>
      </c>
      <c r="D902" s="17" t="str">
        <f aca="false">IF($B902="","",IFERROR(INDEX(품목마스터!$D$3:$D$302,MATCH($B902,품목마스터!$A$3:$A$302,0)),""))</f>
        <v/>
      </c>
      <c r="E902" s="12"/>
      <c r="F902" s="10"/>
    </row>
    <row r="903" customFormat="false" ht="15" hidden="false" customHeight="true" outlineLevel="0" collapsed="false">
      <c r="A903" s="16"/>
      <c r="B903" s="10"/>
      <c r="C903" s="17" t="str">
        <f aca="false">IF($B903="","",IFERROR(INDEX(품목마스터!$B$3:$B$302,MATCH($B903,품목마스터!$A$3:$A$302,0)),"미등록품번"))</f>
        <v/>
      </c>
      <c r="D903" s="17" t="str">
        <f aca="false">IF($B903="","",IFERROR(INDEX(품목마스터!$D$3:$D$302,MATCH($B903,품목마스터!$A$3:$A$302,0)),""))</f>
        <v/>
      </c>
      <c r="E903" s="12"/>
      <c r="F903" s="10"/>
    </row>
    <row r="904" customFormat="false" ht="15" hidden="false" customHeight="true" outlineLevel="0" collapsed="false">
      <c r="A904" s="16"/>
      <c r="B904" s="10"/>
      <c r="C904" s="17" t="str">
        <f aca="false">IF($B904="","",IFERROR(INDEX(품목마스터!$B$3:$B$302,MATCH($B904,품목마스터!$A$3:$A$302,0)),"미등록품번"))</f>
        <v/>
      </c>
      <c r="D904" s="17" t="str">
        <f aca="false">IF($B904="","",IFERROR(INDEX(품목마스터!$D$3:$D$302,MATCH($B904,품목마스터!$A$3:$A$302,0)),""))</f>
        <v/>
      </c>
      <c r="E904" s="12"/>
      <c r="F904" s="10"/>
    </row>
    <row r="905" customFormat="false" ht="15" hidden="false" customHeight="true" outlineLevel="0" collapsed="false">
      <c r="A905" s="16"/>
      <c r="B905" s="10"/>
      <c r="C905" s="17" t="str">
        <f aca="false">IF($B905="","",IFERROR(INDEX(품목마스터!$B$3:$B$302,MATCH($B905,품목마스터!$A$3:$A$302,0)),"미등록품번"))</f>
        <v/>
      </c>
      <c r="D905" s="17" t="str">
        <f aca="false">IF($B905="","",IFERROR(INDEX(품목마스터!$D$3:$D$302,MATCH($B905,품목마스터!$A$3:$A$302,0)),""))</f>
        <v/>
      </c>
      <c r="E905" s="12"/>
      <c r="F905" s="10"/>
    </row>
    <row r="906" customFormat="false" ht="15" hidden="false" customHeight="true" outlineLevel="0" collapsed="false">
      <c r="A906" s="16"/>
      <c r="B906" s="10"/>
      <c r="C906" s="17" t="str">
        <f aca="false">IF($B906="","",IFERROR(INDEX(품목마스터!$B$3:$B$302,MATCH($B906,품목마스터!$A$3:$A$302,0)),"미등록품번"))</f>
        <v/>
      </c>
      <c r="D906" s="17" t="str">
        <f aca="false">IF($B906="","",IFERROR(INDEX(품목마스터!$D$3:$D$302,MATCH($B906,품목마스터!$A$3:$A$302,0)),""))</f>
        <v/>
      </c>
      <c r="E906" s="12"/>
      <c r="F906" s="10"/>
    </row>
    <row r="907" customFormat="false" ht="15" hidden="false" customHeight="true" outlineLevel="0" collapsed="false">
      <c r="A907" s="16"/>
      <c r="B907" s="10"/>
      <c r="C907" s="17" t="str">
        <f aca="false">IF($B907="","",IFERROR(INDEX(품목마스터!$B$3:$B$302,MATCH($B907,품목마스터!$A$3:$A$302,0)),"미등록품번"))</f>
        <v/>
      </c>
      <c r="D907" s="17" t="str">
        <f aca="false">IF($B907="","",IFERROR(INDEX(품목마스터!$D$3:$D$302,MATCH($B907,품목마스터!$A$3:$A$302,0)),""))</f>
        <v/>
      </c>
      <c r="E907" s="12"/>
      <c r="F907" s="10"/>
    </row>
    <row r="908" customFormat="false" ht="15" hidden="false" customHeight="true" outlineLevel="0" collapsed="false">
      <c r="A908" s="16"/>
      <c r="B908" s="10"/>
      <c r="C908" s="17" t="str">
        <f aca="false">IF($B908="","",IFERROR(INDEX(품목마스터!$B$3:$B$302,MATCH($B908,품목마스터!$A$3:$A$302,0)),"미등록품번"))</f>
        <v/>
      </c>
      <c r="D908" s="17" t="str">
        <f aca="false">IF($B908="","",IFERROR(INDEX(품목마스터!$D$3:$D$302,MATCH($B908,품목마스터!$A$3:$A$302,0)),""))</f>
        <v/>
      </c>
      <c r="E908" s="12"/>
      <c r="F908" s="10"/>
    </row>
    <row r="909" customFormat="false" ht="15" hidden="false" customHeight="true" outlineLevel="0" collapsed="false">
      <c r="A909" s="16"/>
      <c r="B909" s="10"/>
      <c r="C909" s="17" t="str">
        <f aca="false">IF($B909="","",IFERROR(INDEX(품목마스터!$B$3:$B$302,MATCH($B909,품목마스터!$A$3:$A$302,0)),"미등록품번"))</f>
        <v/>
      </c>
      <c r="D909" s="17" t="str">
        <f aca="false">IF($B909="","",IFERROR(INDEX(품목마스터!$D$3:$D$302,MATCH($B909,품목마스터!$A$3:$A$302,0)),""))</f>
        <v/>
      </c>
      <c r="E909" s="12"/>
      <c r="F909" s="10"/>
    </row>
    <row r="910" customFormat="false" ht="15" hidden="false" customHeight="true" outlineLevel="0" collapsed="false">
      <c r="A910" s="16"/>
      <c r="B910" s="10"/>
      <c r="C910" s="17" t="str">
        <f aca="false">IF($B910="","",IFERROR(INDEX(품목마스터!$B$3:$B$302,MATCH($B910,품목마스터!$A$3:$A$302,0)),"미등록품번"))</f>
        <v/>
      </c>
      <c r="D910" s="17" t="str">
        <f aca="false">IF($B910="","",IFERROR(INDEX(품목마스터!$D$3:$D$302,MATCH($B910,품목마스터!$A$3:$A$302,0)),""))</f>
        <v/>
      </c>
      <c r="E910" s="12"/>
      <c r="F910" s="10"/>
    </row>
    <row r="911" customFormat="false" ht="15" hidden="false" customHeight="true" outlineLevel="0" collapsed="false">
      <c r="A911" s="16"/>
      <c r="B911" s="10"/>
      <c r="C911" s="17" t="str">
        <f aca="false">IF($B911="","",IFERROR(INDEX(품목마스터!$B$3:$B$302,MATCH($B911,품목마스터!$A$3:$A$302,0)),"미등록품번"))</f>
        <v/>
      </c>
      <c r="D911" s="17" t="str">
        <f aca="false">IF($B911="","",IFERROR(INDEX(품목마스터!$D$3:$D$302,MATCH($B911,품목마스터!$A$3:$A$302,0)),""))</f>
        <v/>
      </c>
      <c r="E911" s="12"/>
      <c r="F911" s="10"/>
    </row>
    <row r="912" customFormat="false" ht="15" hidden="false" customHeight="true" outlineLevel="0" collapsed="false">
      <c r="A912" s="16"/>
      <c r="B912" s="10"/>
      <c r="C912" s="17" t="str">
        <f aca="false">IF($B912="","",IFERROR(INDEX(품목마스터!$B$3:$B$302,MATCH($B912,품목마스터!$A$3:$A$302,0)),"미등록품번"))</f>
        <v/>
      </c>
      <c r="D912" s="17" t="str">
        <f aca="false">IF($B912="","",IFERROR(INDEX(품목마스터!$D$3:$D$302,MATCH($B912,품목마스터!$A$3:$A$302,0)),""))</f>
        <v/>
      </c>
      <c r="E912" s="12"/>
      <c r="F912" s="10"/>
    </row>
    <row r="913" customFormat="false" ht="15" hidden="false" customHeight="true" outlineLevel="0" collapsed="false">
      <c r="A913" s="16"/>
      <c r="B913" s="10"/>
      <c r="C913" s="17" t="str">
        <f aca="false">IF($B913="","",IFERROR(INDEX(품목마스터!$B$3:$B$302,MATCH($B913,품목마스터!$A$3:$A$302,0)),"미등록품번"))</f>
        <v/>
      </c>
      <c r="D913" s="17" t="str">
        <f aca="false">IF($B913="","",IFERROR(INDEX(품목마스터!$D$3:$D$302,MATCH($B913,품목마스터!$A$3:$A$302,0)),""))</f>
        <v/>
      </c>
      <c r="E913" s="12"/>
      <c r="F913" s="10"/>
    </row>
    <row r="914" customFormat="false" ht="15" hidden="false" customHeight="true" outlineLevel="0" collapsed="false">
      <c r="A914" s="16"/>
      <c r="B914" s="10"/>
      <c r="C914" s="17" t="str">
        <f aca="false">IF($B914="","",IFERROR(INDEX(품목마스터!$B$3:$B$302,MATCH($B914,품목마스터!$A$3:$A$302,0)),"미등록품번"))</f>
        <v/>
      </c>
      <c r="D914" s="17" t="str">
        <f aca="false">IF($B914="","",IFERROR(INDEX(품목마스터!$D$3:$D$302,MATCH($B914,품목마스터!$A$3:$A$302,0)),""))</f>
        <v/>
      </c>
      <c r="E914" s="12"/>
      <c r="F914" s="10"/>
    </row>
    <row r="915" customFormat="false" ht="15" hidden="false" customHeight="true" outlineLevel="0" collapsed="false">
      <c r="A915" s="16"/>
      <c r="B915" s="10"/>
      <c r="C915" s="17" t="str">
        <f aca="false">IF($B915="","",IFERROR(INDEX(품목마스터!$B$3:$B$302,MATCH($B915,품목마스터!$A$3:$A$302,0)),"미등록품번"))</f>
        <v/>
      </c>
      <c r="D915" s="17" t="str">
        <f aca="false">IF($B915="","",IFERROR(INDEX(품목마스터!$D$3:$D$302,MATCH($B915,품목마스터!$A$3:$A$302,0)),""))</f>
        <v/>
      </c>
      <c r="E915" s="12"/>
      <c r="F915" s="10"/>
    </row>
    <row r="916" customFormat="false" ht="15" hidden="false" customHeight="true" outlineLevel="0" collapsed="false">
      <c r="A916" s="16"/>
      <c r="B916" s="10"/>
      <c r="C916" s="17" t="str">
        <f aca="false">IF($B916="","",IFERROR(INDEX(품목마스터!$B$3:$B$302,MATCH($B916,품목마스터!$A$3:$A$302,0)),"미등록품번"))</f>
        <v/>
      </c>
      <c r="D916" s="17" t="str">
        <f aca="false">IF($B916="","",IFERROR(INDEX(품목마스터!$D$3:$D$302,MATCH($B916,품목마스터!$A$3:$A$302,0)),""))</f>
        <v/>
      </c>
      <c r="E916" s="12"/>
      <c r="F916" s="10"/>
    </row>
    <row r="917" customFormat="false" ht="15" hidden="false" customHeight="true" outlineLevel="0" collapsed="false">
      <c r="A917" s="16"/>
      <c r="B917" s="10"/>
      <c r="C917" s="17" t="str">
        <f aca="false">IF($B917="","",IFERROR(INDEX(품목마스터!$B$3:$B$302,MATCH($B917,품목마스터!$A$3:$A$302,0)),"미등록품번"))</f>
        <v/>
      </c>
      <c r="D917" s="17" t="str">
        <f aca="false">IF($B917="","",IFERROR(INDEX(품목마스터!$D$3:$D$302,MATCH($B917,품목마스터!$A$3:$A$302,0)),""))</f>
        <v/>
      </c>
      <c r="E917" s="12"/>
      <c r="F917" s="10"/>
    </row>
    <row r="918" customFormat="false" ht="15" hidden="false" customHeight="true" outlineLevel="0" collapsed="false">
      <c r="A918" s="16"/>
      <c r="B918" s="10"/>
      <c r="C918" s="17" t="str">
        <f aca="false">IF($B918="","",IFERROR(INDEX(품목마스터!$B$3:$B$302,MATCH($B918,품목마스터!$A$3:$A$302,0)),"미등록품번"))</f>
        <v/>
      </c>
      <c r="D918" s="17" t="str">
        <f aca="false">IF($B918="","",IFERROR(INDEX(품목마스터!$D$3:$D$302,MATCH($B918,품목마스터!$A$3:$A$302,0)),""))</f>
        <v/>
      </c>
      <c r="E918" s="12"/>
      <c r="F918" s="10"/>
    </row>
    <row r="919" customFormat="false" ht="15" hidden="false" customHeight="true" outlineLevel="0" collapsed="false">
      <c r="A919" s="16"/>
      <c r="B919" s="10"/>
      <c r="C919" s="17" t="str">
        <f aca="false">IF($B919="","",IFERROR(INDEX(품목마스터!$B$3:$B$302,MATCH($B919,품목마스터!$A$3:$A$302,0)),"미등록품번"))</f>
        <v/>
      </c>
      <c r="D919" s="17" t="str">
        <f aca="false">IF($B919="","",IFERROR(INDEX(품목마스터!$D$3:$D$302,MATCH($B919,품목마스터!$A$3:$A$302,0)),""))</f>
        <v/>
      </c>
      <c r="E919" s="12"/>
      <c r="F919" s="10"/>
    </row>
    <row r="920" customFormat="false" ht="15" hidden="false" customHeight="true" outlineLevel="0" collapsed="false">
      <c r="A920" s="16"/>
      <c r="B920" s="10"/>
      <c r="C920" s="17" t="str">
        <f aca="false">IF($B920="","",IFERROR(INDEX(품목마스터!$B$3:$B$302,MATCH($B920,품목마스터!$A$3:$A$302,0)),"미등록품번"))</f>
        <v/>
      </c>
      <c r="D920" s="17" t="str">
        <f aca="false">IF($B920="","",IFERROR(INDEX(품목마스터!$D$3:$D$302,MATCH($B920,품목마스터!$A$3:$A$302,0)),""))</f>
        <v/>
      </c>
      <c r="E920" s="12"/>
      <c r="F920" s="10"/>
    </row>
    <row r="921" customFormat="false" ht="15" hidden="false" customHeight="true" outlineLevel="0" collapsed="false">
      <c r="A921" s="16"/>
      <c r="B921" s="10"/>
      <c r="C921" s="17" t="str">
        <f aca="false">IF($B921="","",IFERROR(INDEX(품목마스터!$B$3:$B$302,MATCH($B921,품목마스터!$A$3:$A$302,0)),"미등록품번"))</f>
        <v/>
      </c>
      <c r="D921" s="17" t="str">
        <f aca="false">IF($B921="","",IFERROR(INDEX(품목마스터!$D$3:$D$302,MATCH($B921,품목마스터!$A$3:$A$302,0)),""))</f>
        <v/>
      </c>
      <c r="E921" s="12"/>
      <c r="F921" s="10"/>
    </row>
    <row r="922" customFormat="false" ht="15" hidden="false" customHeight="true" outlineLevel="0" collapsed="false">
      <c r="A922" s="16"/>
      <c r="B922" s="10"/>
      <c r="C922" s="17" t="str">
        <f aca="false">IF($B922="","",IFERROR(INDEX(품목마스터!$B$3:$B$302,MATCH($B922,품목마스터!$A$3:$A$302,0)),"미등록품번"))</f>
        <v/>
      </c>
      <c r="D922" s="17" t="str">
        <f aca="false">IF($B922="","",IFERROR(INDEX(품목마스터!$D$3:$D$302,MATCH($B922,품목마스터!$A$3:$A$302,0)),""))</f>
        <v/>
      </c>
      <c r="E922" s="12"/>
      <c r="F922" s="10"/>
    </row>
    <row r="923" customFormat="false" ht="15" hidden="false" customHeight="true" outlineLevel="0" collapsed="false">
      <c r="A923" s="16"/>
      <c r="B923" s="10"/>
      <c r="C923" s="17" t="str">
        <f aca="false">IF($B923="","",IFERROR(INDEX(품목마스터!$B$3:$B$302,MATCH($B923,품목마스터!$A$3:$A$302,0)),"미등록품번"))</f>
        <v/>
      </c>
      <c r="D923" s="17" t="str">
        <f aca="false">IF($B923="","",IFERROR(INDEX(품목마스터!$D$3:$D$302,MATCH($B923,품목마스터!$A$3:$A$302,0)),""))</f>
        <v/>
      </c>
      <c r="E923" s="12"/>
      <c r="F923" s="10"/>
    </row>
    <row r="924" customFormat="false" ht="15" hidden="false" customHeight="true" outlineLevel="0" collapsed="false">
      <c r="A924" s="16"/>
      <c r="B924" s="10"/>
      <c r="C924" s="17" t="str">
        <f aca="false">IF($B924="","",IFERROR(INDEX(품목마스터!$B$3:$B$302,MATCH($B924,품목마스터!$A$3:$A$302,0)),"미등록품번"))</f>
        <v/>
      </c>
      <c r="D924" s="17" t="str">
        <f aca="false">IF($B924="","",IFERROR(INDEX(품목마스터!$D$3:$D$302,MATCH($B924,품목마스터!$A$3:$A$302,0)),""))</f>
        <v/>
      </c>
      <c r="E924" s="12"/>
      <c r="F924" s="10"/>
    </row>
    <row r="925" customFormat="false" ht="15" hidden="false" customHeight="true" outlineLevel="0" collapsed="false">
      <c r="A925" s="16"/>
      <c r="B925" s="10"/>
      <c r="C925" s="17" t="str">
        <f aca="false">IF($B925="","",IFERROR(INDEX(품목마스터!$B$3:$B$302,MATCH($B925,품목마스터!$A$3:$A$302,0)),"미등록품번"))</f>
        <v/>
      </c>
      <c r="D925" s="17" t="str">
        <f aca="false">IF($B925="","",IFERROR(INDEX(품목마스터!$D$3:$D$302,MATCH($B925,품목마스터!$A$3:$A$302,0)),""))</f>
        <v/>
      </c>
      <c r="E925" s="12"/>
      <c r="F925" s="10"/>
    </row>
    <row r="926" customFormat="false" ht="15" hidden="false" customHeight="true" outlineLevel="0" collapsed="false">
      <c r="A926" s="16"/>
      <c r="B926" s="10"/>
      <c r="C926" s="17" t="str">
        <f aca="false">IF($B926="","",IFERROR(INDEX(품목마스터!$B$3:$B$302,MATCH($B926,품목마스터!$A$3:$A$302,0)),"미등록품번"))</f>
        <v/>
      </c>
      <c r="D926" s="17" t="str">
        <f aca="false">IF($B926="","",IFERROR(INDEX(품목마스터!$D$3:$D$302,MATCH($B926,품목마스터!$A$3:$A$302,0)),""))</f>
        <v/>
      </c>
      <c r="E926" s="12"/>
      <c r="F926" s="10"/>
    </row>
    <row r="927" customFormat="false" ht="15" hidden="false" customHeight="true" outlineLevel="0" collapsed="false">
      <c r="A927" s="16"/>
      <c r="B927" s="10"/>
      <c r="C927" s="17" t="str">
        <f aca="false">IF($B927="","",IFERROR(INDEX(품목마스터!$B$3:$B$302,MATCH($B927,품목마스터!$A$3:$A$302,0)),"미등록품번"))</f>
        <v/>
      </c>
      <c r="D927" s="17" t="str">
        <f aca="false">IF($B927="","",IFERROR(INDEX(품목마스터!$D$3:$D$302,MATCH($B927,품목마스터!$A$3:$A$302,0)),""))</f>
        <v/>
      </c>
      <c r="E927" s="12"/>
      <c r="F927" s="10"/>
    </row>
    <row r="928" customFormat="false" ht="15" hidden="false" customHeight="true" outlineLevel="0" collapsed="false">
      <c r="A928" s="16"/>
      <c r="B928" s="10"/>
      <c r="C928" s="17" t="str">
        <f aca="false">IF($B928="","",IFERROR(INDEX(품목마스터!$B$3:$B$302,MATCH($B928,품목마스터!$A$3:$A$302,0)),"미등록품번"))</f>
        <v/>
      </c>
      <c r="D928" s="17" t="str">
        <f aca="false">IF($B928="","",IFERROR(INDEX(품목마스터!$D$3:$D$302,MATCH($B928,품목마스터!$A$3:$A$302,0)),""))</f>
        <v/>
      </c>
      <c r="E928" s="12"/>
      <c r="F928" s="10"/>
    </row>
    <row r="929" customFormat="false" ht="15" hidden="false" customHeight="true" outlineLevel="0" collapsed="false">
      <c r="A929" s="16"/>
      <c r="B929" s="10"/>
      <c r="C929" s="17" t="str">
        <f aca="false">IF($B929="","",IFERROR(INDEX(품목마스터!$B$3:$B$302,MATCH($B929,품목마스터!$A$3:$A$302,0)),"미등록품번"))</f>
        <v/>
      </c>
      <c r="D929" s="17" t="str">
        <f aca="false">IF($B929="","",IFERROR(INDEX(품목마스터!$D$3:$D$302,MATCH($B929,품목마스터!$A$3:$A$302,0)),""))</f>
        <v/>
      </c>
      <c r="E929" s="12"/>
      <c r="F929" s="10"/>
    </row>
    <row r="930" customFormat="false" ht="15" hidden="false" customHeight="true" outlineLevel="0" collapsed="false">
      <c r="A930" s="16"/>
      <c r="B930" s="10"/>
      <c r="C930" s="17" t="str">
        <f aca="false">IF($B930="","",IFERROR(INDEX(품목마스터!$B$3:$B$302,MATCH($B930,품목마스터!$A$3:$A$302,0)),"미등록품번"))</f>
        <v/>
      </c>
      <c r="D930" s="17" t="str">
        <f aca="false">IF($B930="","",IFERROR(INDEX(품목마스터!$D$3:$D$302,MATCH($B930,품목마스터!$A$3:$A$302,0)),""))</f>
        <v/>
      </c>
      <c r="E930" s="12"/>
      <c r="F930" s="10"/>
    </row>
    <row r="931" customFormat="false" ht="15" hidden="false" customHeight="true" outlineLevel="0" collapsed="false">
      <c r="A931" s="16"/>
      <c r="B931" s="10"/>
      <c r="C931" s="17" t="str">
        <f aca="false">IF($B931="","",IFERROR(INDEX(품목마스터!$B$3:$B$302,MATCH($B931,품목마스터!$A$3:$A$302,0)),"미등록품번"))</f>
        <v/>
      </c>
      <c r="D931" s="17" t="str">
        <f aca="false">IF($B931="","",IFERROR(INDEX(품목마스터!$D$3:$D$302,MATCH($B931,품목마스터!$A$3:$A$302,0)),""))</f>
        <v/>
      </c>
      <c r="E931" s="12"/>
      <c r="F931" s="10"/>
    </row>
    <row r="932" customFormat="false" ht="15" hidden="false" customHeight="true" outlineLevel="0" collapsed="false">
      <c r="A932" s="16"/>
      <c r="B932" s="10"/>
      <c r="C932" s="17" t="str">
        <f aca="false">IF($B932="","",IFERROR(INDEX(품목마스터!$B$3:$B$302,MATCH($B932,품목마스터!$A$3:$A$302,0)),"미등록품번"))</f>
        <v/>
      </c>
      <c r="D932" s="17" t="str">
        <f aca="false">IF($B932="","",IFERROR(INDEX(품목마스터!$D$3:$D$302,MATCH($B932,품목마스터!$A$3:$A$302,0)),""))</f>
        <v/>
      </c>
      <c r="E932" s="12"/>
      <c r="F932" s="10"/>
    </row>
    <row r="933" customFormat="false" ht="15" hidden="false" customHeight="true" outlineLevel="0" collapsed="false">
      <c r="A933" s="16"/>
      <c r="B933" s="10"/>
      <c r="C933" s="17" t="str">
        <f aca="false">IF($B933="","",IFERROR(INDEX(품목마스터!$B$3:$B$302,MATCH($B933,품목마스터!$A$3:$A$302,0)),"미등록품번"))</f>
        <v/>
      </c>
      <c r="D933" s="17" t="str">
        <f aca="false">IF($B933="","",IFERROR(INDEX(품목마스터!$D$3:$D$302,MATCH($B933,품목마스터!$A$3:$A$302,0)),""))</f>
        <v/>
      </c>
      <c r="E933" s="12"/>
      <c r="F933" s="10"/>
    </row>
    <row r="934" customFormat="false" ht="15" hidden="false" customHeight="true" outlineLevel="0" collapsed="false">
      <c r="A934" s="16"/>
      <c r="B934" s="10"/>
      <c r="C934" s="17" t="str">
        <f aca="false">IF($B934="","",IFERROR(INDEX(품목마스터!$B$3:$B$302,MATCH($B934,품목마스터!$A$3:$A$302,0)),"미등록품번"))</f>
        <v/>
      </c>
      <c r="D934" s="17" t="str">
        <f aca="false">IF($B934="","",IFERROR(INDEX(품목마스터!$D$3:$D$302,MATCH($B934,품목마스터!$A$3:$A$302,0)),""))</f>
        <v/>
      </c>
      <c r="E934" s="12"/>
      <c r="F934" s="10"/>
    </row>
    <row r="935" customFormat="false" ht="15" hidden="false" customHeight="true" outlineLevel="0" collapsed="false">
      <c r="A935" s="16"/>
      <c r="B935" s="10"/>
      <c r="C935" s="17" t="str">
        <f aca="false">IF($B935="","",IFERROR(INDEX(품목마스터!$B$3:$B$302,MATCH($B935,품목마스터!$A$3:$A$302,0)),"미등록품번"))</f>
        <v/>
      </c>
      <c r="D935" s="17" t="str">
        <f aca="false">IF($B935="","",IFERROR(INDEX(품목마스터!$D$3:$D$302,MATCH($B935,품목마스터!$A$3:$A$302,0)),""))</f>
        <v/>
      </c>
      <c r="E935" s="12"/>
      <c r="F935" s="10"/>
    </row>
    <row r="936" customFormat="false" ht="15" hidden="false" customHeight="true" outlineLevel="0" collapsed="false">
      <c r="A936" s="16"/>
      <c r="B936" s="10"/>
      <c r="C936" s="17" t="str">
        <f aca="false">IF($B936="","",IFERROR(INDEX(품목마스터!$B$3:$B$302,MATCH($B936,품목마스터!$A$3:$A$302,0)),"미등록품번"))</f>
        <v/>
      </c>
      <c r="D936" s="17" t="str">
        <f aca="false">IF($B936="","",IFERROR(INDEX(품목마스터!$D$3:$D$302,MATCH($B936,품목마스터!$A$3:$A$302,0)),""))</f>
        <v/>
      </c>
      <c r="E936" s="12"/>
      <c r="F936" s="10"/>
    </row>
    <row r="937" customFormat="false" ht="15" hidden="false" customHeight="true" outlineLevel="0" collapsed="false">
      <c r="A937" s="16"/>
      <c r="B937" s="10"/>
      <c r="C937" s="17" t="str">
        <f aca="false">IF($B937="","",IFERROR(INDEX(품목마스터!$B$3:$B$302,MATCH($B937,품목마스터!$A$3:$A$302,0)),"미등록품번"))</f>
        <v/>
      </c>
      <c r="D937" s="17" t="str">
        <f aca="false">IF($B937="","",IFERROR(INDEX(품목마스터!$D$3:$D$302,MATCH($B937,품목마스터!$A$3:$A$302,0)),""))</f>
        <v/>
      </c>
      <c r="E937" s="12"/>
      <c r="F937" s="10"/>
    </row>
    <row r="938" customFormat="false" ht="15" hidden="false" customHeight="true" outlineLevel="0" collapsed="false">
      <c r="A938" s="16"/>
      <c r="B938" s="10"/>
      <c r="C938" s="17" t="str">
        <f aca="false">IF($B938="","",IFERROR(INDEX(품목마스터!$B$3:$B$302,MATCH($B938,품목마스터!$A$3:$A$302,0)),"미등록품번"))</f>
        <v/>
      </c>
      <c r="D938" s="17" t="str">
        <f aca="false">IF($B938="","",IFERROR(INDEX(품목마스터!$D$3:$D$302,MATCH($B938,품목마스터!$A$3:$A$302,0)),""))</f>
        <v/>
      </c>
      <c r="E938" s="12"/>
      <c r="F938" s="10"/>
    </row>
    <row r="939" customFormat="false" ht="15" hidden="false" customHeight="true" outlineLevel="0" collapsed="false">
      <c r="A939" s="16"/>
      <c r="B939" s="10"/>
      <c r="C939" s="17" t="str">
        <f aca="false">IF($B939="","",IFERROR(INDEX(품목마스터!$B$3:$B$302,MATCH($B939,품목마스터!$A$3:$A$302,0)),"미등록품번"))</f>
        <v/>
      </c>
      <c r="D939" s="17" t="str">
        <f aca="false">IF($B939="","",IFERROR(INDEX(품목마스터!$D$3:$D$302,MATCH($B939,품목마스터!$A$3:$A$302,0)),""))</f>
        <v/>
      </c>
      <c r="E939" s="12"/>
      <c r="F939" s="10"/>
    </row>
    <row r="940" customFormat="false" ht="15" hidden="false" customHeight="true" outlineLevel="0" collapsed="false">
      <c r="A940" s="16"/>
      <c r="B940" s="10"/>
      <c r="C940" s="17" t="str">
        <f aca="false">IF($B940="","",IFERROR(INDEX(품목마스터!$B$3:$B$302,MATCH($B940,품목마스터!$A$3:$A$302,0)),"미등록품번"))</f>
        <v/>
      </c>
      <c r="D940" s="17" t="str">
        <f aca="false">IF($B940="","",IFERROR(INDEX(품목마스터!$D$3:$D$302,MATCH($B940,품목마스터!$A$3:$A$302,0)),""))</f>
        <v/>
      </c>
      <c r="E940" s="12"/>
      <c r="F940" s="10"/>
    </row>
    <row r="941" customFormat="false" ht="15" hidden="false" customHeight="true" outlineLevel="0" collapsed="false">
      <c r="A941" s="16"/>
      <c r="B941" s="10"/>
      <c r="C941" s="17" t="str">
        <f aca="false">IF($B941="","",IFERROR(INDEX(품목마스터!$B$3:$B$302,MATCH($B941,품목마스터!$A$3:$A$302,0)),"미등록품번"))</f>
        <v/>
      </c>
      <c r="D941" s="17" t="str">
        <f aca="false">IF($B941="","",IFERROR(INDEX(품목마스터!$D$3:$D$302,MATCH($B941,품목마스터!$A$3:$A$302,0)),""))</f>
        <v/>
      </c>
      <c r="E941" s="12"/>
      <c r="F941" s="10"/>
    </row>
    <row r="942" customFormat="false" ht="15" hidden="false" customHeight="true" outlineLevel="0" collapsed="false">
      <c r="A942" s="16"/>
      <c r="B942" s="10"/>
      <c r="C942" s="17" t="str">
        <f aca="false">IF($B942="","",IFERROR(INDEX(품목마스터!$B$3:$B$302,MATCH($B942,품목마스터!$A$3:$A$302,0)),"미등록품번"))</f>
        <v/>
      </c>
      <c r="D942" s="17" t="str">
        <f aca="false">IF($B942="","",IFERROR(INDEX(품목마스터!$D$3:$D$302,MATCH($B942,품목마스터!$A$3:$A$302,0)),""))</f>
        <v/>
      </c>
      <c r="E942" s="12"/>
      <c r="F942" s="10"/>
    </row>
    <row r="943" customFormat="false" ht="15" hidden="false" customHeight="true" outlineLevel="0" collapsed="false">
      <c r="A943" s="16"/>
      <c r="B943" s="10"/>
      <c r="C943" s="17" t="str">
        <f aca="false">IF($B943="","",IFERROR(INDEX(품목마스터!$B$3:$B$302,MATCH($B943,품목마스터!$A$3:$A$302,0)),"미등록품번"))</f>
        <v/>
      </c>
      <c r="D943" s="17" t="str">
        <f aca="false">IF($B943="","",IFERROR(INDEX(품목마스터!$D$3:$D$302,MATCH($B943,품목마스터!$A$3:$A$302,0)),""))</f>
        <v/>
      </c>
      <c r="E943" s="12"/>
      <c r="F943" s="10"/>
    </row>
    <row r="944" customFormat="false" ht="15" hidden="false" customHeight="true" outlineLevel="0" collapsed="false">
      <c r="A944" s="16"/>
      <c r="B944" s="10"/>
      <c r="C944" s="17" t="str">
        <f aca="false">IF($B944="","",IFERROR(INDEX(품목마스터!$B$3:$B$302,MATCH($B944,품목마스터!$A$3:$A$302,0)),"미등록품번"))</f>
        <v/>
      </c>
      <c r="D944" s="17" t="str">
        <f aca="false">IF($B944="","",IFERROR(INDEX(품목마스터!$D$3:$D$302,MATCH($B944,품목마스터!$A$3:$A$302,0)),""))</f>
        <v/>
      </c>
      <c r="E944" s="12"/>
      <c r="F944" s="10"/>
    </row>
    <row r="945" customFormat="false" ht="15" hidden="false" customHeight="true" outlineLevel="0" collapsed="false">
      <c r="A945" s="16"/>
      <c r="B945" s="10"/>
      <c r="C945" s="17" t="str">
        <f aca="false">IF($B945="","",IFERROR(INDEX(품목마스터!$B$3:$B$302,MATCH($B945,품목마스터!$A$3:$A$302,0)),"미등록품번"))</f>
        <v/>
      </c>
      <c r="D945" s="17" t="str">
        <f aca="false">IF($B945="","",IFERROR(INDEX(품목마스터!$D$3:$D$302,MATCH($B945,품목마스터!$A$3:$A$302,0)),""))</f>
        <v/>
      </c>
      <c r="E945" s="12"/>
      <c r="F945" s="10"/>
    </row>
    <row r="946" customFormat="false" ht="15" hidden="false" customHeight="true" outlineLevel="0" collapsed="false">
      <c r="A946" s="16"/>
      <c r="B946" s="10"/>
      <c r="C946" s="17" t="str">
        <f aca="false">IF($B946="","",IFERROR(INDEX(품목마스터!$B$3:$B$302,MATCH($B946,품목마스터!$A$3:$A$302,0)),"미등록품번"))</f>
        <v/>
      </c>
      <c r="D946" s="17" t="str">
        <f aca="false">IF($B946="","",IFERROR(INDEX(품목마스터!$D$3:$D$302,MATCH($B946,품목마스터!$A$3:$A$302,0)),""))</f>
        <v/>
      </c>
      <c r="E946" s="12"/>
      <c r="F946" s="10"/>
    </row>
    <row r="947" customFormat="false" ht="15" hidden="false" customHeight="true" outlineLevel="0" collapsed="false">
      <c r="A947" s="16"/>
      <c r="B947" s="10"/>
      <c r="C947" s="17" t="str">
        <f aca="false">IF($B947="","",IFERROR(INDEX(품목마스터!$B$3:$B$302,MATCH($B947,품목마스터!$A$3:$A$302,0)),"미등록품번"))</f>
        <v/>
      </c>
      <c r="D947" s="17" t="str">
        <f aca="false">IF($B947="","",IFERROR(INDEX(품목마스터!$D$3:$D$302,MATCH($B947,품목마스터!$A$3:$A$302,0)),""))</f>
        <v/>
      </c>
      <c r="E947" s="12"/>
      <c r="F947" s="10"/>
    </row>
    <row r="948" customFormat="false" ht="15" hidden="false" customHeight="true" outlineLevel="0" collapsed="false">
      <c r="A948" s="16"/>
      <c r="B948" s="10"/>
      <c r="C948" s="17" t="str">
        <f aca="false">IF($B948="","",IFERROR(INDEX(품목마스터!$B$3:$B$302,MATCH($B948,품목마스터!$A$3:$A$302,0)),"미등록품번"))</f>
        <v/>
      </c>
      <c r="D948" s="17" t="str">
        <f aca="false">IF($B948="","",IFERROR(INDEX(품목마스터!$D$3:$D$302,MATCH($B948,품목마스터!$A$3:$A$302,0)),""))</f>
        <v/>
      </c>
      <c r="E948" s="12"/>
      <c r="F948" s="10"/>
    </row>
    <row r="949" customFormat="false" ht="15" hidden="false" customHeight="true" outlineLevel="0" collapsed="false">
      <c r="A949" s="16"/>
      <c r="B949" s="10"/>
      <c r="C949" s="17" t="str">
        <f aca="false">IF($B949="","",IFERROR(INDEX(품목마스터!$B$3:$B$302,MATCH($B949,품목마스터!$A$3:$A$302,0)),"미등록품번"))</f>
        <v/>
      </c>
      <c r="D949" s="17" t="str">
        <f aca="false">IF($B949="","",IFERROR(INDEX(품목마스터!$D$3:$D$302,MATCH($B949,품목마스터!$A$3:$A$302,0)),""))</f>
        <v/>
      </c>
      <c r="E949" s="12"/>
      <c r="F949" s="10"/>
    </row>
    <row r="950" customFormat="false" ht="15" hidden="false" customHeight="true" outlineLevel="0" collapsed="false">
      <c r="A950" s="16"/>
      <c r="B950" s="10"/>
      <c r="C950" s="17" t="str">
        <f aca="false">IF($B950="","",IFERROR(INDEX(품목마스터!$B$3:$B$302,MATCH($B950,품목마스터!$A$3:$A$302,0)),"미등록품번"))</f>
        <v/>
      </c>
      <c r="D950" s="17" t="str">
        <f aca="false">IF($B950="","",IFERROR(INDEX(품목마스터!$D$3:$D$302,MATCH($B950,품목마스터!$A$3:$A$302,0)),""))</f>
        <v/>
      </c>
      <c r="E950" s="12"/>
      <c r="F950" s="10"/>
    </row>
    <row r="951" customFormat="false" ht="15" hidden="false" customHeight="true" outlineLevel="0" collapsed="false">
      <c r="A951" s="16"/>
      <c r="B951" s="10"/>
      <c r="C951" s="17" t="str">
        <f aca="false">IF($B951="","",IFERROR(INDEX(품목마스터!$B$3:$B$302,MATCH($B951,품목마스터!$A$3:$A$302,0)),"미등록품번"))</f>
        <v/>
      </c>
      <c r="D951" s="17" t="str">
        <f aca="false">IF($B951="","",IFERROR(INDEX(품목마스터!$D$3:$D$302,MATCH($B951,품목마스터!$A$3:$A$302,0)),""))</f>
        <v/>
      </c>
      <c r="E951" s="12"/>
      <c r="F951" s="10"/>
    </row>
    <row r="952" customFormat="false" ht="15" hidden="false" customHeight="true" outlineLevel="0" collapsed="false">
      <c r="A952" s="16"/>
      <c r="B952" s="10"/>
      <c r="C952" s="17" t="str">
        <f aca="false">IF($B952="","",IFERROR(INDEX(품목마스터!$B$3:$B$302,MATCH($B952,품목마스터!$A$3:$A$302,0)),"미등록품번"))</f>
        <v/>
      </c>
      <c r="D952" s="17" t="str">
        <f aca="false">IF($B952="","",IFERROR(INDEX(품목마스터!$D$3:$D$302,MATCH($B952,품목마스터!$A$3:$A$302,0)),""))</f>
        <v/>
      </c>
      <c r="E952" s="12"/>
      <c r="F952" s="10"/>
    </row>
    <row r="953" customFormat="false" ht="15" hidden="false" customHeight="true" outlineLevel="0" collapsed="false">
      <c r="A953" s="16"/>
      <c r="B953" s="10"/>
      <c r="C953" s="17" t="str">
        <f aca="false">IF($B953="","",IFERROR(INDEX(품목마스터!$B$3:$B$302,MATCH($B953,품목마스터!$A$3:$A$302,0)),"미등록품번"))</f>
        <v/>
      </c>
      <c r="D953" s="17" t="str">
        <f aca="false">IF($B953="","",IFERROR(INDEX(품목마스터!$D$3:$D$302,MATCH($B953,품목마스터!$A$3:$A$302,0)),""))</f>
        <v/>
      </c>
      <c r="E953" s="12"/>
      <c r="F953" s="10"/>
    </row>
    <row r="954" customFormat="false" ht="15" hidden="false" customHeight="true" outlineLevel="0" collapsed="false">
      <c r="A954" s="16"/>
      <c r="B954" s="10"/>
      <c r="C954" s="17" t="str">
        <f aca="false">IF($B954="","",IFERROR(INDEX(품목마스터!$B$3:$B$302,MATCH($B954,품목마스터!$A$3:$A$302,0)),"미등록품번"))</f>
        <v/>
      </c>
      <c r="D954" s="17" t="str">
        <f aca="false">IF($B954="","",IFERROR(INDEX(품목마스터!$D$3:$D$302,MATCH($B954,품목마스터!$A$3:$A$302,0)),""))</f>
        <v/>
      </c>
      <c r="E954" s="12"/>
      <c r="F954" s="10"/>
    </row>
    <row r="955" customFormat="false" ht="15" hidden="false" customHeight="true" outlineLevel="0" collapsed="false">
      <c r="A955" s="16"/>
      <c r="B955" s="10"/>
      <c r="C955" s="17" t="str">
        <f aca="false">IF($B955="","",IFERROR(INDEX(품목마스터!$B$3:$B$302,MATCH($B955,품목마스터!$A$3:$A$302,0)),"미등록품번"))</f>
        <v/>
      </c>
      <c r="D955" s="17" t="str">
        <f aca="false">IF($B955="","",IFERROR(INDEX(품목마스터!$D$3:$D$302,MATCH($B955,품목마스터!$A$3:$A$302,0)),""))</f>
        <v/>
      </c>
      <c r="E955" s="12"/>
      <c r="F955" s="10"/>
    </row>
    <row r="956" customFormat="false" ht="15" hidden="false" customHeight="true" outlineLevel="0" collapsed="false">
      <c r="A956" s="16"/>
      <c r="B956" s="10"/>
      <c r="C956" s="17" t="str">
        <f aca="false">IF($B956="","",IFERROR(INDEX(품목마스터!$B$3:$B$302,MATCH($B956,품목마스터!$A$3:$A$302,0)),"미등록품번"))</f>
        <v/>
      </c>
      <c r="D956" s="17" t="str">
        <f aca="false">IF($B956="","",IFERROR(INDEX(품목마스터!$D$3:$D$302,MATCH($B956,품목마스터!$A$3:$A$302,0)),""))</f>
        <v/>
      </c>
      <c r="E956" s="12"/>
      <c r="F956" s="10"/>
    </row>
    <row r="957" customFormat="false" ht="15" hidden="false" customHeight="true" outlineLevel="0" collapsed="false">
      <c r="A957" s="16"/>
      <c r="B957" s="10"/>
      <c r="C957" s="17" t="str">
        <f aca="false">IF($B957="","",IFERROR(INDEX(품목마스터!$B$3:$B$302,MATCH($B957,품목마스터!$A$3:$A$302,0)),"미등록품번"))</f>
        <v/>
      </c>
      <c r="D957" s="17" t="str">
        <f aca="false">IF($B957="","",IFERROR(INDEX(품목마스터!$D$3:$D$302,MATCH($B957,품목마스터!$A$3:$A$302,0)),""))</f>
        <v/>
      </c>
      <c r="E957" s="12"/>
      <c r="F957" s="10"/>
    </row>
    <row r="958" customFormat="false" ht="15" hidden="false" customHeight="true" outlineLevel="0" collapsed="false">
      <c r="A958" s="16"/>
      <c r="B958" s="10"/>
      <c r="C958" s="17" t="str">
        <f aca="false">IF($B958="","",IFERROR(INDEX(품목마스터!$B$3:$B$302,MATCH($B958,품목마스터!$A$3:$A$302,0)),"미등록품번"))</f>
        <v/>
      </c>
      <c r="D958" s="17" t="str">
        <f aca="false">IF($B958="","",IFERROR(INDEX(품목마스터!$D$3:$D$302,MATCH($B958,품목마스터!$A$3:$A$302,0)),""))</f>
        <v/>
      </c>
      <c r="E958" s="12"/>
      <c r="F958" s="10"/>
    </row>
    <row r="959" customFormat="false" ht="15" hidden="false" customHeight="true" outlineLevel="0" collapsed="false">
      <c r="A959" s="16"/>
      <c r="B959" s="10"/>
      <c r="C959" s="17" t="str">
        <f aca="false">IF($B959="","",IFERROR(INDEX(품목마스터!$B$3:$B$302,MATCH($B959,품목마스터!$A$3:$A$302,0)),"미등록품번"))</f>
        <v/>
      </c>
      <c r="D959" s="17" t="str">
        <f aca="false">IF($B959="","",IFERROR(INDEX(품목마스터!$D$3:$D$302,MATCH($B959,품목마스터!$A$3:$A$302,0)),""))</f>
        <v/>
      </c>
      <c r="E959" s="12"/>
      <c r="F959" s="10"/>
    </row>
    <row r="960" customFormat="false" ht="15" hidden="false" customHeight="true" outlineLevel="0" collapsed="false">
      <c r="A960" s="16"/>
      <c r="B960" s="10"/>
      <c r="C960" s="17" t="str">
        <f aca="false">IF($B960="","",IFERROR(INDEX(품목마스터!$B$3:$B$302,MATCH($B960,품목마스터!$A$3:$A$302,0)),"미등록품번"))</f>
        <v/>
      </c>
      <c r="D960" s="17" t="str">
        <f aca="false">IF($B960="","",IFERROR(INDEX(품목마스터!$D$3:$D$302,MATCH($B960,품목마스터!$A$3:$A$302,0)),""))</f>
        <v/>
      </c>
      <c r="E960" s="12"/>
      <c r="F960" s="10"/>
    </row>
    <row r="961" customFormat="false" ht="15" hidden="false" customHeight="true" outlineLevel="0" collapsed="false">
      <c r="A961" s="16"/>
      <c r="B961" s="10"/>
      <c r="C961" s="17" t="str">
        <f aca="false">IF($B961="","",IFERROR(INDEX(품목마스터!$B$3:$B$302,MATCH($B961,품목마스터!$A$3:$A$302,0)),"미등록품번"))</f>
        <v/>
      </c>
      <c r="D961" s="17" t="str">
        <f aca="false">IF($B961="","",IFERROR(INDEX(품목마스터!$D$3:$D$302,MATCH($B961,품목마스터!$A$3:$A$302,0)),""))</f>
        <v/>
      </c>
      <c r="E961" s="12"/>
      <c r="F961" s="10"/>
    </row>
    <row r="962" customFormat="false" ht="15" hidden="false" customHeight="true" outlineLevel="0" collapsed="false">
      <c r="A962" s="16"/>
      <c r="B962" s="10"/>
      <c r="C962" s="17" t="str">
        <f aca="false">IF($B962="","",IFERROR(INDEX(품목마스터!$B$3:$B$302,MATCH($B962,품목마스터!$A$3:$A$302,0)),"미등록품번"))</f>
        <v/>
      </c>
      <c r="D962" s="17" t="str">
        <f aca="false">IF($B962="","",IFERROR(INDEX(품목마스터!$D$3:$D$302,MATCH($B962,품목마스터!$A$3:$A$302,0)),""))</f>
        <v/>
      </c>
      <c r="E962" s="12"/>
      <c r="F962" s="10"/>
    </row>
    <row r="963" customFormat="false" ht="15" hidden="false" customHeight="true" outlineLevel="0" collapsed="false">
      <c r="A963" s="16"/>
      <c r="B963" s="10"/>
      <c r="C963" s="17" t="str">
        <f aca="false">IF($B963="","",IFERROR(INDEX(품목마스터!$B$3:$B$302,MATCH($B963,품목마스터!$A$3:$A$302,0)),"미등록품번"))</f>
        <v/>
      </c>
      <c r="D963" s="17" t="str">
        <f aca="false">IF($B963="","",IFERROR(INDEX(품목마스터!$D$3:$D$302,MATCH($B963,품목마스터!$A$3:$A$302,0)),""))</f>
        <v/>
      </c>
      <c r="E963" s="12"/>
      <c r="F963" s="10"/>
    </row>
    <row r="964" customFormat="false" ht="15" hidden="false" customHeight="true" outlineLevel="0" collapsed="false">
      <c r="A964" s="16"/>
      <c r="B964" s="10"/>
      <c r="C964" s="17" t="str">
        <f aca="false">IF($B964="","",IFERROR(INDEX(품목마스터!$B$3:$B$302,MATCH($B964,품목마스터!$A$3:$A$302,0)),"미등록품번"))</f>
        <v/>
      </c>
      <c r="D964" s="17" t="str">
        <f aca="false">IF($B964="","",IFERROR(INDEX(품목마스터!$D$3:$D$302,MATCH($B964,품목마스터!$A$3:$A$302,0)),""))</f>
        <v/>
      </c>
      <c r="E964" s="12"/>
      <c r="F964" s="10"/>
    </row>
    <row r="965" customFormat="false" ht="15" hidden="false" customHeight="true" outlineLevel="0" collapsed="false">
      <c r="A965" s="16"/>
      <c r="B965" s="10"/>
      <c r="C965" s="17" t="str">
        <f aca="false">IF($B965="","",IFERROR(INDEX(품목마스터!$B$3:$B$302,MATCH($B965,품목마스터!$A$3:$A$302,0)),"미등록품번"))</f>
        <v/>
      </c>
      <c r="D965" s="17" t="str">
        <f aca="false">IF($B965="","",IFERROR(INDEX(품목마스터!$D$3:$D$302,MATCH($B965,품목마스터!$A$3:$A$302,0)),""))</f>
        <v/>
      </c>
      <c r="E965" s="12"/>
      <c r="F965" s="10"/>
    </row>
    <row r="966" customFormat="false" ht="15" hidden="false" customHeight="true" outlineLevel="0" collapsed="false">
      <c r="A966" s="16"/>
      <c r="B966" s="10"/>
      <c r="C966" s="17" t="str">
        <f aca="false">IF($B966="","",IFERROR(INDEX(품목마스터!$B$3:$B$302,MATCH($B966,품목마스터!$A$3:$A$302,0)),"미등록품번"))</f>
        <v/>
      </c>
      <c r="D966" s="17" t="str">
        <f aca="false">IF($B966="","",IFERROR(INDEX(품목마스터!$D$3:$D$302,MATCH($B966,품목마스터!$A$3:$A$302,0)),""))</f>
        <v/>
      </c>
      <c r="E966" s="12"/>
      <c r="F966" s="10"/>
    </row>
    <row r="967" customFormat="false" ht="15" hidden="false" customHeight="true" outlineLevel="0" collapsed="false">
      <c r="A967" s="16"/>
      <c r="B967" s="10"/>
      <c r="C967" s="17" t="str">
        <f aca="false">IF($B967="","",IFERROR(INDEX(품목마스터!$B$3:$B$302,MATCH($B967,품목마스터!$A$3:$A$302,0)),"미등록품번"))</f>
        <v/>
      </c>
      <c r="D967" s="17" t="str">
        <f aca="false">IF($B967="","",IFERROR(INDEX(품목마스터!$D$3:$D$302,MATCH($B967,품목마스터!$A$3:$A$302,0)),""))</f>
        <v/>
      </c>
      <c r="E967" s="12"/>
      <c r="F967" s="10"/>
    </row>
    <row r="968" customFormat="false" ht="15" hidden="false" customHeight="true" outlineLevel="0" collapsed="false">
      <c r="A968" s="16"/>
      <c r="B968" s="10"/>
      <c r="C968" s="17" t="str">
        <f aca="false">IF($B968="","",IFERROR(INDEX(품목마스터!$B$3:$B$302,MATCH($B968,품목마스터!$A$3:$A$302,0)),"미등록품번"))</f>
        <v/>
      </c>
      <c r="D968" s="17" t="str">
        <f aca="false">IF($B968="","",IFERROR(INDEX(품목마스터!$D$3:$D$302,MATCH($B968,품목마스터!$A$3:$A$302,0)),""))</f>
        <v/>
      </c>
      <c r="E968" s="12"/>
      <c r="F968" s="10"/>
    </row>
    <row r="969" customFormat="false" ht="15" hidden="false" customHeight="true" outlineLevel="0" collapsed="false">
      <c r="A969" s="16"/>
      <c r="B969" s="10"/>
      <c r="C969" s="17" t="str">
        <f aca="false">IF($B969="","",IFERROR(INDEX(품목마스터!$B$3:$B$302,MATCH($B969,품목마스터!$A$3:$A$302,0)),"미등록품번"))</f>
        <v/>
      </c>
      <c r="D969" s="17" t="str">
        <f aca="false">IF($B969="","",IFERROR(INDEX(품목마스터!$D$3:$D$302,MATCH($B969,품목마스터!$A$3:$A$302,0)),""))</f>
        <v/>
      </c>
      <c r="E969" s="12"/>
      <c r="F969" s="10"/>
    </row>
    <row r="970" customFormat="false" ht="15" hidden="false" customHeight="true" outlineLevel="0" collapsed="false">
      <c r="A970" s="16"/>
      <c r="B970" s="10"/>
      <c r="C970" s="17" t="str">
        <f aca="false">IF($B970="","",IFERROR(INDEX(품목마스터!$B$3:$B$302,MATCH($B970,품목마스터!$A$3:$A$302,0)),"미등록품번"))</f>
        <v/>
      </c>
      <c r="D970" s="17" t="str">
        <f aca="false">IF($B970="","",IFERROR(INDEX(품목마스터!$D$3:$D$302,MATCH($B970,품목마스터!$A$3:$A$302,0)),""))</f>
        <v/>
      </c>
      <c r="E970" s="12"/>
      <c r="F970" s="10"/>
    </row>
    <row r="971" customFormat="false" ht="15" hidden="false" customHeight="true" outlineLevel="0" collapsed="false">
      <c r="A971" s="16"/>
      <c r="B971" s="10"/>
      <c r="C971" s="17" t="str">
        <f aca="false">IF($B971="","",IFERROR(INDEX(품목마스터!$B$3:$B$302,MATCH($B971,품목마스터!$A$3:$A$302,0)),"미등록품번"))</f>
        <v/>
      </c>
      <c r="D971" s="17" t="str">
        <f aca="false">IF($B971="","",IFERROR(INDEX(품목마스터!$D$3:$D$302,MATCH($B971,품목마스터!$A$3:$A$302,0)),""))</f>
        <v/>
      </c>
      <c r="E971" s="12"/>
      <c r="F971" s="10"/>
    </row>
    <row r="972" customFormat="false" ht="15" hidden="false" customHeight="true" outlineLevel="0" collapsed="false">
      <c r="A972" s="16"/>
      <c r="B972" s="10"/>
      <c r="C972" s="17" t="str">
        <f aca="false">IF($B972="","",IFERROR(INDEX(품목마스터!$B$3:$B$302,MATCH($B972,품목마스터!$A$3:$A$302,0)),"미등록품번"))</f>
        <v/>
      </c>
      <c r="D972" s="17" t="str">
        <f aca="false">IF($B972="","",IFERROR(INDEX(품목마스터!$D$3:$D$302,MATCH($B972,품목마스터!$A$3:$A$302,0)),""))</f>
        <v/>
      </c>
      <c r="E972" s="12"/>
      <c r="F972" s="10"/>
    </row>
    <row r="973" customFormat="false" ht="15" hidden="false" customHeight="true" outlineLevel="0" collapsed="false">
      <c r="A973" s="16"/>
      <c r="B973" s="10"/>
      <c r="C973" s="17" t="str">
        <f aca="false">IF($B973="","",IFERROR(INDEX(품목마스터!$B$3:$B$302,MATCH($B973,품목마스터!$A$3:$A$302,0)),"미등록품번"))</f>
        <v/>
      </c>
      <c r="D973" s="17" t="str">
        <f aca="false">IF($B973="","",IFERROR(INDEX(품목마스터!$D$3:$D$302,MATCH($B973,품목마스터!$A$3:$A$302,0)),""))</f>
        <v/>
      </c>
      <c r="E973" s="12"/>
      <c r="F973" s="10"/>
    </row>
    <row r="974" customFormat="false" ht="15" hidden="false" customHeight="true" outlineLevel="0" collapsed="false">
      <c r="A974" s="16"/>
      <c r="B974" s="10"/>
      <c r="C974" s="17" t="str">
        <f aca="false">IF($B974="","",IFERROR(INDEX(품목마스터!$B$3:$B$302,MATCH($B974,품목마스터!$A$3:$A$302,0)),"미등록품번"))</f>
        <v/>
      </c>
      <c r="D974" s="17" t="str">
        <f aca="false">IF($B974="","",IFERROR(INDEX(품목마스터!$D$3:$D$302,MATCH($B974,품목마스터!$A$3:$A$302,0)),""))</f>
        <v/>
      </c>
      <c r="E974" s="12"/>
      <c r="F974" s="10"/>
    </row>
    <row r="975" customFormat="false" ht="15" hidden="false" customHeight="true" outlineLevel="0" collapsed="false">
      <c r="A975" s="16"/>
      <c r="B975" s="10"/>
      <c r="C975" s="17" t="str">
        <f aca="false">IF($B975="","",IFERROR(INDEX(품목마스터!$B$3:$B$302,MATCH($B975,품목마스터!$A$3:$A$302,0)),"미등록품번"))</f>
        <v/>
      </c>
      <c r="D975" s="17" t="str">
        <f aca="false">IF($B975="","",IFERROR(INDEX(품목마스터!$D$3:$D$302,MATCH($B975,품목마스터!$A$3:$A$302,0)),""))</f>
        <v/>
      </c>
      <c r="E975" s="12"/>
      <c r="F975" s="10"/>
    </row>
    <row r="976" customFormat="false" ht="15" hidden="false" customHeight="true" outlineLevel="0" collapsed="false">
      <c r="A976" s="16"/>
      <c r="B976" s="10"/>
      <c r="C976" s="17" t="str">
        <f aca="false">IF($B976="","",IFERROR(INDEX(품목마스터!$B$3:$B$302,MATCH($B976,품목마스터!$A$3:$A$302,0)),"미등록품번"))</f>
        <v/>
      </c>
      <c r="D976" s="17" t="str">
        <f aca="false">IF($B976="","",IFERROR(INDEX(품목마스터!$D$3:$D$302,MATCH($B976,품목마스터!$A$3:$A$302,0)),""))</f>
        <v/>
      </c>
      <c r="E976" s="12"/>
      <c r="F976" s="10"/>
    </row>
    <row r="977" customFormat="false" ht="15" hidden="false" customHeight="true" outlineLevel="0" collapsed="false">
      <c r="A977" s="16"/>
      <c r="B977" s="10"/>
      <c r="C977" s="17" t="str">
        <f aca="false">IF($B977="","",IFERROR(INDEX(품목마스터!$B$3:$B$302,MATCH($B977,품목마스터!$A$3:$A$302,0)),"미등록품번"))</f>
        <v/>
      </c>
      <c r="D977" s="17" t="str">
        <f aca="false">IF($B977="","",IFERROR(INDEX(품목마스터!$D$3:$D$302,MATCH($B977,품목마스터!$A$3:$A$302,0)),""))</f>
        <v/>
      </c>
      <c r="E977" s="12"/>
      <c r="F977" s="10"/>
    </row>
    <row r="978" customFormat="false" ht="15" hidden="false" customHeight="true" outlineLevel="0" collapsed="false">
      <c r="A978" s="16"/>
      <c r="B978" s="10"/>
      <c r="C978" s="17" t="str">
        <f aca="false">IF($B978="","",IFERROR(INDEX(품목마스터!$B$3:$B$302,MATCH($B978,품목마스터!$A$3:$A$302,0)),"미등록품번"))</f>
        <v/>
      </c>
      <c r="D978" s="17" t="str">
        <f aca="false">IF($B978="","",IFERROR(INDEX(품목마스터!$D$3:$D$302,MATCH($B978,품목마스터!$A$3:$A$302,0)),""))</f>
        <v/>
      </c>
      <c r="E978" s="12"/>
      <c r="F978" s="10"/>
    </row>
    <row r="979" customFormat="false" ht="15" hidden="false" customHeight="true" outlineLevel="0" collapsed="false">
      <c r="A979" s="16"/>
      <c r="B979" s="10"/>
      <c r="C979" s="17" t="str">
        <f aca="false">IF($B979="","",IFERROR(INDEX(품목마스터!$B$3:$B$302,MATCH($B979,품목마스터!$A$3:$A$302,0)),"미등록품번"))</f>
        <v/>
      </c>
      <c r="D979" s="17" t="str">
        <f aca="false">IF($B979="","",IFERROR(INDEX(품목마스터!$D$3:$D$302,MATCH($B979,품목마스터!$A$3:$A$302,0)),""))</f>
        <v/>
      </c>
      <c r="E979" s="12"/>
      <c r="F979" s="10"/>
    </row>
    <row r="980" customFormat="false" ht="15" hidden="false" customHeight="true" outlineLevel="0" collapsed="false">
      <c r="A980" s="16"/>
      <c r="B980" s="10"/>
      <c r="C980" s="17" t="str">
        <f aca="false">IF($B980="","",IFERROR(INDEX(품목마스터!$B$3:$B$302,MATCH($B980,품목마스터!$A$3:$A$302,0)),"미등록품번"))</f>
        <v/>
      </c>
      <c r="D980" s="17" t="str">
        <f aca="false">IF($B980="","",IFERROR(INDEX(품목마스터!$D$3:$D$302,MATCH($B980,품목마스터!$A$3:$A$302,0)),""))</f>
        <v/>
      </c>
      <c r="E980" s="12"/>
      <c r="F980" s="10"/>
    </row>
    <row r="981" customFormat="false" ht="15" hidden="false" customHeight="true" outlineLevel="0" collapsed="false">
      <c r="A981" s="16"/>
      <c r="B981" s="10"/>
      <c r="C981" s="17" t="str">
        <f aca="false">IF($B981="","",IFERROR(INDEX(품목마스터!$B$3:$B$302,MATCH($B981,품목마스터!$A$3:$A$302,0)),"미등록품번"))</f>
        <v/>
      </c>
      <c r="D981" s="17" t="str">
        <f aca="false">IF($B981="","",IFERROR(INDEX(품목마스터!$D$3:$D$302,MATCH($B981,품목마스터!$A$3:$A$302,0)),""))</f>
        <v/>
      </c>
      <c r="E981" s="12"/>
      <c r="F981" s="10"/>
    </row>
    <row r="982" customFormat="false" ht="15" hidden="false" customHeight="true" outlineLevel="0" collapsed="false">
      <c r="A982" s="16"/>
      <c r="B982" s="10"/>
      <c r="C982" s="17" t="str">
        <f aca="false">IF($B982="","",IFERROR(INDEX(품목마스터!$B$3:$B$302,MATCH($B982,품목마스터!$A$3:$A$302,0)),"미등록품번"))</f>
        <v/>
      </c>
      <c r="D982" s="17" t="str">
        <f aca="false">IF($B982="","",IFERROR(INDEX(품목마스터!$D$3:$D$302,MATCH($B982,품목마스터!$A$3:$A$302,0)),""))</f>
        <v/>
      </c>
      <c r="E982" s="12"/>
      <c r="F982" s="10"/>
    </row>
    <row r="983" customFormat="false" ht="15" hidden="false" customHeight="true" outlineLevel="0" collapsed="false">
      <c r="A983" s="16"/>
      <c r="B983" s="10"/>
      <c r="C983" s="17" t="str">
        <f aca="false">IF($B983="","",IFERROR(INDEX(품목마스터!$B$3:$B$302,MATCH($B983,품목마스터!$A$3:$A$302,0)),"미등록품번"))</f>
        <v/>
      </c>
      <c r="D983" s="17" t="str">
        <f aca="false">IF($B983="","",IFERROR(INDEX(품목마스터!$D$3:$D$302,MATCH($B983,품목마스터!$A$3:$A$302,0)),""))</f>
        <v/>
      </c>
      <c r="E983" s="12"/>
      <c r="F983" s="10"/>
    </row>
    <row r="984" customFormat="false" ht="15" hidden="false" customHeight="true" outlineLevel="0" collapsed="false">
      <c r="A984" s="16"/>
      <c r="B984" s="10"/>
      <c r="C984" s="17" t="str">
        <f aca="false">IF($B984="","",IFERROR(INDEX(품목마스터!$B$3:$B$302,MATCH($B984,품목마스터!$A$3:$A$302,0)),"미등록품번"))</f>
        <v/>
      </c>
      <c r="D984" s="17" t="str">
        <f aca="false">IF($B984="","",IFERROR(INDEX(품목마스터!$D$3:$D$302,MATCH($B984,품목마스터!$A$3:$A$302,0)),""))</f>
        <v/>
      </c>
      <c r="E984" s="12"/>
      <c r="F984" s="10"/>
    </row>
    <row r="985" customFormat="false" ht="15" hidden="false" customHeight="true" outlineLevel="0" collapsed="false">
      <c r="A985" s="16"/>
      <c r="B985" s="10"/>
      <c r="C985" s="17" t="str">
        <f aca="false">IF($B985="","",IFERROR(INDEX(품목마스터!$B$3:$B$302,MATCH($B985,품목마스터!$A$3:$A$302,0)),"미등록품번"))</f>
        <v/>
      </c>
      <c r="D985" s="17" t="str">
        <f aca="false">IF($B985="","",IFERROR(INDEX(품목마스터!$D$3:$D$302,MATCH($B985,품목마스터!$A$3:$A$302,0)),""))</f>
        <v/>
      </c>
      <c r="E985" s="12"/>
      <c r="F985" s="10"/>
    </row>
    <row r="986" customFormat="false" ht="15" hidden="false" customHeight="true" outlineLevel="0" collapsed="false">
      <c r="A986" s="16"/>
      <c r="B986" s="10"/>
      <c r="C986" s="17" t="str">
        <f aca="false">IF($B986="","",IFERROR(INDEX(품목마스터!$B$3:$B$302,MATCH($B986,품목마스터!$A$3:$A$302,0)),"미등록품번"))</f>
        <v/>
      </c>
      <c r="D986" s="17" t="str">
        <f aca="false">IF($B986="","",IFERROR(INDEX(품목마스터!$D$3:$D$302,MATCH($B986,품목마스터!$A$3:$A$302,0)),""))</f>
        <v/>
      </c>
      <c r="E986" s="12"/>
      <c r="F986" s="10"/>
    </row>
    <row r="987" customFormat="false" ht="15" hidden="false" customHeight="true" outlineLevel="0" collapsed="false">
      <c r="A987" s="16"/>
      <c r="B987" s="10"/>
      <c r="C987" s="17" t="str">
        <f aca="false">IF($B987="","",IFERROR(INDEX(품목마스터!$B$3:$B$302,MATCH($B987,품목마스터!$A$3:$A$302,0)),"미등록품번"))</f>
        <v/>
      </c>
      <c r="D987" s="17" t="str">
        <f aca="false">IF($B987="","",IFERROR(INDEX(품목마스터!$D$3:$D$302,MATCH($B987,품목마스터!$A$3:$A$302,0)),""))</f>
        <v/>
      </c>
      <c r="E987" s="12"/>
      <c r="F987" s="10"/>
    </row>
    <row r="988" customFormat="false" ht="15" hidden="false" customHeight="true" outlineLevel="0" collapsed="false">
      <c r="A988" s="16"/>
      <c r="B988" s="10"/>
      <c r="C988" s="17" t="str">
        <f aca="false">IF($B988="","",IFERROR(INDEX(품목마스터!$B$3:$B$302,MATCH($B988,품목마스터!$A$3:$A$302,0)),"미등록품번"))</f>
        <v/>
      </c>
      <c r="D988" s="17" t="str">
        <f aca="false">IF($B988="","",IFERROR(INDEX(품목마스터!$D$3:$D$302,MATCH($B988,품목마스터!$A$3:$A$302,0)),""))</f>
        <v/>
      </c>
      <c r="E988" s="12"/>
      <c r="F988" s="10"/>
    </row>
    <row r="989" customFormat="false" ht="15" hidden="false" customHeight="true" outlineLevel="0" collapsed="false">
      <c r="A989" s="16"/>
      <c r="B989" s="10"/>
      <c r="C989" s="17" t="str">
        <f aca="false">IF($B989="","",IFERROR(INDEX(품목마스터!$B$3:$B$302,MATCH($B989,품목마스터!$A$3:$A$302,0)),"미등록품번"))</f>
        <v/>
      </c>
      <c r="D989" s="17" t="str">
        <f aca="false">IF($B989="","",IFERROR(INDEX(품목마스터!$D$3:$D$302,MATCH($B989,품목마스터!$A$3:$A$302,0)),""))</f>
        <v/>
      </c>
      <c r="E989" s="12"/>
      <c r="F989" s="10"/>
    </row>
    <row r="990" customFormat="false" ht="15" hidden="false" customHeight="true" outlineLevel="0" collapsed="false">
      <c r="A990" s="16"/>
      <c r="B990" s="10"/>
      <c r="C990" s="17" t="str">
        <f aca="false">IF($B990="","",IFERROR(INDEX(품목마스터!$B$3:$B$302,MATCH($B990,품목마스터!$A$3:$A$302,0)),"미등록품번"))</f>
        <v/>
      </c>
      <c r="D990" s="17" t="str">
        <f aca="false">IF($B990="","",IFERROR(INDEX(품목마스터!$D$3:$D$302,MATCH($B990,품목마스터!$A$3:$A$302,0)),""))</f>
        <v/>
      </c>
      <c r="E990" s="12"/>
      <c r="F990" s="10"/>
    </row>
    <row r="991" customFormat="false" ht="15" hidden="false" customHeight="true" outlineLevel="0" collapsed="false">
      <c r="A991" s="16"/>
      <c r="B991" s="10"/>
      <c r="C991" s="17" t="str">
        <f aca="false">IF($B991="","",IFERROR(INDEX(품목마스터!$B$3:$B$302,MATCH($B991,품목마스터!$A$3:$A$302,0)),"미등록품번"))</f>
        <v/>
      </c>
      <c r="D991" s="17" t="str">
        <f aca="false">IF($B991="","",IFERROR(INDEX(품목마스터!$D$3:$D$302,MATCH($B991,품목마스터!$A$3:$A$302,0)),""))</f>
        <v/>
      </c>
      <c r="E991" s="12"/>
      <c r="F991" s="10"/>
    </row>
    <row r="992" customFormat="false" ht="15" hidden="false" customHeight="true" outlineLevel="0" collapsed="false">
      <c r="A992" s="16"/>
      <c r="B992" s="10"/>
      <c r="C992" s="17" t="str">
        <f aca="false">IF($B992="","",IFERROR(INDEX(품목마스터!$B$3:$B$302,MATCH($B992,품목마스터!$A$3:$A$302,0)),"미등록품번"))</f>
        <v/>
      </c>
      <c r="D992" s="17" t="str">
        <f aca="false">IF($B992="","",IFERROR(INDEX(품목마스터!$D$3:$D$302,MATCH($B992,품목마스터!$A$3:$A$302,0)),""))</f>
        <v/>
      </c>
      <c r="E992" s="12"/>
      <c r="F992" s="10"/>
    </row>
    <row r="993" customFormat="false" ht="15" hidden="false" customHeight="true" outlineLevel="0" collapsed="false">
      <c r="A993" s="16"/>
      <c r="B993" s="10"/>
      <c r="C993" s="17" t="str">
        <f aca="false">IF($B993="","",IFERROR(INDEX(품목마스터!$B$3:$B$302,MATCH($B993,품목마스터!$A$3:$A$302,0)),"미등록품번"))</f>
        <v/>
      </c>
      <c r="D993" s="17" t="str">
        <f aca="false">IF($B993="","",IFERROR(INDEX(품목마스터!$D$3:$D$302,MATCH($B993,품목마스터!$A$3:$A$302,0)),""))</f>
        <v/>
      </c>
      <c r="E993" s="12"/>
      <c r="F993" s="10"/>
    </row>
    <row r="994" customFormat="false" ht="15" hidden="false" customHeight="true" outlineLevel="0" collapsed="false">
      <c r="A994" s="16"/>
      <c r="B994" s="10"/>
      <c r="C994" s="17" t="str">
        <f aca="false">IF($B994="","",IFERROR(INDEX(품목마스터!$B$3:$B$302,MATCH($B994,품목마스터!$A$3:$A$302,0)),"미등록품번"))</f>
        <v/>
      </c>
      <c r="D994" s="17" t="str">
        <f aca="false">IF($B994="","",IFERROR(INDEX(품목마스터!$D$3:$D$302,MATCH($B994,품목마스터!$A$3:$A$302,0)),""))</f>
        <v/>
      </c>
      <c r="E994" s="12"/>
      <c r="F994" s="10"/>
    </row>
    <row r="995" customFormat="false" ht="15" hidden="false" customHeight="true" outlineLevel="0" collapsed="false">
      <c r="A995" s="16"/>
      <c r="B995" s="10"/>
      <c r="C995" s="17" t="str">
        <f aca="false">IF($B995="","",IFERROR(INDEX(품목마스터!$B$3:$B$302,MATCH($B995,품목마스터!$A$3:$A$302,0)),"미등록품번"))</f>
        <v/>
      </c>
      <c r="D995" s="17" t="str">
        <f aca="false">IF($B995="","",IFERROR(INDEX(품목마스터!$D$3:$D$302,MATCH($B995,품목마스터!$A$3:$A$302,0)),""))</f>
        <v/>
      </c>
      <c r="E995" s="12"/>
      <c r="F995" s="10"/>
    </row>
    <row r="996" customFormat="false" ht="15" hidden="false" customHeight="true" outlineLevel="0" collapsed="false">
      <c r="A996" s="16"/>
      <c r="B996" s="10"/>
      <c r="C996" s="17" t="str">
        <f aca="false">IF($B996="","",IFERROR(INDEX(품목마스터!$B$3:$B$302,MATCH($B996,품목마스터!$A$3:$A$302,0)),"미등록품번"))</f>
        <v/>
      </c>
      <c r="D996" s="17" t="str">
        <f aca="false">IF($B996="","",IFERROR(INDEX(품목마스터!$D$3:$D$302,MATCH($B996,품목마스터!$A$3:$A$302,0)),""))</f>
        <v/>
      </c>
      <c r="E996" s="12"/>
      <c r="F996" s="10"/>
    </row>
    <row r="997" customFormat="false" ht="15" hidden="false" customHeight="true" outlineLevel="0" collapsed="false">
      <c r="A997" s="16"/>
      <c r="B997" s="10"/>
      <c r="C997" s="17" t="str">
        <f aca="false">IF($B997="","",IFERROR(INDEX(품목마스터!$B$3:$B$302,MATCH($B997,품목마스터!$A$3:$A$302,0)),"미등록품번"))</f>
        <v/>
      </c>
      <c r="D997" s="17" t="str">
        <f aca="false">IF($B997="","",IFERROR(INDEX(품목마스터!$D$3:$D$302,MATCH($B997,품목마스터!$A$3:$A$302,0)),""))</f>
        <v/>
      </c>
      <c r="E997" s="12"/>
      <c r="F997" s="10"/>
    </row>
    <row r="998" customFormat="false" ht="15" hidden="false" customHeight="true" outlineLevel="0" collapsed="false">
      <c r="A998" s="16"/>
      <c r="B998" s="10"/>
      <c r="C998" s="17" t="str">
        <f aca="false">IF($B998="","",IFERROR(INDEX(품목마스터!$B$3:$B$302,MATCH($B998,품목마스터!$A$3:$A$302,0)),"미등록품번"))</f>
        <v/>
      </c>
      <c r="D998" s="17" t="str">
        <f aca="false">IF($B998="","",IFERROR(INDEX(품목마스터!$D$3:$D$302,MATCH($B998,품목마스터!$A$3:$A$302,0)),""))</f>
        <v/>
      </c>
      <c r="E998" s="12"/>
      <c r="F998" s="10"/>
    </row>
    <row r="999" customFormat="false" ht="15" hidden="false" customHeight="true" outlineLevel="0" collapsed="false">
      <c r="A999" s="16"/>
      <c r="B999" s="10"/>
      <c r="C999" s="17" t="str">
        <f aca="false">IF($B999="","",IFERROR(INDEX(품목마스터!$B$3:$B$302,MATCH($B999,품목마스터!$A$3:$A$302,0)),"미등록품번"))</f>
        <v/>
      </c>
      <c r="D999" s="17" t="str">
        <f aca="false">IF($B999="","",IFERROR(INDEX(품목마스터!$D$3:$D$302,MATCH($B999,품목마스터!$A$3:$A$302,0)),""))</f>
        <v/>
      </c>
      <c r="E999" s="12"/>
      <c r="F999" s="10"/>
    </row>
    <row r="1000" customFormat="false" ht="15" hidden="false" customHeight="true" outlineLevel="0" collapsed="false">
      <c r="A1000" s="16"/>
      <c r="B1000" s="10"/>
      <c r="C1000" s="17" t="str">
        <f aca="false">IF($B1000="","",IFERROR(INDEX(품목마스터!$B$3:$B$302,MATCH($B1000,품목마스터!$A$3:$A$302,0)),"미등록품번"))</f>
        <v/>
      </c>
      <c r="D1000" s="17" t="str">
        <f aca="false">IF($B1000="","",IFERROR(INDEX(품목마스터!$D$3:$D$302,MATCH($B1000,품목마스터!$A$3:$A$302,0)),""))</f>
        <v/>
      </c>
      <c r="E1000" s="12"/>
      <c r="F1000" s="10"/>
    </row>
    <row r="1001" customFormat="false" ht="15" hidden="false" customHeight="true" outlineLevel="0" collapsed="false">
      <c r="A1001" s="16"/>
      <c r="B1001" s="10"/>
      <c r="C1001" s="17" t="str">
        <f aca="false">IF($B1001="","",IFERROR(INDEX(품목마스터!$B$3:$B$302,MATCH($B1001,품목마스터!$A$3:$A$302,0)),"미등록품번"))</f>
        <v/>
      </c>
      <c r="D1001" s="17" t="str">
        <f aca="false">IF($B1001="","",IFERROR(INDEX(품목마스터!$D$3:$D$302,MATCH($B1001,품목마스터!$A$3:$A$302,0)),""))</f>
        <v/>
      </c>
      <c r="E1001" s="12"/>
      <c r="F1001" s="10"/>
    </row>
    <row r="1002" customFormat="false" ht="15" hidden="false" customHeight="true" outlineLevel="0" collapsed="false">
      <c r="A1002" s="16"/>
      <c r="B1002" s="10"/>
      <c r="C1002" s="17" t="str">
        <f aca="false">IF($B1002="","",IFERROR(INDEX(품목마스터!$B$3:$B$302,MATCH($B1002,품목마스터!$A$3:$A$302,0)),"미등록품번"))</f>
        <v/>
      </c>
      <c r="D1002" s="17" t="str">
        <f aca="false">IF($B1002="","",IFERROR(INDEX(품목마스터!$D$3:$D$302,MATCH($B1002,품목마스터!$A$3:$A$302,0)),""))</f>
        <v/>
      </c>
      <c r="E1002" s="12"/>
      <c r="F1002" s="10"/>
    </row>
    <row r="1003" customFormat="false" ht="15" hidden="false" customHeight="true" outlineLevel="0" collapsed="false">
      <c r="A1003" s="16"/>
      <c r="B1003" s="10"/>
      <c r="C1003" s="17" t="str">
        <f aca="false">IF($B1003="","",IFERROR(INDEX(품목마스터!$B$3:$B$302,MATCH($B1003,품목마스터!$A$3:$A$302,0)),"미등록품번"))</f>
        <v/>
      </c>
      <c r="D1003" s="17" t="str">
        <f aca="false">IF($B1003="","",IFERROR(INDEX(품목마스터!$D$3:$D$302,MATCH($B1003,품목마스터!$A$3:$A$302,0)),""))</f>
        <v/>
      </c>
      <c r="E1003" s="12"/>
      <c r="F1003" s="10"/>
    </row>
    <row r="1004" customFormat="false" ht="15" hidden="false" customHeight="true" outlineLevel="0" collapsed="false">
      <c r="A1004" s="16"/>
      <c r="B1004" s="10"/>
      <c r="C1004" s="17" t="str">
        <f aca="false">IF($B1004="","",IFERROR(INDEX(품목마스터!$B$3:$B$302,MATCH($B1004,품목마스터!$A$3:$A$302,0)),"미등록품번"))</f>
        <v/>
      </c>
      <c r="D1004" s="17" t="str">
        <f aca="false">IF($B1004="","",IFERROR(INDEX(품목마스터!$D$3:$D$302,MATCH($B1004,품목마스터!$A$3:$A$302,0)),""))</f>
        <v/>
      </c>
      <c r="E1004" s="12"/>
      <c r="F1004" s="10"/>
    </row>
    <row r="1005" customFormat="false" ht="15" hidden="false" customHeight="true" outlineLevel="0" collapsed="false">
      <c r="A1005" s="16"/>
      <c r="B1005" s="10"/>
      <c r="C1005" s="17" t="str">
        <f aca="false">IF($B1005="","",IFERROR(INDEX(품목마스터!$B$3:$B$302,MATCH($B1005,품목마스터!$A$3:$A$302,0)),"미등록품번"))</f>
        <v/>
      </c>
      <c r="D1005" s="17" t="str">
        <f aca="false">IF($B1005="","",IFERROR(INDEX(품목마스터!$D$3:$D$302,MATCH($B1005,품목마스터!$A$3:$A$302,0)),""))</f>
        <v/>
      </c>
      <c r="E1005" s="12"/>
      <c r="F1005" s="10"/>
    </row>
    <row r="1006" customFormat="false" ht="15" hidden="false" customHeight="true" outlineLevel="0" collapsed="false">
      <c r="A1006" s="16"/>
      <c r="B1006" s="10"/>
      <c r="C1006" s="17" t="str">
        <f aca="false">IF($B1006="","",IFERROR(INDEX(품목마스터!$B$3:$B$302,MATCH($B1006,품목마스터!$A$3:$A$302,0)),"미등록품번"))</f>
        <v/>
      </c>
      <c r="D1006" s="17" t="str">
        <f aca="false">IF($B1006="","",IFERROR(INDEX(품목마스터!$D$3:$D$302,MATCH($B1006,품목마스터!$A$3:$A$302,0)),""))</f>
        <v/>
      </c>
      <c r="E1006" s="12"/>
      <c r="F1006" s="10"/>
    </row>
    <row r="1007" customFormat="false" ht="15" hidden="false" customHeight="true" outlineLevel="0" collapsed="false">
      <c r="A1007" s="16"/>
      <c r="B1007" s="10"/>
      <c r="C1007" s="17" t="str">
        <f aca="false">IF($B1007="","",IFERROR(INDEX(품목마스터!$B$3:$B$302,MATCH($B1007,품목마스터!$A$3:$A$302,0)),"미등록품번"))</f>
        <v/>
      </c>
      <c r="D1007" s="17" t="str">
        <f aca="false">IF($B1007="","",IFERROR(INDEX(품목마스터!$D$3:$D$302,MATCH($B1007,품목마스터!$A$3:$A$302,0)),""))</f>
        <v/>
      </c>
      <c r="E1007" s="12"/>
      <c r="F1007" s="10"/>
    </row>
    <row r="1008" customFormat="false" ht="15" hidden="false" customHeight="true" outlineLevel="0" collapsed="false">
      <c r="A1008" s="16"/>
      <c r="B1008" s="10"/>
      <c r="C1008" s="17" t="str">
        <f aca="false">IF($B1008="","",IFERROR(INDEX(품목마스터!$B$3:$B$302,MATCH($B1008,품목마스터!$A$3:$A$302,0)),"미등록품번"))</f>
        <v/>
      </c>
      <c r="D1008" s="17" t="str">
        <f aca="false">IF($B1008="","",IFERROR(INDEX(품목마스터!$D$3:$D$302,MATCH($B1008,품목마스터!$A$3:$A$302,0)),""))</f>
        <v/>
      </c>
      <c r="E1008" s="12"/>
      <c r="F1008" s="10"/>
    </row>
    <row r="1009" customFormat="false" ht="15" hidden="false" customHeight="true" outlineLevel="0" collapsed="false">
      <c r="A1009" s="16"/>
      <c r="B1009" s="10"/>
      <c r="C1009" s="17" t="str">
        <f aca="false">IF($B1009="","",IFERROR(INDEX(품목마스터!$B$3:$B$302,MATCH($B1009,품목마스터!$A$3:$A$302,0)),"미등록품번"))</f>
        <v/>
      </c>
      <c r="D1009" s="17" t="str">
        <f aca="false">IF($B1009="","",IFERROR(INDEX(품목마스터!$D$3:$D$302,MATCH($B1009,품목마스터!$A$3:$A$302,0)),""))</f>
        <v/>
      </c>
      <c r="E1009" s="12"/>
      <c r="F1009" s="10"/>
    </row>
    <row r="1010" customFormat="false" ht="15" hidden="false" customHeight="true" outlineLevel="0" collapsed="false">
      <c r="A1010" s="16"/>
      <c r="B1010" s="10"/>
      <c r="C1010" s="17" t="str">
        <f aca="false">IF($B1010="","",IFERROR(INDEX(품목마스터!$B$3:$B$302,MATCH($B1010,품목마스터!$A$3:$A$302,0)),"미등록품번"))</f>
        <v/>
      </c>
      <c r="D1010" s="17" t="str">
        <f aca="false">IF($B1010="","",IFERROR(INDEX(품목마스터!$D$3:$D$302,MATCH($B1010,품목마스터!$A$3:$A$302,0)),""))</f>
        <v/>
      </c>
      <c r="E1010" s="12"/>
      <c r="F1010" s="10"/>
    </row>
    <row r="1011" customFormat="false" ht="15" hidden="false" customHeight="true" outlineLevel="0" collapsed="false">
      <c r="A1011" s="16"/>
      <c r="B1011" s="10"/>
      <c r="C1011" s="17" t="str">
        <f aca="false">IF($B1011="","",IFERROR(INDEX(품목마스터!$B$3:$B$302,MATCH($B1011,품목마스터!$A$3:$A$302,0)),"미등록품번"))</f>
        <v/>
      </c>
      <c r="D1011" s="17" t="str">
        <f aca="false">IF($B1011="","",IFERROR(INDEX(품목마스터!$D$3:$D$302,MATCH($B1011,품목마스터!$A$3:$A$302,0)),""))</f>
        <v/>
      </c>
      <c r="E1011" s="12"/>
      <c r="F1011" s="10"/>
    </row>
    <row r="1012" customFormat="false" ht="15" hidden="false" customHeight="true" outlineLevel="0" collapsed="false">
      <c r="A1012" s="16"/>
      <c r="B1012" s="10"/>
      <c r="C1012" s="17" t="str">
        <f aca="false">IF($B1012="","",IFERROR(INDEX(품목마스터!$B$3:$B$302,MATCH($B1012,품목마스터!$A$3:$A$302,0)),"미등록품번"))</f>
        <v/>
      </c>
      <c r="D1012" s="17" t="str">
        <f aca="false">IF($B1012="","",IFERROR(INDEX(품목마스터!$D$3:$D$302,MATCH($B1012,품목마스터!$A$3:$A$302,0)),""))</f>
        <v/>
      </c>
      <c r="E1012" s="12"/>
      <c r="F1012" s="10"/>
    </row>
    <row r="1013" customFormat="false" ht="15" hidden="false" customHeight="true" outlineLevel="0" collapsed="false">
      <c r="A1013" s="16"/>
      <c r="B1013" s="10"/>
      <c r="C1013" s="17" t="str">
        <f aca="false">IF($B1013="","",IFERROR(INDEX(품목마스터!$B$3:$B$302,MATCH($B1013,품목마스터!$A$3:$A$302,0)),"미등록품번"))</f>
        <v/>
      </c>
      <c r="D1013" s="17" t="str">
        <f aca="false">IF($B1013="","",IFERROR(INDEX(품목마스터!$D$3:$D$302,MATCH($B1013,품목마스터!$A$3:$A$302,0)),""))</f>
        <v/>
      </c>
      <c r="E1013" s="12"/>
      <c r="F1013" s="10"/>
    </row>
    <row r="1014" customFormat="false" ht="15" hidden="false" customHeight="true" outlineLevel="0" collapsed="false">
      <c r="A1014" s="16"/>
      <c r="B1014" s="10"/>
      <c r="C1014" s="17" t="str">
        <f aca="false">IF($B1014="","",IFERROR(INDEX(품목마스터!$B$3:$B$302,MATCH($B1014,품목마스터!$A$3:$A$302,0)),"미등록품번"))</f>
        <v/>
      </c>
      <c r="D1014" s="17" t="str">
        <f aca="false">IF($B1014="","",IFERROR(INDEX(품목마스터!$D$3:$D$302,MATCH($B1014,품목마스터!$A$3:$A$302,0)),""))</f>
        <v/>
      </c>
      <c r="E1014" s="12"/>
      <c r="F1014" s="10"/>
    </row>
    <row r="1015" customFormat="false" ht="15" hidden="false" customHeight="true" outlineLevel="0" collapsed="false">
      <c r="A1015" s="16"/>
      <c r="B1015" s="10"/>
      <c r="C1015" s="17" t="str">
        <f aca="false">IF($B1015="","",IFERROR(INDEX(품목마스터!$B$3:$B$302,MATCH($B1015,품목마스터!$A$3:$A$302,0)),"미등록품번"))</f>
        <v/>
      </c>
      <c r="D1015" s="17" t="str">
        <f aca="false">IF($B1015="","",IFERROR(INDEX(품목마스터!$D$3:$D$302,MATCH($B1015,품목마스터!$A$3:$A$302,0)),""))</f>
        <v/>
      </c>
      <c r="E1015" s="12"/>
      <c r="F1015" s="10"/>
    </row>
    <row r="1016" customFormat="false" ht="15" hidden="false" customHeight="true" outlineLevel="0" collapsed="false">
      <c r="A1016" s="16"/>
      <c r="B1016" s="10"/>
      <c r="C1016" s="17" t="str">
        <f aca="false">IF($B1016="","",IFERROR(INDEX(품목마스터!$B$3:$B$302,MATCH($B1016,품목마스터!$A$3:$A$302,0)),"미등록품번"))</f>
        <v/>
      </c>
      <c r="D1016" s="17" t="str">
        <f aca="false">IF($B1016="","",IFERROR(INDEX(품목마스터!$D$3:$D$302,MATCH($B1016,품목마스터!$A$3:$A$302,0)),""))</f>
        <v/>
      </c>
      <c r="E1016" s="12"/>
      <c r="F1016" s="10"/>
    </row>
    <row r="1017" customFormat="false" ht="15" hidden="false" customHeight="true" outlineLevel="0" collapsed="false">
      <c r="A1017" s="16"/>
      <c r="B1017" s="10"/>
      <c r="C1017" s="17" t="str">
        <f aca="false">IF($B1017="","",IFERROR(INDEX(품목마스터!$B$3:$B$302,MATCH($B1017,품목마스터!$A$3:$A$302,0)),"미등록품번"))</f>
        <v/>
      </c>
      <c r="D1017" s="17" t="str">
        <f aca="false">IF($B1017="","",IFERROR(INDEX(품목마스터!$D$3:$D$302,MATCH($B1017,품목마스터!$A$3:$A$302,0)),""))</f>
        <v/>
      </c>
      <c r="E1017" s="12"/>
      <c r="F1017" s="10"/>
    </row>
    <row r="1018" customFormat="false" ht="15" hidden="false" customHeight="true" outlineLevel="0" collapsed="false">
      <c r="A1018" s="16"/>
      <c r="B1018" s="10"/>
      <c r="C1018" s="17" t="str">
        <f aca="false">IF($B1018="","",IFERROR(INDEX(품목마스터!$B$3:$B$302,MATCH($B1018,품목마스터!$A$3:$A$302,0)),"미등록품번"))</f>
        <v/>
      </c>
      <c r="D1018" s="17" t="str">
        <f aca="false">IF($B1018="","",IFERROR(INDEX(품목마스터!$D$3:$D$302,MATCH($B1018,품목마스터!$A$3:$A$302,0)),""))</f>
        <v/>
      </c>
      <c r="E1018" s="12"/>
      <c r="F1018" s="10"/>
    </row>
    <row r="1019" customFormat="false" ht="15" hidden="false" customHeight="true" outlineLevel="0" collapsed="false">
      <c r="A1019" s="16"/>
      <c r="B1019" s="10"/>
      <c r="C1019" s="17" t="str">
        <f aca="false">IF($B1019="","",IFERROR(INDEX(품목마스터!$B$3:$B$302,MATCH($B1019,품목마스터!$A$3:$A$302,0)),"미등록품번"))</f>
        <v/>
      </c>
      <c r="D1019" s="17" t="str">
        <f aca="false">IF($B1019="","",IFERROR(INDEX(품목마스터!$D$3:$D$302,MATCH($B1019,품목마스터!$A$3:$A$302,0)),""))</f>
        <v/>
      </c>
      <c r="E1019" s="12"/>
      <c r="F1019" s="10"/>
    </row>
    <row r="1020" customFormat="false" ht="15" hidden="false" customHeight="true" outlineLevel="0" collapsed="false">
      <c r="A1020" s="16"/>
      <c r="B1020" s="10"/>
      <c r="C1020" s="17" t="str">
        <f aca="false">IF($B1020="","",IFERROR(INDEX(품목마스터!$B$3:$B$302,MATCH($B1020,품목마스터!$A$3:$A$302,0)),"미등록품번"))</f>
        <v/>
      </c>
      <c r="D1020" s="17" t="str">
        <f aca="false">IF($B1020="","",IFERROR(INDEX(품목마스터!$D$3:$D$302,MATCH($B1020,품목마스터!$A$3:$A$302,0)),""))</f>
        <v/>
      </c>
      <c r="E1020" s="12"/>
      <c r="F1020" s="10"/>
    </row>
    <row r="1021" customFormat="false" ht="15" hidden="false" customHeight="true" outlineLevel="0" collapsed="false">
      <c r="A1021" s="16"/>
      <c r="B1021" s="10"/>
      <c r="C1021" s="17" t="str">
        <f aca="false">IF($B1021="","",IFERROR(INDEX(품목마스터!$B$3:$B$302,MATCH($B1021,품목마스터!$A$3:$A$302,0)),"미등록품번"))</f>
        <v/>
      </c>
      <c r="D1021" s="17" t="str">
        <f aca="false">IF($B1021="","",IFERROR(INDEX(품목마스터!$D$3:$D$302,MATCH($B1021,품목마스터!$A$3:$A$302,0)),""))</f>
        <v/>
      </c>
      <c r="E1021" s="12"/>
      <c r="F1021" s="10"/>
    </row>
    <row r="1022" customFormat="false" ht="15" hidden="false" customHeight="true" outlineLevel="0" collapsed="false">
      <c r="A1022" s="16"/>
      <c r="B1022" s="10"/>
      <c r="C1022" s="17" t="str">
        <f aca="false">IF($B1022="","",IFERROR(INDEX(품목마스터!$B$3:$B$302,MATCH($B1022,품목마스터!$A$3:$A$302,0)),"미등록품번"))</f>
        <v/>
      </c>
      <c r="D1022" s="17" t="str">
        <f aca="false">IF($B1022="","",IFERROR(INDEX(품목마스터!$D$3:$D$302,MATCH($B1022,품목마스터!$A$3:$A$302,0)),""))</f>
        <v/>
      </c>
      <c r="E1022" s="12"/>
      <c r="F1022" s="10"/>
    </row>
    <row r="1023" customFormat="false" ht="15" hidden="false" customHeight="true" outlineLevel="0" collapsed="false">
      <c r="A1023" s="16"/>
      <c r="B1023" s="10"/>
      <c r="C1023" s="17" t="str">
        <f aca="false">IF($B1023="","",IFERROR(INDEX(품목마스터!$B$3:$B$302,MATCH($B1023,품목마스터!$A$3:$A$302,0)),"미등록품번"))</f>
        <v/>
      </c>
      <c r="D1023" s="17" t="str">
        <f aca="false">IF($B1023="","",IFERROR(INDEX(품목마스터!$D$3:$D$302,MATCH($B1023,품목마스터!$A$3:$A$302,0)),""))</f>
        <v/>
      </c>
      <c r="E1023" s="12"/>
      <c r="F1023" s="10"/>
    </row>
    <row r="1024" customFormat="false" ht="15" hidden="false" customHeight="true" outlineLevel="0" collapsed="false">
      <c r="A1024" s="16"/>
      <c r="B1024" s="10"/>
      <c r="C1024" s="17" t="str">
        <f aca="false">IF($B1024="","",IFERROR(INDEX(품목마스터!$B$3:$B$302,MATCH($B1024,품목마스터!$A$3:$A$302,0)),"미등록품번"))</f>
        <v/>
      </c>
      <c r="D1024" s="17" t="str">
        <f aca="false">IF($B1024="","",IFERROR(INDEX(품목마스터!$D$3:$D$302,MATCH($B1024,품목마스터!$A$3:$A$302,0)),""))</f>
        <v/>
      </c>
      <c r="E1024" s="12"/>
      <c r="F1024" s="10"/>
    </row>
    <row r="1025" customFormat="false" ht="15" hidden="false" customHeight="true" outlineLevel="0" collapsed="false">
      <c r="A1025" s="16"/>
      <c r="B1025" s="10"/>
      <c r="C1025" s="17" t="str">
        <f aca="false">IF($B1025="","",IFERROR(INDEX(품목마스터!$B$3:$B$302,MATCH($B1025,품목마스터!$A$3:$A$302,0)),"미등록품번"))</f>
        <v/>
      </c>
      <c r="D1025" s="17" t="str">
        <f aca="false">IF($B1025="","",IFERROR(INDEX(품목마스터!$D$3:$D$302,MATCH($B1025,품목마스터!$A$3:$A$302,0)),""))</f>
        <v/>
      </c>
      <c r="E1025" s="12"/>
      <c r="F1025" s="10"/>
    </row>
    <row r="1026" customFormat="false" ht="15" hidden="false" customHeight="true" outlineLevel="0" collapsed="false">
      <c r="A1026" s="16"/>
      <c r="B1026" s="10"/>
      <c r="C1026" s="17" t="str">
        <f aca="false">IF($B1026="","",IFERROR(INDEX(품목마스터!$B$3:$B$302,MATCH($B1026,품목마스터!$A$3:$A$302,0)),"미등록품번"))</f>
        <v/>
      </c>
      <c r="D1026" s="17" t="str">
        <f aca="false">IF($B1026="","",IFERROR(INDEX(품목마스터!$D$3:$D$302,MATCH($B1026,품목마스터!$A$3:$A$302,0)),""))</f>
        <v/>
      </c>
      <c r="E1026" s="12"/>
      <c r="F1026" s="10"/>
    </row>
    <row r="1027" customFormat="false" ht="15" hidden="false" customHeight="true" outlineLevel="0" collapsed="false">
      <c r="A1027" s="16"/>
      <c r="B1027" s="10"/>
      <c r="C1027" s="17" t="str">
        <f aca="false">IF($B1027="","",IFERROR(INDEX(품목마스터!$B$3:$B$302,MATCH($B1027,품목마스터!$A$3:$A$302,0)),"미등록품번"))</f>
        <v/>
      </c>
      <c r="D1027" s="17" t="str">
        <f aca="false">IF($B1027="","",IFERROR(INDEX(품목마스터!$D$3:$D$302,MATCH($B1027,품목마스터!$A$3:$A$302,0)),""))</f>
        <v/>
      </c>
      <c r="E1027" s="12"/>
      <c r="F1027" s="10"/>
    </row>
    <row r="1028" customFormat="false" ht="15" hidden="false" customHeight="true" outlineLevel="0" collapsed="false">
      <c r="A1028" s="16"/>
      <c r="B1028" s="10"/>
      <c r="C1028" s="17" t="str">
        <f aca="false">IF($B1028="","",IFERROR(INDEX(품목마스터!$B$3:$B$302,MATCH($B1028,품목마스터!$A$3:$A$302,0)),"미등록품번"))</f>
        <v/>
      </c>
      <c r="D1028" s="17" t="str">
        <f aca="false">IF($B1028="","",IFERROR(INDEX(품목마스터!$D$3:$D$302,MATCH($B1028,품목마스터!$A$3:$A$302,0)),""))</f>
        <v/>
      </c>
      <c r="E1028" s="12"/>
      <c r="F1028" s="10"/>
    </row>
    <row r="1029" customFormat="false" ht="15" hidden="false" customHeight="true" outlineLevel="0" collapsed="false">
      <c r="A1029" s="16"/>
      <c r="B1029" s="10"/>
      <c r="C1029" s="17" t="str">
        <f aca="false">IF($B1029="","",IFERROR(INDEX(품목마스터!$B$3:$B$302,MATCH($B1029,품목마스터!$A$3:$A$302,0)),"미등록품번"))</f>
        <v/>
      </c>
      <c r="D1029" s="17" t="str">
        <f aca="false">IF($B1029="","",IFERROR(INDEX(품목마스터!$D$3:$D$302,MATCH($B1029,품목마스터!$A$3:$A$302,0)),""))</f>
        <v/>
      </c>
      <c r="E1029" s="12"/>
      <c r="F1029" s="10"/>
    </row>
    <row r="1030" customFormat="false" ht="15" hidden="false" customHeight="true" outlineLevel="0" collapsed="false">
      <c r="A1030" s="16"/>
      <c r="B1030" s="10"/>
      <c r="C1030" s="17" t="str">
        <f aca="false">IF($B1030="","",IFERROR(INDEX(품목마스터!$B$3:$B$302,MATCH($B1030,품목마스터!$A$3:$A$302,0)),"미등록품번"))</f>
        <v/>
      </c>
      <c r="D1030" s="17" t="str">
        <f aca="false">IF($B1030="","",IFERROR(INDEX(품목마스터!$D$3:$D$302,MATCH($B1030,품목마스터!$A$3:$A$302,0)),""))</f>
        <v/>
      </c>
      <c r="E1030" s="12"/>
      <c r="F1030" s="10"/>
    </row>
    <row r="1031" customFormat="false" ht="15" hidden="false" customHeight="true" outlineLevel="0" collapsed="false">
      <c r="A1031" s="16"/>
      <c r="B1031" s="10"/>
      <c r="C1031" s="17" t="str">
        <f aca="false">IF($B1031="","",IFERROR(INDEX(품목마스터!$B$3:$B$302,MATCH($B1031,품목마스터!$A$3:$A$302,0)),"미등록품번"))</f>
        <v/>
      </c>
      <c r="D1031" s="17" t="str">
        <f aca="false">IF($B1031="","",IFERROR(INDEX(품목마스터!$D$3:$D$302,MATCH($B1031,품목마스터!$A$3:$A$302,0)),""))</f>
        <v/>
      </c>
      <c r="E1031" s="12"/>
      <c r="F1031" s="10"/>
    </row>
    <row r="1032" customFormat="false" ht="15" hidden="false" customHeight="true" outlineLevel="0" collapsed="false">
      <c r="A1032" s="16"/>
      <c r="B1032" s="10"/>
      <c r="C1032" s="17" t="str">
        <f aca="false">IF($B1032="","",IFERROR(INDEX(품목마스터!$B$3:$B$302,MATCH($B1032,품목마스터!$A$3:$A$302,0)),"미등록품번"))</f>
        <v/>
      </c>
      <c r="D1032" s="17" t="str">
        <f aca="false">IF($B1032="","",IFERROR(INDEX(품목마스터!$D$3:$D$302,MATCH($B1032,품목마스터!$A$3:$A$302,0)),""))</f>
        <v/>
      </c>
      <c r="E1032" s="12"/>
      <c r="F1032" s="10"/>
    </row>
    <row r="1033" customFormat="false" ht="15" hidden="false" customHeight="true" outlineLevel="0" collapsed="false">
      <c r="A1033" s="16"/>
      <c r="B1033" s="10"/>
      <c r="C1033" s="17" t="str">
        <f aca="false">IF($B1033="","",IFERROR(INDEX(품목마스터!$B$3:$B$302,MATCH($B1033,품목마스터!$A$3:$A$302,0)),"미등록품번"))</f>
        <v/>
      </c>
      <c r="D1033" s="17" t="str">
        <f aca="false">IF($B1033="","",IFERROR(INDEX(품목마스터!$D$3:$D$302,MATCH($B1033,품목마스터!$A$3:$A$302,0)),""))</f>
        <v/>
      </c>
      <c r="E1033" s="12"/>
      <c r="F1033" s="10"/>
    </row>
    <row r="1034" customFormat="false" ht="15" hidden="false" customHeight="true" outlineLevel="0" collapsed="false">
      <c r="A1034" s="16"/>
      <c r="B1034" s="10"/>
      <c r="C1034" s="17" t="str">
        <f aca="false">IF($B1034="","",IFERROR(INDEX(품목마스터!$B$3:$B$302,MATCH($B1034,품목마스터!$A$3:$A$302,0)),"미등록품번"))</f>
        <v/>
      </c>
      <c r="D1034" s="17" t="str">
        <f aca="false">IF($B1034="","",IFERROR(INDEX(품목마스터!$D$3:$D$302,MATCH($B1034,품목마스터!$A$3:$A$302,0)),""))</f>
        <v/>
      </c>
      <c r="E1034" s="12"/>
      <c r="F1034" s="10"/>
    </row>
    <row r="1035" customFormat="false" ht="15" hidden="false" customHeight="true" outlineLevel="0" collapsed="false">
      <c r="A1035" s="16"/>
      <c r="B1035" s="10"/>
      <c r="C1035" s="17" t="str">
        <f aca="false">IF($B1035="","",IFERROR(INDEX(품목마스터!$B$3:$B$302,MATCH($B1035,품목마스터!$A$3:$A$302,0)),"미등록품번"))</f>
        <v/>
      </c>
      <c r="D1035" s="17" t="str">
        <f aca="false">IF($B1035="","",IFERROR(INDEX(품목마스터!$D$3:$D$302,MATCH($B1035,품목마스터!$A$3:$A$302,0)),""))</f>
        <v/>
      </c>
      <c r="E1035" s="12"/>
      <c r="F1035" s="10"/>
    </row>
    <row r="1036" customFormat="false" ht="15" hidden="false" customHeight="true" outlineLevel="0" collapsed="false">
      <c r="A1036" s="16"/>
      <c r="B1036" s="10"/>
      <c r="C1036" s="17" t="str">
        <f aca="false">IF($B1036="","",IFERROR(INDEX(품목마스터!$B$3:$B$302,MATCH($B1036,품목마스터!$A$3:$A$302,0)),"미등록품번"))</f>
        <v/>
      </c>
      <c r="D1036" s="17" t="str">
        <f aca="false">IF($B1036="","",IFERROR(INDEX(품목마스터!$D$3:$D$302,MATCH($B1036,품목마스터!$A$3:$A$302,0)),""))</f>
        <v/>
      </c>
      <c r="E1036" s="12"/>
      <c r="F1036" s="10"/>
    </row>
    <row r="1037" customFormat="false" ht="15" hidden="false" customHeight="true" outlineLevel="0" collapsed="false">
      <c r="A1037" s="16"/>
      <c r="B1037" s="10"/>
      <c r="C1037" s="17" t="str">
        <f aca="false">IF($B1037="","",IFERROR(INDEX(품목마스터!$B$3:$B$302,MATCH($B1037,품목마스터!$A$3:$A$302,0)),"미등록품번"))</f>
        <v/>
      </c>
      <c r="D1037" s="17" t="str">
        <f aca="false">IF($B1037="","",IFERROR(INDEX(품목마스터!$D$3:$D$302,MATCH($B1037,품목마스터!$A$3:$A$302,0)),""))</f>
        <v/>
      </c>
      <c r="E1037" s="12"/>
      <c r="F1037" s="10"/>
    </row>
    <row r="1038" customFormat="false" ht="15" hidden="false" customHeight="true" outlineLevel="0" collapsed="false">
      <c r="A1038" s="16"/>
      <c r="B1038" s="10"/>
      <c r="C1038" s="17" t="str">
        <f aca="false">IF($B1038="","",IFERROR(INDEX(품목마스터!$B$3:$B$302,MATCH($B1038,품목마스터!$A$3:$A$302,0)),"미등록품번"))</f>
        <v/>
      </c>
      <c r="D1038" s="17" t="str">
        <f aca="false">IF($B1038="","",IFERROR(INDEX(품목마스터!$D$3:$D$302,MATCH($B1038,품목마스터!$A$3:$A$302,0)),""))</f>
        <v/>
      </c>
      <c r="E1038" s="12"/>
      <c r="F1038" s="10"/>
    </row>
    <row r="1039" customFormat="false" ht="15" hidden="false" customHeight="true" outlineLevel="0" collapsed="false">
      <c r="A1039" s="16"/>
      <c r="B1039" s="10"/>
      <c r="C1039" s="17" t="str">
        <f aca="false">IF($B1039="","",IFERROR(INDEX(품목마스터!$B$3:$B$302,MATCH($B1039,품목마스터!$A$3:$A$302,0)),"미등록품번"))</f>
        <v/>
      </c>
      <c r="D1039" s="17" t="str">
        <f aca="false">IF($B1039="","",IFERROR(INDEX(품목마스터!$D$3:$D$302,MATCH($B1039,품목마스터!$A$3:$A$302,0)),""))</f>
        <v/>
      </c>
      <c r="E1039" s="12"/>
      <c r="F1039" s="10"/>
    </row>
    <row r="1040" customFormat="false" ht="15" hidden="false" customHeight="true" outlineLevel="0" collapsed="false">
      <c r="A1040" s="16"/>
      <c r="B1040" s="10"/>
      <c r="C1040" s="17" t="str">
        <f aca="false">IF($B1040="","",IFERROR(INDEX(품목마스터!$B$3:$B$302,MATCH($B1040,품목마스터!$A$3:$A$302,0)),"미등록품번"))</f>
        <v/>
      </c>
      <c r="D1040" s="17" t="str">
        <f aca="false">IF($B1040="","",IFERROR(INDEX(품목마스터!$D$3:$D$302,MATCH($B1040,품목마스터!$A$3:$A$302,0)),""))</f>
        <v/>
      </c>
      <c r="E1040" s="12"/>
      <c r="F1040" s="10"/>
    </row>
    <row r="1041" customFormat="false" ht="15" hidden="false" customHeight="true" outlineLevel="0" collapsed="false">
      <c r="A1041" s="16"/>
      <c r="B1041" s="10"/>
      <c r="C1041" s="17" t="str">
        <f aca="false">IF($B1041="","",IFERROR(INDEX(품목마스터!$B$3:$B$302,MATCH($B1041,품목마스터!$A$3:$A$302,0)),"미등록품번"))</f>
        <v/>
      </c>
      <c r="D1041" s="17" t="str">
        <f aca="false">IF($B1041="","",IFERROR(INDEX(품목마스터!$D$3:$D$302,MATCH($B1041,품목마스터!$A$3:$A$302,0)),""))</f>
        <v/>
      </c>
      <c r="E1041" s="12"/>
      <c r="F1041" s="10"/>
    </row>
    <row r="1042" customFormat="false" ht="15" hidden="false" customHeight="true" outlineLevel="0" collapsed="false">
      <c r="A1042" s="16"/>
      <c r="B1042" s="10"/>
      <c r="C1042" s="17" t="str">
        <f aca="false">IF($B1042="","",IFERROR(INDEX(품목마스터!$B$3:$B$302,MATCH($B1042,품목마스터!$A$3:$A$302,0)),"미등록품번"))</f>
        <v/>
      </c>
      <c r="D1042" s="17" t="str">
        <f aca="false">IF($B1042="","",IFERROR(INDEX(품목마스터!$D$3:$D$302,MATCH($B1042,품목마스터!$A$3:$A$302,0)),""))</f>
        <v/>
      </c>
      <c r="E1042" s="12"/>
      <c r="F1042" s="10"/>
    </row>
    <row r="1043" customFormat="false" ht="15" hidden="false" customHeight="true" outlineLevel="0" collapsed="false">
      <c r="A1043" s="16"/>
      <c r="B1043" s="10"/>
      <c r="C1043" s="17" t="str">
        <f aca="false">IF($B1043="","",IFERROR(INDEX(품목마스터!$B$3:$B$302,MATCH($B1043,품목마스터!$A$3:$A$302,0)),"미등록품번"))</f>
        <v/>
      </c>
      <c r="D1043" s="17" t="str">
        <f aca="false">IF($B1043="","",IFERROR(INDEX(품목마스터!$D$3:$D$302,MATCH($B1043,품목마스터!$A$3:$A$302,0)),""))</f>
        <v/>
      </c>
      <c r="E1043" s="12"/>
      <c r="F1043" s="10"/>
    </row>
    <row r="1044" customFormat="false" ht="15" hidden="false" customHeight="true" outlineLevel="0" collapsed="false">
      <c r="A1044" s="16"/>
      <c r="B1044" s="10"/>
      <c r="C1044" s="17" t="str">
        <f aca="false">IF($B1044="","",IFERROR(INDEX(품목마스터!$B$3:$B$302,MATCH($B1044,품목마스터!$A$3:$A$302,0)),"미등록품번"))</f>
        <v/>
      </c>
      <c r="D1044" s="17" t="str">
        <f aca="false">IF($B1044="","",IFERROR(INDEX(품목마스터!$D$3:$D$302,MATCH($B1044,품목마스터!$A$3:$A$302,0)),""))</f>
        <v/>
      </c>
      <c r="E1044" s="12"/>
      <c r="F1044" s="10"/>
    </row>
    <row r="1045" customFormat="false" ht="15" hidden="false" customHeight="true" outlineLevel="0" collapsed="false">
      <c r="A1045" s="16"/>
      <c r="B1045" s="10"/>
      <c r="C1045" s="17" t="str">
        <f aca="false">IF($B1045="","",IFERROR(INDEX(품목마스터!$B$3:$B$302,MATCH($B1045,품목마스터!$A$3:$A$302,0)),"미등록품번"))</f>
        <v/>
      </c>
      <c r="D1045" s="17" t="str">
        <f aca="false">IF($B1045="","",IFERROR(INDEX(품목마스터!$D$3:$D$302,MATCH($B1045,품목마스터!$A$3:$A$302,0)),""))</f>
        <v/>
      </c>
      <c r="E1045" s="12"/>
      <c r="F1045" s="10"/>
    </row>
    <row r="1046" customFormat="false" ht="15" hidden="false" customHeight="true" outlineLevel="0" collapsed="false">
      <c r="A1046" s="16"/>
      <c r="B1046" s="10"/>
      <c r="C1046" s="17" t="str">
        <f aca="false">IF($B1046="","",IFERROR(INDEX(품목마스터!$B$3:$B$302,MATCH($B1046,품목마스터!$A$3:$A$302,0)),"미등록품번"))</f>
        <v/>
      </c>
      <c r="D1046" s="17" t="str">
        <f aca="false">IF($B1046="","",IFERROR(INDEX(품목마스터!$D$3:$D$302,MATCH($B1046,품목마스터!$A$3:$A$302,0)),""))</f>
        <v/>
      </c>
      <c r="E1046" s="12"/>
      <c r="F1046" s="10"/>
    </row>
    <row r="1047" customFormat="false" ht="15" hidden="false" customHeight="true" outlineLevel="0" collapsed="false">
      <c r="A1047" s="16"/>
      <c r="B1047" s="10"/>
      <c r="C1047" s="17" t="str">
        <f aca="false">IF($B1047="","",IFERROR(INDEX(품목마스터!$B$3:$B$302,MATCH($B1047,품목마스터!$A$3:$A$302,0)),"미등록품번"))</f>
        <v/>
      </c>
      <c r="D1047" s="17" t="str">
        <f aca="false">IF($B1047="","",IFERROR(INDEX(품목마스터!$D$3:$D$302,MATCH($B1047,품목마스터!$A$3:$A$302,0)),""))</f>
        <v/>
      </c>
      <c r="E1047" s="12"/>
      <c r="F1047" s="10"/>
    </row>
    <row r="1048" customFormat="false" ht="15" hidden="false" customHeight="true" outlineLevel="0" collapsed="false">
      <c r="A1048" s="16"/>
      <c r="B1048" s="10"/>
      <c r="C1048" s="17" t="str">
        <f aca="false">IF($B1048="","",IFERROR(INDEX(품목마스터!$B$3:$B$302,MATCH($B1048,품목마스터!$A$3:$A$302,0)),"미등록품번"))</f>
        <v/>
      </c>
      <c r="D1048" s="17" t="str">
        <f aca="false">IF($B1048="","",IFERROR(INDEX(품목마스터!$D$3:$D$302,MATCH($B1048,품목마스터!$A$3:$A$302,0)),""))</f>
        <v/>
      </c>
      <c r="E1048" s="12"/>
      <c r="F1048" s="10"/>
    </row>
    <row r="1049" customFormat="false" ht="15" hidden="false" customHeight="true" outlineLevel="0" collapsed="false">
      <c r="A1049" s="16"/>
      <c r="B1049" s="10"/>
      <c r="C1049" s="17" t="str">
        <f aca="false">IF($B1049="","",IFERROR(INDEX(품목마스터!$B$3:$B$302,MATCH($B1049,품목마스터!$A$3:$A$302,0)),"미등록품번"))</f>
        <v/>
      </c>
      <c r="D1049" s="17" t="str">
        <f aca="false">IF($B1049="","",IFERROR(INDEX(품목마스터!$D$3:$D$302,MATCH($B1049,품목마스터!$A$3:$A$302,0)),""))</f>
        <v/>
      </c>
      <c r="E1049" s="12"/>
      <c r="F1049" s="10"/>
    </row>
    <row r="1050" customFormat="false" ht="15" hidden="false" customHeight="true" outlineLevel="0" collapsed="false">
      <c r="A1050" s="16"/>
      <c r="B1050" s="10"/>
      <c r="C1050" s="17" t="str">
        <f aca="false">IF($B1050="","",IFERROR(INDEX(품목마스터!$B$3:$B$302,MATCH($B1050,품목마스터!$A$3:$A$302,0)),"미등록품번"))</f>
        <v/>
      </c>
      <c r="D1050" s="17" t="str">
        <f aca="false">IF($B1050="","",IFERROR(INDEX(품목마스터!$D$3:$D$302,MATCH($B1050,품목마스터!$A$3:$A$302,0)),""))</f>
        <v/>
      </c>
      <c r="E1050" s="12"/>
      <c r="F1050" s="10"/>
    </row>
    <row r="1051" customFormat="false" ht="15" hidden="false" customHeight="true" outlineLevel="0" collapsed="false">
      <c r="A1051" s="16"/>
      <c r="B1051" s="10"/>
      <c r="C1051" s="17" t="str">
        <f aca="false">IF($B1051="","",IFERROR(INDEX(품목마스터!$B$3:$B$302,MATCH($B1051,품목마스터!$A$3:$A$302,0)),"미등록품번"))</f>
        <v/>
      </c>
      <c r="D1051" s="17" t="str">
        <f aca="false">IF($B1051="","",IFERROR(INDEX(품목마스터!$D$3:$D$302,MATCH($B1051,품목마스터!$A$3:$A$302,0)),""))</f>
        <v/>
      </c>
      <c r="E1051" s="12"/>
      <c r="F1051" s="10"/>
    </row>
    <row r="1052" customFormat="false" ht="15" hidden="false" customHeight="true" outlineLevel="0" collapsed="false">
      <c r="A1052" s="16"/>
      <c r="B1052" s="10"/>
      <c r="C1052" s="17" t="str">
        <f aca="false">IF($B1052="","",IFERROR(INDEX(품목마스터!$B$3:$B$302,MATCH($B1052,품목마스터!$A$3:$A$302,0)),"미등록품번"))</f>
        <v/>
      </c>
      <c r="D1052" s="17" t="str">
        <f aca="false">IF($B1052="","",IFERROR(INDEX(품목마스터!$D$3:$D$302,MATCH($B1052,품목마스터!$A$3:$A$302,0)),""))</f>
        <v/>
      </c>
      <c r="E1052" s="12"/>
      <c r="F1052" s="10"/>
    </row>
    <row r="1053" customFormat="false" ht="15" hidden="false" customHeight="true" outlineLevel="0" collapsed="false">
      <c r="A1053" s="16"/>
      <c r="B1053" s="10"/>
      <c r="C1053" s="17" t="str">
        <f aca="false">IF($B1053="","",IFERROR(INDEX(품목마스터!$B$3:$B$302,MATCH($B1053,품목마스터!$A$3:$A$302,0)),"미등록품번"))</f>
        <v/>
      </c>
      <c r="D1053" s="17" t="str">
        <f aca="false">IF($B1053="","",IFERROR(INDEX(품목마스터!$D$3:$D$302,MATCH($B1053,품목마스터!$A$3:$A$302,0)),""))</f>
        <v/>
      </c>
      <c r="E1053" s="12"/>
      <c r="F1053" s="10"/>
    </row>
    <row r="1054" customFormat="false" ht="15" hidden="false" customHeight="true" outlineLevel="0" collapsed="false">
      <c r="A1054" s="16"/>
      <c r="B1054" s="10"/>
      <c r="C1054" s="17" t="str">
        <f aca="false">IF($B1054="","",IFERROR(INDEX(품목마스터!$B$3:$B$302,MATCH($B1054,품목마스터!$A$3:$A$302,0)),"미등록품번"))</f>
        <v/>
      </c>
      <c r="D1054" s="17" t="str">
        <f aca="false">IF($B1054="","",IFERROR(INDEX(품목마스터!$D$3:$D$302,MATCH($B1054,품목마스터!$A$3:$A$302,0)),""))</f>
        <v/>
      </c>
      <c r="E1054" s="12"/>
      <c r="F1054" s="10"/>
    </row>
    <row r="1055" customFormat="false" ht="15" hidden="false" customHeight="true" outlineLevel="0" collapsed="false">
      <c r="A1055" s="16"/>
      <c r="B1055" s="10"/>
      <c r="C1055" s="17" t="str">
        <f aca="false">IF($B1055="","",IFERROR(INDEX(품목마스터!$B$3:$B$302,MATCH($B1055,품목마스터!$A$3:$A$302,0)),"미등록품번"))</f>
        <v/>
      </c>
      <c r="D1055" s="17" t="str">
        <f aca="false">IF($B1055="","",IFERROR(INDEX(품목마스터!$D$3:$D$302,MATCH($B1055,품목마스터!$A$3:$A$302,0)),""))</f>
        <v/>
      </c>
      <c r="E1055" s="12"/>
      <c r="F1055" s="10"/>
    </row>
    <row r="1056" customFormat="false" ht="15" hidden="false" customHeight="true" outlineLevel="0" collapsed="false">
      <c r="A1056" s="16"/>
      <c r="B1056" s="10"/>
      <c r="C1056" s="17" t="str">
        <f aca="false">IF($B1056="","",IFERROR(INDEX(품목마스터!$B$3:$B$302,MATCH($B1056,품목마스터!$A$3:$A$302,0)),"미등록품번"))</f>
        <v/>
      </c>
      <c r="D1056" s="17" t="str">
        <f aca="false">IF($B1056="","",IFERROR(INDEX(품목마스터!$D$3:$D$302,MATCH($B1056,품목마스터!$A$3:$A$302,0)),""))</f>
        <v/>
      </c>
      <c r="E1056" s="12"/>
      <c r="F1056" s="10"/>
    </row>
    <row r="1057" customFormat="false" ht="15" hidden="false" customHeight="true" outlineLevel="0" collapsed="false">
      <c r="A1057" s="16"/>
      <c r="B1057" s="10"/>
      <c r="C1057" s="17" t="str">
        <f aca="false">IF($B1057="","",IFERROR(INDEX(품목마스터!$B$3:$B$302,MATCH($B1057,품목마스터!$A$3:$A$302,0)),"미등록품번"))</f>
        <v/>
      </c>
      <c r="D1057" s="17" t="str">
        <f aca="false">IF($B1057="","",IFERROR(INDEX(품목마스터!$D$3:$D$302,MATCH($B1057,품목마스터!$A$3:$A$302,0)),""))</f>
        <v/>
      </c>
      <c r="E1057" s="12"/>
      <c r="F1057" s="10"/>
    </row>
    <row r="1058" customFormat="false" ht="15" hidden="false" customHeight="true" outlineLevel="0" collapsed="false">
      <c r="A1058" s="16"/>
      <c r="B1058" s="10"/>
      <c r="C1058" s="17" t="str">
        <f aca="false">IF($B1058="","",IFERROR(INDEX(품목마스터!$B$3:$B$302,MATCH($B1058,품목마스터!$A$3:$A$302,0)),"미등록품번"))</f>
        <v/>
      </c>
      <c r="D1058" s="17" t="str">
        <f aca="false">IF($B1058="","",IFERROR(INDEX(품목마스터!$D$3:$D$302,MATCH($B1058,품목마스터!$A$3:$A$302,0)),""))</f>
        <v/>
      </c>
      <c r="E1058" s="12"/>
      <c r="F1058" s="10"/>
    </row>
    <row r="1059" customFormat="false" ht="15" hidden="false" customHeight="true" outlineLevel="0" collapsed="false">
      <c r="A1059" s="16"/>
      <c r="B1059" s="10"/>
      <c r="C1059" s="17" t="str">
        <f aca="false">IF($B1059="","",IFERROR(INDEX(품목마스터!$B$3:$B$302,MATCH($B1059,품목마스터!$A$3:$A$302,0)),"미등록품번"))</f>
        <v/>
      </c>
      <c r="D1059" s="17" t="str">
        <f aca="false">IF($B1059="","",IFERROR(INDEX(품목마스터!$D$3:$D$302,MATCH($B1059,품목마스터!$A$3:$A$302,0)),""))</f>
        <v/>
      </c>
      <c r="E1059" s="12"/>
      <c r="F1059" s="10"/>
    </row>
    <row r="1060" customFormat="false" ht="15" hidden="false" customHeight="true" outlineLevel="0" collapsed="false">
      <c r="A1060" s="16"/>
      <c r="B1060" s="10"/>
      <c r="C1060" s="17" t="str">
        <f aca="false">IF($B1060="","",IFERROR(INDEX(품목마스터!$B$3:$B$302,MATCH($B1060,품목마스터!$A$3:$A$302,0)),"미등록품번"))</f>
        <v/>
      </c>
      <c r="D1060" s="17" t="str">
        <f aca="false">IF($B1060="","",IFERROR(INDEX(품목마스터!$D$3:$D$302,MATCH($B1060,품목마스터!$A$3:$A$302,0)),""))</f>
        <v/>
      </c>
      <c r="E1060" s="12"/>
      <c r="F1060" s="10"/>
    </row>
    <row r="1061" customFormat="false" ht="15" hidden="false" customHeight="true" outlineLevel="0" collapsed="false">
      <c r="A1061" s="16"/>
      <c r="B1061" s="10"/>
      <c r="C1061" s="17" t="str">
        <f aca="false">IF($B1061="","",IFERROR(INDEX(품목마스터!$B$3:$B$302,MATCH($B1061,품목마스터!$A$3:$A$302,0)),"미등록품번"))</f>
        <v/>
      </c>
      <c r="D1061" s="17" t="str">
        <f aca="false">IF($B1061="","",IFERROR(INDEX(품목마스터!$D$3:$D$302,MATCH($B1061,품목마스터!$A$3:$A$302,0)),""))</f>
        <v/>
      </c>
      <c r="E1061" s="12"/>
      <c r="F1061" s="10"/>
    </row>
    <row r="1062" customFormat="false" ht="15" hidden="false" customHeight="true" outlineLevel="0" collapsed="false">
      <c r="A1062" s="16"/>
      <c r="B1062" s="10"/>
      <c r="C1062" s="17" t="str">
        <f aca="false">IF($B1062="","",IFERROR(INDEX(품목마스터!$B$3:$B$302,MATCH($B1062,품목마스터!$A$3:$A$302,0)),"미등록품번"))</f>
        <v/>
      </c>
      <c r="D1062" s="17" t="str">
        <f aca="false">IF($B1062="","",IFERROR(INDEX(품목마스터!$D$3:$D$302,MATCH($B1062,품목마스터!$A$3:$A$302,0)),""))</f>
        <v/>
      </c>
      <c r="E1062" s="12"/>
      <c r="F1062" s="10"/>
    </row>
    <row r="1063" customFormat="false" ht="15" hidden="false" customHeight="true" outlineLevel="0" collapsed="false">
      <c r="A1063" s="16"/>
      <c r="B1063" s="10"/>
      <c r="C1063" s="17" t="str">
        <f aca="false">IF($B1063="","",IFERROR(INDEX(품목마스터!$B$3:$B$302,MATCH($B1063,품목마스터!$A$3:$A$302,0)),"미등록품번"))</f>
        <v/>
      </c>
      <c r="D1063" s="17" t="str">
        <f aca="false">IF($B1063="","",IFERROR(INDEX(품목마스터!$D$3:$D$302,MATCH($B1063,품목마스터!$A$3:$A$302,0)),""))</f>
        <v/>
      </c>
      <c r="E1063" s="12"/>
      <c r="F1063" s="10"/>
    </row>
    <row r="1064" customFormat="false" ht="15" hidden="false" customHeight="true" outlineLevel="0" collapsed="false">
      <c r="A1064" s="16"/>
      <c r="B1064" s="10"/>
      <c r="C1064" s="17" t="str">
        <f aca="false">IF($B1064="","",IFERROR(INDEX(품목마스터!$B$3:$B$302,MATCH($B1064,품목마스터!$A$3:$A$302,0)),"미등록품번"))</f>
        <v/>
      </c>
      <c r="D1064" s="17" t="str">
        <f aca="false">IF($B1064="","",IFERROR(INDEX(품목마스터!$D$3:$D$302,MATCH($B1064,품목마스터!$A$3:$A$302,0)),""))</f>
        <v/>
      </c>
      <c r="E1064" s="12"/>
      <c r="F1064" s="10"/>
    </row>
    <row r="1065" customFormat="false" ht="15" hidden="false" customHeight="true" outlineLevel="0" collapsed="false">
      <c r="A1065" s="16"/>
      <c r="B1065" s="10"/>
      <c r="C1065" s="17" t="str">
        <f aca="false">IF($B1065="","",IFERROR(INDEX(품목마스터!$B$3:$B$302,MATCH($B1065,품목마스터!$A$3:$A$302,0)),"미등록품번"))</f>
        <v/>
      </c>
      <c r="D1065" s="17" t="str">
        <f aca="false">IF($B1065="","",IFERROR(INDEX(품목마스터!$D$3:$D$302,MATCH($B1065,품목마스터!$A$3:$A$302,0)),""))</f>
        <v/>
      </c>
      <c r="E1065" s="12"/>
      <c r="F1065" s="10"/>
    </row>
    <row r="1066" customFormat="false" ht="15" hidden="false" customHeight="true" outlineLevel="0" collapsed="false">
      <c r="A1066" s="16"/>
      <c r="B1066" s="10"/>
      <c r="C1066" s="17" t="str">
        <f aca="false">IF($B1066="","",IFERROR(INDEX(품목마스터!$B$3:$B$302,MATCH($B1066,품목마스터!$A$3:$A$302,0)),"미등록품번"))</f>
        <v/>
      </c>
      <c r="D1066" s="17" t="str">
        <f aca="false">IF($B1066="","",IFERROR(INDEX(품목마스터!$D$3:$D$302,MATCH($B1066,품목마스터!$A$3:$A$302,0)),""))</f>
        <v/>
      </c>
      <c r="E1066" s="12"/>
      <c r="F1066" s="10"/>
    </row>
    <row r="1067" customFormat="false" ht="15" hidden="false" customHeight="true" outlineLevel="0" collapsed="false">
      <c r="A1067" s="16"/>
      <c r="B1067" s="10"/>
      <c r="C1067" s="17" t="str">
        <f aca="false">IF($B1067="","",IFERROR(INDEX(품목마스터!$B$3:$B$302,MATCH($B1067,품목마스터!$A$3:$A$302,0)),"미등록품번"))</f>
        <v/>
      </c>
      <c r="D1067" s="17" t="str">
        <f aca="false">IF($B1067="","",IFERROR(INDEX(품목마스터!$D$3:$D$302,MATCH($B1067,품목마스터!$A$3:$A$302,0)),""))</f>
        <v/>
      </c>
      <c r="E1067" s="12"/>
      <c r="F1067" s="10"/>
    </row>
    <row r="1068" customFormat="false" ht="15" hidden="false" customHeight="true" outlineLevel="0" collapsed="false">
      <c r="A1068" s="16"/>
      <c r="B1068" s="10"/>
      <c r="C1068" s="17" t="str">
        <f aca="false">IF($B1068="","",IFERROR(INDEX(품목마스터!$B$3:$B$302,MATCH($B1068,품목마스터!$A$3:$A$302,0)),"미등록품번"))</f>
        <v/>
      </c>
      <c r="D1068" s="17" t="str">
        <f aca="false">IF($B1068="","",IFERROR(INDEX(품목마스터!$D$3:$D$302,MATCH($B1068,품목마스터!$A$3:$A$302,0)),""))</f>
        <v/>
      </c>
      <c r="E1068" s="12"/>
      <c r="F1068" s="10"/>
    </row>
    <row r="1069" customFormat="false" ht="15" hidden="false" customHeight="true" outlineLevel="0" collapsed="false">
      <c r="A1069" s="16"/>
      <c r="B1069" s="10"/>
      <c r="C1069" s="17" t="str">
        <f aca="false">IF($B1069="","",IFERROR(INDEX(품목마스터!$B$3:$B$302,MATCH($B1069,품목마스터!$A$3:$A$302,0)),"미등록품번"))</f>
        <v/>
      </c>
      <c r="D1069" s="17" t="str">
        <f aca="false">IF($B1069="","",IFERROR(INDEX(품목마스터!$D$3:$D$302,MATCH($B1069,품목마스터!$A$3:$A$302,0)),""))</f>
        <v/>
      </c>
      <c r="E1069" s="12"/>
      <c r="F1069" s="10"/>
    </row>
    <row r="1070" customFormat="false" ht="15" hidden="false" customHeight="true" outlineLevel="0" collapsed="false">
      <c r="A1070" s="16"/>
      <c r="B1070" s="10"/>
      <c r="C1070" s="17" t="str">
        <f aca="false">IF($B1070="","",IFERROR(INDEX(품목마스터!$B$3:$B$302,MATCH($B1070,품목마스터!$A$3:$A$302,0)),"미등록품번"))</f>
        <v/>
      </c>
      <c r="D1070" s="17" t="str">
        <f aca="false">IF($B1070="","",IFERROR(INDEX(품목마스터!$D$3:$D$302,MATCH($B1070,품목마스터!$A$3:$A$302,0)),""))</f>
        <v/>
      </c>
      <c r="E1070" s="12"/>
      <c r="F1070" s="10"/>
    </row>
    <row r="1071" customFormat="false" ht="15" hidden="false" customHeight="true" outlineLevel="0" collapsed="false">
      <c r="A1071" s="16"/>
      <c r="B1071" s="10"/>
      <c r="C1071" s="17" t="str">
        <f aca="false">IF($B1071="","",IFERROR(INDEX(품목마스터!$B$3:$B$302,MATCH($B1071,품목마스터!$A$3:$A$302,0)),"미등록품번"))</f>
        <v/>
      </c>
      <c r="D1071" s="17" t="str">
        <f aca="false">IF($B1071="","",IFERROR(INDEX(품목마스터!$D$3:$D$302,MATCH($B1071,품목마스터!$A$3:$A$302,0)),""))</f>
        <v/>
      </c>
      <c r="E1071" s="12"/>
      <c r="F1071" s="10"/>
    </row>
    <row r="1072" customFormat="false" ht="15" hidden="false" customHeight="true" outlineLevel="0" collapsed="false">
      <c r="A1072" s="16"/>
      <c r="B1072" s="10"/>
      <c r="C1072" s="17" t="str">
        <f aca="false">IF($B1072="","",IFERROR(INDEX(품목마스터!$B$3:$B$302,MATCH($B1072,품목마스터!$A$3:$A$302,0)),"미등록품번"))</f>
        <v/>
      </c>
      <c r="D1072" s="17" t="str">
        <f aca="false">IF($B1072="","",IFERROR(INDEX(품목마스터!$D$3:$D$302,MATCH($B1072,품목마스터!$A$3:$A$302,0)),""))</f>
        <v/>
      </c>
      <c r="E1072" s="12"/>
      <c r="F1072" s="10"/>
    </row>
    <row r="1073" customFormat="false" ht="15" hidden="false" customHeight="true" outlineLevel="0" collapsed="false">
      <c r="A1073" s="16"/>
      <c r="B1073" s="10"/>
      <c r="C1073" s="17" t="str">
        <f aca="false">IF($B1073="","",IFERROR(INDEX(품목마스터!$B$3:$B$302,MATCH($B1073,품목마스터!$A$3:$A$302,0)),"미등록품번"))</f>
        <v/>
      </c>
      <c r="D1073" s="17" t="str">
        <f aca="false">IF($B1073="","",IFERROR(INDEX(품목마스터!$D$3:$D$302,MATCH($B1073,품목마스터!$A$3:$A$302,0)),""))</f>
        <v/>
      </c>
      <c r="E1073" s="12"/>
      <c r="F1073" s="10"/>
    </row>
    <row r="1074" customFormat="false" ht="15" hidden="false" customHeight="true" outlineLevel="0" collapsed="false">
      <c r="A1074" s="16"/>
      <c r="B1074" s="10"/>
      <c r="C1074" s="17" t="str">
        <f aca="false">IF($B1074="","",IFERROR(INDEX(품목마스터!$B$3:$B$302,MATCH($B1074,품목마스터!$A$3:$A$302,0)),"미등록품번"))</f>
        <v/>
      </c>
      <c r="D1074" s="17" t="str">
        <f aca="false">IF($B1074="","",IFERROR(INDEX(품목마스터!$D$3:$D$302,MATCH($B1074,품목마스터!$A$3:$A$302,0)),""))</f>
        <v/>
      </c>
      <c r="E1074" s="12"/>
      <c r="F1074" s="10"/>
    </row>
    <row r="1075" customFormat="false" ht="15" hidden="false" customHeight="true" outlineLevel="0" collapsed="false">
      <c r="A1075" s="16"/>
      <c r="B1075" s="10"/>
      <c r="C1075" s="17" t="str">
        <f aca="false">IF($B1075="","",IFERROR(INDEX(품목마스터!$B$3:$B$302,MATCH($B1075,품목마스터!$A$3:$A$302,0)),"미등록품번"))</f>
        <v/>
      </c>
      <c r="D1075" s="17" t="str">
        <f aca="false">IF($B1075="","",IFERROR(INDEX(품목마스터!$D$3:$D$302,MATCH($B1075,품목마스터!$A$3:$A$302,0)),""))</f>
        <v/>
      </c>
      <c r="E1075" s="12"/>
      <c r="F1075" s="10"/>
    </row>
    <row r="1076" customFormat="false" ht="15" hidden="false" customHeight="true" outlineLevel="0" collapsed="false">
      <c r="A1076" s="16"/>
      <c r="B1076" s="10"/>
      <c r="C1076" s="17" t="str">
        <f aca="false">IF($B1076="","",IFERROR(INDEX(품목마스터!$B$3:$B$302,MATCH($B1076,품목마스터!$A$3:$A$302,0)),"미등록품번"))</f>
        <v/>
      </c>
      <c r="D1076" s="17" t="str">
        <f aca="false">IF($B1076="","",IFERROR(INDEX(품목마스터!$D$3:$D$302,MATCH($B1076,품목마스터!$A$3:$A$302,0)),""))</f>
        <v/>
      </c>
      <c r="E1076" s="12"/>
      <c r="F1076" s="10"/>
    </row>
    <row r="1077" customFormat="false" ht="15" hidden="false" customHeight="true" outlineLevel="0" collapsed="false">
      <c r="A1077" s="16"/>
      <c r="B1077" s="10"/>
      <c r="C1077" s="17" t="str">
        <f aca="false">IF($B1077="","",IFERROR(INDEX(품목마스터!$B$3:$B$302,MATCH($B1077,품목마스터!$A$3:$A$302,0)),"미등록품번"))</f>
        <v/>
      </c>
      <c r="D1077" s="17" t="str">
        <f aca="false">IF($B1077="","",IFERROR(INDEX(품목마스터!$D$3:$D$302,MATCH($B1077,품목마스터!$A$3:$A$302,0)),""))</f>
        <v/>
      </c>
      <c r="E1077" s="12"/>
      <c r="F1077" s="10"/>
    </row>
    <row r="1078" customFormat="false" ht="15" hidden="false" customHeight="true" outlineLevel="0" collapsed="false">
      <c r="A1078" s="16"/>
      <c r="B1078" s="10"/>
      <c r="C1078" s="17" t="str">
        <f aca="false">IF($B1078="","",IFERROR(INDEX(품목마스터!$B$3:$B$302,MATCH($B1078,품목마스터!$A$3:$A$302,0)),"미등록품번"))</f>
        <v/>
      </c>
      <c r="D1078" s="17" t="str">
        <f aca="false">IF($B1078="","",IFERROR(INDEX(품목마스터!$D$3:$D$302,MATCH($B1078,품목마스터!$A$3:$A$302,0)),""))</f>
        <v/>
      </c>
      <c r="E1078" s="12"/>
      <c r="F1078" s="10"/>
    </row>
    <row r="1079" customFormat="false" ht="15" hidden="false" customHeight="true" outlineLevel="0" collapsed="false">
      <c r="A1079" s="16"/>
      <c r="B1079" s="10"/>
      <c r="C1079" s="17" t="str">
        <f aca="false">IF($B1079="","",IFERROR(INDEX(품목마스터!$B$3:$B$302,MATCH($B1079,품목마스터!$A$3:$A$302,0)),"미등록품번"))</f>
        <v/>
      </c>
      <c r="D1079" s="17" t="str">
        <f aca="false">IF($B1079="","",IFERROR(INDEX(품목마스터!$D$3:$D$302,MATCH($B1079,품목마스터!$A$3:$A$302,0)),""))</f>
        <v/>
      </c>
      <c r="E1079" s="12"/>
      <c r="F1079" s="10"/>
    </row>
    <row r="1080" customFormat="false" ht="15" hidden="false" customHeight="true" outlineLevel="0" collapsed="false">
      <c r="A1080" s="16"/>
      <c r="B1080" s="10"/>
      <c r="C1080" s="17" t="str">
        <f aca="false">IF($B1080="","",IFERROR(INDEX(품목마스터!$B$3:$B$302,MATCH($B1080,품목마스터!$A$3:$A$302,0)),"미등록품번"))</f>
        <v/>
      </c>
      <c r="D1080" s="17" t="str">
        <f aca="false">IF($B1080="","",IFERROR(INDEX(품목마스터!$D$3:$D$302,MATCH($B1080,품목마스터!$A$3:$A$302,0)),""))</f>
        <v/>
      </c>
      <c r="E1080" s="12"/>
      <c r="F1080" s="10"/>
    </row>
    <row r="1081" customFormat="false" ht="15" hidden="false" customHeight="true" outlineLevel="0" collapsed="false">
      <c r="A1081" s="16"/>
      <c r="B1081" s="10"/>
      <c r="C1081" s="17" t="str">
        <f aca="false">IF($B1081="","",IFERROR(INDEX(품목마스터!$B$3:$B$302,MATCH($B1081,품목마스터!$A$3:$A$302,0)),"미등록품번"))</f>
        <v/>
      </c>
      <c r="D1081" s="17" t="str">
        <f aca="false">IF($B1081="","",IFERROR(INDEX(품목마스터!$D$3:$D$302,MATCH($B1081,품목마스터!$A$3:$A$302,0)),""))</f>
        <v/>
      </c>
      <c r="E1081" s="12"/>
      <c r="F1081" s="10"/>
    </row>
    <row r="1082" customFormat="false" ht="15" hidden="false" customHeight="true" outlineLevel="0" collapsed="false">
      <c r="A1082" s="16"/>
      <c r="B1082" s="10"/>
      <c r="C1082" s="17" t="str">
        <f aca="false">IF($B1082="","",IFERROR(INDEX(품목마스터!$B$3:$B$302,MATCH($B1082,품목마스터!$A$3:$A$302,0)),"미등록품번"))</f>
        <v/>
      </c>
      <c r="D1082" s="17" t="str">
        <f aca="false">IF($B1082="","",IFERROR(INDEX(품목마스터!$D$3:$D$302,MATCH($B1082,품목마스터!$A$3:$A$302,0)),""))</f>
        <v/>
      </c>
      <c r="E1082" s="12"/>
      <c r="F1082" s="10"/>
    </row>
    <row r="1083" customFormat="false" ht="15" hidden="false" customHeight="true" outlineLevel="0" collapsed="false">
      <c r="A1083" s="16"/>
      <c r="B1083" s="10"/>
      <c r="C1083" s="17" t="str">
        <f aca="false">IF($B1083="","",IFERROR(INDEX(품목마스터!$B$3:$B$302,MATCH($B1083,품목마스터!$A$3:$A$302,0)),"미등록품번"))</f>
        <v/>
      </c>
      <c r="D1083" s="17" t="str">
        <f aca="false">IF($B1083="","",IFERROR(INDEX(품목마스터!$D$3:$D$302,MATCH($B1083,품목마스터!$A$3:$A$302,0)),""))</f>
        <v/>
      </c>
      <c r="E1083" s="12"/>
      <c r="F1083" s="10"/>
    </row>
    <row r="1084" customFormat="false" ht="15" hidden="false" customHeight="true" outlineLevel="0" collapsed="false">
      <c r="A1084" s="16"/>
      <c r="B1084" s="10"/>
      <c r="C1084" s="17" t="str">
        <f aca="false">IF($B1084="","",IFERROR(INDEX(품목마스터!$B$3:$B$302,MATCH($B1084,품목마스터!$A$3:$A$302,0)),"미등록품번"))</f>
        <v/>
      </c>
      <c r="D1084" s="17" t="str">
        <f aca="false">IF($B1084="","",IFERROR(INDEX(품목마스터!$D$3:$D$302,MATCH($B1084,품목마스터!$A$3:$A$302,0)),""))</f>
        <v/>
      </c>
      <c r="E1084" s="12"/>
      <c r="F1084" s="10"/>
    </row>
    <row r="1085" customFormat="false" ht="15" hidden="false" customHeight="true" outlineLevel="0" collapsed="false">
      <c r="A1085" s="16"/>
      <c r="B1085" s="10"/>
      <c r="C1085" s="17" t="str">
        <f aca="false">IF($B1085="","",IFERROR(INDEX(품목마스터!$B$3:$B$302,MATCH($B1085,품목마스터!$A$3:$A$302,0)),"미등록품번"))</f>
        <v/>
      </c>
      <c r="D1085" s="17" t="str">
        <f aca="false">IF($B1085="","",IFERROR(INDEX(품목마스터!$D$3:$D$302,MATCH($B1085,품목마스터!$A$3:$A$302,0)),""))</f>
        <v/>
      </c>
      <c r="E1085" s="12"/>
      <c r="F1085" s="10"/>
    </row>
    <row r="1086" customFormat="false" ht="15" hidden="false" customHeight="true" outlineLevel="0" collapsed="false">
      <c r="A1086" s="16"/>
      <c r="B1086" s="10"/>
      <c r="C1086" s="17" t="str">
        <f aca="false">IF($B1086="","",IFERROR(INDEX(품목마스터!$B$3:$B$302,MATCH($B1086,품목마스터!$A$3:$A$302,0)),"미등록품번"))</f>
        <v/>
      </c>
      <c r="D1086" s="17" t="str">
        <f aca="false">IF($B1086="","",IFERROR(INDEX(품목마스터!$D$3:$D$302,MATCH($B1086,품목마스터!$A$3:$A$302,0)),""))</f>
        <v/>
      </c>
      <c r="E1086" s="12"/>
      <c r="F1086" s="10"/>
    </row>
    <row r="1087" customFormat="false" ht="15" hidden="false" customHeight="true" outlineLevel="0" collapsed="false">
      <c r="A1087" s="16"/>
      <c r="B1087" s="10"/>
      <c r="C1087" s="17" t="str">
        <f aca="false">IF($B1087="","",IFERROR(INDEX(품목마스터!$B$3:$B$302,MATCH($B1087,품목마스터!$A$3:$A$302,0)),"미등록품번"))</f>
        <v/>
      </c>
      <c r="D1087" s="17" t="str">
        <f aca="false">IF($B1087="","",IFERROR(INDEX(품목마스터!$D$3:$D$302,MATCH($B1087,품목마스터!$A$3:$A$302,0)),""))</f>
        <v/>
      </c>
      <c r="E1087" s="12"/>
      <c r="F1087" s="10"/>
    </row>
    <row r="1088" customFormat="false" ht="15" hidden="false" customHeight="true" outlineLevel="0" collapsed="false">
      <c r="A1088" s="16"/>
      <c r="B1088" s="10"/>
      <c r="C1088" s="17" t="str">
        <f aca="false">IF($B1088="","",IFERROR(INDEX(품목마스터!$B$3:$B$302,MATCH($B1088,품목마스터!$A$3:$A$302,0)),"미등록품번"))</f>
        <v/>
      </c>
      <c r="D1088" s="17" t="str">
        <f aca="false">IF($B1088="","",IFERROR(INDEX(품목마스터!$D$3:$D$302,MATCH($B1088,품목마스터!$A$3:$A$302,0)),""))</f>
        <v/>
      </c>
      <c r="E1088" s="12"/>
      <c r="F1088" s="10"/>
    </row>
    <row r="1089" customFormat="false" ht="15" hidden="false" customHeight="true" outlineLevel="0" collapsed="false">
      <c r="A1089" s="16"/>
      <c r="B1089" s="10"/>
      <c r="C1089" s="17" t="str">
        <f aca="false">IF($B1089="","",IFERROR(INDEX(품목마스터!$B$3:$B$302,MATCH($B1089,품목마스터!$A$3:$A$302,0)),"미등록품번"))</f>
        <v/>
      </c>
      <c r="D1089" s="17" t="str">
        <f aca="false">IF($B1089="","",IFERROR(INDEX(품목마스터!$D$3:$D$302,MATCH($B1089,품목마스터!$A$3:$A$302,0)),""))</f>
        <v/>
      </c>
      <c r="E1089" s="12"/>
      <c r="F1089" s="10"/>
    </row>
    <row r="1090" customFormat="false" ht="15" hidden="false" customHeight="true" outlineLevel="0" collapsed="false">
      <c r="A1090" s="16"/>
      <c r="B1090" s="10"/>
      <c r="C1090" s="17" t="str">
        <f aca="false">IF($B1090="","",IFERROR(INDEX(품목마스터!$B$3:$B$302,MATCH($B1090,품목마스터!$A$3:$A$302,0)),"미등록품번"))</f>
        <v/>
      </c>
      <c r="D1090" s="17" t="str">
        <f aca="false">IF($B1090="","",IFERROR(INDEX(품목마스터!$D$3:$D$302,MATCH($B1090,품목마스터!$A$3:$A$302,0)),""))</f>
        <v/>
      </c>
      <c r="E1090" s="12"/>
      <c r="F1090" s="10"/>
    </row>
    <row r="1091" customFormat="false" ht="15" hidden="false" customHeight="true" outlineLevel="0" collapsed="false">
      <c r="A1091" s="16"/>
      <c r="B1091" s="10"/>
      <c r="C1091" s="17" t="str">
        <f aca="false">IF($B1091="","",IFERROR(INDEX(품목마스터!$B$3:$B$302,MATCH($B1091,품목마스터!$A$3:$A$302,0)),"미등록품번"))</f>
        <v/>
      </c>
      <c r="D1091" s="17" t="str">
        <f aca="false">IF($B1091="","",IFERROR(INDEX(품목마스터!$D$3:$D$302,MATCH($B1091,품목마스터!$A$3:$A$302,0)),""))</f>
        <v/>
      </c>
      <c r="E1091" s="12"/>
      <c r="F1091" s="10"/>
    </row>
    <row r="1092" customFormat="false" ht="15" hidden="false" customHeight="true" outlineLevel="0" collapsed="false">
      <c r="A1092" s="16"/>
      <c r="B1092" s="10"/>
      <c r="C1092" s="17" t="str">
        <f aca="false">IF($B1092="","",IFERROR(INDEX(품목마스터!$B$3:$B$302,MATCH($B1092,품목마스터!$A$3:$A$302,0)),"미등록품번"))</f>
        <v/>
      </c>
      <c r="D1092" s="17" t="str">
        <f aca="false">IF($B1092="","",IFERROR(INDEX(품목마스터!$D$3:$D$302,MATCH($B1092,품목마스터!$A$3:$A$302,0)),""))</f>
        <v/>
      </c>
      <c r="E1092" s="12"/>
      <c r="F1092" s="10"/>
    </row>
    <row r="1093" customFormat="false" ht="15" hidden="false" customHeight="true" outlineLevel="0" collapsed="false">
      <c r="A1093" s="16"/>
      <c r="B1093" s="10"/>
      <c r="C1093" s="17" t="str">
        <f aca="false">IF($B1093="","",IFERROR(INDEX(품목마스터!$B$3:$B$302,MATCH($B1093,품목마스터!$A$3:$A$302,0)),"미등록품번"))</f>
        <v/>
      </c>
      <c r="D1093" s="17" t="str">
        <f aca="false">IF($B1093="","",IFERROR(INDEX(품목마스터!$D$3:$D$302,MATCH($B1093,품목마스터!$A$3:$A$302,0)),""))</f>
        <v/>
      </c>
      <c r="E1093" s="12"/>
      <c r="F1093" s="10"/>
    </row>
    <row r="1094" customFormat="false" ht="15" hidden="false" customHeight="true" outlineLevel="0" collapsed="false">
      <c r="A1094" s="16"/>
      <c r="B1094" s="10"/>
      <c r="C1094" s="17" t="str">
        <f aca="false">IF($B1094="","",IFERROR(INDEX(품목마스터!$B$3:$B$302,MATCH($B1094,품목마스터!$A$3:$A$302,0)),"미등록품번"))</f>
        <v/>
      </c>
      <c r="D1094" s="17" t="str">
        <f aca="false">IF($B1094="","",IFERROR(INDEX(품목마스터!$D$3:$D$302,MATCH($B1094,품목마스터!$A$3:$A$302,0)),""))</f>
        <v/>
      </c>
      <c r="E1094" s="12"/>
      <c r="F1094" s="10"/>
    </row>
    <row r="1095" customFormat="false" ht="15" hidden="false" customHeight="true" outlineLevel="0" collapsed="false">
      <c r="A1095" s="16"/>
      <c r="B1095" s="10"/>
      <c r="C1095" s="17" t="str">
        <f aca="false">IF($B1095="","",IFERROR(INDEX(품목마스터!$B$3:$B$302,MATCH($B1095,품목마스터!$A$3:$A$302,0)),"미등록품번"))</f>
        <v/>
      </c>
      <c r="D1095" s="17" t="str">
        <f aca="false">IF($B1095="","",IFERROR(INDEX(품목마스터!$D$3:$D$302,MATCH($B1095,품목마스터!$A$3:$A$302,0)),""))</f>
        <v/>
      </c>
      <c r="E1095" s="12"/>
      <c r="F1095" s="10"/>
    </row>
    <row r="1096" customFormat="false" ht="15" hidden="false" customHeight="true" outlineLevel="0" collapsed="false">
      <c r="A1096" s="16"/>
      <c r="B1096" s="10"/>
      <c r="C1096" s="17" t="str">
        <f aca="false">IF($B1096="","",IFERROR(INDEX(품목마스터!$B$3:$B$302,MATCH($B1096,품목마스터!$A$3:$A$302,0)),"미등록품번"))</f>
        <v/>
      </c>
      <c r="D1096" s="17" t="str">
        <f aca="false">IF($B1096="","",IFERROR(INDEX(품목마스터!$D$3:$D$302,MATCH($B1096,품목마스터!$A$3:$A$302,0)),""))</f>
        <v/>
      </c>
      <c r="E1096" s="12"/>
      <c r="F1096" s="10"/>
    </row>
    <row r="1097" customFormat="false" ht="15" hidden="false" customHeight="true" outlineLevel="0" collapsed="false">
      <c r="A1097" s="16"/>
      <c r="B1097" s="10"/>
      <c r="C1097" s="17" t="str">
        <f aca="false">IF($B1097="","",IFERROR(INDEX(품목마스터!$B$3:$B$302,MATCH($B1097,품목마스터!$A$3:$A$302,0)),"미등록품번"))</f>
        <v/>
      </c>
      <c r="D1097" s="17" t="str">
        <f aca="false">IF($B1097="","",IFERROR(INDEX(품목마스터!$D$3:$D$302,MATCH($B1097,품목마스터!$A$3:$A$302,0)),""))</f>
        <v/>
      </c>
      <c r="E1097" s="12"/>
      <c r="F1097" s="10"/>
    </row>
    <row r="1098" customFormat="false" ht="15" hidden="false" customHeight="true" outlineLevel="0" collapsed="false">
      <c r="A1098" s="16"/>
      <c r="B1098" s="10"/>
      <c r="C1098" s="17" t="str">
        <f aca="false">IF($B1098="","",IFERROR(INDEX(품목마스터!$B$3:$B$302,MATCH($B1098,품목마스터!$A$3:$A$302,0)),"미등록품번"))</f>
        <v/>
      </c>
      <c r="D1098" s="17" t="str">
        <f aca="false">IF($B1098="","",IFERROR(INDEX(품목마스터!$D$3:$D$302,MATCH($B1098,품목마스터!$A$3:$A$302,0)),""))</f>
        <v/>
      </c>
      <c r="E1098" s="12"/>
      <c r="F1098" s="10"/>
    </row>
    <row r="1099" customFormat="false" ht="15" hidden="false" customHeight="true" outlineLevel="0" collapsed="false">
      <c r="A1099" s="16"/>
      <c r="B1099" s="10"/>
      <c r="C1099" s="17" t="str">
        <f aca="false">IF($B1099="","",IFERROR(INDEX(품목마스터!$B$3:$B$302,MATCH($B1099,품목마스터!$A$3:$A$302,0)),"미등록품번"))</f>
        <v/>
      </c>
      <c r="D1099" s="17" t="str">
        <f aca="false">IF($B1099="","",IFERROR(INDEX(품목마스터!$D$3:$D$302,MATCH($B1099,품목마스터!$A$3:$A$302,0)),""))</f>
        <v/>
      </c>
      <c r="E1099" s="12"/>
      <c r="F1099" s="10"/>
    </row>
    <row r="1100" customFormat="false" ht="15" hidden="false" customHeight="true" outlineLevel="0" collapsed="false">
      <c r="A1100" s="16"/>
      <c r="B1100" s="10"/>
      <c r="C1100" s="17" t="str">
        <f aca="false">IF($B1100="","",IFERROR(INDEX(품목마스터!$B$3:$B$302,MATCH($B1100,품목마스터!$A$3:$A$302,0)),"미등록품번"))</f>
        <v/>
      </c>
      <c r="D1100" s="17" t="str">
        <f aca="false">IF($B1100="","",IFERROR(INDEX(품목마스터!$D$3:$D$302,MATCH($B1100,품목마스터!$A$3:$A$302,0)),""))</f>
        <v/>
      </c>
      <c r="E1100" s="12"/>
      <c r="F1100" s="10"/>
    </row>
    <row r="1101" customFormat="false" ht="15" hidden="false" customHeight="true" outlineLevel="0" collapsed="false">
      <c r="A1101" s="16"/>
      <c r="B1101" s="10"/>
      <c r="C1101" s="17" t="str">
        <f aca="false">IF($B1101="","",IFERROR(INDEX(품목마스터!$B$3:$B$302,MATCH($B1101,품목마스터!$A$3:$A$302,0)),"미등록품번"))</f>
        <v/>
      </c>
      <c r="D1101" s="17" t="str">
        <f aca="false">IF($B1101="","",IFERROR(INDEX(품목마스터!$D$3:$D$302,MATCH($B1101,품목마스터!$A$3:$A$302,0)),""))</f>
        <v/>
      </c>
      <c r="E1101" s="12"/>
      <c r="F1101" s="10"/>
    </row>
    <row r="1102" customFormat="false" ht="15" hidden="false" customHeight="true" outlineLevel="0" collapsed="false">
      <c r="A1102" s="16"/>
      <c r="B1102" s="10"/>
      <c r="C1102" s="17" t="str">
        <f aca="false">IF($B1102="","",IFERROR(INDEX(품목마스터!$B$3:$B$302,MATCH($B1102,품목마스터!$A$3:$A$302,0)),"미등록품번"))</f>
        <v/>
      </c>
      <c r="D1102" s="17" t="str">
        <f aca="false">IF($B1102="","",IFERROR(INDEX(품목마스터!$D$3:$D$302,MATCH($B1102,품목마스터!$A$3:$A$302,0)),""))</f>
        <v/>
      </c>
      <c r="E1102" s="12"/>
      <c r="F1102" s="10"/>
    </row>
    <row r="1103" customFormat="false" ht="15" hidden="false" customHeight="true" outlineLevel="0" collapsed="false">
      <c r="A1103" s="16"/>
      <c r="B1103" s="10"/>
      <c r="C1103" s="17" t="str">
        <f aca="false">IF($B1103="","",IFERROR(INDEX(품목마스터!$B$3:$B$302,MATCH($B1103,품목마스터!$A$3:$A$302,0)),"미등록품번"))</f>
        <v/>
      </c>
      <c r="D1103" s="17" t="str">
        <f aca="false">IF($B1103="","",IFERROR(INDEX(품목마스터!$D$3:$D$302,MATCH($B1103,품목마스터!$A$3:$A$302,0)),""))</f>
        <v/>
      </c>
      <c r="E1103" s="12"/>
      <c r="F1103" s="10"/>
    </row>
    <row r="1104" customFormat="false" ht="15" hidden="false" customHeight="true" outlineLevel="0" collapsed="false">
      <c r="A1104" s="16"/>
      <c r="B1104" s="10"/>
      <c r="C1104" s="17" t="str">
        <f aca="false">IF($B1104="","",IFERROR(INDEX(품목마스터!$B$3:$B$302,MATCH($B1104,품목마스터!$A$3:$A$302,0)),"미등록품번"))</f>
        <v/>
      </c>
      <c r="D1104" s="17" t="str">
        <f aca="false">IF($B1104="","",IFERROR(INDEX(품목마스터!$D$3:$D$302,MATCH($B1104,품목마스터!$A$3:$A$302,0)),""))</f>
        <v/>
      </c>
      <c r="E1104" s="12"/>
      <c r="F1104" s="10"/>
    </row>
    <row r="1105" customFormat="false" ht="15" hidden="false" customHeight="true" outlineLevel="0" collapsed="false">
      <c r="A1105" s="16"/>
      <c r="B1105" s="10"/>
      <c r="C1105" s="17" t="str">
        <f aca="false">IF($B1105="","",IFERROR(INDEX(품목마스터!$B$3:$B$302,MATCH($B1105,품목마스터!$A$3:$A$302,0)),"미등록품번"))</f>
        <v/>
      </c>
      <c r="D1105" s="17" t="str">
        <f aca="false">IF($B1105="","",IFERROR(INDEX(품목마스터!$D$3:$D$302,MATCH($B1105,품목마스터!$A$3:$A$302,0)),""))</f>
        <v/>
      </c>
      <c r="E1105" s="12"/>
      <c r="F1105" s="10"/>
    </row>
    <row r="1106" customFormat="false" ht="15" hidden="false" customHeight="true" outlineLevel="0" collapsed="false">
      <c r="A1106" s="16"/>
      <c r="B1106" s="10"/>
      <c r="C1106" s="17" t="str">
        <f aca="false">IF($B1106="","",IFERROR(INDEX(품목마스터!$B$3:$B$302,MATCH($B1106,품목마스터!$A$3:$A$302,0)),"미등록품번"))</f>
        <v/>
      </c>
      <c r="D1106" s="17" t="str">
        <f aca="false">IF($B1106="","",IFERROR(INDEX(품목마스터!$D$3:$D$302,MATCH($B1106,품목마스터!$A$3:$A$302,0)),""))</f>
        <v/>
      </c>
      <c r="E1106" s="12"/>
      <c r="F1106" s="10"/>
    </row>
    <row r="1107" customFormat="false" ht="15" hidden="false" customHeight="true" outlineLevel="0" collapsed="false">
      <c r="A1107" s="16"/>
      <c r="B1107" s="10"/>
      <c r="C1107" s="17" t="str">
        <f aca="false">IF($B1107="","",IFERROR(INDEX(품목마스터!$B$3:$B$302,MATCH($B1107,품목마스터!$A$3:$A$302,0)),"미등록품번"))</f>
        <v/>
      </c>
      <c r="D1107" s="17" t="str">
        <f aca="false">IF($B1107="","",IFERROR(INDEX(품목마스터!$D$3:$D$302,MATCH($B1107,품목마스터!$A$3:$A$302,0)),""))</f>
        <v/>
      </c>
      <c r="E1107" s="12"/>
      <c r="F1107" s="10"/>
    </row>
    <row r="1108" customFormat="false" ht="15" hidden="false" customHeight="true" outlineLevel="0" collapsed="false">
      <c r="A1108" s="16"/>
      <c r="B1108" s="10"/>
      <c r="C1108" s="17" t="str">
        <f aca="false">IF($B1108="","",IFERROR(INDEX(품목마스터!$B$3:$B$302,MATCH($B1108,품목마스터!$A$3:$A$302,0)),"미등록품번"))</f>
        <v/>
      </c>
      <c r="D1108" s="17" t="str">
        <f aca="false">IF($B1108="","",IFERROR(INDEX(품목마스터!$D$3:$D$302,MATCH($B1108,품목마스터!$A$3:$A$302,0)),""))</f>
        <v/>
      </c>
      <c r="E1108" s="12"/>
      <c r="F1108" s="10"/>
    </row>
    <row r="1109" customFormat="false" ht="15" hidden="false" customHeight="true" outlineLevel="0" collapsed="false">
      <c r="A1109" s="16"/>
      <c r="B1109" s="10"/>
      <c r="C1109" s="17" t="str">
        <f aca="false">IF($B1109="","",IFERROR(INDEX(품목마스터!$B$3:$B$302,MATCH($B1109,품목마스터!$A$3:$A$302,0)),"미등록품번"))</f>
        <v/>
      </c>
      <c r="D1109" s="17" t="str">
        <f aca="false">IF($B1109="","",IFERROR(INDEX(품목마스터!$D$3:$D$302,MATCH($B1109,품목마스터!$A$3:$A$302,0)),""))</f>
        <v/>
      </c>
      <c r="E1109" s="12"/>
      <c r="F1109" s="10"/>
    </row>
    <row r="1110" customFormat="false" ht="15" hidden="false" customHeight="true" outlineLevel="0" collapsed="false">
      <c r="A1110" s="16"/>
      <c r="B1110" s="10"/>
      <c r="C1110" s="17" t="str">
        <f aca="false">IF($B1110="","",IFERROR(INDEX(품목마스터!$B$3:$B$302,MATCH($B1110,품목마스터!$A$3:$A$302,0)),"미등록품번"))</f>
        <v/>
      </c>
      <c r="D1110" s="17" t="str">
        <f aca="false">IF($B1110="","",IFERROR(INDEX(품목마스터!$D$3:$D$302,MATCH($B1110,품목마스터!$A$3:$A$302,0)),""))</f>
        <v/>
      </c>
      <c r="E1110" s="12"/>
      <c r="F1110" s="10"/>
    </row>
    <row r="1111" customFormat="false" ht="15" hidden="false" customHeight="true" outlineLevel="0" collapsed="false">
      <c r="A1111" s="16"/>
      <c r="B1111" s="10"/>
      <c r="C1111" s="17" t="str">
        <f aca="false">IF($B1111="","",IFERROR(INDEX(품목마스터!$B$3:$B$302,MATCH($B1111,품목마스터!$A$3:$A$302,0)),"미등록품번"))</f>
        <v/>
      </c>
      <c r="D1111" s="17" t="str">
        <f aca="false">IF($B1111="","",IFERROR(INDEX(품목마스터!$D$3:$D$302,MATCH($B1111,품목마스터!$A$3:$A$302,0)),""))</f>
        <v/>
      </c>
      <c r="E1111" s="12"/>
      <c r="F1111" s="10"/>
    </row>
    <row r="1112" customFormat="false" ht="15" hidden="false" customHeight="true" outlineLevel="0" collapsed="false">
      <c r="A1112" s="16"/>
      <c r="B1112" s="10"/>
      <c r="C1112" s="17" t="str">
        <f aca="false">IF($B1112="","",IFERROR(INDEX(품목마스터!$B$3:$B$302,MATCH($B1112,품목마스터!$A$3:$A$302,0)),"미등록품번"))</f>
        <v/>
      </c>
      <c r="D1112" s="17" t="str">
        <f aca="false">IF($B1112="","",IFERROR(INDEX(품목마스터!$D$3:$D$302,MATCH($B1112,품목마스터!$A$3:$A$302,0)),""))</f>
        <v/>
      </c>
      <c r="E1112" s="12"/>
      <c r="F1112" s="10"/>
    </row>
    <row r="1113" customFormat="false" ht="15" hidden="false" customHeight="true" outlineLevel="0" collapsed="false">
      <c r="A1113" s="16"/>
      <c r="B1113" s="10"/>
      <c r="C1113" s="17" t="str">
        <f aca="false">IF($B1113="","",IFERROR(INDEX(품목마스터!$B$3:$B$302,MATCH($B1113,품목마스터!$A$3:$A$302,0)),"미등록품번"))</f>
        <v/>
      </c>
      <c r="D1113" s="17" t="str">
        <f aca="false">IF($B1113="","",IFERROR(INDEX(품목마스터!$D$3:$D$302,MATCH($B1113,품목마스터!$A$3:$A$302,0)),""))</f>
        <v/>
      </c>
      <c r="E1113" s="12"/>
      <c r="F1113" s="10"/>
    </row>
    <row r="1114" customFormat="false" ht="15" hidden="false" customHeight="true" outlineLevel="0" collapsed="false">
      <c r="A1114" s="16"/>
      <c r="B1114" s="10"/>
      <c r="C1114" s="17" t="str">
        <f aca="false">IF($B1114="","",IFERROR(INDEX(품목마스터!$B$3:$B$302,MATCH($B1114,품목마스터!$A$3:$A$302,0)),"미등록품번"))</f>
        <v/>
      </c>
      <c r="D1114" s="17" t="str">
        <f aca="false">IF($B1114="","",IFERROR(INDEX(품목마스터!$D$3:$D$302,MATCH($B1114,품목마스터!$A$3:$A$302,0)),""))</f>
        <v/>
      </c>
      <c r="E1114" s="12"/>
      <c r="F1114" s="10"/>
    </row>
    <row r="1115" customFormat="false" ht="15" hidden="false" customHeight="true" outlineLevel="0" collapsed="false">
      <c r="A1115" s="16"/>
      <c r="B1115" s="10"/>
      <c r="C1115" s="17" t="str">
        <f aca="false">IF($B1115="","",IFERROR(INDEX(품목마스터!$B$3:$B$302,MATCH($B1115,품목마스터!$A$3:$A$302,0)),"미등록품번"))</f>
        <v/>
      </c>
      <c r="D1115" s="17" t="str">
        <f aca="false">IF($B1115="","",IFERROR(INDEX(품목마스터!$D$3:$D$302,MATCH($B1115,품목마스터!$A$3:$A$302,0)),""))</f>
        <v/>
      </c>
      <c r="E1115" s="12"/>
      <c r="F1115" s="10"/>
    </row>
    <row r="1116" customFormat="false" ht="15" hidden="false" customHeight="true" outlineLevel="0" collapsed="false">
      <c r="A1116" s="16"/>
      <c r="B1116" s="10"/>
      <c r="C1116" s="17" t="str">
        <f aca="false">IF($B1116="","",IFERROR(INDEX(품목마스터!$B$3:$B$302,MATCH($B1116,품목마스터!$A$3:$A$302,0)),"미등록품번"))</f>
        <v/>
      </c>
      <c r="D1116" s="17" t="str">
        <f aca="false">IF($B1116="","",IFERROR(INDEX(품목마스터!$D$3:$D$302,MATCH($B1116,품목마스터!$A$3:$A$302,0)),""))</f>
        <v/>
      </c>
      <c r="E1116" s="12"/>
      <c r="F1116" s="10"/>
    </row>
    <row r="1117" customFormat="false" ht="15" hidden="false" customHeight="true" outlineLevel="0" collapsed="false">
      <c r="A1117" s="16"/>
      <c r="B1117" s="10"/>
      <c r="C1117" s="17" t="str">
        <f aca="false">IF($B1117="","",IFERROR(INDEX(품목마스터!$B$3:$B$302,MATCH($B1117,품목마스터!$A$3:$A$302,0)),"미등록품번"))</f>
        <v/>
      </c>
      <c r="D1117" s="17" t="str">
        <f aca="false">IF($B1117="","",IFERROR(INDEX(품목마스터!$D$3:$D$302,MATCH($B1117,품목마스터!$A$3:$A$302,0)),""))</f>
        <v/>
      </c>
      <c r="E1117" s="12"/>
      <c r="F1117" s="10"/>
    </row>
    <row r="1118" customFormat="false" ht="15" hidden="false" customHeight="true" outlineLevel="0" collapsed="false">
      <c r="A1118" s="16"/>
      <c r="B1118" s="10"/>
      <c r="C1118" s="17" t="str">
        <f aca="false">IF($B1118="","",IFERROR(INDEX(품목마스터!$B$3:$B$302,MATCH($B1118,품목마스터!$A$3:$A$302,0)),"미등록품번"))</f>
        <v/>
      </c>
      <c r="D1118" s="17" t="str">
        <f aca="false">IF($B1118="","",IFERROR(INDEX(품목마스터!$D$3:$D$302,MATCH($B1118,품목마스터!$A$3:$A$302,0)),""))</f>
        <v/>
      </c>
      <c r="E1118" s="12"/>
      <c r="F1118" s="10"/>
    </row>
    <row r="1119" customFormat="false" ht="15" hidden="false" customHeight="true" outlineLevel="0" collapsed="false">
      <c r="A1119" s="16"/>
      <c r="B1119" s="10"/>
      <c r="C1119" s="17" t="str">
        <f aca="false">IF($B1119="","",IFERROR(INDEX(품목마스터!$B$3:$B$302,MATCH($B1119,품목마스터!$A$3:$A$302,0)),"미등록품번"))</f>
        <v/>
      </c>
      <c r="D1119" s="17" t="str">
        <f aca="false">IF($B1119="","",IFERROR(INDEX(품목마스터!$D$3:$D$302,MATCH($B1119,품목마스터!$A$3:$A$302,0)),""))</f>
        <v/>
      </c>
      <c r="E1119" s="12"/>
      <c r="F1119" s="10"/>
    </row>
    <row r="1120" customFormat="false" ht="15" hidden="false" customHeight="true" outlineLevel="0" collapsed="false">
      <c r="A1120" s="16"/>
      <c r="B1120" s="10"/>
      <c r="C1120" s="17" t="str">
        <f aca="false">IF($B1120="","",IFERROR(INDEX(품목마스터!$B$3:$B$302,MATCH($B1120,품목마스터!$A$3:$A$302,0)),"미등록품번"))</f>
        <v/>
      </c>
      <c r="D1120" s="17" t="str">
        <f aca="false">IF($B1120="","",IFERROR(INDEX(품목마스터!$D$3:$D$302,MATCH($B1120,품목마스터!$A$3:$A$302,0)),""))</f>
        <v/>
      </c>
      <c r="E1120" s="12"/>
      <c r="F1120" s="10"/>
    </row>
    <row r="1121" customFormat="false" ht="15" hidden="false" customHeight="true" outlineLevel="0" collapsed="false">
      <c r="A1121" s="16"/>
      <c r="B1121" s="10"/>
      <c r="C1121" s="17" t="str">
        <f aca="false">IF($B1121="","",IFERROR(INDEX(품목마스터!$B$3:$B$302,MATCH($B1121,품목마스터!$A$3:$A$302,0)),"미등록품번"))</f>
        <v/>
      </c>
      <c r="D1121" s="17" t="str">
        <f aca="false">IF($B1121="","",IFERROR(INDEX(품목마스터!$D$3:$D$302,MATCH($B1121,품목마스터!$A$3:$A$302,0)),""))</f>
        <v/>
      </c>
      <c r="E1121" s="12"/>
      <c r="F1121" s="10"/>
    </row>
    <row r="1122" customFormat="false" ht="15" hidden="false" customHeight="true" outlineLevel="0" collapsed="false">
      <c r="A1122" s="16"/>
      <c r="B1122" s="10"/>
      <c r="C1122" s="17" t="str">
        <f aca="false">IF($B1122="","",IFERROR(INDEX(품목마스터!$B$3:$B$302,MATCH($B1122,품목마스터!$A$3:$A$302,0)),"미등록품번"))</f>
        <v/>
      </c>
      <c r="D1122" s="17" t="str">
        <f aca="false">IF($B1122="","",IFERROR(INDEX(품목마스터!$D$3:$D$302,MATCH($B1122,품목마스터!$A$3:$A$302,0)),""))</f>
        <v/>
      </c>
      <c r="E1122" s="12"/>
      <c r="F1122" s="10"/>
    </row>
    <row r="1123" customFormat="false" ht="15" hidden="false" customHeight="true" outlineLevel="0" collapsed="false">
      <c r="A1123" s="16"/>
      <c r="B1123" s="10"/>
      <c r="C1123" s="17" t="str">
        <f aca="false">IF($B1123="","",IFERROR(INDEX(품목마스터!$B$3:$B$302,MATCH($B1123,품목마스터!$A$3:$A$302,0)),"미등록품번"))</f>
        <v/>
      </c>
      <c r="D1123" s="17" t="str">
        <f aca="false">IF($B1123="","",IFERROR(INDEX(품목마스터!$D$3:$D$302,MATCH($B1123,품목마스터!$A$3:$A$302,0)),""))</f>
        <v/>
      </c>
      <c r="E1123" s="12"/>
      <c r="F1123" s="10"/>
    </row>
    <row r="1124" customFormat="false" ht="15" hidden="false" customHeight="true" outlineLevel="0" collapsed="false">
      <c r="A1124" s="16"/>
      <c r="B1124" s="10"/>
      <c r="C1124" s="17" t="str">
        <f aca="false">IF($B1124="","",IFERROR(INDEX(품목마스터!$B$3:$B$302,MATCH($B1124,품목마스터!$A$3:$A$302,0)),"미등록품번"))</f>
        <v/>
      </c>
      <c r="D1124" s="17" t="str">
        <f aca="false">IF($B1124="","",IFERROR(INDEX(품목마스터!$D$3:$D$302,MATCH($B1124,품목마스터!$A$3:$A$302,0)),""))</f>
        <v/>
      </c>
      <c r="E1124" s="12"/>
      <c r="F1124" s="10"/>
    </row>
    <row r="1125" customFormat="false" ht="15" hidden="false" customHeight="true" outlineLevel="0" collapsed="false">
      <c r="A1125" s="16"/>
      <c r="B1125" s="10"/>
      <c r="C1125" s="17" t="str">
        <f aca="false">IF($B1125="","",IFERROR(INDEX(품목마스터!$B$3:$B$302,MATCH($B1125,품목마스터!$A$3:$A$302,0)),"미등록품번"))</f>
        <v/>
      </c>
      <c r="D1125" s="17" t="str">
        <f aca="false">IF($B1125="","",IFERROR(INDEX(품목마스터!$D$3:$D$302,MATCH($B1125,품목마스터!$A$3:$A$302,0)),""))</f>
        <v/>
      </c>
      <c r="E1125" s="12"/>
      <c r="F1125" s="10"/>
    </row>
    <row r="1126" customFormat="false" ht="15" hidden="false" customHeight="true" outlineLevel="0" collapsed="false">
      <c r="A1126" s="16"/>
      <c r="B1126" s="10"/>
      <c r="C1126" s="17" t="str">
        <f aca="false">IF($B1126="","",IFERROR(INDEX(품목마스터!$B$3:$B$302,MATCH($B1126,품목마스터!$A$3:$A$302,0)),"미등록품번"))</f>
        <v/>
      </c>
      <c r="D1126" s="17" t="str">
        <f aca="false">IF($B1126="","",IFERROR(INDEX(품목마스터!$D$3:$D$302,MATCH($B1126,품목마스터!$A$3:$A$302,0)),""))</f>
        <v/>
      </c>
      <c r="E1126" s="12"/>
      <c r="F1126" s="10"/>
    </row>
    <row r="1127" customFormat="false" ht="15" hidden="false" customHeight="true" outlineLevel="0" collapsed="false">
      <c r="A1127" s="16"/>
      <c r="B1127" s="10"/>
      <c r="C1127" s="17" t="str">
        <f aca="false">IF($B1127="","",IFERROR(INDEX(품목마스터!$B$3:$B$302,MATCH($B1127,품목마스터!$A$3:$A$302,0)),"미등록품번"))</f>
        <v/>
      </c>
      <c r="D1127" s="17" t="str">
        <f aca="false">IF($B1127="","",IFERROR(INDEX(품목마스터!$D$3:$D$302,MATCH($B1127,품목마스터!$A$3:$A$302,0)),""))</f>
        <v/>
      </c>
      <c r="E1127" s="12"/>
      <c r="F1127" s="10"/>
    </row>
    <row r="1128" customFormat="false" ht="15" hidden="false" customHeight="true" outlineLevel="0" collapsed="false">
      <c r="A1128" s="16"/>
      <c r="B1128" s="10"/>
      <c r="C1128" s="17" t="str">
        <f aca="false">IF($B1128="","",IFERROR(INDEX(품목마스터!$B$3:$B$302,MATCH($B1128,품목마스터!$A$3:$A$302,0)),"미등록품번"))</f>
        <v/>
      </c>
      <c r="D1128" s="17" t="str">
        <f aca="false">IF($B1128="","",IFERROR(INDEX(품목마스터!$D$3:$D$302,MATCH($B1128,품목마스터!$A$3:$A$302,0)),""))</f>
        <v/>
      </c>
      <c r="E1128" s="12"/>
      <c r="F1128" s="10"/>
    </row>
    <row r="1129" customFormat="false" ht="15" hidden="false" customHeight="true" outlineLevel="0" collapsed="false">
      <c r="A1129" s="16"/>
      <c r="B1129" s="10"/>
      <c r="C1129" s="17" t="str">
        <f aca="false">IF($B1129="","",IFERROR(INDEX(품목마스터!$B$3:$B$302,MATCH($B1129,품목마스터!$A$3:$A$302,0)),"미등록품번"))</f>
        <v/>
      </c>
      <c r="D1129" s="17" t="str">
        <f aca="false">IF($B1129="","",IFERROR(INDEX(품목마스터!$D$3:$D$302,MATCH($B1129,품목마스터!$A$3:$A$302,0)),""))</f>
        <v/>
      </c>
      <c r="E1129" s="12"/>
      <c r="F1129" s="10"/>
    </row>
    <row r="1130" customFormat="false" ht="15" hidden="false" customHeight="true" outlineLevel="0" collapsed="false">
      <c r="A1130" s="16"/>
      <c r="B1130" s="10"/>
      <c r="C1130" s="17" t="str">
        <f aca="false">IF($B1130="","",IFERROR(INDEX(품목마스터!$B$3:$B$302,MATCH($B1130,품목마스터!$A$3:$A$302,0)),"미등록품번"))</f>
        <v/>
      </c>
      <c r="D1130" s="17" t="str">
        <f aca="false">IF($B1130="","",IFERROR(INDEX(품목마스터!$D$3:$D$302,MATCH($B1130,품목마스터!$A$3:$A$302,0)),""))</f>
        <v/>
      </c>
      <c r="E1130" s="12"/>
      <c r="F1130" s="10"/>
    </row>
    <row r="1131" customFormat="false" ht="15" hidden="false" customHeight="true" outlineLevel="0" collapsed="false">
      <c r="A1131" s="16"/>
      <c r="B1131" s="10"/>
      <c r="C1131" s="17" t="str">
        <f aca="false">IF($B1131="","",IFERROR(INDEX(품목마스터!$B$3:$B$302,MATCH($B1131,품목마스터!$A$3:$A$302,0)),"미등록품번"))</f>
        <v/>
      </c>
      <c r="D1131" s="17" t="str">
        <f aca="false">IF($B1131="","",IFERROR(INDEX(품목마스터!$D$3:$D$302,MATCH($B1131,품목마스터!$A$3:$A$302,0)),""))</f>
        <v/>
      </c>
      <c r="E1131" s="12"/>
      <c r="F1131" s="10"/>
    </row>
    <row r="1132" customFormat="false" ht="15" hidden="false" customHeight="true" outlineLevel="0" collapsed="false">
      <c r="A1132" s="16"/>
      <c r="B1132" s="10"/>
      <c r="C1132" s="17" t="str">
        <f aca="false">IF($B1132="","",IFERROR(INDEX(품목마스터!$B$3:$B$302,MATCH($B1132,품목마스터!$A$3:$A$302,0)),"미등록품번"))</f>
        <v/>
      </c>
      <c r="D1132" s="17" t="str">
        <f aca="false">IF($B1132="","",IFERROR(INDEX(품목마스터!$D$3:$D$302,MATCH($B1132,품목마스터!$A$3:$A$302,0)),""))</f>
        <v/>
      </c>
      <c r="E1132" s="12"/>
      <c r="F1132" s="10"/>
    </row>
    <row r="1133" customFormat="false" ht="15" hidden="false" customHeight="true" outlineLevel="0" collapsed="false">
      <c r="A1133" s="16"/>
      <c r="B1133" s="10"/>
      <c r="C1133" s="17" t="str">
        <f aca="false">IF($B1133="","",IFERROR(INDEX(품목마스터!$B$3:$B$302,MATCH($B1133,품목마스터!$A$3:$A$302,0)),"미등록품번"))</f>
        <v/>
      </c>
      <c r="D1133" s="17" t="str">
        <f aca="false">IF($B1133="","",IFERROR(INDEX(품목마스터!$D$3:$D$302,MATCH($B1133,품목마스터!$A$3:$A$302,0)),""))</f>
        <v/>
      </c>
      <c r="E1133" s="12"/>
      <c r="F1133" s="10"/>
    </row>
    <row r="1134" customFormat="false" ht="15" hidden="false" customHeight="true" outlineLevel="0" collapsed="false">
      <c r="A1134" s="16"/>
      <c r="B1134" s="10"/>
      <c r="C1134" s="17" t="str">
        <f aca="false">IF($B1134="","",IFERROR(INDEX(품목마스터!$B$3:$B$302,MATCH($B1134,품목마스터!$A$3:$A$302,0)),"미등록품번"))</f>
        <v/>
      </c>
      <c r="D1134" s="17" t="str">
        <f aca="false">IF($B1134="","",IFERROR(INDEX(품목마스터!$D$3:$D$302,MATCH($B1134,품목마스터!$A$3:$A$302,0)),""))</f>
        <v/>
      </c>
      <c r="E1134" s="12"/>
      <c r="F1134" s="10"/>
    </row>
    <row r="1135" customFormat="false" ht="15" hidden="false" customHeight="true" outlineLevel="0" collapsed="false">
      <c r="A1135" s="16"/>
      <c r="B1135" s="10"/>
      <c r="C1135" s="17" t="str">
        <f aca="false">IF($B1135="","",IFERROR(INDEX(품목마스터!$B$3:$B$302,MATCH($B1135,품목마스터!$A$3:$A$302,0)),"미등록품번"))</f>
        <v/>
      </c>
      <c r="D1135" s="17" t="str">
        <f aca="false">IF($B1135="","",IFERROR(INDEX(품목마스터!$D$3:$D$302,MATCH($B1135,품목마스터!$A$3:$A$302,0)),""))</f>
        <v/>
      </c>
      <c r="E1135" s="12"/>
      <c r="F1135" s="10"/>
    </row>
    <row r="1136" customFormat="false" ht="15" hidden="false" customHeight="true" outlineLevel="0" collapsed="false">
      <c r="A1136" s="16"/>
      <c r="B1136" s="10"/>
      <c r="C1136" s="17" t="str">
        <f aca="false">IF($B1136="","",IFERROR(INDEX(품목마스터!$B$3:$B$302,MATCH($B1136,품목마스터!$A$3:$A$302,0)),"미등록품번"))</f>
        <v/>
      </c>
      <c r="D1136" s="17" t="str">
        <f aca="false">IF($B1136="","",IFERROR(INDEX(품목마스터!$D$3:$D$302,MATCH($B1136,품목마스터!$A$3:$A$302,0)),""))</f>
        <v/>
      </c>
      <c r="E1136" s="12"/>
      <c r="F1136" s="10"/>
    </row>
    <row r="1137" customFormat="false" ht="15" hidden="false" customHeight="true" outlineLevel="0" collapsed="false">
      <c r="A1137" s="16"/>
      <c r="B1137" s="10"/>
      <c r="C1137" s="17" t="str">
        <f aca="false">IF($B1137="","",IFERROR(INDEX(품목마스터!$B$3:$B$302,MATCH($B1137,품목마스터!$A$3:$A$302,0)),"미등록품번"))</f>
        <v/>
      </c>
      <c r="D1137" s="17" t="str">
        <f aca="false">IF($B1137="","",IFERROR(INDEX(품목마스터!$D$3:$D$302,MATCH($B1137,품목마스터!$A$3:$A$302,0)),""))</f>
        <v/>
      </c>
      <c r="E1137" s="12"/>
      <c r="F1137" s="10"/>
    </row>
    <row r="1138" customFormat="false" ht="15" hidden="false" customHeight="true" outlineLevel="0" collapsed="false">
      <c r="A1138" s="16"/>
      <c r="B1138" s="10"/>
      <c r="C1138" s="17" t="str">
        <f aca="false">IF($B1138="","",IFERROR(INDEX(품목마스터!$B$3:$B$302,MATCH($B1138,품목마스터!$A$3:$A$302,0)),"미등록품번"))</f>
        <v/>
      </c>
      <c r="D1138" s="17" t="str">
        <f aca="false">IF($B1138="","",IFERROR(INDEX(품목마스터!$D$3:$D$302,MATCH($B1138,품목마스터!$A$3:$A$302,0)),""))</f>
        <v/>
      </c>
      <c r="E1138" s="12"/>
      <c r="F1138" s="10"/>
    </row>
    <row r="1139" customFormat="false" ht="15" hidden="false" customHeight="true" outlineLevel="0" collapsed="false">
      <c r="A1139" s="16"/>
      <c r="B1139" s="10"/>
      <c r="C1139" s="17" t="str">
        <f aca="false">IF($B1139="","",IFERROR(INDEX(품목마스터!$B$3:$B$302,MATCH($B1139,품목마스터!$A$3:$A$302,0)),"미등록품번"))</f>
        <v/>
      </c>
      <c r="D1139" s="17" t="str">
        <f aca="false">IF($B1139="","",IFERROR(INDEX(품목마스터!$D$3:$D$302,MATCH($B1139,품목마스터!$A$3:$A$302,0)),""))</f>
        <v/>
      </c>
      <c r="E1139" s="12"/>
      <c r="F1139" s="10"/>
    </row>
    <row r="1140" customFormat="false" ht="15" hidden="false" customHeight="true" outlineLevel="0" collapsed="false">
      <c r="A1140" s="16"/>
      <c r="B1140" s="10"/>
      <c r="C1140" s="17" t="str">
        <f aca="false">IF($B1140="","",IFERROR(INDEX(품목마스터!$B$3:$B$302,MATCH($B1140,품목마스터!$A$3:$A$302,0)),"미등록품번"))</f>
        <v/>
      </c>
      <c r="D1140" s="17" t="str">
        <f aca="false">IF($B1140="","",IFERROR(INDEX(품목마스터!$D$3:$D$302,MATCH($B1140,품목마스터!$A$3:$A$302,0)),""))</f>
        <v/>
      </c>
      <c r="E1140" s="12"/>
      <c r="F1140" s="10"/>
    </row>
    <row r="1141" customFormat="false" ht="15" hidden="false" customHeight="true" outlineLevel="0" collapsed="false">
      <c r="A1141" s="16"/>
      <c r="B1141" s="10"/>
      <c r="C1141" s="17" t="str">
        <f aca="false">IF($B1141="","",IFERROR(INDEX(품목마스터!$B$3:$B$302,MATCH($B1141,품목마스터!$A$3:$A$302,0)),"미등록품번"))</f>
        <v/>
      </c>
      <c r="D1141" s="17" t="str">
        <f aca="false">IF($B1141="","",IFERROR(INDEX(품목마스터!$D$3:$D$302,MATCH($B1141,품목마스터!$A$3:$A$302,0)),""))</f>
        <v/>
      </c>
      <c r="E1141" s="12"/>
      <c r="F1141" s="10"/>
    </row>
    <row r="1142" customFormat="false" ht="15" hidden="false" customHeight="true" outlineLevel="0" collapsed="false">
      <c r="A1142" s="16"/>
      <c r="B1142" s="10"/>
      <c r="C1142" s="17" t="str">
        <f aca="false">IF($B1142="","",IFERROR(INDEX(품목마스터!$B$3:$B$302,MATCH($B1142,품목마스터!$A$3:$A$302,0)),"미등록품번"))</f>
        <v/>
      </c>
      <c r="D1142" s="17" t="str">
        <f aca="false">IF($B1142="","",IFERROR(INDEX(품목마스터!$D$3:$D$302,MATCH($B1142,품목마스터!$A$3:$A$302,0)),""))</f>
        <v/>
      </c>
      <c r="E1142" s="12"/>
      <c r="F1142" s="10"/>
    </row>
    <row r="1143" customFormat="false" ht="15" hidden="false" customHeight="true" outlineLevel="0" collapsed="false">
      <c r="A1143" s="16"/>
      <c r="B1143" s="10"/>
      <c r="C1143" s="17" t="str">
        <f aca="false">IF($B1143="","",IFERROR(INDEX(품목마스터!$B$3:$B$302,MATCH($B1143,품목마스터!$A$3:$A$302,0)),"미등록품번"))</f>
        <v/>
      </c>
      <c r="D1143" s="17" t="str">
        <f aca="false">IF($B1143="","",IFERROR(INDEX(품목마스터!$D$3:$D$302,MATCH($B1143,품목마스터!$A$3:$A$302,0)),""))</f>
        <v/>
      </c>
      <c r="E1143" s="12"/>
      <c r="F1143" s="10"/>
    </row>
    <row r="1144" customFormat="false" ht="15" hidden="false" customHeight="true" outlineLevel="0" collapsed="false">
      <c r="A1144" s="16"/>
      <c r="B1144" s="10"/>
      <c r="C1144" s="17" t="str">
        <f aca="false">IF($B1144="","",IFERROR(INDEX(품목마스터!$B$3:$B$302,MATCH($B1144,품목마스터!$A$3:$A$302,0)),"미등록품번"))</f>
        <v/>
      </c>
      <c r="D1144" s="17" t="str">
        <f aca="false">IF($B1144="","",IFERROR(INDEX(품목마스터!$D$3:$D$302,MATCH($B1144,품목마스터!$A$3:$A$302,0)),""))</f>
        <v/>
      </c>
      <c r="E1144" s="12"/>
      <c r="F1144" s="10"/>
    </row>
    <row r="1145" customFormat="false" ht="15" hidden="false" customHeight="true" outlineLevel="0" collapsed="false">
      <c r="A1145" s="16"/>
      <c r="B1145" s="10"/>
      <c r="C1145" s="17" t="str">
        <f aca="false">IF($B1145="","",IFERROR(INDEX(품목마스터!$B$3:$B$302,MATCH($B1145,품목마스터!$A$3:$A$302,0)),"미등록품번"))</f>
        <v/>
      </c>
      <c r="D1145" s="17" t="str">
        <f aca="false">IF($B1145="","",IFERROR(INDEX(품목마스터!$D$3:$D$302,MATCH($B1145,품목마스터!$A$3:$A$302,0)),""))</f>
        <v/>
      </c>
      <c r="E1145" s="12"/>
      <c r="F1145" s="10"/>
    </row>
    <row r="1146" customFormat="false" ht="15" hidden="false" customHeight="true" outlineLevel="0" collapsed="false">
      <c r="A1146" s="16"/>
      <c r="B1146" s="10"/>
      <c r="C1146" s="17" t="str">
        <f aca="false">IF($B1146="","",IFERROR(INDEX(품목마스터!$B$3:$B$302,MATCH($B1146,품목마스터!$A$3:$A$302,0)),"미등록품번"))</f>
        <v/>
      </c>
      <c r="D1146" s="17" t="str">
        <f aca="false">IF($B1146="","",IFERROR(INDEX(품목마스터!$D$3:$D$302,MATCH($B1146,품목마스터!$A$3:$A$302,0)),""))</f>
        <v/>
      </c>
      <c r="E1146" s="12"/>
      <c r="F1146" s="10"/>
    </row>
    <row r="1147" customFormat="false" ht="15" hidden="false" customHeight="true" outlineLevel="0" collapsed="false">
      <c r="A1147" s="16"/>
      <c r="B1147" s="10"/>
      <c r="C1147" s="17" t="str">
        <f aca="false">IF($B1147="","",IFERROR(INDEX(품목마스터!$B$3:$B$302,MATCH($B1147,품목마스터!$A$3:$A$302,0)),"미등록품번"))</f>
        <v/>
      </c>
      <c r="D1147" s="17" t="str">
        <f aca="false">IF($B1147="","",IFERROR(INDEX(품목마스터!$D$3:$D$302,MATCH($B1147,품목마스터!$A$3:$A$302,0)),""))</f>
        <v/>
      </c>
      <c r="E1147" s="12"/>
      <c r="F1147" s="10"/>
    </row>
    <row r="1148" customFormat="false" ht="15" hidden="false" customHeight="true" outlineLevel="0" collapsed="false">
      <c r="A1148" s="16"/>
      <c r="B1148" s="10"/>
      <c r="C1148" s="17" t="str">
        <f aca="false">IF($B1148="","",IFERROR(INDEX(품목마스터!$B$3:$B$302,MATCH($B1148,품목마스터!$A$3:$A$302,0)),"미등록품번"))</f>
        <v/>
      </c>
      <c r="D1148" s="17" t="str">
        <f aca="false">IF($B1148="","",IFERROR(INDEX(품목마스터!$D$3:$D$302,MATCH($B1148,품목마스터!$A$3:$A$302,0)),""))</f>
        <v/>
      </c>
      <c r="E1148" s="12"/>
      <c r="F1148" s="10"/>
    </row>
    <row r="1149" customFormat="false" ht="15" hidden="false" customHeight="true" outlineLevel="0" collapsed="false">
      <c r="A1149" s="16"/>
      <c r="B1149" s="10"/>
      <c r="C1149" s="17" t="str">
        <f aca="false">IF($B1149="","",IFERROR(INDEX(품목마스터!$B$3:$B$302,MATCH($B1149,품목마스터!$A$3:$A$302,0)),"미등록품번"))</f>
        <v/>
      </c>
      <c r="D1149" s="17" t="str">
        <f aca="false">IF($B1149="","",IFERROR(INDEX(품목마스터!$D$3:$D$302,MATCH($B1149,품목마스터!$A$3:$A$302,0)),""))</f>
        <v/>
      </c>
      <c r="E1149" s="12"/>
      <c r="F1149" s="10"/>
    </row>
    <row r="1150" customFormat="false" ht="15" hidden="false" customHeight="true" outlineLevel="0" collapsed="false">
      <c r="A1150" s="16"/>
      <c r="B1150" s="10"/>
      <c r="C1150" s="17" t="str">
        <f aca="false">IF($B1150="","",IFERROR(INDEX(품목마스터!$B$3:$B$302,MATCH($B1150,품목마스터!$A$3:$A$302,0)),"미등록품번"))</f>
        <v/>
      </c>
      <c r="D1150" s="17" t="str">
        <f aca="false">IF($B1150="","",IFERROR(INDEX(품목마스터!$D$3:$D$302,MATCH($B1150,품목마스터!$A$3:$A$302,0)),""))</f>
        <v/>
      </c>
      <c r="E1150" s="12"/>
      <c r="F1150" s="10"/>
    </row>
    <row r="1151" customFormat="false" ht="15" hidden="false" customHeight="true" outlineLevel="0" collapsed="false">
      <c r="A1151" s="16"/>
      <c r="B1151" s="10"/>
      <c r="C1151" s="17" t="str">
        <f aca="false">IF($B1151="","",IFERROR(INDEX(품목마스터!$B$3:$B$302,MATCH($B1151,품목마스터!$A$3:$A$302,0)),"미등록품번"))</f>
        <v/>
      </c>
      <c r="D1151" s="17" t="str">
        <f aca="false">IF($B1151="","",IFERROR(INDEX(품목마스터!$D$3:$D$302,MATCH($B1151,품목마스터!$A$3:$A$302,0)),""))</f>
        <v/>
      </c>
      <c r="E1151" s="12"/>
      <c r="F1151" s="10"/>
    </row>
    <row r="1152" customFormat="false" ht="15" hidden="false" customHeight="true" outlineLevel="0" collapsed="false">
      <c r="A1152" s="16"/>
      <c r="B1152" s="10"/>
      <c r="C1152" s="17" t="str">
        <f aca="false">IF($B1152="","",IFERROR(INDEX(품목마스터!$B$3:$B$302,MATCH($B1152,품목마스터!$A$3:$A$302,0)),"미등록품번"))</f>
        <v/>
      </c>
      <c r="D1152" s="17" t="str">
        <f aca="false">IF($B1152="","",IFERROR(INDEX(품목마스터!$D$3:$D$302,MATCH($B1152,품목마스터!$A$3:$A$302,0)),""))</f>
        <v/>
      </c>
      <c r="E1152" s="12"/>
      <c r="F1152" s="10"/>
    </row>
    <row r="1153" customFormat="false" ht="15" hidden="false" customHeight="true" outlineLevel="0" collapsed="false">
      <c r="A1153" s="16"/>
      <c r="B1153" s="10"/>
      <c r="C1153" s="17" t="str">
        <f aca="false">IF($B1153="","",IFERROR(INDEX(품목마스터!$B$3:$B$302,MATCH($B1153,품목마스터!$A$3:$A$302,0)),"미등록품번"))</f>
        <v/>
      </c>
      <c r="D1153" s="17" t="str">
        <f aca="false">IF($B1153="","",IFERROR(INDEX(품목마스터!$D$3:$D$302,MATCH($B1153,품목마스터!$A$3:$A$302,0)),""))</f>
        <v/>
      </c>
      <c r="E1153" s="12"/>
      <c r="F1153" s="10"/>
    </row>
    <row r="1154" customFormat="false" ht="15" hidden="false" customHeight="true" outlineLevel="0" collapsed="false">
      <c r="A1154" s="16"/>
      <c r="B1154" s="10"/>
      <c r="C1154" s="17" t="str">
        <f aca="false">IF($B1154="","",IFERROR(INDEX(품목마스터!$B$3:$B$302,MATCH($B1154,품목마스터!$A$3:$A$302,0)),"미등록품번"))</f>
        <v/>
      </c>
      <c r="D1154" s="17" t="str">
        <f aca="false">IF($B1154="","",IFERROR(INDEX(품목마스터!$D$3:$D$302,MATCH($B1154,품목마스터!$A$3:$A$302,0)),""))</f>
        <v/>
      </c>
      <c r="E1154" s="12"/>
      <c r="F1154" s="10"/>
    </row>
    <row r="1155" customFormat="false" ht="15" hidden="false" customHeight="true" outlineLevel="0" collapsed="false">
      <c r="A1155" s="16"/>
      <c r="B1155" s="10"/>
      <c r="C1155" s="17" t="str">
        <f aca="false">IF($B1155="","",IFERROR(INDEX(품목마스터!$B$3:$B$302,MATCH($B1155,품목마스터!$A$3:$A$302,0)),"미등록품번"))</f>
        <v/>
      </c>
      <c r="D1155" s="17" t="str">
        <f aca="false">IF($B1155="","",IFERROR(INDEX(품목마스터!$D$3:$D$302,MATCH($B1155,품목마스터!$A$3:$A$302,0)),""))</f>
        <v/>
      </c>
      <c r="E1155" s="12"/>
      <c r="F1155" s="10"/>
    </row>
    <row r="1156" customFormat="false" ht="15" hidden="false" customHeight="true" outlineLevel="0" collapsed="false">
      <c r="A1156" s="16"/>
      <c r="B1156" s="10"/>
      <c r="C1156" s="17" t="str">
        <f aca="false">IF($B1156="","",IFERROR(INDEX(품목마스터!$B$3:$B$302,MATCH($B1156,품목마스터!$A$3:$A$302,0)),"미등록품번"))</f>
        <v/>
      </c>
      <c r="D1156" s="17" t="str">
        <f aca="false">IF($B1156="","",IFERROR(INDEX(품목마스터!$D$3:$D$302,MATCH($B1156,품목마스터!$A$3:$A$302,0)),""))</f>
        <v/>
      </c>
      <c r="E1156" s="12"/>
      <c r="F1156" s="10"/>
    </row>
    <row r="1157" customFormat="false" ht="15" hidden="false" customHeight="true" outlineLevel="0" collapsed="false">
      <c r="A1157" s="16"/>
      <c r="B1157" s="10"/>
      <c r="C1157" s="17" t="str">
        <f aca="false">IF($B1157="","",IFERROR(INDEX(품목마스터!$B$3:$B$302,MATCH($B1157,품목마스터!$A$3:$A$302,0)),"미등록품번"))</f>
        <v/>
      </c>
      <c r="D1157" s="17" t="str">
        <f aca="false">IF($B1157="","",IFERROR(INDEX(품목마스터!$D$3:$D$302,MATCH($B1157,품목마스터!$A$3:$A$302,0)),""))</f>
        <v/>
      </c>
      <c r="E1157" s="12"/>
      <c r="F1157" s="10"/>
    </row>
    <row r="1158" customFormat="false" ht="15" hidden="false" customHeight="true" outlineLevel="0" collapsed="false">
      <c r="A1158" s="16"/>
      <c r="B1158" s="10"/>
      <c r="C1158" s="17" t="str">
        <f aca="false">IF($B1158="","",IFERROR(INDEX(품목마스터!$B$3:$B$302,MATCH($B1158,품목마스터!$A$3:$A$302,0)),"미등록품번"))</f>
        <v/>
      </c>
      <c r="D1158" s="17" t="str">
        <f aca="false">IF($B1158="","",IFERROR(INDEX(품목마스터!$D$3:$D$302,MATCH($B1158,품목마스터!$A$3:$A$302,0)),""))</f>
        <v/>
      </c>
      <c r="E1158" s="12"/>
      <c r="F1158" s="10"/>
    </row>
    <row r="1159" customFormat="false" ht="15" hidden="false" customHeight="true" outlineLevel="0" collapsed="false">
      <c r="A1159" s="16"/>
      <c r="B1159" s="10"/>
      <c r="C1159" s="17" t="str">
        <f aca="false">IF($B1159="","",IFERROR(INDEX(품목마스터!$B$3:$B$302,MATCH($B1159,품목마스터!$A$3:$A$302,0)),"미등록품번"))</f>
        <v/>
      </c>
      <c r="D1159" s="17" t="str">
        <f aca="false">IF($B1159="","",IFERROR(INDEX(품목마스터!$D$3:$D$302,MATCH($B1159,품목마스터!$A$3:$A$302,0)),""))</f>
        <v/>
      </c>
      <c r="E1159" s="12"/>
      <c r="F1159" s="10"/>
    </row>
    <row r="1160" customFormat="false" ht="15" hidden="false" customHeight="true" outlineLevel="0" collapsed="false">
      <c r="A1160" s="16"/>
      <c r="B1160" s="10"/>
      <c r="C1160" s="17" t="str">
        <f aca="false">IF($B1160="","",IFERROR(INDEX(품목마스터!$B$3:$B$302,MATCH($B1160,품목마스터!$A$3:$A$302,0)),"미등록품번"))</f>
        <v/>
      </c>
      <c r="D1160" s="17" t="str">
        <f aca="false">IF($B1160="","",IFERROR(INDEX(품목마스터!$D$3:$D$302,MATCH($B1160,품목마스터!$A$3:$A$302,0)),""))</f>
        <v/>
      </c>
      <c r="E1160" s="12"/>
      <c r="F1160" s="10"/>
    </row>
    <row r="1161" customFormat="false" ht="15" hidden="false" customHeight="true" outlineLevel="0" collapsed="false">
      <c r="A1161" s="16"/>
      <c r="B1161" s="10"/>
      <c r="C1161" s="17" t="str">
        <f aca="false">IF($B1161="","",IFERROR(INDEX(품목마스터!$B$3:$B$302,MATCH($B1161,품목마스터!$A$3:$A$302,0)),"미등록품번"))</f>
        <v/>
      </c>
      <c r="D1161" s="17" t="str">
        <f aca="false">IF($B1161="","",IFERROR(INDEX(품목마스터!$D$3:$D$302,MATCH($B1161,품목마스터!$A$3:$A$302,0)),""))</f>
        <v/>
      </c>
      <c r="E1161" s="12"/>
      <c r="F1161" s="10"/>
    </row>
    <row r="1162" customFormat="false" ht="15" hidden="false" customHeight="true" outlineLevel="0" collapsed="false">
      <c r="A1162" s="16"/>
      <c r="B1162" s="10"/>
      <c r="C1162" s="17" t="str">
        <f aca="false">IF($B1162="","",IFERROR(INDEX(품목마스터!$B$3:$B$302,MATCH($B1162,품목마스터!$A$3:$A$302,0)),"미등록품번"))</f>
        <v/>
      </c>
      <c r="D1162" s="17" t="str">
        <f aca="false">IF($B1162="","",IFERROR(INDEX(품목마스터!$D$3:$D$302,MATCH($B1162,품목마스터!$A$3:$A$302,0)),""))</f>
        <v/>
      </c>
      <c r="E1162" s="12"/>
      <c r="F1162" s="10"/>
    </row>
    <row r="1163" customFormat="false" ht="15" hidden="false" customHeight="true" outlineLevel="0" collapsed="false">
      <c r="A1163" s="16"/>
      <c r="B1163" s="10"/>
      <c r="C1163" s="17" t="str">
        <f aca="false">IF($B1163="","",IFERROR(INDEX(품목마스터!$B$3:$B$302,MATCH($B1163,품목마스터!$A$3:$A$302,0)),"미등록품번"))</f>
        <v/>
      </c>
      <c r="D1163" s="17" t="str">
        <f aca="false">IF($B1163="","",IFERROR(INDEX(품목마스터!$D$3:$D$302,MATCH($B1163,품목마스터!$A$3:$A$302,0)),""))</f>
        <v/>
      </c>
      <c r="E1163" s="12"/>
      <c r="F1163" s="10"/>
    </row>
    <row r="1164" customFormat="false" ht="15" hidden="false" customHeight="true" outlineLevel="0" collapsed="false">
      <c r="A1164" s="16"/>
      <c r="B1164" s="10"/>
      <c r="C1164" s="17" t="str">
        <f aca="false">IF($B1164="","",IFERROR(INDEX(품목마스터!$B$3:$B$302,MATCH($B1164,품목마스터!$A$3:$A$302,0)),"미등록품번"))</f>
        <v/>
      </c>
      <c r="D1164" s="17" t="str">
        <f aca="false">IF($B1164="","",IFERROR(INDEX(품목마스터!$D$3:$D$302,MATCH($B1164,품목마스터!$A$3:$A$302,0)),""))</f>
        <v/>
      </c>
      <c r="E1164" s="12"/>
      <c r="F1164" s="10"/>
    </row>
    <row r="1165" customFormat="false" ht="15" hidden="false" customHeight="true" outlineLevel="0" collapsed="false">
      <c r="A1165" s="16"/>
      <c r="B1165" s="10"/>
      <c r="C1165" s="17" t="str">
        <f aca="false">IF($B1165="","",IFERROR(INDEX(품목마스터!$B$3:$B$302,MATCH($B1165,품목마스터!$A$3:$A$302,0)),"미등록품번"))</f>
        <v/>
      </c>
      <c r="D1165" s="17" t="str">
        <f aca="false">IF($B1165="","",IFERROR(INDEX(품목마스터!$D$3:$D$302,MATCH($B1165,품목마스터!$A$3:$A$302,0)),""))</f>
        <v/>
      </c>
      <c r="E1165" s="12"/>
      <c r="F1165" s="10"/>
    </row>
    <row r="1166" customFormat="false" ht="15" hidden="false" customHeight="true" outlineLevel="0" collapsed="false">
      <c r="A1166" s="16"/>
      <c r="B1166" s="10"/>
      <c r="C1166" s="17" t="str">
        <f aca="false">IF($B1166="","",IFERROR(INDEX(품목마스터!$B$3:$B$302,MATCH($B1166,품목마스터!$A$3:$A$302,0)),"미등록품번"))</f>
        <v/>
      </c>
      <c r="D1166" s="17" t="str">
        <f aca="false">IF($B1166="","",IFERROR(INDEX(품목마스터!$D$3:$D$302,MATCH($B1166,품목마스터!$A$3:$A$302,0)),""))</f>
        <v/>
      </c>
      <c r="E1166" s="12"/>
      <c r="F1166" s="10"/>
    </row>
    <row r="1167" customFormat="false" ht="15" hidden="false" customHeight="true" outlineLevel="0" collapsed="false">
      <c r="A1167" s="16"/>
      <c r="B1167" s="10"/>
      <c r="C1167" s="17" t="str">
        <f aca="false">IF($B1167="","",IFERROR(INDEX(품목마스터!$B$3:$B$302,MATCH($B1167,품목마스터!$A$3:$A$302,0)),"미등록품번"))</f>
        <v/>
      </c>
      <c r="D1167" s="17" t="str">
        <f aca="false">IF($B1167="","",IFERROR(INDEX(품목마스터!$D$3:$D$302,MATCH($B1167,품목마스터!$A$3:$A$302,0)),""))</f>
        <v/>
      </c>
      <c r="E1167" s="12"/>
      <c r="F1167" s="10"/>
    </row>
    <row r="1168" customFormat="false" ht="15" hidden="false" customHeight="true" outlineLevel="0" collapsed="false">
      <c r="A1168" s="16"/>
      <c r="B1168" s="10"/>
      <c r="C1168" s="17" t="str">
        <f aca="false">IF($B1168="","",IFERROR(INDEX(품목마스터!$B$3:$B$302,MATCH($B1168,품목마스터!$A$3:$A$302,0)),"미등록품번"))</f>
        <v/>
      </c>
      <c r="D1168" s="17" t="str">
        <f aca="false">IF($B1168="","",IFERROR(INDEX(품목마스터!$D$3:$D$302,MATCH($B1168,품목마스터!$A$3:$A$302,0)),""))</f>
        <v/>
      </c>
      <c r="E1168" s="12"/>
      <c r="F1168" s="10"/>
    </row>
    <row r="1169" customFormat="false" ht="15" hidden="false" customHeight="true" outlineLevel="0" collapsed="false">
      <c r="A1169" s="16"/>
      <c r="B1169" s="10"/>
      <c r="C1169" s="17" t="str">
        <f aca="false">IF($B1169="","",IFERROR(INDEX(품목마스터!$B$3:$B$302,MATCH($B1169,품목마스터!$A$3:$A$302,0)),"미등록품번"))</f>
        <v/>
      </c>
      <c r="D1169" s="17" t="str">
        <f aca="false">IF($B1169="","",IFERROR(INDEX(품목마스터!$D$3:$D$302,MATCH($B1169,품목마스터!$A$3:$A$302,0)),""))</f>
        <v/>
      </c>
      <c r="E1169" s="12"/>
      <c r="F1169" s="10"/>
    </row>
    <row r="1170" customFormat="false" ht="15" hidden="false" customHeight="true" outlineLevel="0" collapsed="false">
      <c r="A1170" s="16"/>
      <c r="B1170" s="10"/>
      <c r="C1170" s="17" t="str">
        <f aca="false">IF($B1170="","",IFERROR(INDEX(품목마스터!$B$3:$B$302,MATCH($B1170,품목마스터!$A$3:$A$302,0)),"미등록품번"))</f>
        <v/>
      </c>
      <c r="D1170" s="17" t="str">
        <f aca="false">IF($B1170="","",IFERROR(INDEX(품목마스터!$D$3:$D$302,MATCH($B1170,품목마스터!$A$3:$A$302,0)),""))</f>
        <v/>
      </c>
      <c r="E1170" s="12"/>
      <c r="F1170" s="10"/>
    </row>
    <row r="1171" customFormat="false" ht="15" hidden="false" customHeight="true" outlineLevel="0" collapsed="false">
      <c r="A1171" s="16"/>
      <c r="B1171" s="10"/>
      <c r="C1171" s="17" t="str">
        <f aca="false">IF($B1171="","",IFERROR(INDEX(품목마스터!$B$3:$B$302,MATCH($B1171,품목마스터!$A$3:$A$302,0)),"미등록품번"))</f>
        <v/>
      </c>
      <c r="D1171" s="17" t="str">
        <f aca="false">IF($B1171="","",IFERROR(INDEX(품목마스터!$D$3:$D$302,MATCH($B1171,품목마스터!$A$3:$A$302,0)),""))</f>
        <v/>
      </c>
      <c r="E1171" s="12"/>
      <c r="F1171" s="10"/>
    </row>
    <row r="1172" customFormat="false" ht="15" hidden="false" customHeight="true" outlineLevel="0" collapsed="false">
      <c r="A1172" s="16"/>
      <c r="B1172" s="10"/>
      <c r="C1172" s="17" t="str">
        <f aca="false">IF($B1172="","",IFERROR(INDEX(품목마스터!$B$3:$B$302,MATCH($B1172,품목마스터!$A$3:$A$302,0)),"미등록품번"))</f>
        <v/>
      </c>
      <c r="D1172" s="17" t="str">
        <f aca="false">IF($B1172="","",IFERROR(INDEX(품목마스터!$D$3:$D$302,MATCH($B1172,품목마스터!$A$3:$A$302,0)),""))</f>
        <v/>
      </c>
      <c r="E1172" s="12"/>
      <c r="F1172" s="10"/>
    </row>
    <row r="1173" customFormat="false" ht="15" hidden="false" customHeight="true" outlineLevel="0" collapsed="false">
      <c r="A1173" s="16"/>
      <c r="B1173" s="10"/>
      <c r="C1173" s="17" t="str">
        <f aca="false">IF($B1173="","",IFERROR(INDEX(품목마스터!$B$3:$B$302,MATCH($B1173,품목마스터!$A$3:$A$302,0)),"미등록품번"))</f>
        <v/>
      </c>
      <c r="D1173" s="17" t="str">
        <f aca="false">IF($B1173="","",IFERROR(INDEX(품목마스터!$D$3:$D$302,MATCH($B1173,품목마스터!$A$3:$A$302,0)),""))</f>
        <v/>
      </c>
      <c r="E1173" s="12"/>
      <c r="F1173" s="10"/>
    </row>
    <row r="1174" customFormat="false" ht="15" hidden="false" customHeight="true" outlineLevel="0" collapsed="false">
      <c r="A1174" s="16"/>
      <c r="B1174" s="10"/>
      <c r="C1174" s="17" t="str">
        <f aca="false">IF($B1174="","",IFERROR(INDEX(품목마스터!$B$3:$B$302,MATCH($B1174,품목마스터!$A$3:$A$302,0)),"미등록품번"))</f>
        <v/>
      </c>
      <c r="D1174" s="17" t="str">
        <f aca="false">IF($B1174="","",IFERROR(INDEX(품목마스터!$D$3:$D$302,MATCH($B1174,품목마스터!$A$3:$A$302,0)),""))</f>
        <v/>
      </c>
      <c r="E1174" s="12"/>
      <c r="F1174" s="10"/>
    </row>
    <row r="1175" customFormat="false" ht="15" hidden="false" customHeight="true" outlineLevel="0" collapsed="false">
      <c r="A1175" s="16"/>
      <c r="B1175" s="10"/>
      <c r="C1175" s="17" t="str">
        <f aca="false">IF($B1175="","",IFERROR(INDEX(품목마스터!$B$3:$B$302,MATCH($B1175,품목마스터!$A$3:$A$302,0)),"미등록품번"))</f>
        <v/>
      </c>
      <c r="D1175" s="17" t="str">
        <f aca="false">IF($B1175="","",IFERROR(INDEX(품목마스터!$D$3:$D$302,MATCH($B1175,품목마스터!$A$3:$A$302,0)),""))</f>
        <v/>
      </c>
      <c r="E1175" s="12"/>
      <c r="F1175" s="10"/>
    </row>
    <row r="1176" customFormat="false" ht="15" hidden="false" customHeight="true" outlineLevel="0" collapsed="false">
      <c r="A1176" s="16"/>
      <c r="B1176" s="10"/>
      <c r="C1176" s="17" t="str">
        <f aca="false">IF($B1176="","",IFERROR(INDEX(품목마스터!$B$3:$B$302,MATCH($B1176,품목마스터!$A$3:$A$302,0)),"미등록품번"))</f>
        <v/>
      </c>
      <c r="D1176" s="17" t="str">
        <f aca="false">IF($B1176="","",IFERROR(INDEX(품목마스터!$D$3:$D$302,MATCH($B1176,품목마스터!$A$3:$A$302,0)),""))</f>
        <v/>
      </c>
      <c r="E1176" s="12"/>
      <c r="F1176" s="10"/>
    </row>
    <row r="1177" customFormat="false" ht="15" hidden="false" customHeight="true" outlineLevel="0" collapsed="false">
      <c r="A1177" s="16"/>
      <c r="B1177" s="10"/>
      <c r="C1177" s="17" t="str">
        <f aca="false">IF($B1177="","",IFERROR(INDEX(품목마스터!$B$3:$B$302,MATCH($B1177,품목마스터!$A$3:$A$302,0)),"미등록품번"))</f>
        <v/>
      </c>
      <c r="D1177" s="17" t="str">
        <f aca="false">IF($B1177="","",IFERROR(INDEX(품목마스터!$D$3:$D$302,MATCH($B1177,품목마스터!$A$3:$A$302,0)),""))</f>
        <v/>
      </c>
      <c r="E1177" s="12"/>
      <c r="F1177" s="10"/>
    </row>
    <row r="1178" customFormat="false" ht="15" hidden="false" customHeight="true" outlineLevel="0" collapsed="false">
      <c r="A1178" s="16"/>
      <c r="B1178" s="10"/>
      <c r="C1178" s="17" t="str">
        <f aca="false">IF($B1178="","",IFERROR(INDEX(품목마스터!$B$3:$B$302,MATCH($B1178,품목마스터!$A$3:$A$302,0)),"미등록품번"))</f>
        <v/>
      </c>
      <c r="D1178" s="17" t="str">
        <f aca="false">IF($B1178="","",IFERROR(INDEX(품목마스터!$D$3:$D$302,MATCH($B1178,품목마스터!$A$3:$A$302,0)),""))</f>
        <v/>
      </c>
      <c r="E1178" s="12"/>
      <c r="F1178" s="10"/>
    </row>
    <row r="1179" customFormat="false" ht="15" hidden="false" customHeight="true" outlineLevel="0" collapsed="false">
      <c r="A1179" s="16"/>
      <c r="B1179" s="10"/>
      <c r="C1179" s="17" t="str">
        <f aca="false">IF($B1179="","",IFERROR(INDEX(품목마스터!$B$3:$B$302,MATCH($B1179,품목마스터!$A$3:$A$302,0)),"미등록품번"))</f>
        <v/>
      </c>
      <c r="D1179" s="17" t="str">
        <f aca="false">IF($B1179="","",IFERROR(INDEX(품목마스터!$D$3:$D$302,MATCH($B1179,품목마스터!$A$3:$A$302,0)),""))</f>
        <v/>
      </c>
      <c r="E1179" s="12"/>
      <c r="F1179" s="10"/>
    </row>
    <row r="1180" customFormat="false" ht="15" hidden="false" customHeight="true" outlineLevel="0" collapsed="false">
      <c r="A1180" s="16"/>
      <c r="B1180" s="10"/>
      <c r="C1180" s="17" t="str">
        <f aca="false">IF($B1180="","",IFERROR(INDEX(품목마스터!$B$3:$B$302,MATCH($B1180,품목마스터!$A$3:$A$302,0)),"미등록품번"))</f>
        <v/>
      </c>
      <c r="D1180" s="17" t="str">
        <f aca="false">IF($B1180="","",IFERROR(INDEX(품목마스터!$D$3:$D$302,MATCH($B1180,품목마스터!$A$3:$A$302,0)),""))</f>
        <v/>
      </c>
      <c r="E1180" s="12"/>
      <c r="F1180" s="10"/>
    </row>
    <row r="1181" customFormat="false" ht="15" hidden="false" customHeight="true" outlineLevel="0" collapsed="false">
      <c r="A1181" s="16"/>
      <c r="B1181" s="10"/>
      <c r="C1181" s="17" t="str">
        <f aca="false">IF($B1181="","",IFERROR(INDEX(품목마스터!$B$3:$B$302,MATCH($B1181,품목마스터!$A$3:$A$302,0)),"미등록품번"))</f>
        <v/>
      </c>
      <c r="D1181" s="17" t="str">
        <f aca="false">IF($B1181="","",IFERROR(INDEX(품목마스터!$D$3:$D$302,MATCH($B1181,품목마스터!$A$3:$A$302,0)),""))</f>
        <v/>
      </c>
      <c r="E1181" s="12"/>
      <c r="F1181" s="10"/>
    </row>
    <row r="1182" customFormat="false" ht="15" hidden="false" customHeight="true" outlineLevel="0" collapsed="false">
      <c r="A1182" s="16"/>
      <c r="B1182" s="10"/>
      <c r="C1182" s="17" t="str">
        <f aca="false">IF($B1182="","",IFERROR(INDEX(품목마스터!$B$3:$B$302,MATCH($B1182,품목마스터!$A$3:$A$302,0)),"미등록품번"))</f>
        <v/>
      </c>
      <c r="D1182" s="17" t="str">
        <f aca="false">IF($B1182="","",IFERROR(INDEX(품목마스터!$D$3:$D$302,MATCH($B1182,품목마스터!$A$3:$A$302,0)),""))</f>
        <v/>
      </c>
      <c r="E1182" s="12"/>
      <c r="F1182" s="10"/>
    </row>
    <row r="1183" customFormat="false" ht="15" hidden="false" customHeight="true" outlineLevel="0" collapsed="false">
      <c r="A1183" s="16"/>
      <c r="B1183" s="10"/>
      <c r="C1183" s="17" t="str">
        <f aca="false">IF($B1183="","",IFERROR(INDEX(품목마스터!$B$3:$B$302,MATCH($B1183,품목마스터!$A$3:$A$302,0)),"미등록품번"))</f>
        <v/>
      </c>
      <c r="D1183" s="17" t="str">
        <f aca="false">IF($B1183="","",IFERROR(INDEX(품목마스터!$D$3:$D$302,MATCH($B1183,품목마스터!$A$3:$A$302,0)),""))</f>
        <v/>
      </c>
      <c r="E1183" s="12"/>
      <c r="F1183" s="10"/>
    </row>
    <row r="1184" customFormat="false" ht="15" hidden="false" customHeight="true" outlineLevel="0" collapsed="false">
      <c r="A1184" s="16"/>
      <c r="B1184" s="10"/>
      <c r="C1184" s="17" t="str">
        <f aca="false">IF($B1184="","",IFERROR(INDEX(품목마스터!$B$3:$B$302,MATCH($B1184,품목마스터!$A$3:$A$302,0)),"미등록품번"))</f>
        <v/>
      </c>
      <c r="D1184" s="17" t="str">
        <f aca="false">IF($B1184="","",IFERROR(INDEX(품목마스터!$D$3:$D$302,MATCH($B1184,품목마스터!$A$3:$A$302,0)),""))</f>
        <v/>
      </c>
      <c r="E1184" s="12"/>
      <c r="F1184" s="10"/>
    </row>
    <row r="1185" customFormat="false" ht="15" hidden="false" customHeight="true" outlineLevel="0" collapsed="false">
      <c r="A1185" s="16"/>
      <c r="B1185" s="10"/>
      <c r="C1185" s="17" t="str">
        <f aca="false">IF($B1185="","",IFERROR(INDEX(품목마스터!$B$3:$B$302,MATCH($B1185,품목마스터!$A$3:$A$302,0)),"미등록품번"))</f>
        <v/>
      </c>
      <c r="D1185" s="17" t="str">
        <f aca="false">IF($B1185="","",IFERROR(INDEX(품목마스터!$D$3:$D$302,MATCH($B1185,품목마스터!$A$3:$A$302,0)),""))</f>
        <v/>
      </c>
      <c r="E1185" s="12"/>
      <c r="F1185" s="10"/>
    </row>
    <row r="1186" customFormat="false" ht="15" hidden="false" customHeight="true" outlineLevel="0" collapsed="false">
      <c r="A1186" s="16"/>
      <c r="B1186" s="10"/>
      <c r="C1186" s="17" t="str">
        <f aca="false">IF($B1186="","",IFERROR(INDEX(품목마스터!$B$3:$B$302,MATCH($B1186,품목마스터!$A$3:$A$302,0)),"미등록품번"))</f>
        <v/>
      </c>
      <c r="D1186" s="17" t="str">
        <f aca="false">IF($B1186="","",IFERROR(INDEX(품목마스터!$D$3:$D$302,MATCH($B1186,품목마스터!$A$3:$A$302,0)),""))</f>
        <v/>
      </c>
      <c r="E1186" s="12"/>
      <c r="F1186" s="10"/>
    </row>
    <row r="1187" customFormat="false" ht="15" hidden="false" customHeight="true" outlineLevel="0" collapsed="false">
      <c r="A1187" s="16"/>
      <c r="B1187" s="10"/>
      <c r="C1187" s="17" t="str">
        <f aca="false">IF($B1187="","",IFERROR(INDEX(품목마스터!$B$3:$B$302,MATCH($B1187,품목마스터!$A$3:$A$302,0)),"미등록품번"))</f>
        <v/>
      </c>
      <c r="D1187" s="17" t="str">
        <f aca="false">IF($B1187="","",IFERROR(INDEX(품목마스터!$D$3:$D$302,MATCH($B1187,품목마스터!$A$3:$A$302,0)),""))</f>
        <v/>
      </c>
      <c r="E1187" s="12"/>
      <c r="F1187" s="10"/>
    </row>
    <row r="1188" customFormat="false" ht="15" hidden="false" customHeight="true" outlineLevel="0" collapsed="false">
      <c r="A1188" s="16"/>
      <c r="B1188" s="10"/>
      <c r="C1188" s="17" t="str">
        <f aca="false">IF($B1188="","",IFERROR(INDEX(품목마스터!$B$3:$B$302,MATCH($B1188,품목마스터!$A$3:$A$302,0)),"미등록품번"))</f>
        <v/>
      </c>
      <c r="D1188" s="17" t="str">
        <f aca="false">IF($B1188="","",IFERROR(INDEX(품목마스터!$D$3:$D$302,MATCH($B1188,품목마스터!$A$3:$A$302,0)),""))</f>
        <v/>
      </c>
      <c r="E1188" s="12"/>
      <c r="F1188" s="10"/>
    </row>
    <row r="1189" customFormat="false" ht="15" hidden="false" customHeight="true" outlineLevel="0" collapsed="false">
      <c r="A1189" s="16"/>
      <c r="B1189" s="10"/>
      <c r="C1189" s="17" t="str">
        <f aca="false">IF($B1189="","",IFERROR(INDEX(품목마스터!$B$3:$B$302,MATCH($B1189,품목마스터!$A$3:$A$302,0)),"미등록품번"))</f>
        <v/>
      </c>
      <c r="D1189" s="17" t="str">
        <f aca="false">IF($B1189="","",IFERROR(INDEX(품목마스터!$D$3:$D$302,MATCH($B1189,품목마스터!$A$3:$A$302,0)),""))</f>
        <v/>
      </c>
      <c r="E1189" s="12"/>
      <c r="F1189" s="10"/>
    </row>
    <row r="1190" customFormat="false" ht="15" hidden="false" customHeight="true" outlineLevel="0" collapsed="false">
      <c r="A1190" s="16"/>
      <c r="B1190" s="10"/>
      <c r="C1190" s="17" t="str">
        <f aca="false">IF($B1190="","",IFERROR(INDEX(품목마스터!$B$3:$B$302,MATCH($B1190,품목마스터!$A$3:$A$302,0)),"미등록품번"))</f>
        <v/>
      </c>
      <c r="D1190" s="17" t="str">
        <f aca="false">IF($B1190="","",IFERROR(INDEX(품목마스터!$D$3:$D$302,MATCH($B1190,품목마스터!$A$3:$A$302,0)),""))</f>
        <v/>
      </c>
      <c r="E1190" s="12"/>
      <c r="F1190" s="10"/>
    </row>
    <row r="1191" customFormat="false" ht="15" hidden="false" customHeight="true" outlineLevel="0" collapsed="false">
      <c r="A1191" s="16"/>
      <c r="B1191" s="10"/>
      <c r="C1191" s="17" t="str">
        <f aca="false">IF($B1191="","",IFERROR(INDEX(품목마스터!$B$3:$B$302,MATCH($B1191,품목마스터!$A$3:$A$302,0)),"미등록품번"))</f>
        <v/>
      </c>
      <c r="D1191" s="17" t="str">
        <f aca="false">IF($B1191="","",IFERROR(INDEX(품목마스터!$D$3:$D$302,MATCH($B1191,품목마스터!$A$3:$A$302,0)),""))</f>
        <v/>
      </c>
      <c r="E1191" s="12"/>
      <c r="F1191" s="10"/>
    </row>
    <row r="1192" customFormat="false" ht="15" hidden="false" customHeight="true" outlineLevel="0" collapsed="false">
      <c r="A1192" s="16"/>
      <c r="B1192" s="10"/>
      <c r="C1192" s="17" t="str">
        <f aca="false">IF($B1192="","",IFERROR(INDEX(품목마스터!$B$3:$B$302,MATCH($B1192,품목마스터!$A$3:$A$302,0)),"미등록품번"))</f>
        <v/>
      </c>
      <c r="D1192" s="17" t="str">
        <f aca="false">IF($B1192="","",IFERROR(INDEX(품목마스터!$D$3:$D$302,MATCH($B1192,품목마스터!$A$3:$A$302,0)),""))</f>
        <v/>
      </c>
      <c r="E1192" s="12"/>
      <c r="F1192" s="10"/>
    </row>
    <row r="1193" customFormat="false" ht="15" hidden="false" customHeight="true" outlineLevel="0" collapsed="false">
      <c r="A1193" s="16"/>
      <c r="B1193" s="10"/>
      <c r="C1193" s="17" t="str">
        <f aca="false">IF($B1193="","",IFERROR(INDEX(품목마스터!$B$3:$B$302,MATCH($B1193,품목마스터!$A$3:$A$302,0)),"미등록품번"))</f>
        <v/>
      </c>
      <c r="D1193" s="17" t="str">
        <f aca="false">IF($B1193="","",IFERROR(INDEX(품목마스터!$D$3:$D$302,MATCH($B1193,품목마스터!$A$3:$A$302,0)),""))</f>
        <v/>
      </c>
      <c r="E1193" s="12"/>
      <c r="F1193" s="10"/>
    </row>
    <row r="1194" customFormat="false" ht="15" hidden="false" customHeight="true" outlineLevel="0" collapsed="false">
      <c r="A1194" s="16"/>
      <c r="B1194" s="10"/>
      <c r="C1194" s="17" t="str">
        <f aca="false">IF($B1194="","",IFERROR(INDEX(품목마스터!$B$3:$B$302,MATCH($B1194,품목마스터!$A$3:$A$302,0)),"미등록품번"))</f>
        <v/>
      </c>
      <c r="D1194" s="17" t="str">
        <f aca="false">IF($B1194="","",IFERROR(INDEX(품목마스터!$D$3:$D$302,MATCH($B1194,품목마스터!$A$3:$A$302,0)),""))</f>
        <v/>
      </c>
      <c r="E1194" s="12"/>
      <c r="F1194" s="10"/>
    </row>
    <row r="1195" customFormat="false" ht="15" hidden="false" customHeight="true" outlineLevel="0" collapsed="false">
      <c r="A1195" s="16"/>
      <c r="B1195" s="10"/>
      <c r="C1195" s="17" t="str">
        <f aca="false">IF($B1195="","",IFERROR(INDEX(품목마스터!$B$3:$B$302,MATCH($B1195,품목마스터!$A$3:$A$302,0)),"미등록품번"))</f>
        <v/>
      </c>
      <c r="D1195" s="17" t="str">
        <f aca="false">IF($B1195="","",IFERROR(INDEX(품목마스터!$D$3:$D$302,MATCH($B1195,품목마스터!$A$3:$A$302,0)),""))</f>
        <v/>
      </c>
      <c r="E1195" s="12"/>
      <c r="F1195" s="10"/>
    </row>
    <row r="1196" customFormat="false" ht="15" hidden="false" customHeight="true" outlineLevel="0" collapsed="false">
      <c r="A1196" s="16"/>
      <c r="B1196" s="10"/>
      <c r="C1196" s="17" t="str">
        <f aca="false">IF($B1196="","",IFERROR(INDEX(품목마스터!$B$3:$B$302,MATCH($B1196,품목마스터!$A$3:$A$302,0)),"미등록품번"))</f>
        <v/>
      </c>
      <c r="D1196" s="17" t="str">
        <f aca="false">IF($B1196="","",IFERROR(INDEX(품목마스터!$D$3:$D$302,MATCH($B1196,품목마스터!$A$3:$A$302,0)),""))</f>
        <v/>
      </c>
      <c r="E1196" s="12"/>
      <c r="F1196" s="10"/>
    </row>
    <row r="1197" customFormat="false" ht="15" hidden="false" customHeight="true" outlineLevel="0" collapsed="false">
      <c r="A1197" s="16"/>
      <c r="B1197" s="10"/>
      <c r="C1197" s="17" t="str">
        <f aca="false">IF($B1197="","",IFERROR(INDEX(품목마스터!$B$3:$B$302,MATCH($B1197,품목마스터!$A$3:$A$302,0)),"미등록품번"))</f>
        <v/>
      </c>
      <c r="D1197" s="17" t="str">
        <f aca="false">IF($B1197="","",IFERROR(INDEX(품목마스터!$D$3:$D$302,MATCH($B1197,품목마스터!$A$3:$A$302,0)),""))</f>
        <v/>
      </c>
      <c r="E1197" s="12"/>
      <c r="F1197" s="10"/>
    </row>
    <row r="1198" customFormat="false" ht="15" hidden="false" customHeight="true" outlineLevel="0" collapsed="false">
      <c r="A1198" s="16"/>
      <c r="B1198" s="10"/>
      <c r="C1198" s="17" t="str">
        <f aca="false">IF($B1198="","",IFERROR(INDEX(품목마스터!$B$3:$B$302,MATCH($B1198,품목마스터!$A$3:$A$302,0)),"미등록품번"))</f>
        <v/>
      </c>
      <c r="D1198" s="17" t="str">
        <f aca="false">IF($B1198="","",IFERROR(INDEX(품목마스터!$D$3:$D$302,MATCH($B1198,품목마스터!$A$3:$A$302,0)),""))</f>
        <v/>
      </c>
      <c r="E1198" s="12"/>
      <c r="F1198" s="10"/>
    </row>
    <row r="1199" customFormat="false" ht="15" hidden="false" customHeight="true" outlineLevel="0" collapsed="false">
      <c r="A1199" s="16"/>
      <c r="B1199" s="10"/>
      <c r="C1199" s="17" t="str">
        <f aca="false">IF($B1199="","",IFERROR(INDEX(품목마스터!$B$3:$B$302,MATCH($B1199,품목마스터!$A$3:$A$302,0)),"미등록품번"))</f>
        <v/>
      </c>
      <c r="D1199" s="17" t="str">
        <f aca="false">IF($B1199="","",IFERROR(INDEX(품목마스터!$D$3:$D$302,MATCH($B1199,품목마스터!$A$3:$A$302,0)),""))</f>
        <v/>
      </c>
      <c r="E1199" s="12"/>
      <c r="F1199" s="10"/>
    </row>
    <row r="1200" customFormat="false" ht="15" hidden="false" customHeight="true" outlineLevel="0" collapsed="false">
      <c r="A1200" s="16"/>
      <c r="B1200" s="10"/>
      <c r="C1200" s="17" t="str">
        <f aca="false">IF($B1200="","",IFERROR(INDEX(품목마스터!$B$3:$B$302,MATCH($B1200,품목마스터!$A$3:$A$302,0)),"미등록품번"))</f>
        <v/>
      </c>
      <c r="D1200" s="17" t="str">
        <f aca="false">IF($B1200="","",IFERROR(INDEX(품목마스터!$D$3:$D$302,MATCH($B1200,품목마스터!$A$3:$A$302,0)),""))</f>
        <v/>
      </c>
      <c r="E1200" s="12"/>
      <c r="F1200" s="10"/>
    </row>
    <row r="1201" customFormat="false" ht="15" hidden="false" customHeight="true" outlineLevel="0" collapsed="false">
      <c r="A1201" s="16"/>
      <c r="B1201" s="10"/>
      <c r="C1201" s="17" t="str">
        <f aca="false">IF($B1201="","",IFERROR(INDEX(품목마스터!$B$3:$B$302,MATCH($B1201,품목마스터!$A$3:$A$302,0)),"미등록품번"))</f>
        <v/>
      </c>
      <c r="D1201" s="17" t="str">
        <f aca="false">IF($B1201="","",IFERROR(INDEX(품목마스터!$D$3:$D$302,MATCH($B1201,품목마스터!$A$3:$A$302,0)),""))</f>
        <v/>
      </c>
      <c r="E1201" s="12"/>
      <c r="F1201" s="10"/>
    </row>
    <row r="1202" customFormat="false" ht="15" hidden="false" customHeight="true" outlineLevel="0" collapsed="false">
      <c r="A1202" s="16"/>
      <c r="B1202" s="10"/>
      <c r="C1202" s="17" t="str">
        <f aca="false">IF($B1202="","",IFERROR(INDEX(품목마스터!$B$3:$B$302,MATCH($B1202,품목마스터!$A$3:$A$302,0)),"미등록품번"))</f>
        <v/>
      </c>
      <c r="D1202" s="17" t="str">
        <f aca="false">IF($B1202="","",IFERROR(INDEX(품목마스터!$D$3:$D$302,MATCH($B1202,품목마스터!$A$3:$A$302,0)),""))</f>
        <v/>
      </c>
      <c r="E1202" s="12"/>
      <c r="F1202" s="10"/>
    </row>
    <row r="1203" customFormat="false" ht="15" hidden="false" customHeight="true" outlineLevel="0" collapsed="false">
      <c r="A1203" s="16"/>
      <c r="B1203" s="10"/>
      <c r="C1203" s="17" t="str">
        <f aca="false">IF($B1203="","",IFERROR(INDEX(품목마스터!$B$3:$B$302,MATCH($B1203,품목마스터!$A$3:$A$302,0)),"미등록품번"))</f>
        <v/>
      </c>
      <c r="D1203" s="17" t="str">
        <f aca="false">IF($B1203="","",IFERROR(INDEX(품목마스터!$D$3:$D$302,MATCH($B1203,품목마스터!$A$3:$A$302,0)),""))</f>
        <v/>
      </c>
      <c r="E1203" s="12"/>
      <c r="F1203" s="10"/>
    </row>
    <row r="1204" customFormat="false" ht="15" hidden="false" customHeight="true" outlineLevel="0" collapsed="false">
      <c r="A1204" s="16"/>
      <c r="B1204" s="10"/>
      <c r="C1204" s="17" t="str">
        <f aca="false">IF($B1204="","",IFERROR(INDEX(품목마스터!$B$3:$B$302,MATCH($B1204,품목마스터!$A$3:$A$302,0)),"미등록품번"))</f>
        <v/>
      </c>
      <c r="D1204" s="17" t="str">
        <f aca="false">IF($B1204="","",IFERROR(INDEX(품목마스터!$D$3:$D$302,MATCH($B1204,품목마스터!$A$3:$A$302,0)),""))</f>
        <v/>
      </c>
      <c r="E1204" s="12"/>
      <c r="F1204" s="10"/>
    </row>
    <row r="1205" customFormat="false" ht="15" hidden="false" customHeight="true" outlineLevel="0" collapsed="false">
      <c r="A1205" s="16"/>
      <c r="B1205" s="10"/>
      <c r="C1205" s="17" t="str">
        <f aca="false">IF($B1205="","",IFERROR(INDEX(품목마스터!$B$3:$B$302,MATCH($B1205,품목마스터!$A$3:$A$302,0)),"미등록품번"))</f>
        <v/>
      </c>
      <c r="D1205" s="17" t="str">
        <f aca="false">IF($B1205="","",IFERROR(INDEX(품목마스터!$D$3:$D$302,MATCH($B1205,품목마스터!$A$3:$A$302,0)),""))</f>
        <v/>
      </c>
      <c r="E1205" s="12"/>
      <c r="F1205" s="10"/>
    </row>
    <row r="1206" customFormat="false" ht="15" hidden="false" customHeight="true" outlineLevel="0" collapsed="false">
      <c r="A1206" s="16"/>
      <c r="B1206" s="10"/>
      <c r="C1206" s="17" t="str">
        <f aca="false">IF($B1206="","",IFERROR(INDEX(품목마스터!$B$3:$B$302,MATCH($B1206,품목마스터!$A$3:$A$302,0)),"미등록품번"))</f>
        <v/>
      </c>
      <c r="D1206" s="17" t="str">
        <f aca="false">IF($B1206="","",IFERROR(INDEX(품목마스터!$D$3:$D$302,MATCH($B1206,품목마스터!$A$3:$A$302,0)),""))</f>
        <v/>
      </c>
      <c r="E1206" s="12"/>
      <c r="F1206" s="10"/>
    </row>
    <row r="1207" customFormat="false" ht="15" hidden="false" customHeight="true" outlineLevel="0" collapsed="false">
      <c r="A1207" s="16"/>
      <c r="B1207" s="10"/>
      <c r="C1207" s="17" t="str">
        <f aca="false">IF($B1207="","",IFERROR(INDEX(품목마스터!$B$3:$B$302,MATCH($B1207,품목마스터!$A$3:$A$302,0)),"미등록품번"))</f>
        <v/>
      </c>
      <c r="D1207" s="17" t="str">
        <f aca="false">IF($B1207="","",IFERROR(INDEX(품목마스터!$D$3:$D$302,MATCH($B1207,품목마스터!$A$3:$A$302,0)),""))</f>
        <v/>
      </c>
      <c r="E1207" s="12"/>
      <c r="F1207" s="10"/>
    </row>
    <row r="1208" customFormat="false" ht="15" hidden="false" customHeight="true" outlineLevel="0" collapsed="false">
      <c r="A1208" s="16"/>
      <c r="B1208" s="10"/>
      <c r="C1208" s="17" t="str">
        <f aca="false">IF($B1208="","",IFERROR(INDEX(품목마스터!$B$3:$B$302,MATCH($B1208,품목마스터!$A$3:$A$302,0)),"미등록품번"))</f>
        <v/>
      </c>
      <c r="D1208" s="17" t="str">
        <f aca="false">IF($B1208="","",IFERROR(INDEX(품목마스터!$D$3:$D$302,MATCH($B1208,품목마스터!$A$3:$A$302,0)),""))</f>
        <v/>
      </c>
      <c r="E1208" s="12"/>
      <c r="F1208" s="10"/>
    </row>
    <row r="1209" customFormat="false" ht="15" hidden="false" customHeight="true" outlineLevel="0" collapsed="false">
      <c r="A1209" s="16"/>
      <c r="B1209" s="10"/>
      <c r="C1209" s="17" t="str">
        <f aca="false">IF($B1209="","",IFERROR(INDEX(품목마스터!$B$3:$B$302,MATCH($B1209,품목마스터!$A$3:$A$302,0)),"미등록품번"))</f>
        <v/>
      </c>
      <c r="D1209" s="17" t="str">
        <f aca="false">IF($B1209="","",IFERROR(INDEX(품목마스터!$D$3:$D$302,MATCH($B1209,품목마스터!$A$3:$A$302,0)),""))</f>
        <v/>
      </c>
      <c r="E1209" s="12"/>
      <c r="F1209" s="10"/>
    </row>
    <row r="1210" customFormat="false" ht="15" hidden="false" customHeight="true" outlineLevel="0" collapsed="false">
      <c r="A1210" s="16"/>
      <c r="B1210" s="10"/>
      <c r="C1210" s="17" t="str">
        <f aca="false">IF($B1210="","",IFERROR(INDEX(품목마스터!$B$3:$B$302,MATCH($B1210,품목마스터!$A$3:$A$302,0)),"미등록품번"))</f>
        <v/>
      </c>
      <c r="D1210" s="17" t="str">
        <f aca="false">IF($B1210="","",IFERROR(INDEX(품목마스터!$D$3:$D$302,MATCH($B1210,품목마스터!$A$3:$A$302,0)),""))</f>
        <v/>
      </c>
      <c r="E1210" s="12"/>
      <c r="F1210" s="10"/>
    </row>
    <row r="1211" customFormat="false" ht="15" hidden="false" customHeight="true" outlineLevel="0" collapsed="false">
      <c r="A1211" s="16"/>
      <c r="B1211" s="10"/>
      <c r="C1211" s="17" t="str">
        <f aca="false">IF($B1211="","",IFERROR(INDEX(품목마스터!$B$3:$B$302,MATCH($B1211,품목마스터!$A$3:$A$302,0)),"미등록품번"))</f>
        <v/>
      </c>
      <c r="D1211" s="17" t="str">
        <f aca="false">IF($B1211="","",IFERROR(INDEX(품목마스터!$D$3:$D$302,MATCH($B1211,품목마스터!$A$3:$A$302,0)),""))</f>
        <v/>
      </c>
      <c r="E1211" s="12"/>
      <c r="F1211" s="10"/>
    </row>
    <row r="1212" customFormat="false" ht="15" hidden="false" customHeight="true" outlineLevel="0" collapsed="false">
      <c r="A1212" s="16"/>
      <c r="B1212" s="10"/>
      <c r="C1212" s="17" t="str">
        <f aca="false">IF($B1212="","",IFERROR(INDEX(품목마스터!$B$3:$B$302,MATCH($B1212,품목마스터!$A$3:$A$302,0)),"미등록품번"))</f>
        <v/>
      </c>
      <c r="D1212" s="17" t="str">
        <f aca="false">IF($B1212="","",IFERROR(INDEX(품목마스터!$D$3:$D$302,MATCH($B1212,품목마스터!$A$3:$A$302,0)),""))</f>
        <v/>
      </c>
      <c r="E1212" s="12"/>
      <c r="F1212" s="10"/>
    </row>
    <row r="1213" customFormat="false" ht="15" hidden="false" customHeight="true" outlineLevel="0" collapsed="false">
      <c r="A1213" s="16"/>
      <c r="B1213" s="10"/>
      <c r="C1213" s="17" t="str">
        <f aca="false">IF($B1213="","",IFERROR(INDEX(품목마스터!$B$3:$B$302,MATCH($B1213,품목마스터!$A$3:$A$302,0)),"미등록품번"))</f>
        <v/>
      </c>
      <c r="D1213" s="17" t="str">
        <f aca="false">IF($B1213="","",IFERROR(INDEX(품목마스터!$D$3:$D$302,MATCH($B1213,품목마스터!$A$3:$A$302,0)),""))</f>
        <v/>
      </c>
      <c r="E1213" s="12"/>
      <c r="F1213" s="10"/>
    </row>
    <row r="1214" customFormat="false" ht="15" hidden="false" customHeight="true" outlineLevel="0" collapsed="false">
      <c r="A1214" s="16"/>
      <c r="B1214" s="10"/>
      <c r="C1214" s="17" t="str">
        <f aca="false">IF($B1214="","",IFERROR(INDEX(품목마스터!$B$3:$B$302,MATCH($B1214,품목마스터!$A$3:$A$302,0)),"미등록품번"))</f>
        <v/>
      </c>
      <c r="D1214" s="17" t="str">
        <f aca="false">IF($B1214="","",IFERROR(INDEX(품목마스터!$D$3:$D$302,MATCH($B1214,품목마스터!$A$3:$A$302,0)),""))</f>
        <v/>
      </c>
      <c r="E1214" s="12"/>
      <c r="F1214" s="10"/>
    </row>
    <row r="1215" customFormat="false" ht="15" hidden="false" customHeight="true" outlineLevel="0" collapsed="false">
      <c r="A1215" s="16"/>
      <c r="B1215" s="10"/>
      <c r="C1215" s="17" t="str">
        <f aca="false">IF($B1215="","",IFERROR(INDEX(품목마스터!$B$3:$B$302,MATCH($B1215,품목마스터!$A$3:$A$302,0)),"미등록품번"))</f>
        <v/>
      </c>
      <c r="D1215" s="17" t="str">
        <f aca="false">IF($B1215="","",IFERROR(INDEX(품목마스터!$D$3:$D$302,MATCH($B1215,품목마스터!$A$3:$A$302,0)),""))</f>
        <v/>
      </c>
      <c r="E1215" s="12"/>
      <c r="F1215" s="10"/>
    </row>
    <row r="1216" customFormat="false" ht="15" hidden="false" customHeight="true" outlineLevel="0" collapsed="false">
      <c r="A1216" s="16"/>
      <c r="B1216" s="10"/>
      <c r="C1216" s="17" t="str">
        <f aca="false">IF($B1216="","",IFERROR(INDEX(품목마스터!$B$3:$B$302,MATCH($B1216,품목마스터!$A$3:$A$302,0)),"미등록품번"))</f>
        <v/>
      </c>
      <c r="D1216" s="17" t="str">
        <f aca="false">IF($B1216="","",IFERROR(INDEX(품목마스터!$D$3:$D$302,MATCH($B1216,품목마스터!$A$3:$A$302,0)),""))</f>
        <v/>
      </c>
      <c r="E1216" s="12"/>
      <c r="F1216" s="10"/>
    </row>
    <row r="1217" customFormat="false" ht="15" hidden="false" customHeight="true" outlineLevel="0" collapsed="false">
      <c r="A1217" s="16"/>
      <c r="B1217" s="10"/>
      <c r="C1217" s="17" t="str">
        <f aca="false">IF($B1217="","",IFERROR(INDEX(품목마스터!$B$3:$B$302,MATCH($B1217,품목마스터!$A$3:$A$302,0)),"미등록품번"))</f>
        <v/>
      </c>
      <c r="D1217" s="17" t="str">
        <f aca="false">IF($B1217="","",IFERROR(INDEX(품목마스터!$D$3:$D$302,MATCH($B1217,품목마스터!$A$3:$A$302,0)),""))</f>
        <v/>
      </c>
      <c r="E1217" s="12"/>
      <c r="F1217" s="10"/>
    </row>
    <row r="1218" customFormat="false" ht="15" hidden="false" customHeight="true" outlineLevel="0" collapsed="false">
      <c r="A1218" s="16"/>
      <c r="B1218" s="10"/>
      <c r="C1218" s="17" t="str">
        <f aca="false">IF($B1218="","",IFERROR(INDEX(품목마스터!$B$3:$B$302,MATCH($B1218,품목마스터!$A$3:$A$302,0)),"미등록품번"))</f>
        <v/>
      </c>
      <c r="D1218" s="17" t="str">
        <f aca="false">IF($B1218="","",IFERROR(INDEX(품목마스터!$D$3:$D$302,MATCH($B1218,품목마스터!$A$3:$A$302,0)),""))</f>
        <v/>
      </c>
      <c r="E1218" s="12"/>
      <c r="F1218" s="10"/>
    </row>
    <row r="1219" customFormat="false" ht="15" hidden="false" customHeight="true" outlineLevel="0" collapsed="false">
      <c r="A1219" s="16"/>
      <c r="B1219" s="10"/>
      <c r="C1219" s="17" t="str">
        <f aca="false">IF($B1219="","",IFERROR(INDEX(품목마스터!$B$3:$B$302,MATCH($B1219,품목마스터!$A$3:$A$302,0)),"미등록품번"))</f>
        <v/>
      </c>
      <c r="D1219" s="17" t="str">
        <f aca="false">IF($B1219="","",IFERROR(INDEX(품목마스터!$D$3:$D$302,MATCH($B1219,품목마스터!$A$3:$A$302,0)),""))</f>
        <v/>
      </c>
      <c r="E1219" s="12"/>
      <c r="F1219" s="10"/>
    </row>
    <row r="1220" customFormat="false" ht="15" hidden="false" customHeight="true" outlineLevel="0" collapsed="false">
      <c r="A1220" s="16"/>
      <c r="B1220" s="10"/>
      <c r="C1220" s="17" t="str">
        <f aca="false">IF($B1220="","",IFERROR(INDEX(품목마스터!$B$3:$B$302,MATCH($B1220,품목마스터!$A$3:$A$302,0)),"미등록품번"))</f>
        <v/>
      </c>
      <c r="D1220" s="17" t="str">
        <f aca="false">IF($B1220="","",IFERROR(INDEX(품목마스터!$D$3:$D$302,MATCH($B1220,품목마스터!$A$3:$A$302,0)),""))</f>
        <v/>
      </c>
      <c r="E1220" s="12"/>
      <c r="F1220" s="10"/>
    </row>
    <row r="1221" customFormat="false" ht="15" hidden="false" customHeight="true" outlineLevel="0" collapsed="false">
      <c r="A1221" s="16"/>
      <c r="B1221" s="10"/>
      <c r="C1221" s="17" t="str">
        <f aca="false">IF($B1221="","",IFERROR(INDEX(품목마스터!$B$3:$B$302,MATCH($B1221,품목마스터!$A$3:$A$302,0)),"미등록품번"))</f>
        <v/>
      </c>
      <c r="D1221" s="17" t="str">
        <f aca="false">IF($B1221="","",IFERROR(INDEX(품목마스터!$D$3:$D$302,MATCH($B1221,품목마스터!$A$3:$A$302,0)),""))</f>
        <v/>
      </c>
      <c r="E1221" s="12"/>
      <c r="F1221" s="10"/>
    </row>
    <row r="1222" customFormat="false" ht="15" hidden="false" customHeight="true" outlineLevel="0" collapsed="false">
      <c r="A1222" s="16"/>
      <c r="B1222" s="10"/>
      <c r="C1222" s="17" t="str">
        <f aca="false">IF($B1222="","",IFERROR(INDEX(품목마스터!$B$3:$B$302,MATCH($B1222,품목마스터!$A$3:$A$302,0)),"미등록품번"))</f>
        <v/>
      </c>
      <c r="D1222" s="17" t="str">
        <f aca="false">IF($B1222="","",IFERROR(INDEX(품목마스터!$D$3:$D$302,MATCH($B1222,품목마스터!$A$3:$A$302,0)),""))</f>
        <v/>
      </c>
      <c r="E1222" s="12"/>
      <c r="F1222" s="10"/>
    </row>
    <row r="1223" customFormat="false" ht="15" hidden="false" customHeight="true" outlineLevel="0" collapsed="false">
      <c r="A1223" s="16"/>
      <c r="B1223" s="10"/>
      <c r="C1223" s="17" t="str">
        <f aca="false">IF($B1223="","",IFERROR(INDEX(품목마스터!$B$3:$B$302,MATCH($B1223,품목마스터!$A$3:$A$302,0)),"미등록품번"))</f>
        <v/>
      </c>
      <c r="D1223" s="17" t="str">
        <f aca="false">IF($B1223="","",IFERROR(INDEX(품목마스터!$D$3:$D$302,MATCH($B1223,품목마스터!$A$3:$A$302,0)),""))</f>
        <v/>
      </c>
      <c r="E1223" s="12"/>
      <c r="F1223" s="10"/>
    </row>
    <row r="1224" customFormat="false" ht="15" hidden="false" customHeight="true" outlineLevel="0" collapsed="false">
      <c r="A1224" s="16"/>
      <c r="B1224" s="10"/>
      <c r="C1224" s="17" t="str">
        <f aca="false">IF($B1224="","",IFERROR(INDEX(품목마스터!$B$3:$B$302,MATCH($B1224,품목마스터!$A$3:$A$302,0)),"미등록품번"))</f>
        <v/>
      </c>
      <c r="D1224" s="17" t="str">
        <f aca="false">IF($B1224="","",IFERROR(INDEX(품목마스터!$D$3:$D$302,MATCH($B1224,품목마스터!$A$3:$A$302,0)),""))</f>
        <v/>
      </c>
      <c r="E1224" s="12"/>
      <c r="F1224" s="10"/>
    </row>
    <row r="1225" customFormat="false" ht="15" hidden="false" customHeight="true" outlineLevel="0" collapsed="false">
      <c r="A1225" s="16"/>
      <c r="B1225" s="10"/>
      <c r="C1225" s="17" t="str">
        <f aca="false">IF($B1225="","",IFERROR(INDEX(품목마스터!$B$3:$B$302,MATCH($B1225,품목마스터!$A$3:$A$302,0)),"미등록품번"))</f>
        <v/>
      </c>
      <c r="D1225" s="17" t="str">
        <f aca="false">IF($B1225="","",IFERROR(INDEX(품목마스터!$D$3:$D$302,MATCH($B1225,품목마스터!$A$3:$A$302,0)),""))</f>
        <v/>
      </c>
      <c r="E1225" s="12"/>
      <c r="F1225" s="10"/>
    </row>
    <row r="1226" customFormat="false" ht="15" hidden="false" customHeight="true" outlineLevel="0" collapsed="false">
      <c r="A1226" s="16"/>
      <c r="B1226" s="10"/>
      <c r="C1226" s="17" t="str">
        <f aca="false">IF($B1226="","",IFERROR(INDEX(품목마스터!$B$3:$B$302,MATCH($B1226,품목마스터!$A$3:$A$302,0)),"미등록품번"))</f>
        <v/>
      </c>
      <c r="D1226" s="17" t="str">
        <f aca="false">IF($B1226="","",IFERROR(INDEX(품목마스터!$D$3:$D$302,MATCH($B1226,품목마스터!$A$3:$A$302,0)),""))</f>
        <v/>
      </c>
      <c r="E1226" s="12"/>
      <c r="F1226" s="10"/>
    </row>
    <row r="1227" customFormat="false" ht="15" hidden="false" customHeight="true" outlineLevel="0" collapsed="false">
      <c r="A1227" s="16"/>
      <c r="B1227" s="10"/>
      <c r="C1227" s="17" t="str">
        <f aca="false">IF($B1227="","",IFERROR(INDEX(품목마스터!$B$3:$B$302,MATCH($B1227,품목마스터!$A$3:$A$302,0)),"미등록품번"))</f>
        <v/>
      </c>
      <c r="D1227" s="17" t="str">
        <f aca="false">IF($B1227="","",IFERROR(INDEX(품목마스터!$D$3:$D$302,MATCH($B1227,품목마스터!$A$3:$A$302,0)),""))</f>
        <v/>
      </c>
      <c r="E1227" s="12"/>
      <c r="F1227" s="10"/>
    </row>
    <row r="1228" customFormat="false" ht="15" hidden="false" customHeight="true" outlineLevel="0" collapsed="false">
      <c r="A1228" s="16"/>
      <c r="B1228" s="10"/>
      <c r="C1228" s="17" t="str">
        <f aca="false">IF($B1228="","",IFERROR(INDEX(품목마스터!$B$3:$B$302,MATCH($B1228,품목마스터!$A$3:$A$302,0)),"미등록품번"))</f>
        <v/>
      </c>
      <c r="D1228" s="17" t="str">
        <f aca="false">IF($B1228="","",IFERROR(INDEX(품목마스터!$D$3:$D$302,MATCH($B1228,품목마스터!$A$3:$A$302,0)),""))</f>
        <v/>
      </c>
      <c r="E1228" s="12"/>
      <c r="F1228" s="10"/>
    </row>
    <row r="1229" customFormat="false" ht="15" hidden="false" customHeight="true" outlineLevel="0" collapsed="false">
      <c r="A1229" s="16"/>
      <c r="B1229" s="10"/>
      <c r="C1229" s="17" t="str">
        <f aca="false">IF($B1229="","",IFERROR(INDEX(품목마스터!$B$3:$B$302,MATCH($B1229,품목마스터!$A$3:$A$302,0)),"미등록품번"))</f>
        <v/>
      </c>
      <c r="D1229" s="17" t="str">
        <f aca="false">IF($B1229="","",IFERROR(INDEX(품목마스터!$D$3:$D$302,MATCH($B1229,품목마스터!$A$3:$A$302,0)),""))</f>
        <v/>
      </c>
      <c r="E1229" s="12"/>
      <c r="F1229" s="10"/>
    </row>
    <row r="1230" customFormat="false" ht="15" hidden="false" customHeight="true" outlineLevel="0" collapsed="false">
      <c r="A1230" s="16"/>
      <c r="B1230" s="10"/>
      <c r="C1230" s="17" t="str">
        <f aca="false">IF($B1230="","",IFERROR(INDEX(품목마스터!$B$3:$B$302,MATCH($B1230,품목마스터!$A$3:$A$302,0)),"미등록품번"))</f>
        <v/>
      </c>
      <c r="D1230" s="17" t="str">
        <f aca="false">IF($B1230="","",IFERROR(INDEX(품목마스터!$D$3:$D$302,MATCH($B1230,품목마스터!$A$3:$A$302,0)),""))</f>
        <v/>
      </c>
      <c r="E1230" s="12"/>
      <c r="F1230" s="10"/>
    </row>
    <row r="1231" customFormat="false" ht="15" hidden="false" customHeight="true" outlineLevel="0" collapsed="false">
      <c r="A1231" s="16"/>
      <c r="B1231" s="10"/>
      <c r="C1231" s="17" t="str">
        <f aca="false">IF($B1231="","",IFERROR(INDEX(품목마스터!$B$3:$B$302,MATCH($B1231,품목마스터!$A$3:$A$302,0)),"미등록품번"))</f>
        <v/>
      </c>
      <c r="D1231" s="17" t="str">
        <f aca="false">IF($B1231="","",IFERROR(INDEX(품목마스터!$D$3:$D$302,MATCH($B1231,품목마스터!$A$3:$A$302,0)),""))</f>
        <v/>
      </c>
      <c r="E1231" s="12"/>
      <c r="F1231" s="10"/>
    </row>
    <row r="1232" customFormat="false" ht="15" hidden="false" customHeight="true" outlineLevel="0" collapsed="false">
      <c r="A1232" s="16"/>
      <c r="B1232" s="10"/>
      <c r="C1232" s="17" t="str">
        <f aca="false">IF($B1232="","",IFERROR(INDEX(품목마스터!$B$3:$B$302,MATCH($B1232,품목마스터!$A$3:$A$302,0)),"미등록품번"))</f>
        <v/>
      </c>
      <c r="D1232" s="17" t="str">
        <f aca="false">IF($B1232="","",IFERROR(INDEX(품목마스터!$D$3:$D$302,MATCH($B1232,품목마스터!$A$3:$A$302,0)),""))</f>
        <v/>
      </c>
      <c r="E1232" s="12"/>
      <c r="F1232" s="10"/>
    </row>
    <row r="1233" customFormat="false" ht="15" hidden="false" customHeight="true" outlineLevel="0" collapsed="false">
      <c r="A1233" s="16"/>
      <c r="B1233" s="10"/>
      <c r="C1233" s="17" t="str">
        <f aca="false">IF($B1233="","",IFERROR(INDEX(품목마스터!$B$3:$B$302,MATCH($B1233,품목마스터!$A$3:$A$302,0)),"미등록품번"))</f>
        <v/>
      </c>
      <c r="D1233" s="17" t="str">
        <f aca="false">IF($B1233="","",IFERROR(INDEX(품목마스터!$D$3:$D$302,MATCH($B1233,품목마스터!$A$3:$A$302,0)),""))</f>
        <v/>
      </c>
      <c r="E1233" s="12"/>
      <c r="F1233" s="10"/>
    </row>
    <row r="1234" customFormat="false" ht="15" hidden="false" customHeight="true" outlineLevel="0" collapsed="false">
      <c r="A1234" s="16"/>
      <c r="B1234" s="10"/>
      <c r="C1234" s="17" t="str">
        <f aca="false">IF($B1234="","",IFERROR(INDEX(품목마스터!$B$3:$B$302,MATCH($B1234,품목마스터!$A$3:$A$302,0)),"미등록품번"))</f>
        <v/>
      </c>
      <c r="D1234" s="17" t="str">
        <f aca="false">IF($B1234="","",IFERROR(INDEX(품목마스터!$D$3:$D$302,MATCH($B1234,품목마스터!$A$3:$A$302,0)),""))</f>
        <v/>
      </c>
      <c r="E1234" s="12"/>
      <c r="F1234" s="10"/>
    </row>
    <row r="1235" customFormat="false" ht="15" hidden="false" customHeight="true" outlineLevel="0" collapsed="false">
      <c r="A1235" s="16"/>
      <c r="B1235" s="10"/>
      <c r="C1235" s="17" t="str">
        <f aca="false">IF($B1235="","",IFERROR(INDEX(품목마스터!$B$3:$B$302,MATCH($B1235,품목마스터!$A$3:$A$302,0)),"미등록품번"))</f>
        <v/>
      </c>
      <c r="D1235" s="17" t="str">
        <f aca="false">IF($B1235="","",IFERROR(INDEX(품목마스터!$D$3:$D$302,MATCH($B1235,품목마스터!$A$3:$A$302,0)),""))</f>
        <v/>
      </c>
      <c r="E1235" s="12"/>
      <c r="F1235" s="10"/>
    </row>
    <row r="1236" customFormat="false" ht="15" hidden="false" customHeight="true" outlineLevel="0" collapsed="false">
      <c r="A1236" s="16"/>
      <c r="B1236" s="10"/>
      <c r="C1236" s="17" t="str">
        <f aca="false">IF($B1236="","",IFERROR(INDEX(품목마스터!$B$3:$B$302,MATCH($B1236,품목마스터!$A$3:$A$302,0)),"미등록품번"))</f>
        <v/>
      </c>
      <c r="D1236" s="17" t="str">
        <f aca="false">IF($B1236="","",IFERROR(INDEX(품목마스터!$D$3:$D$302,MATCH($B1236,품목마스터!$A$3:$A$302,0)),""))</f>
        <v/>
      </c>
      <c r="E1236" s="12"/>
      <c r="F1236" s="10"/>
    </row>
    <row r="1237" customFormat="false" ht="15" hidden="false" customHeight="true" outlineLevel="0" collapsed="false">
      <c r="A1237" s="16"/>
      <c r="B1237" s="10"/>
      <c r="C1237" s="17" t="str">
        <f aca="false">IF($B1237="","",IFERROR(INDEX(품목마스터!$B$3:$B$302,MATCH($B1237,품목마스터!$A$3:$A$302,0)),"미등록품번"))</f>
        <v/>
      </c>
      <c r="D1237" s="17" t="str">
        <f aca="false">IF($B1237="","",IFERROR(INDEX(품목마스터!$D$3:$D$302,MATCH($B1237,품목마스터!$A$3:$A$302,0)),""))</f>
        <v/>
      </c>
      <c r="E1237" s="12"/>
      <c r="F1237" s="10"/>
    </row>
    <row r="1238" customFormat="false" ht="15" hidden="false" customHeight="true" outlineLevel="0" collapsed="false">
      <c r="A1238" s="16"/>
      <c r="B1238" s="10"/>
      <c r="C1238" s="17" t="str">
        <f aca="false">IF($B1238="","",IFERROR(INDEX(품목마스터!$B$3:$B$302,MATCH($B1238,품목마스터!$A$3:$A$302,0)),"미등록품번"))</f>
        <v/>
      </c>
      <c r="D1238" s="17" t="str">
        <f aca="false">IF($B1238="","",IFERROR(INDEX(품목마스터!$D$3:$D$302,MATCH($B1238,품목마스터!$A$3:$A$302,0)),""))</f>
        <v/>
      </c>
      <c r="E1238" s="12"/>
      <c r="F1238" s="10"/>
    </row>
    <row r="1239" customFormat="false" ht="15" hidden="false" customHeight="true" outlineLevel="0" collapsed="false">
      <c r="A1239" s="16"/>
      <c r="B1239" s="10"/>
      <c r="C1239" s="17" t="str">
        <f aca="false">IF($B1239="","",IFERROR(INDEX(품목마스터!$B$3:$B$302,MATCH($B1239,품목마스터!$A$3:$A$302,0)),"미등록품번"))</f>
        <v/>
      </c>
      <c r="D1239" s="17" t="str">
        <f aca="false">IF($B1239="","",IFERROR(INDEX(품목마스터!$D$3:$D$302,MATCH($B1239,품목마스터!$A$3:$A$302,0)),""))</f>
        <v/>
      </c>
      <c r="E1239" s="12"/>
      <c r="F1239" s="10"/>
    </row>
    <row r="1240" customFormat="false" ht="15" hidden="false" customHeight="true" outlineLevel="0" collapsed="false">
      <c r="A1240" s="16"/>
      <c r="B1240" s="10"/>
      <c r="C1240" s="17" t="str">
        <f aca="false">IF($B1240="","",IFERROR(INDEX(품목마스터!$B$3:$B$302,MATCH($B1240,품목마스터!$A$3:$A$302,0)),"미등록품번"))</f>
        <v/>
      </c>
      <c r="D1240" s="17" t="str">
        <f aca="false">IF($B1240="","",IFERROR(INDEX(품목마스터!$D$3:$D$302,MATCH($B1240,품목마스터!$A$3:$A$302,0)),""))</f>
        <v/>
      </c>
      <c r="E1240" s="12"/>
      <c r="F1240" s="10"/>
    </row>
    <row r="1241" customFormat="false" ht="15" hidden="false" customHeight="true" outlineLevel="0" collapsed="false">
      <c r="A1241" s="16"/>
      <c r="B1241" s="10"/>
      <c r="C1241" s="17" t="str">
        <f aca="false">IF($B1241="","",IFERROR(INDEX(품목마스터!$B$3:$B$302,MATCH($B1241,품목마스터!$A$3:$A$302,0)),"미등록품번"))</f>
        <v/>
      </c>
      <c r="D1241" s="17" t="str">
        <f aca="false">IF($B1241="","",IFERROR(INDEX(품목마스터!$D$3:$D$302,MATCH($B1241,품목마스터!$A$3:$A$302,0)),""))</f>
        <v/>
      </c>
      <c r="E1241" s="12"/>
      <c r="F1241" s="10"/>
    </row>
    <row r="1242" customFormat="false" ht="15" hidden="false" customHeight="true" outlineLevel="0" collapsed="false">
      <c r="A1242" s="16"/>
      <c r="B1242" s="10"/>
      <c r="C1242" s="17" t="str">
        <f aca="false">IF($B1242="","",IFERROR(INDEX(품목마스터!$B$3:$B$302,MATCH($B1242,품목마스터!$A$3:$A$302,0)),"미등록품번"))</f>
        <v/>
      </c>
      <c r="D1242" s="17" t="str">
        <f aca="false">IF($B1242="","",IFERROR(INDEX(품목마스터!$D$3:$D$302,MATCH($B1242,품목마스터!$A$3:$A$302,0)),""))</f>
        <v/>
      </c>
      <c r="E1242" s="12"/>
      <c r="F1242" s="10"/>
    </row>
    <row r="1243" customFormat="false" ht="15" hidden="false" customHeight="true" outlineLevel="0" collapsed="false">
      <c r="A1243" s="16"/>
      <c r="B1243" s="10"/>
      <c r="C1243" s="17" t="str">
        <f aca="false">IF($B1243="","",IFERROR(INDEX(품목마스터!$B$3:$B$302,MATCH($B1243,품목마스터!$A$3:$A$302,0)),"미등록품번"))</f>
        <v/>
      </c>
      <c r="D1243" s="17" t="str">
        <f aca="false">IF($B1243="","",IFERROR(INDEX(품목마스터!$D$3:$D$302,MATCH($B1243,품목마스터!$A$3:$A$302,0)),""))</f>
        <v/>
      </c>
      <c r="E1243" s="12"/>
      <c r="F1243" s="10"/>
    </row>
    <row r="1244" customFormat="false" ht="15" hidden="false" customHeight="true" outlineLevel="0" collapsed="false">
      <c r="A1244" s="16"/>
      <c r="B1244" s="10"/>
      <c r="C1244" s="17" t="str">
        <f aca="false">IF($B1244="","",IFERROR(INDEX(품목마스터!$B$3:$B$302,MATCH($B1244,품목마스터!$A$3:$A$302,0)),"미등록품번"))</f>
        <v/>
      </c>
      <c r="D1244" s="17" t="str">
        <f aca="false">IF($B1244="","",IFERROR(INDEX(품목마스터!$D$3:$D$302,MATCH($B1244,품목마스터!$A$3:$A$302,0)),""))</f>
        <v/>
      </c>
      <c r="E1244" s="12"/>
      <c r="F1244" s="10"/>
    </row>
    <row r="1245" customFormat="false" ht="15" hidden="false" customHeight="true" outlineLevel="0" collapsed="false">
      <c r="A1245" s="16"/>
      <c r="B1245" s="10"/>
      <c r="C1245" s="17" t="str">
        <f aca="false">IF($B1245="","",IFERROR(INDEX(품목마스터!$B$3:$B$302,MATCH($B1245,품목마스터!$A$3:$A$302,0)),"미등록품번"))</f>
        <v/>
      </c>
      <c r="D1245" s="17" t="str">
        <f aca="false">IF($B1245="","",IFERROR(INDEX(품목마스터!$D$3:$D$302,MATCH($B1245,품목마스터!$A$3:$A$302,0)),""))</f>
        <v/>
      </c>
      <c r="E1245" s="12"/>
      <c r="F1245" s="10"/>
    </row>
    <row r="1246" customFormat="false" ht="15" hidden="false" customHeight="true" outlineLevel="0" collapsed="false">
      <c r="A1246" s="16"/>
      <c r="B1246" s="10"/>
      <c r="C1246" s="17" t="str">
        <f aca="false">IF($B1246="","",IFERROR(INDEX(품목마스터!$B$3:$B$302,MATCH($B1246,품목마스터!$A$3:$A$302,0)),"미등록품번"))</f>
        <v/>
      </c>
      <c r="D1246" s="17" t="str">
        <f aca="false">IF($B1246="","",IFERROR(INDEX(품목마스터!$D$3:$D$302,MATCH($B1246,품목마스터!$A$3:$A$302,0)),""))</f>
        <v/>
      </c>
      <c r="E1246" s="12"/>
      <c r="F1246" s="10"/>
    </row>
    <row r="1247" customFormat="false" ht="15" hidden="false" customHeight="true" outlineLevel="0" collapsed="false">
      <c r="A1247" s="16"/>
      <c r="B1247" s="10"/>
      <c r="C1247" s="17" t="str">
        <f aca="false">IF($B1247="","",IFERROR(INDEX(품목마스터!$B$3:$B$302,MATCH($B1247,품목마스터!$A$3:$A$302,0)),"미등록품번"))</f>
        <v/>
      </c>
      <c r="D1247" s="17" t="str">
        <f aca="false">IF($B1247="","",IFERROR(INDEX(품목마스터!$D$3:$D$302,MATCH($B1247,품목마스터!$A$3:$A$302,0)),""))</f>
        <v/>
      </c>
      <c r="E1247" s="12"/>
      <c r="F1247" s="10"/>
    </row>
    <row r="1248" customFormat="false" ht="15" hidden="false" customHeight="true" outlineLevel="0" collapsed="false">
      <c r="A1248" s="16"/>
      <c r="B1248" s="10"/>
      <c r="C1248" s="17" t="str">
        <f aca="false">IF($B1248="","",IFERROR(INDEX(품목마스터!$B$3:$B$302,MATCH($B1248,품목마스터!$A$3:$A$302,0)),"미등록품번"))</f>
        <v/>
      </c>
      <c r="D1248" s="17" t="str">
        <f aca="false">IF($B1248="","",IFERROR(INDEX(품목마스터!$D$3:$D$302,MATCH($B1248,품목마스터!$A$3:$A$302,0)),""))</f>
        <v/>
      </c>
      <c r="E1248" s="12"/>
      <c r="F1248" s="10"/>
    </row>
    <row r="1249" customFormat="false" ht="15" hidden="false" customHeight="true" outlineLevel="0" collapsed="false">
      <c r="A1249" s="16"/>
      <c r="B1249" s="10"/>
      <c r="C1249" s="17" t="str">
        <f aca="false">IF($B1249="","",IFERROR(INDEX(품목마스터!$B$3:$B$302,MATCH($B1249,품목마스터!$A$3:$A$302,0)),"미등록품번"))</f>
        <v/>
      </c>
      <c r="D1249" s="17" t="str">
        <f aca="false">IF($B1249="","",IFERROR(INDEX(품목마스터!$D$3:$D$302,MATCH($B1249,품목마스터!$A$3:$A$302,0)),""))</f>
        <v/>
      </c>
      <c r="E1249" s="12"/>
      <c r="F1249" s="10"/>
    </row>
    <row r="1250" customFormat="false" ht="15" hidden="false" customHeight="true" outlineLevel="0" collapsed="false">
      <c r="A1250" s="16"/>
      <c r="B1250" s="10"/>
      <c r="C1250" s="17" t="str">
        <f aca="false">IF($B1250="","",IFERROR(INDEX(품목마스터!$B$3:$B$302,MATCH($B1250,품목마스터!$A$3:$A$302,0)),"미등록품번"))</f>
        <v/>
      </c>
      <c r="D1250" s="17" t="str">
        <f aca="false">IF($B1250="","",IFERROR(INDEX(품목마스터!$D$3:$D$302,MATCH($B1250,품목마스터!$A$3:$A$302,0)),""))</f>
        <v/>
      </c>
      <c r="E1250" s="12"/>
      <c r="F1250" s="10"/>
    </row>
    <row r="1251" customFormat="false" ht="15" hidden="false" customHeight="true" outlineLevel="0" collapsed="false">
      <c r="A1251" s="16"/>
      <c r="B1251" s="10"/>
      <c r="C1251" s="17" t="str">
        <f aca="false">IF($B1251="","",IFERROR(INDEX(품목마스터!$B$3:$B$302,MATCH($B1251,품목마스터!$A$3:$A$302,0)),"미등록품번"))</f>
        <v/>
      </c>
      <c r="D1251" s="17" t="str">
        <f aca="false">IF($B1251="","",IFERROR(INDEX(품목마스터!$D$3:$D$302,MATCH($B1251,품목마스터!$A$3:$A$302,0)),""))</f>
        <v/>
      </c>
      <c r="E1251" s="12"/>
      <c r="F1251" s="10"/>
    </row>
    <row r="1252" customFormat="false" ht="15" hidden="false" customHeight="true" outlineLevel="0" collapsed="false">
      <c r="A1252" s="16"/>
      <c r="B1252" s="10"/>
      <c r="C1252" s="17" t="str">
        <f aca="false">IF($B1252="","",IFERROR(INDEX(품목마스터!$B$3:$B$302,MATCH($B1252,품목마스터!$A$3:$A$302,0)),"미등록품번"))</f>
        <v/>
      </c>
      <c r="D1252" s="17" t="str">
        <f aca="false">IF($B1252="","",IFERROR(INDEX(품목마스터!$D$3:$D$302,MATCH($B1252,품목마스터!$A$3:$A$302,0)),""))</f>
        <v/>
      </c>
      <c r="E1252" s="12"/>
      <c r="F1252" s="10"/>
    </row>
    <row r="1253" customFormat="false" ht="15" hidden="false" customHeight="true" outlineLevel="0" collapsed="false">
      <c r="A1253" s="16"/>
      <c r="B1253" s="10"/>
      <c r="C1253" s="17" t="str">
        <f aca="false">IF($B1253="","",IFERROR(INDEX(품목마스터!$B$3:$B$302,MATCH($B1253,품목마스터!$A$3:$A$302,0)),"미등록품번"))</f>
        <v/>
      </c>
      <c r="D1253" s="17" t="str">
        <f aca="false">IF($B1253="","",IFERROR(INDEX(품목마스터!$D$3:$D$302,MATCH($B1253,품목마스터!$A$3:$A$302,0)),""))</f>
        <v/>
      </c>
      <c r="E1253" s="12"/>
      <c r="F1253" s="10"/>
    </row>
    <row r="1254" customFormat="false" ht="15" hidden="false" customHeight="true" outlineLevel="0" collapsed="false">
      <c r="A1254" s="16"/>
      <c r="B1254" s="10"/>
      <c r="C1254" s="17" t="str">
        <f aca="false">IF($B1254="","",IFERROR(INDEX(품목마스터!$B$3:$B$302,MATCH($B1254,품목마스터!$A$3:$A$302,0)),"미등록품번"))</f>
        <v/>
      </c>
      <c r="D1254" s="17" t="str">
        <f aca="false">IF($B1254="","",IFERROR(INDEX(품목마스터!$D$3:$D$302,MATCH($B1254,품목마스터!$A$3:$A$302,0)),""))</f>
        <v/>
      </c>
      <c r="E1254" s="12"/>
      <c r="F1254" s="10"/>
    </row>
    <row r="1255" customFormat="false" ht="15" hidden="false" customHeight="true" outlineLevel="0" collapsed="false">
      <c r="A1255" s="16"/>
      <c r="B1255" s="10"/>
      <c r="C1255" s="17" t="str">
        <f aca="false">IF($B1255="","",IFERROR(INDEX(품목마스터!$B$3:$B$302,MATCH($B1255,품목마스터!$A$3:$A$302,0)),"미등록품번"))</f>
        <v/>
      </c>
      <c r="D1255" s="17" t="str">
        <f aca="false">IF($B1255="","",IFERROR(INDEX(품목마스터!$D$3:$D$302,MATCH($B1255,품목마스터!$A$3:$A$302,0)),""))</f>
        <v/>
      </c>
      <c r="E1255" s="12"/>
      <c r="F1255" s="10"/>
    </row>
    <row r="1256" customFormat="false" ht="15" hidden="false" customHeight="true" outlineLevel="0" collapsed="false">
      <c r="A1256" s="16"/>
      <c r="B1256" s="10"/>
      <c r="C1256" s="17" t="str">
        <f aca="false">IF($B1256="","",IFERROR(INDEX(품목마스터!$B$3:$B$302,MATCH($B1256,품목마스터!$A$3:$A$302,0)),"미등록품번"))</f>
        <v/>
      </c>
      <c r="D1256" s="17" t="str">
        <f aca="false">IF($B1256="","",IFERROR(INDEX(품목마스터!$D$3:$D$302,MATCH($B1256,품목마스터!$A$3:$A$302,0)),""))</f>
        <v/>
      </c>
      <c r="E1256" s="12"/>
      <c r="F1256" s="10"/>
    </row>
    <row r="1257" customFormat="false" ht="15" hidden="false" customHeight="true" outlineLevel="0" collapsed="false">
      <c r="A1257" s="16"/>
      <c r="B1257" s="10"/>
      <c r="C1257" s="17" t="str">
        <f aca="false">IF($B1257="","",IFERROR(INDEX(품목마스터!$B$3:$B$302,MATCH($B1257,품목마스터!$A$3:$A$302,0)),"미등록품번"))</f>
        <v/>
      </c>
      <c r="D1257" s="17" t="str">
        <f aca="false">IF($B1257="","",IFERROR(INDEX(품목마스터!$D$3:$D$302,MATCH($B1257,품목마스터!$A$3:$A$302,0)),""))</f>
        <v/>
      </c>
      <c r="E1257" s="12"/>
      <c r="F1257" s="10"/>
    </row>
    <row r="1258" customFormat="false" ht="15" hidden="false" customHeight="true" outlineLevel="0" collapsed="false">
      <c r="A1258" s="16"/>
      <c r="B1258" s="10"/>
      <c r="C1258" s="17" t="str">
        <f aca="false">IF($B1258="","",IFERROR(INDEX(품목마스터!$B$3:$B$302,MATCH($B1258,품목마스터!$A$3:$A$302,0)),"미등록품번"))</f>
        <v/>
      </c>
      <c r="D1258" s="17" t="str">
        <f aca="false">IF($B1258="","",IFERROR(INDEX(품목마스터!$D$3:$D$302,MATCH($B1258,품목마스터!$A$3:$A$302,0)),""))</f>
        <v/>
      </c>
      <c r="E1258" s="12"/>
      <c r="F1258" s="10"/>
    </row>
    <row r="1259" customFormat="false" ht="15" hidden="false" customHeight="true" outlineLevel="0" collapsed="false">
      <c r="A1259" s="16"/>
      <c r="B1259" s="10"/>
      <c r="C1259" s="17" t="str">
        <f aca="false">IF($B1259="","",IFERROR(INDEX(품목마스터!$B$3:$B$302,MATCH($B1259,품목마스터!$A$3:$A$302,0)),"미등록품번"))</f>
        <v/>
      </c>
      <c r="D1259" s="17" t="str">
        <f aca="false">IF($B1259="","",IFERROR(INDEX(품목마스터!$D$3:$D$302,MATCH($B1259,품목마스터!$A$3:$A$302,0)),""))</f>
        <v/>
      </c>
      <c r="E1259" s="12"/>
      <c r="F1259" s="10"/>
    </row>
    <row r="1260" customFormat="false" ht="15" hidden="false" customHeight="true" outlineLevel="0" collapsed="false">
      <c r="A1260" s="16"/>
      <c r="B1260" s="10"/>
      <c r="C1260" s="17" t="str">
        <f aca="false">IF($B1260="","",IFERROR(INDEX(품목마스터!$B$3:$B$302,MATCH($B1260,품목마스터!$A$3:$A$302,0)),"미등록품번"))</f>
        <v/>
      </c>
      <c r="D1260" s="17" t="str">
        <f aca="false">IF($B1260="","",IFERROR(INDEX(품목마스터!$D$3:$D$302,MATCH($B1260,품목마스터!$A$3:$A$302,0)),""))</f>
        <v/>
      </c>
      <c r="E1260" s="12"/>
      <c r="F1260" s="10"/>
    </row>
    <row r="1261" customFormat="false" ht="15" hidden="false" customHeight="true" outlineLevel="0" collapsed="false">
      <c r="A1261" s="16"/>
      <c r="B1261" s="10"/>
      <c r="C1261" s="17" t="str">
        <f aca="false">IF($B1261="","",IFERROR(INDEX(품목마스터!$B$3:$B$302,MATCH($B1261,품목마스터!$A$3:$A$302,0)),"미등록품번"))</f>
        <v/>
      </c>
      <c r="D1261" s="17" t="str">
        <f aca="false">IF($B1261="","",IFERROR(INDEX(품목마스터!$D$3:$D$302,MATCH($B1261,품목마스터!$A$3:$A$302,0)),""))</f>
        <v/>
      </c>
      <c r="E1261" s="12"/>
      <c r="F1261" s="10"/>
    </row>
    <row r="1262" customFormat="false" ht="15" hidden="false" customHeight="true" outlineLevel="0" collapsed="false">
      <c r="A1262" s="16"/>
      <c r="B1262" s="10"/>
      <c r="C1262" s="17" t="str">
        <f aca="false">IF($B1262="","",IFERROR(INDEX(품목마스터!$B$3:$B$302,MATCH($B1262,품목마스터!$A$3:$A$302,0)),"미등록품번"))</f>
        <v/>
      </c>
      <c r="D1262" s="17" t="str">
        <f aca="false">IF($B1262="","",IFERROR(INDEX(품목마스터!$D$3:$D$302,MATCH($B1262,품목마스터!$A$3:$A$302,0)),""))</f>
        <v/>
      </c>
      <c r="E1262" s="12"/>
      <c r="F1262" s="10"/>
    </row>
    <row r="1263" customFormat="false" ht="15" hidden="false" customHeight="true" outlineLevel="0" collapsed="false">
      <c r="A1263" s="16"/>
      <c r="B1263" s="10"/>
      <c r="C1263" s="17" t="str">
        <f aca="false">IF($B1263="","",IFERROR(INDEX(품목마스터!$B$3:$B$302,MATCH($B1263,품목마스터!$A$3:$A$302,0)),"미등록품번"))</f>
        <v/>
      </c>
      <c r="D1263" s="17" t="str">
        <f aca="false">IF($B1263="","",IFERROR(INDEX(품목마스터!$D$3:$D$302,MATCH($B1263,품목마스터!$A$3:$A$302,0)),""))</f>
        <v/>
      </c>
      <c r="E1263" s="12"/>
      <c r="F1263" s="10"/>
    </row>
    <row r="1264" customFormat="false" ht="15" hidden="false" customHeight="true" outlineLevel="0" collapsed="false">
      <c r="A1264" s="16"/>
      <c r="B1264" s="10"/>
      <c r="C1264" s="17" t="str">
        <f aca="false">IF($B1264="","",IFERROR(INDEX(품목마스터!$B$3:$B$302,MATCH($B1264,품목마스터!$A$3:$A$302,0)),"미등록품번"))</f>
        <v/>
      </c>
      <c r="D1264" s="17" t="str">
        <f aca="false">IF($B1264="","",IFERROR(INDEX(품목마스터!$D$3:$D$302,MATCH($B1264,품목마스터!$A$3:$A$302,0)),""))</f>
        <v/>
      </c>
      <c r="E1264" s="12"/>
      <c r="F1264" s="10"/>
    </row>
    <row r="1265" customFormat="false" ht="15" hidden="false" customHeight="true" outlineLevel="0" collapsed="false">
      <c r="A1265" s="16"/>
      <c r="B1265" s="10"/>
      <c r="C1265" s="17" t="str">
        <f aca="false">IF($B1265="","",IFERROR(INDEX(품목마스터!$B$3:$B$302,MATCH($B1265,품목마스터!$A$3:$A$302,0)),"미등록품번"))</f>
        <v/>
      </c>
      <c r="D1265" s="17" t="str">
        <f aca="false">IF($B1265="","",IFERROR(INDEX(품목마스터!$D$3:$D$302,MATCH($B1265,품목마스터!$A$3:$A$302,0)),""))</f>
        <v/>
      </c>
      <c r="E1265" s="12"/>
      <c r="F1265" s="10"/>
    </row>
    <row r="1266" customFormat="false" ht="15" hidden="false" customHeight="true" outlineLevel="0" collapsed="false">
      <c r="A1266" s="16"/>
      <c r="B1266" s="10"/>
      <c r="C1266" s="17" t="str">
        <f aca="false">IF($B1266="","",IFERROR(INDEX(품목마스터!$B$3:$B$302,MATCH($B1266,품목마스터!$A$3:$A$302,0)),"미등록품번"))</f>
        <v/>
      </c>
      <c r="D1266" s="17" t="str">
        <f aca="false">IF($B1266="","",IFERROR(INDEX(품목마스터!$D$3:$D$302,MATCH($B1266,품목마스터!$A$3:$A$302,0)),""))</f>
        <v/>
      </c>
      <c r="E1266" s="12"/>
      <c r="F1266" s="10"/>
    </row>
    <row r="1267" customFormat="false" ht="15" hidden="false" customHeight="true" outlineLevel="0" collapsed="false">
      <c r="A1267" s="16"/>
      <c r="B1267" s="10"/>
      <c r="C1267" s="17" t="str">
        <f aca="false">IF($B1267="","",IFERROR(INDEX(품목마스터!$B$3:$B$302,MATCH($B1267,품목마스터!$A$3:$A$302,0)),"미등록품번"))</f>
        <v/>
      </c>
      <c r="D1267" s="17" t="str">
        <f aca="false">IF($B1267="","",IFERROR(INDEX(품목마스터!$D$3:$D$302,MATCH($B1267,품목마스터!$A$3:$A$302,0)),""))</f>
        <v/>
      </c>
      <c r="E1267" s="12"/>
      <c r="F1267" s="10"/>
    </row>
    <row r="1268" customFormat="false" ht="15" hidden="false" customHeight="true" outlineLevel="0" collapsed="false">
      <c r="A1268" s="16"/>
      <c r="B1268" s="10"/>
      <c r="C1268" s="17" t="str">
        <f aca="false">IF($B1268="","",IFERROR(INDEX(품목마스터!$B$3:$B$302,MATCH($B1268,품목마스터!$A$3:$A$302,0)),"미등록품번"))</f>
        <v/>
      </c>
      <c r="D1268" s="17" t="str">
        <f aca="false">IF($B1268="","",IFERROR(INDEX(품목마스터!$D$3:$D$302,MATCH($B1268,품목마스터!$A$3:$A$302,0)),""))</f>
        <v/>
      </c>
      <c r="E1268" s="12"/>
      <c r="F1268" s="10"/>
    </row>
    <row r="1269" customFormat="false" ht="15" hidden="false" customHeight="true" outlineLevel="0" collapsed="false">
      <c r="A1269" s="16"/>
      <c r="B1269" s="10"/>
      <c r="C1269" s="17" t="str">
        <f aca="false">IF($B1269="","",IFERROR(INDEX(품목마스터!$B$3:$B$302,MATCH($B1269,품목마스터!$A$3:$A$302,0)),"미등록품번"))</f>
        <v/>
      </c>
      <c r="D1269" s="17" t="str">
        <f aca="false">IF($B1269="","",IFERROR(INDEX(품목마스터!$D$3:$D$302,MATCH($B1269,품목마스터!$A$3:$A$302,0)),""))</f>
        <v/>
      </c>
      <c r="E1269" s="12"/>
      <c r="F1269" s="10"/>
    </row>
    <row r="1270" customFormat="false" ht="15" hidden="false" customHeight="true" outlineLevel="0" collapsed="false">
      <c r="A1270" s="16"/>
      <c r="B1270" s="10"/>
      <c r="C1270" s="17" t="str">
        <f aca="false">IF($B1270="","",IFERROR(INDEX(품목마스터!$B$3:$B$302,MATCH($B1270,품목마스터!$A$3:$A$302,0)),"미등록품번"))</f>
        <v/>
      </c>
      <c r="D1270" s="17" t="str">
        <f aca="false">IF($B1270="","",IFERROR(INDEX(품목마스터!$D$3:$D$302,MATCH($B1270,품목마스터!$A$3:$A$302,0)),""))</f>
        <v/>
      </c>
      <c r="E1270" s="12"/>
      <c r="F1270" s="10"/>
    </row>
    <row r="1271" customFormat="false" ht="15" hidden="false" customHeight="true" outlineLevel="0" collapsed="false">
      <c r="A1271" s="16"/>
      <c r="B1271" s="10"/>
      <c r="C1271" s="17" t="str">
        <f aca="false">IF($B1271="","",IFERROR(INDEX(품목마스터!$B$3:$B$302,MATCH($B1271,품목마스터!$A$3:$A$302,0)),"미등록품번"))</f>
        <v/>
      </c>
      <c r="D1271" s="17" t="str">
        <f aca="false">IF($B1271="","",IFERROR(INDEX(품목마스터!$D$3:$D$302,MATCH($B1271,품목마스터!$A$3:$A$302,0)),""))</f>
        <v/>
      </c>
      <c r="E1271" s="12"/>
      <c r="F1271" s="10"/>
    </row>
    <row r="1272" customFormat="false" ht="15" hidden="false" customHeight="true" outlineLevel="0" collapsed="false">
      <c r="A1272" s="16"/>
      <c r="B1272" s="10"/>
      <c r="C1272" s="17" t="str">
        <f aca="false">IF($B1272="","",IFERROR(INDEX(품목마스터!$B$3:$B$302,MATCH($B1272,품목마스터!$A$3:$A$302,0)),"미등록품번"))</f>
        <v/>
      </c>
      <c r="D1272" s="17" t="str">
        <f aca="false">IF($B1272="","",IFERROR(INDEX(품목마스터!$D$3:$D$302,MATCH($B1272,품목마스터!$A$3:$A$302,0)),""))</f>
        <v/>
      </c>
      <c r="E1272" s="12"/>
      <c r="F1272" s="10"/>
    </row>
    <row r="1273" customFormat="false" ht="15" hidden="false" customHeight="true" outlineLevel="0" collapsed="false">
      <c r="A1273" s="16"/>
      <c r="B1273" s="10"/>
      <c r="C1273" s="17" t="str">
        <f aca="false">IF($B1273="","",IFERROR(INDEX(품목마스터!$B$3:$B$302,MATCH($B1273,품목마스터!$A$3:$A$302,0)),"미등록품번"))</f>
        <v/>
      </c>
      <c r="D1273" s="17" t="str">
        <f aca="false">IF($B1273="","",IFERROR(INDEX(품목마스터!$D$3:$D$302,MATCH($B1273,품목마스터!$A$3:$A$302,0)),""))</f>
        <v/>
      </c>
      <c r="E1273" s="12"/>
      <c r="F1273" s="10"/>
    </row>
    <row r="1274" customFormat="false" ht="15" hidden="false" customHeight="true" outlineLevel="0" collapsed="false">
      <c r="A1274" s="16"/>
      <c r="B1274" s="10"/>
      <c r="C1274" s="17" t="str">
        <f aca="false">IF($B1274="","",IFERROR(INDEX(품목마스터!$B$3:$B$302,MATCH($B1274,품목마스터!$A$3:$A$302,0)),"미등록품번"))</f>
        <v/>
      </c>
      <c r="D1274" s="17" t="str">
        <f aca="false">IF($B1274="","",IFERROR(INDEX(품목마스터!$D$3:$D$302,MATCH($B1274,품목마스터!$A$3:$A$302,0)),""))</f>
        <v/>
      </c>
      <c r="E1274" s="12"/>
      <c r="F1274" s="10"/>
    </row>
    <row r="1275" customFormat="false" ht="15" hidden="false" customHeight="true" outlineLevel="0" collapsed="false">
      <c r="A1275" s="16"/>
      <c r="B1275" s="10"/>
      <c r="C1275" s="17" t="str">
        <f aca="false">IF($B1275="","",IFERROR(INDEX(품목마스터!$B$3:$B$302,MATCH($B1275,품목마스터!$A$3:$A$302,0)),"미등록품번"))</f>
        <v/>
      </c>
      <c r="D1275" s="17" t="str">
        <f aca="false">IF($B1275="","",IFERROR(INDEX(품목마스터!$D$3:$D$302,MATCH($B1275,품목마스터!$A$3:$A$302,0)),""))</f>
        <v/>
      </c>
      <c r="E1275" s="12"/>
      <c r="F1275" s="10"/>
    </row>
    <row r="1276" customFormat="false" ht="15" hidden="false" customHeight="true" outlineLevel="0" collapsed="false">
      <c r="A1276" s="16"/>
      <c r="B1276" s="10"/>
      <c r="C1276" s="17" t="str">
        <f aca="false">IF($B1276="","",IFERROR(INDEX(품목마스터!$B$3:$B$302,MATCH($B1276,품목마스터!$A$3:$A$302,0)),"미등록품번"))</f>
        <v/>
      </c>
      <c r="D1276" s="17" t="str">
        <f aca="false">IF($B1276="","",IFERROR(INDEX(품목마스터!$D$3:$D$302,MATCH($B1276,품목마스터!$A$3:$A$302,0)),""))</f>
        <v/>
      </c>
      <c r="E1276" s="12"/>
      <c r="F1276" s="10"/>
    </row>
    <row r="1277" customFormat="false" ht="15" hidden="false" customHeight="true" outlineLevel="0" collapsed="false">
      <c r="A1277" s="16"/>
      <c r="B1277" s="10"/>
      <c r="C1277" s="17" t="str">
        <f aca="false">IF($B1277="","",IFERROR(INDEX(품목마스터!$B$3:$B$302,MATCH($B1277,품목마스터!$A$3:$A$302,0)),"미등록품번"))</f>
        <v/>
      </c>
      <c r="D1277" s="17" t="str">
        <f aca="false">IF($B1277="","",IFERROR(INDEX(품목마스터!$D$3:$D$302,MATCH($B1277,품목마스터!$A$3:$A$302,0)),""))</f>
        <v/>
      </c>
      <c r="E1277" s="12"/>
      <c r="F1277" s="10"/>
    </row>
    <row r="1278" customFormat="false" ht="15" hidden="false" customHeight="true" outlineLevel="0" collapsed="false">
      <c r="A1278" s="16"/>
      <c r="B1278" s="10"/>
      <c r="C1278" s="17" t="str">
        <f aca="false">IF($B1278="","",IFERROR(INDEX(품목마스터!$B$3:$B$302,MATCH($B1278,품목마스터!$A$3:$A$302,0)),"미등록품번"))</f>
        <v/>
      </c>
      <c r="D1278" s="17" t="str">
        <f aca="false">IF($B1278="","",IFERROR(INDEX(품목마스터!$D$3:$D$302,MATCH($B1278,품목마스터!$A$3:$A$302,0)),""))</f>
        <v/>
      </c>
      <c r="E1278" s="12"/>
      <c r="F1278" s="10"/>
    </row>
    <row r="1279" customFormat="false" ht="15" hidden="false" customHeight="true" outlineLevel="0" collapsed="false">
      <c r="A1279" s="16"/>
      <c r="B1279" s="10"/>
      <c r="C1279" s="17" t="str">
        <f aca="false">IF($B1279="","",IFERROR(INDEX(품목마스터!$B$3:$B$302,MATCH($B1279,품목마스터!$A$3:$A$302,0)),"미등록품번"))</f>
        <v/>
      </c>
      <c r="D1279" s="17" t="str">
        <f aca="false">IF($B1279="","",IFERROR(INDEX(품목마스터!$D$3:$D$302,MATCH($B1279,품목마스터!$A$3:$A$302,0)),""))</f>
        <v/>
      </c>
      <c r="E1279" s="12"/>
      <c r="F1279" s="10"/>
    </row>
    <row r="1280" customFormat="false" ht="15" hidden="false" customHeight="true" outlineLevel="0" collapsed="false">
      <c r="A1280" s="16"/>
      <c r="B1280" s="10"/>
      <c r="C1280" s="17" t="str">
        <f aca="false">IF($B1280="","",IFERROR(INDEX(품목마스터!$B$3:$B$302,MATCH($B1280,품목마스터!$A$3:$A$302,0)),"미등록품번"))</f>
        <v/>
      </c>
      <c r="D1280" s="17" t="str">
        <f aca="false">IF($B1280="","",IFERROR(INDEX(품목마스터!$D$3:$D$302,MATCH($B1280,품목마스터!$A$3:$A$302,0)),""))</f>
        <v/>
      </c>
      <c r="E1280" s="12"/>
      <c r="F1280" s="10"/>
    </row>
    <row r="1281" customFormat="false" ht="15" hidden="false" customHeight="true" outlineLevel="0" collapsed="false">
      <c r="A1281" s="16"/>
      <c r="B1281" s="10"/>
      <c r="C1281" s="17" t="str">
        <f aca="false">IF($B1281="","",IFERROR(INDEX(품목마스터!$B$3:$B$302,MATCH($B1281,품목마스터!$A$3:$A$302,0)),"미등록품번"))</f>
        <v/>
      </c>
      <c r="D1281" s="17" t="str">
        <f aca="false">IF($B1281="","",IFERROR(INDEX(품목마스터!$D$3:$D$302,MATCH($B1281,품목마스터!$A$3:$A$302,0)),""))</f>
        <v/>
      </c>
      <c r="E1281" s="12"/>
      <c r="F1281" s="10"/>
    </row>
    <row r="1282" customFormat="false" ht="15" hidden="false" customHeight="true" outlineLevel="0" collapsed="false">
      <c r="A1282" s="16"/>
      <c r="B1282" s="10"/>
      <c r="C1282" s="17" t="str">
        <f aca="false">IF($B1282="","",IFERROR(INDEX(품목마스터!$B$3:$B$302,MATCH($B1282,품목마스터!$A$3:$A$302,0)),"미등록품번"))</f>
        <v/>
      </c>
      <c r="D1282" s="17" t="str">
        <f aca="false">IF($B1282="","",IFERROR(INDEX(품목마스터!$D$3:$D$302,MATCH($B1282,품목마스터!$A$3:$A$302,0)),""))</f>
        <v/>
      </c>
      <c r="E1282" s="12"/>
      <c r="F1282" s="10"/>
    </row>
    <row r="1283" customFormat="false" ht="15" hidden="false" customHeight="true" outlineLevel="0" collapsed="false">
      <c r="A1283" s="16"/>
      <c r="B1283" s="10"/>
      <c r="C1283" s="17" t="str">
        <f aca="false">IF($B1283="","",IFERROR(INDEX(품목마스터!$B$3:$B$302,MATCH($B1283,품목마스터!$A$3:$A$302,0)),"미등록품번"))</f>
        <v/>
      </c>
      <c r="D1283" s="17" t="str">
        <f aca="false">IF($B1283="","",IFERROR(INDEX(품목마스터!$D$3:$D$302,MATCH($B1283,품목마스터!$A$3:$A$302,0)),""))</f>
        <v/>
      </c>
      <c r="E1283" s="12"/>
      <c r="F1283" s="10"/>
    </row>
    <row r="1284" customFormat="false" ht="15" hidden="false" customHeight="true" outlineLevel="0" collapsed="false">
      <c r="A1284" s="16"/>
      <c r="B1284" s="10"/>
      <c r="C1284" s="17" t="str">
        <f aca="false">IF($B1284="","",IFERROR(INDEX(품목마스터!$B$3:$B$302,MATCH($B1284,품목마스터!$A$3:$A$302,0)),"미등록품번"))</f>
        <v/>
      </c>
      <c r="D1284" s="17" t="str">
        <f aca="false">IF($B1284="","",IFERROR(INDEX(품목마스터!$D$3:$D$302,MATCH($B1284,품목마스터!$A$3:$A$302,0)),""))</f>
        <v/>
      </c>
      <c r="E1284" s="12"/>
      <c r="F1284" s="10"/>
    </row>
    <row r="1285" customFormat="false" ht="15" hidden="false" customHeight="true" outlineLevel="0" collapsed="false">
      <c r="A1285" s="16"/>
      <c r="B1285" s="10"/>
      <c r="C1285" s="17" t="str">
        <f aca="false">IF($B1285="","",IFERROR(INDEX(품목마스터!$B$3:$B$302,MATCH($B1285,품목마스터!$A$3:$A$302,0)),"미등록품번"))</f>
        <v/>
      </c>
      <c r="D1285" s="17" t="str">
        <f aca="false">IF($B1285="","",IFERROR(INDEX(품목마스터!$D$3:$D$302,MATCH($B1285,품목마스터!$A$3:$A$302,0)),""))</f>
        <v/>
      </c>
      <c r="E1285" s="12"/>
      <c r="F1285" s="10"/>
    </row>
    <row r="1286" customFormat="false" ht="15" hidden="false" customHeight="true" outlineLevel="0" collapsed="false">
      <c r="A1286" s="16"/>
      <c r="B1286" s="10"/>
      <c r="C1286" s="17" t="str">
        <f aca="false">IF($B1286="","",IFERROR(INDEX(품목마스터!$B$3:$B$302,MATCH($B1286,품목마스터!$A$3:$A$302,0)),"미등록품번"))</f>
        <v/>
      </c>
      <c r="D1286" s="17" t="str">
        <f aca="false">IF($B1286="","",IFERROR(INDEX(품목마스터!$D$3:$D$302,MATCH($B1286,품목마스터!$A$3:$A$302,0)),""))</f>
        <v/>
      </c>
      <c r="E1286" s="12"/>
      <c r="F1286" s="10"/>
    </row>
    <row r="1287" customFormat="false" ht="15" hidden="false" customHeight="true" outlineLevel="0" collapsed="false">
      <c r="A1287" s="16"/>
      <c r="B1287" s="10"/>
      <c r="C1287" s="17" t="str">
        <f aca="false">IF($B1287="","",IFERROR(INDEX(품목마스터!$B$3:$B$302,MATCH($B1287,품목마스터!$A$3:$A$302,0)),"미등록품번"))</f>
        <v/>
      </c>
      <c r="D1287" s="17" t="str">
        <f aca="false">IF($B1287="","",IFERROR(INDEX(품목마스터!$D$3:$D$302,MATCH($B1287,품목마스터!$A$3:$A$302,0)),""))</f>
        <v/>
      </c>
      <c r="E1287" s="12"/>
      <c r="F1287" s="10"/>
    </row>
    <row r="1288" customFormat="false" ht="15" hidden="false" customHeight="true" outlineLevel="0" collapsed="false">
      <c r="A1288" s="16"/>
      <c r="B1288" s="10"/>
      <c r="C1288" s="17" t="str">
        <f aca="false">IF($B1288="","",IFERROR(INDEX(품목마스터!$B$3:$B$302,MATCH($B1288,품목마스터!$A$3:$A$302,0)),"미등록품번"))</f>
        <v/>
      </c>
      <c r="D1288" s="17" t="str">
        <f aca="false">IF($B1288="","",IFERROR(INDEX(품목마스터!$D$3:$D$302,MATCH($B1288,품목마스터!$A$3:$A$302,0)),""))</f>
        <v/>
      </c>
      <c r="E1288" s="12"/>
      <c r="F1288" s="10"/>
    </row>
    <row r="1289" customFormat="false" ht="15" hidden="false" customHeight="true" outlineLevel="0" collapsed="false">
      <c r="A1289" s="16"/>
      <c r="B1289" s="10"/>
      <c r="C1289" s="17" t="str">
        <f aca="false">IF($B1289="","",IFERROR(INDEX(품목마스터!$B$3:$B$302,MATCH($B1289,품목마스터!$A$3:$A$302,0)),"미등록품번"))</f>
        <v/>
      </c>
      <c r="D1289" s="17" t="str">
        <f aca="false">IF($B1289="","",IFERROR(INDEX(품목마스터!$D$3:$D$302,MATCH($B1289,품목마스터!$A$3:$A$302,0)),""))</f>
        <v/>
      </c>
      <c r="E1289" s="12"/>
      <c r="F1289" s="10"/>
    </row>
    <row r="1290" customFormat="false" ht="15" hidden="false" customHeight="true" outlineLevel="0" collapsed="false">
      <c r="A1290" s="16"/>
      <c r="B1290" s="10"/>
      <c r="C1290" s="17" t="str">
        <f aca="false">IF($B1290="","",IFERROR(INDEX(품목마스터!$B$3:$B$302,MATCH($B1290,품목마스터!$A$3:$A$302,0)),"미등록품번"))</f>
        <v/>
      </c>
      <c r="D1290" s="17" t="str">
        <f aca="false">IF($B1290="","",IFERROR(INDEX(품목마스터!$D$3:$D$302,MATCH($B1290,품목마스터!$A$3:$A$302,0)),""))</f>
        <v/>
      </c>
      <c r="E1290" s="12"/>
      <c r="F1290" s="10"/>
    </row>
    <row r="1291" customFormat="false" ht="15" hidden="false" customHeight="true" outlineLevel="0" collapsed="false">
      <c r="A1291" s="16"/>
      <c r="B1291" s="10"/>
      <c r="C1291" s="17" t="str">
        <f aca="false">IF($B1291="","",IFERROR(INDEX(품목마스터!$B$3:$B$302,MATCH($B1291,품목마스터!$A$3:$A$302,0)),"미등록품번"))</f>
        <v/>
      </c>
      <c r="D1291" s="17" t="str">
        <f aca="false">IF($B1291="","",IFERROR(INDEX(품목마스터!$D$3:$D$302,MATCH($B1291,품목마스터!$A$3:$A$302,0)),""))</f>
        <v/>
      </c>
      <c r="E1291" s="12"/>
      <c r="F1291" s="10"/>
    </row>
    <row r="1292" customFormat="false" ht="15" hidden="false" customHeight="true" outlineLevel="0" collapsed="false">
      <c r="A1292" s="16"/>
      <c r="B1292" s="10"/>
      <c r="C1292" s="17" t="str">
        <f aca="false">IF($B1292="","",IFERROR(INDEX(품목마스터!$B$3:$B$302,MATCH($B1292,품목마스터!$A$3:$A$302,0)),"미등록품번"))</f>
        <v/>
      </c>
      <c r="D1292" s="17" t="str">
        <f aca="false">IF($B1292="","",IFERROR(INDEX(품목마스터!$D$3:$D$302,MATCH($B1292,품목마스터!$A$3:$A$302,0)),""))</f>
        <v/>
      </c>
      <c r="E1292" s="12"/>
      <c r="F1292" s="10"/>
    </row>
    <row r="1293" customFormat="false" ht="15" hidden="false" customHeight="true" outlineLevel="0" collapsed="false">
      <c r="A1293" s="16"/>
      <c r="B1293" s="10"/>
      <c r="C1293" s="17" t="str">
        <f aca="false">IF($B1293="","",IFERROR(INDEX(품목마스터!$B$3:$B$302,MATCH($B1293,품목마스터!$A$3:$A$302,0)),"미등록품번"))</f>
        <v/>
      </c>
      <c r="D1293" s="17" t="str">
        <f aca="false">IF($B1293="","",IFERROR(INDEX(품목마스터!$D$3:$D$302,MATCH($B1293,품목마스터!$A$3:$A$302,0)),""))</f>
        <v/>
      </c>
      <c r="E1293" s="12"/>
      <c r="F1293" s="10"/>
    </row>
    <row r="1294" customFormat="false" ht="15" hidden="false" customHeight="true" outlineLevel="0" collapsed="false">
      <c r="A1294" s="16"/>
      <c r="B1294" s="10"/>
      <c r="C1294" s="17" t="str">
        <f aca="false">IF($B1294="","",IFERROR(INDEX(품목마스터!$B$3:$B$302,MATCH($B1294,품목마스터!$A$3:$A$302,0)),"미등록품번"))</f>
        <v/>
      </c>
      <c r="D1294" s="17" t="str">
        <f aca="false">IF($B1294="","",IFERROR(INDEX(품목마스터!$D$3:$D$302,MATCH($B1294,품목마스터!$A$3:$A$302,0)),""))</f>
        <v/>
      </c>
      <c r="E1294" s="12"/>
      <c r="F1294" s="10"/>
    </row>
    <row r="1295" customFormat="false" ht="15" hidden="false" customHeight="true" outlineLevel="0" collapsed="false">
      <c r="A1295" s="16"/>
      <c r="B1295" s="10"/>
      <c r="C1295" s="17" t="str">
        <f aca="false">IF($B1295="","",IFERROR(INDEX(품목마스터!$B$3:$B$302,MATCH($B1295,품목마스터!$A$3:$A$302,0)),"미등록품번"))</f>
        <v/>
      </c>
      <c r="D1295" s="17" t="str">
        <f aca="false">IF($B1295="","",IFERROR(INDEX(품목마스터!$D$3:$D$302,MATCH($B1295,품목마스터!$A$3:$A$302,0)),""))</f>
        <v/>
      </c>
      <c r="E1295" s="12"/>
      <c r="F1295" s="10"/>
    </row>
    <row r="1296" customFormat="false" ht="15" hidden="false" customHeight="true" outlineLevel="0" collapsed="false">
      <c r="A1296" s="16"/>
      <c r="B1296" s="10"/>
      <c r="C1296" s="17" t="str">
        <f aca="false">IF($B1296="","",IFERROR(INDEX(품목마스터!$B$3:$B$302,MATCH($B1296,품목마스터!$A$3:$A$302,0)),"미등록품번"))</f>
        <v/>
      </c>
      <c r="D1296" s="17" t="str">
        <f aca="false">IF($B1296="","",IFERROR(INDEX(품목마스터!$D$3:$D$302,MATCH($B1296,품목마스터!$A$3:$A$302,0)),""))</f>
        <v/>
      </c>
      <c r="E1296" s="12"/>
      <c r="F1296" s="10"/>
    </row>
    <row r="1297" customFormat="false" ht="15" hidden="false" customHeight="true" outlineLevel="0" collapsed="false">
      <c r="A1297" s="16"/>
      <c r="B1297" s="10"/>
      <c r="C1297" s="17" t="str">
        <f aca="false">IF($B1297="","",IFERROR(INDEX(품목마스터!$B$3:$B$302,MATCH($B1297,품목마스터!$A$3:$A$302,0)),"미등록품번"))</f>
        <v/>
      </c>
      <c r="D1297" s="17" t="str">
        <f aca="false">IF($B1297="","",IFERROR(INDEX(품목마스터!$D$3:$D$302,MATCH($B1297,품목마스터!$A$3:$A$302,0)),""))</f>
        <v/>
      </c>
      <c r="E1297" s="12"/>
      <c r="F1297" s="10"/>
    </row>
    <row r="1298" customFormat="false" ht="15" hidden="false" customHeight="true" outlineLevel="0" collapsed="false">
      <c r="A1298" s="16"/>
      <c r="B1298" s="10"/>
      <c r="C1298" s="17" t="str">
        <f aca="false">IF($B1298="","",IFERROR(INDEX(품목마스터!$B$3:$B$302,MATCH($B1298,품목마스터!$A$3:$A$302,0)),"미등록품번"))</f>
        <v/>
      </c>
      <c r="D1298" s="17" t="str">
        <f aca="false">IF($B1298="","",IFERROR(INDEX(품목마스터!$D$3:$D$302,MATCH($B1298,품목마스터!$A$3:$A$302,0)),""))</f>
        <v/>
      </c>
      <c r="E1298" s="12"/>
      <c r="F1298" s="10"/>
    </row>
    <row r="1299" customFormat="false" ht="15" hidden="false" customHeight="true" outlineLevel="0" collapsed="false">
      <c r="A1299" s="16"/>
      <c r="B1299" s="10"/>
      <c r="C1299" s="17" t="str">
        <f aca="false">IF($B1299="","",IFERROR(INDEX(품목마스터!$B$3:$B$302,MATCH($B1299,품목마스터!$A$3:$A$302,0)),"미등록품번"))</f>
        <v/>
      </c>
      <c r="D1299" s="17" t="str">
        <f aca="false">IF($B1299="","",IFERROR(INDEX(품목마스터!$D$3:$D$302,MATCH($B1299,품목마스터!$A$3:$A$302,0)),""))</f>
        <v/>
      </c>
      <c r="E1299" s="12"/>
      <c r="F1299" s="10"/>
    </row>
    <row r="1300" customFormat="false" ht="15" hidden="false" customHeight="true" outlineLevel="0" collapsed="false">
      <c r="A1300" s="16"/>
      <c r="B1300" s="10"/>
      <c r="C1300" s="17" t="str">
        <f aca="false">IF($B1300="","",IFERROR(INDEX(품목마스터!$B$3:$B$302,MATCH($B1300,품목마스터!$A$3:$A$302,0)),"미등록품번"))</f>
        <v/>
      </c>
      <c r="D1300" s="17" t="str">
        <f aca="false">IF($B1300="","",IFERROR(INDEX(품목마스터!$D$3:$D$302,MATCH($B1300,품목마스터!$A$3:$A$302,0)),""))</f>
        <v/>
      </c>
      <c r="E1300" s="12"/>
      <c r="F1300" s="10"/>
    </row>
    <row r="1301" customFormat="false" ht="15" hidden="false" customHeight="true" outlineLevel="0" collapsed="false">
      <c r="A1301" s="16"/>
      <c r="B1301" s="10"/>
      <c r="C1301" s="17" t="str">
        <f aca="false">IF($B1301="","",IFERROR(INDEX(품목마스터!$B$3:$B$302,MATCH($B1301,품목마스터!$A$3:$A$302,0)),"미등록품번"))</f>
        <v/>
      </c>
      <c r="D1301" s="17" t="str">
        <f aca="false">IF($B1301="","",IFERROR(INDEX(품목마스터!$D$3:$D$302,MATCH($B1301,품목마스터!$A$3:$A$302,0)),""))</f>
        <v/>
      </c>
      <c r="E1301" s="12"/>
      <c r="F1301" s="10"/>
    </row>
    <row r="1302" customFormat="false" ht="15" hidden="false" customHeight="true" outlineLevel="0" collapsed="false">
      <c r="A1302" s="16"/>
      <c r="B1302" s="10"/>
      <c r="C1302" s="17" t="str">
        <f aca="false">IF($B1302="","",IFERROR(INDEX(품목마스터!$B$3:$B$302,MATCH($B1302,품목마스터!$A$3:$A$302,0)),"미등록품번"))</f>
        <v/>
      </c>
      <c r="D1302" s="17" t="str">
        <f aca="false">IF($B1302="","",IFERROR(INDEX(품목마스터!$D$3:$D$302,MATCH($B1302,품목마스터!$A$3:$A$302,0)),""))</f>
        <v/>
      </c>
      <c r="E1302" s="12"/>
      <c r="F1302" s="10"/>
    </row>
    <row r="1303" customFormat="false" ht="15" hidden="false" customHeight="true" outlineLevel="0" collapsed="false">
      <c r="A1303" s="16"/>
      <c r="B1303" s="10"/>
      <c r="C1303" s="17" t="str">
        <f aca="false">IF($B1303="","",IFERROR(INDEX(품목마스터!$B$3:$B$302,MATCH($B1303,품목마스터!$A$3:$A$302,0)),"미등록품번"))</f>
        <v/>
      </c>
      <c r="D1303" s="17" t="str">
        <f aca="false">IF($B1303="","",IFERROR(INDEX(품목마스터!$D$3:$D$302,MATCH($B1303,품목마스터!$A$3:$A$302,0)),""))</f>
        <v/>
      </c>
      <c r="E1303" s="12"/>
      <c r="F1303" s="10"/>
    </row>
    <row r="1304" customFormat="false" ht="15" hidden="false" customHeight="true" outlineLevel="0" collapsed="false">
      <c r="A1304" s="16"/>
      <c r="B1304" s="10"/>
      <c r="C1304" s="17" t="str">
        <f aca="false">IF($B1304="","",IFERROR(INDEX(품목마스터!$B$3:$B$302,MATCH($B1304,품목마스터!$A$3:$A$302,0)),"미등록품번"))</f>
        <v/>
      </c>
      <c r="D1304" s="17" t="str">
        <f aca="false">IF($B1304="","",IFERROR(INDEX(품목마스터!$D$3:$D$302,MATCH($B1304,품목마스터!$A$3:$A$302,0)),""))</f>
        <v/>
      </c>
      <c r="E1304" s="12"/>
      <c r="F1304" s="10"/>
    </row>
    <row r="1305" customFormat="false" ht="15" hidden="false" customHeight="true" outlineLevel="0" collapsed="false">
      <c r="A1305" s="16"/>
      <c r="B1305" s="10"/>
      <c r="C1305" s="17" t="str">
        <f aca="false">IF($B1305="","",IFERROR(INDEX(품목마스터!$B$3:$B$302,MATCH($B1305,품목마스터!$A$3:$A$302,0)),"미등록품번"))</f>
        <v/>
      </c>
      <c r="D1305" s="17" t="str">
        <f aca="false">IF($B1305="","",IFERROR(INDEX(품목마스터!$D$3:$D$302,MATCH($B1305,품목마스터!$A$3:$A$302,0)),""))</f>
        <v/>
      </c>
      <c r="E1305" s="12"/>
      <c r="F1305" s="10"/>
    </row>
    <row r="1306" customFormat="false" ht="15" hidden="false" customHeight="true" outlineLevel="0" collapsed="false">
      <c r="A1306" s="16"/>
      <c r="B1306" s="10"/>
      <c r="C1306" s="17" t="str">
        <f aca="false">IF($B1306="","",IFERROR(INDEX(품목마스터!$B$3:$B$302,MATCH($B1306,품목마스터!$A$3:$A$302,0)),"미등록품번"))</f>
        <v/>
      </c>
      <c r="D1306" s="17" t="str">
        <f aca="false">IF($B1306="","",IFERROR(INDEX(품목마스터!$D$3:$D$302,MATCH($B1306,품목마스터!$A$3:$A$302,0)),""))</f>
        <v/>
      </c>
      <c r="E1306" s="12"/>
      <c r="F1306" s="10"/>
    </row>
    <row r="1307" customFormat="false" ht="15" hidden="false" customHeight="true" outlineLevel="0" collapsed="false">
      <c r="A1307" s="16"/>
      <c r="B1307" s="10"/>
      <c r="C1307" s="17" t="str">
        <f aca="false">IF($B1307="","",IFERROR(INDEX(품목마스터!$B$3:$B$302,MATCH($B1307,품목마스터!$A$3:$A$302,0)),"미등록품번"))</f>
        <v/>
      </c>
      <c r="D1307" s="17" t="str">
        <f aca="false">IF($B1307="","",IFERROR(INDEX(품목마스터!$D$3:$D$302,MATCH($B1307,품목마스터!$A$3:$A$302,0)),""))</f>
        <v/>
      </c>
      <c r="E1307" s="12"/>
      <c r="F1307" s="10"/>
    </row>
    <row r="1308" customFormat="false" ht="15" hidden="false" customHeight="true" outlineLevel="0" collapsed="false">
      <c r="A1308" s="16"/>
      <c r="B1308" s="10"/>
      <c r="C1308" s="17" t="str">
        <f aca="false">IF($B1308="","",IFERROR(INDEX(품목마스터!$B$3:$B$302,MATCH($B1308,품목마스터!$A$3:$A$302,0)),"미등록품번"))</f>
        <v/>
      </c>
      <c r="D1308" s="17" t="str">
        <f aca="false">IF($B1308="","",IFERROR(INDEX(품목마스터!$D$3:$D$302,MATCH($B1308,품목마스터!$A$3:$A$302,0)),""))</f>
        <v/>
      </c>
      <c r="E1308" s="12"/>
      <c r="F1308" s="10"/>
    </row>
    <row r="1309" customFormat="false" ht="15" hidden="false" customHeight="true" outlineLevel="0" collapsed="false">
      <c r="A1309" s="16"/>
      <c r="B1309" s="10"/>
      <c r="C1309" s="17" t="str">
        <f aca="false">IF($B1309="","",IFERROR(INDEX(품목마스터!$B$3:$B$302,MATCH($B1309,품목마스터!$A$3:$A$302,0)),"미등록품번"))</f>
        <v/>
      </c>
      <c r="D1309" s="17" t="str">
        <f aca="false">IF($B1309="","",IFERROR(INDEX(품목마스터!$D$3:$D$302,MATCH($B1309,품목마스터!$A$3:$A$302,0)),""))</f>
        <v/>
      </c>
      <c r="E1309" s="12"/>
      <c r="F1309" s="10"/>
    </row>
    <row r="1310" customFormat="false" ht="15" hidden="false" customHeight="true" outlineLevel="0" collapsed="false">
      <c r="A1310" s="16"/>
      <c r="B1310" s="10"/>
      <c r="C1310" s="17" t="str">
        <f aca="false">IF($B1310="","",IFERROR(INDEX(품목마스터!$B$3:$B$302,MATCH($B1310,품목마스터!$A$3:$A$302,0)),"미등록품번"))</f>
        <v/>
      </c>
      <c r="D1310" s="17" t="str">
        <f aca="false">IF($B1310="","",IFERROR(INDEX(품목마스터!$D$3:$D$302,MATCH($B1310,품목마스터!$A$3:$A$302,0)),""))</f>
        <v/>
      </c>
      <c r="E1310" s="12"/>
      <c r="F1310" s="10"/>
    </row>
    <row r="1311" customFormat="false" ht="15" hidden="false" customHeight="true" outlineLevel="0" collapsed="false">
      <c r="A1311" s="16"/>
      <c r="B1311" s="10"/>
      <c r="C1311" s="17" t="str">
        <f aca="false">IF($B1311="","",IFERROR(INDEX(품목마스터!$B$3:$B$302,MATCH($B1311,품목마스터!$A$3:$A$302,0)),"미등록품번"))</f>
        <v/>
      </c>
      <c r="D1311" s="17" t="str">
        <f aca="false">IF($B1311="","",IFERROR(INDEX(품목마스터!$D$3:$D$302,MATCH($B1311,품목마스터!$A$3:$A$302,0)),""))</f>
        <v/>
      </c>
      <c r="E1311" s="12"/>
      <c r="F1311" s="10"/>
    </row>
    <row r="1312" customFormat="false" ht="15" hidden="false" customHeight="true" outlineLevel="0" collapsed="false">
      <c r="A1312" s="16"/>
      <c r="B1312" s="10"/>
      <c r="C1312" s="17" t="str">
        <f aca="false">IF($B1312="","",IFERROR(INDEX(품목마스터!$B$3:$B$302,MATCH($B1312,품목마스터!$A$3:$A$302,0)),"미등록품번"))</f>
        <v/>
      </c>
      <c r="D1312" s="17" t="str">
        <f aca="false">IF($B1312="","",IFERROR(INDEX(품목마스터!$D$3:$D$302,MATCH($B1312,품목마스터!$A$3:$A$302,0)),""))</f>
        <v/>
      </c>
      <c r="E1312" s="12"/>
      <c r="F1312" s="10"/>
    </row>
    <row r="1313" customFormat="false" ht="15" hidden="false" customHeight="true" outlineLevel="0" collapsed="false">
      <c r="A1313" s="16"/>
      <c r="B1313" s="10"/>
      <c r="C1313" s="17" t="str">
        <f aca="false">IF($B1313="","",IFERROR(INDEX(품목마스터!$B$3:$B$302,MATCH($B1313,품목마스터!$A$3:$A$302,0)),"미등록품번"))</f>
        <v/>
      </c>
      <c r="D1313" s="17" t="str">
        <f aca="false">IF($B1313="","",IFERROR(INDEX(품목마스터!$D$3:$D$302,MATCH($B1313,품목마스터!$A$3:$A$302,0)),""))</f>
        <v/>
      </c>
      <c r="E1313" s="12"/>
      <c r="F1313" s="10"/>
    </row>
    <row r="1314" customFormat="false" ht="15" hidden="false" customHeight="true" outlineLevel="0" collapsed="false">
      <c r="A1314" s="16"/>
      <c r="B1314" s="10"/>
      <c r="C1314" s="17" t="str">
        <f aca="false">IF($B1314="","",IFERROR(INDEX(품목마스터!$B$3:$B$302,MATCH($B1314,품목마스터!$A$3:$A$302,0)),"미등록품번"))</f>
        <v/>
      </c>
      <c r="D1314" s="17" t="str">
        <f aca="false">IF($B1314="","",IFERROR(INDEX(품목마스터!$D$3:$D$302,MATCH($B1314,품목마스터!$A$3:$A$302,0)),""))</f>
        <v/>
      </c>
      <c r="E1314" s="12"/>
      <c r="F1314" s="10"/>
    </row>
    <row r="1315" customFormat="false" ht="15" hidden="false" customHeight="true" outlineLevel="0" collapsed="false">
      <c r="A1315" s="16"/>
      <c r="B1315" s="10"/>
      <c r="C1315" s="17" t="str">
        <f aca="false">IF($B1315="","",IFERROR(INDEX(품목마스터!$B$3:$B$302,MATCH($B1315,품목마스터!$A$3:$A$302,0)),"미등록품번"))</f>
        <v/>
      </c>
      <c r="D1315" s="17" t="str">
        <f aca="false">IF($B1315="","",IFERROR(INDEX(품목마스터!$D$3:$D$302,MATCH($B1315,품목마스터!$A$3:$A$302,0)),""))</f>
        <v/>
      </c>
      <c r="E1315" s="12"/>
      <c r="F1315" s="10"/>
    </row>
    <row r="1316" customFormat="false" ht="15" hidden="false" customHeight="true" outlineLevel="0" collapsed="false">
      <c r="A1316" s="16"/>
      <c r="B1316" s="10"/>
      <c r="C1316" s="17" t="str">
        <f aca="false">IF($B1316="","",IFERROR(INDEX(품목마스터!$B$3:$B$302,MATCH($B1316,품목마스터!$A$3:$A$302,0)),"미등록품번"))</f>
        <v/>
      </c>
      <c r="D1316" s="17" t="str">
        <f aca="false">IF($B1316="","",IFERROR(INDEX(품목마스터!$D$3:$D$302,MATCH($B1316,품목마스터!$A$3:$A$302,0)),""))</f>
        <v/>
      </c>
      <c r="E1316" s="12"/>
      <c r="F1316" s="10"/>
    </row>
    <row r="1317" customFormat="false" ht="15" hidden="false" customHeight="true" outlineLevel="0" collapsed="false">
      <c r="A1317" s="16"/>
      <c r="B1317" s="10"/>
      <c r="C1317" s="17" t="str">
        <f aca="false">IF($B1317="","",IFERROR(INDEX(품목마스터!$B$3:$B$302,MATCH($B1317,품목마스터!$A$3:$A$302,0)),"미등록품번"))</f>
        <v/>
      </c>
      <c r="D1317" s="17" t="str">
        <f aca="false">IF($B1317="","",IFERROR(INDEX(품목마스터!$D$3:$D$302,MATCH($B1317,품목마스터!$A$3:$A$302,0)),""))</f>
        <v/>
      </c>
      <c r="E1317" s="12"/>
      <c r="F1317" s="10"/>
    </row>
    <row r="1318" customFormat="false" ht="15" hidden="false" customHeight="true" outlineLevel="0" collapsed="false">
      <c r="A1318" s="16"/>
      <c r="B1318" s="10"/>
      <c r="C1318" s="17" t="str">
        <f aca="false">IF($B1318="","",IFERROR(INDEX(품목마스터!$B$3:$B$302,MATCH($B1318,품목마스터!$A$3:$A$302,0)),"미등록품번"))</f>
        <v/>
      </c>
      <c r="D1318" s="17" t="str">
        <f aca="false">IF($B1318="","",IFERROR(INDEX(품목마스터!$D$3:$D$302,MATCH($B1318,품목마스터!$A$3:$A$302,0)),""))</f>
        <v/>
      </c>
      <c r="E1318" s="12"/>
      <c r="F1318" s="10"/>
    </row>
    <row r="1319" customFormat="false" ht="15" hidden="false" customHeight="true" outlineLevel="0" collapsed="false">
      <c r="A1319" s="16"/>
      <c r="B1319" s="10"/>
      <c r="C1319" s="17" t="str">
        <f aca="false">IF($B1319="","",IFERROR(INDEX(품목마스터!$B$3:$B$302,MATCH($B1319,품목마스터!$A$3:$A$302,0)),"미등록품번"))</f>
        <v/>
      </c>
      <c r="D1319" s="17" t="str">
        <f aca="false">IF($B1319="","",IFERROR(INDEX(품목마스터!$D$3:$D$302,MATCH($B1319,품목마스터!$A$3:$A$302,0)),""))</f>
        <v/>
      </c>
      <c r="E1319" s="12"/>
      <c r="F1319" s="10"/>
    </row>
    <row r="1320" customFormat="false" ht="15" hidden="false" customHeight="true" outlineLevel="0" collapsed="false">
      <c r="A1320" s="16"/>
      <c r="B1320" s="10"/>
      <c r="C1320" s="17" t="str">
        <f aca="false">IF($B1320="","",IFERROR(INDEX(품목마스터!$B$3:$B$302,MATCH($B1320,품목마스터!$A$3:$A$302,0)),"미등록품번"))</f>
        <v/>
      </c>
      <c r="D1320" s="17" t="str">
        <f aca="false">IF($B1320="","",IFERROR(INDEX(품목마스터!$D$3:$D$302,MATCH($B1320,품목마스터!$A$3:$A$302,0)),""))</f>
        <v/>
      </c>
      <c r="E1320" s="12"/>
      <c r="F1320" s="10"/>
    </row>
    <row r="1321" customFormat="false" ht="15" hidden="false" customHeight="true" outlineLevel="0" collapsed="false">
      <c r="A1321" s="16"/>
      <c r="B1321" s="10"/>
      <c r="C1321" s="17" t="str">
        <f aca="false">IF($B1321="","",IFERROR(INDEX(품목마스터!$B$3:$B$302,MATCH($B1321,품목마스터!$A$3:$A$302,0)),"미등록품번"))</f>
        <v/>
      </c>
      <c r="D1321" s="17" t="str">
        <f aca="false">IF($B1321="","",IFERROR(INDEX(품목마스터!$D$3:$D$302,MATCH($B1321,품목마스터!$A$3:$A$302,0)),""))</f>
        <v/>
      </c>
      <c r="E1321" s="12"/>
      <c r="F1321" s="10"/>
    </row>
    <row r="1322" customFormat="false" ht="15" hidden="false" customHeight="true" outlineLevel="0" collapsed="false">
      <c r="A1322" s="16"/>
      <c r="B1322" s="10"/>
      <c r="C1322" s="17" t="str">
        <f aca="false">IF($B1322="","",IFERROR(INDEX(품목마스터!$B$3:$B$302,MATCH($B1322,품목마스터!$A$3:$A$302,0)),"미등록품번"))</f>
        <v/>
      </c>
      <c r="D1322" s="17" t="str">
        <f aca="false">IF($B1322="","",IFERROR(INDEX(품목마스터!$D$3:$D$302,MATCH($B1322,품목마스터!$A$3:$A$302,0)),""))</f>
        <v/>
      </c>
      <c r="E1322" s="12"/>
      <c r="F1322" s="10"/>
    </row>
    <row r="1323" customFormat="false" ht="15" hidden="false" customHeight="true" outlineLevel="0" collapsed="false">
      <c r="A1323" s="16"/>
      <c r="B1323" s="10"/>
      <c r="C1323" s="17" t="str">
        <f aca="false">IF($B1323="","",IFERROR(INDEX(품목마스터!$B$3:$B$302,MATCH($B1323,품목마스터!$A$3:$A$302,0)),"미등록품번"))</f>
        <v/>
      </c>
      <c r="D1323" s="17" t="str">
        <f aca="false">IF($B1323="","",IFERROR(INDEX(품목마스터!$D$3:$D$302,MATCH($B1323,품목마스터!$A$3:$A$302,0)),""))</f>
        <v/>
      </c>
      <c r="E1323" s="12"/>
      <c r="F1323" s="10"/>
    </row>
    <row r="1324" customFormat="false" ht="15" hidden="false" customHeight="true" outlineLevel="0" collapsed="false">
      <c r="A1324" s="16"/>
      <c r="B1324" s="10"/>
      <c r="C1324" s="17" t="str">
        <f aca="false">IF($B1324="","",IFERROR(INDEX(품목마스터!$B$3:$B$302,MATCH($B1324,품목마스터!$A$3:$A$302,0)),"미등록품번"))</f>
        <v/>
      </c>
      <c r="D1324" s="17" t="str">
        <f aca="false">IF($B1324="","",IFERROR(INDEX(품목마스터!$D$3:$D$302,MATCH($B1324,품목마스터!$A$3:$A$302,0)),""))</f>
        <v/>
      </c>
      <c r="E1324" s="12"/>
      <c r="F1324" s="10"/>
    </row>
    <row r="1325" customFormat="false" ht="15" hidden="false" customHeight="true" outlineLevel="0" collapsed="false">
      <c r="A1325" s="16"/>
      <c r="B1325" s="10"/>
      <c r="C1325" s="17" t="str">
        <f aca="false">IF($B1325="","",IFERROR(INDEX(품목마스터!$B$3:$B$302,MATCH($B1325,품목마스터!$A$3:$A$302,0)),"미등록품번"))</f>
        <v/>
      </c>
      <c r="D1325" s="17" t="str">
        <f aca="false">IF($B1325="","",IFERROR(INDEX(품목마스터!$D$3:$D$302,MATCH($B1325,품목마스터!$A$3:$A$302,0)),""))</f>
        <v/>
      </c>
      <c r="E1325" s="12"/>
      <c r="F1325" s="10"/>
    </row>
    <row r="1326" customFormat="false" ht="15" hidden="false" customHeight="true" outlineLevel="0" collapsed="false">
      <c r="A1326" s="16"/>
      <c r="B1326" s="10"/>
      <c r="C1326" s="17" t="str">
        <f aca="false">IF($B1326="","",IFERROR(INDEX(품목마스터!$B$3:$B$302,MATCH($B1326,품목마스터!$A$3:$A$302,0)),"미등록품번"))</f>
        <v/>
      </c>
      <c r="D1326" s="17" t="str">
        <f aca="false">IF($B1326="","",IFERROR(INDEX(품목마스터!$D$3:$D$302,MATCH($B1326,품목마스터!$A$3:$A$302,0)),""))</f>
        <v/>
      </c>
      <c r="E1326" s="12"/>
      <c r="F1326" s="10"/>
    </row>
    <row r="1327" customFormat="false" ht="15" hidden="false" customHeight="true" outlineLevel="0" collapsed="false">
      <c r="A1327" s="16"/>
      <c r="B1327" s="10"/>
      <c r="C1327" s="17" t="str">
        <f aca="false">IF($B1327="","",IFERROR(INDEX(품목마스터!$B$3:$B$302,MATCH($B1327,품목마스터!$A$3:$A$302,0)),"미등록품번"))</f>
        <v/>
      </c>
      <c r="D1327" s="17" t="str">
        <f aca="false">IF($B1327="","",IFERROR(INDEX(품목마스터!$D$3:$D$302,MATCH($B1327,품목마스터!$A$3:$A$302,0)),""))</f>
        <v/>
      </c>
      <c r="E1327" s="12"/>
      <c r="F1327" s="10"/>
    </row>
    <row r="1328" customFormat="false" ht="15" hidden="false" customHeight="true" outlineLevel="0" collapsed="false">
      <c r="A1328" s="16"/>
      <c r="B1328" s="10"/>
      <c r="C1328" s="17" t="str">
        <f aca="false">IF($B1328="","",IFERROR(INDEX(품목마스터!$B$3:$B$302,MATCH($B1328,품목마스터!$A$3:$A$302,0)),"미등록품번"))</f>
        <v/>
      </c>
      <c r="D1328" s="17" t="str">
        <f aca="false">IF($B1328="","",IFERROR(INDEX(품목마스터!$D$3:$D$302,MATCH($B1328,품목마스터!$A$3:$A$302,0)),""))</f>
        <v/>
      </c>
      <c r="E1328" s="12"/>
      <c r="F1328" s="10"/>
    </row>
    <row r="1329" customFormat="false" ht="15" hidden="false" customHeight="true" outlineLevel="0" collapsed="false">
      <c r="A1329" s="16"/>
      <c r="B1329" s="10"/>
      <c r="C1329" s="17" t="str">
        <f aca="false">IF($B1329="","",IFERROR(INDEX(품목마스터!$B$3:$B$302,MATCH($B1329,품목마스터!$A$3:$A$302,0)),"미등록품번"))</f>
        <v/>
      </c>
      <c r="D1329" s="17" t="str">
        <f aca="false">IF($B1329="","",IFERROR(INDEX(품목마스터!$D$3:$D$302,MATCH($B1329,품목마스터!$A$3:$A$302,0)),""))</f>
        <v/>
      </c>
      <c r="E1329" s="12"/>
      <c r="F1329" s="10"/>
    </row>
    <row r="1330" customFormat="false" ht="15" hidden="false" customHeight="true" outlineLevel="0" collapsed="false">
      <c r="A1330" s="16"/>
      <c r="B1330" s="10"/>
      <c r="C1330" s="17" t="str">
        <f aca="false">IF($B1330="","",IFERROR(INDEX(품목마스터!$B$3:$B$302,MATCH($B1330,품목마스터!$A$3:$A$302,0)),"미등록품번"))</f>
        <v/>
      </c>
      <c r="D1330" s="17" t="str">
        <f aca="false">IF($B1330="","",IFERROR(INDEX(품목마스터!$D$3:$D$302,MATCH($B1330,품목마스터!$A$3:$A$302,0)),""))</f>
        <v/>
      </c>
      <c r="E1330" s="12"/>
      <c r="F1330" s="10"/>
    </row>
    <row r="1331" customFormat="false" ht="15" hidden="false" customHeight="true" outlineLevel="0" collapsed="false">
      <c r="A1331" s="16"/>
      <c r="B1331" s="10"/>
      <c r="C1331" s="17" t="str">
        <f aca="false">IF($B1331="","",IFERROR(INDEX(품목마스터!$B$3:$B$302,MATCH($B1331,품목마스터!$A$3:$A$302,0)),"미등록품번"))</f>
        <v/>
      </c>
      <c r="D1331" s="17" t="str">
        <f aca="false">IF($B1331="","",IFERROR(INDEX(품목마스터!$D$3:$D$302,MATCH($B1331,품목마스터!$A$3:$A$302,0)),""))</f>
        <v/>
      </c>
      <c r="E1331" s="12"/>
      <c r="F1331" s="10"/>
    </row>
    <row r="1332" customFormat="false" ht="15" hidden="false" customHeight="true" outlineLevel="0" collapsed="false">
      <c r="A1332" s="16"/>
      <c r="B1332" s="10"/>
      <c r="C1332" s="17" t="str">
        <f aca="false">IF($B1332="","",IFERROR(INDEX(품목마스터!$B$3:$B$302,MATCH($B1332,품목마스터!$A$3:$A$302,0)),"미등록품번"))</f>
        <v/>
      </c>
      <c r="D1332" s="17" t="str">
        <f aca="false">IF($B1332="","",IFERROR(INDEX(품목마스터!$D$3:$D$302,MATCH($B1332,품목마스터!$A$3:$A$302,0)),""))</f>
        <v/>
      </c>
      <c r="E1332" s="12"/>
      <c r="F1332" s="10"/>
    </row>
    <row r="1333" customFormat="false" ht="15" hidden="false" customHeight="true" outlineLevel="0" collapsed="false">
      <c r="A1333" s="16"/>
      <c r="B1333" s="10"/>
      <c r="C1333" s="17" t="str">
        <f aca="false">IF($B1333="","",IFERROR(INDEX(품목마스터!$B$3:$B$302,MATCH($B1333,품목마스터!$A$3:$A$302,0)),"미등록품번"))</f>
        <v/>
      </c>
      <c r="D1333" s="17" t="str">
        <f aca="false">IF($B1333="","",IFERROR(INDEX(품목마스터!$D$3:$D$302,MATCH($B1333,품목마스터!$A$3:$A$302,0)),""))</f>
        <v/>
      </c>
      <c r="E1333" s="12"/>
      <c r="F1333" s="10"/>
    </row>
    <row r="1334" customFormat="false" ht="15" hidden="false" customHeight="true" outlineLevel="0" collapsed="false">
      <c r="A1334" s="16"/>
      <c r="B1334" s="10"/>
      <c r="C1334" s="17" t="str">
        <f aca="false">IF($B1334="","",IFERROR(INDEX(품목마스터!$B$3:$B$302,MATCH($B1334,품목마스터!$A$3:$A$302,0)),"미등록품번"))</f>
        <v/>
      </c>
      <c r="D1334" s="17" t="str">
        <f aca="false">IF($B1334="","",IFERROR(INDEX(품목마스터!$D$3:$D$302,MATCH($B1334,품목마스터!$A$3:$A$302,0)),""))</f>
        <v/>
      </c>
      <c r="E1334" s="12"/>
      <c r="F1334" s="10"/>
    </row>
    <row r="1335" customFormat="false" ht="15" hidden="false" customHeight="true" outlineLevel="0" collapsed="false">
      <c r="A1335" s="16"/>
      <c r="B1335" s="10"/>
      <c r="C1335" s="17" t="str">
        <f aca="false">IF($B1335="","",IFERROR(INDEX(품목마스터!$B$3:$B$302,MATCH($B1335,품목마스터!$A$3:$A$302,0)),"미등록품번"))</f>
        <v/>
      </c>
      <c r="D1335" s="17" t="str">
        <f aca="false">IF($B1335="","",IFERROR(INDEX(품목마스터!$D$3:$D$302,MATCH($B1335,품목마스터!$A$3:$A$302,0)),""))</f>
        <v/>
      </c>
      <c r="E1335" s="12"/>
      <c r="F1335" s="10"/>
    </row>
    <row r="1336" customFormat="false" ht="15" hidden="false" customHeight="true" outlineLevel="0" collapsed="false">
      <c r="A1336" s="16"/>
      <c r="B1336" s="10"/>
      <c r="C1336" s="17" t="str">
        <f aca="false">IF($B1336="","",IFERROR(INDEX(품목마스터!$B$3:$B$302,MATCH($B1336,품목마스터!$A$3:$A$302,0)),"미등록품번"))</f>
        <v/>
      </c>
      <c r="D1336" s="17" t="str">
        <f aca="false">IF($B1336="","",IFERROR(INDEX(품목마스터!$D$3:$D$302,MATCH($B1336,품목마스터!$A$3:$A$302,0)),""))</f>
        <v/>
      </c>
      <c r="E1336" s="12"/>
      <c r="F1336" s="10"/>
    </row>
    <row r="1337" customFormat="false" ht="15" hidden="false" customHeight="true" outlineLevel="0" collapsed="false">
      <c r="A1337" s="16"/>
      <c r="B1337" s="10"/>
      <c r="C1337" s="17" t="str">
        <f aca="false">IF($B1337="","",IFERROR(INDEX(품목마스터!$B$3:$B$302,MATCH($B1337,품목마스터!$A$3:$A$302,0)),"미등록품번"))</f>
        <v/>
      </c>
      <c r="D1337" s="17" t="str">
        <f aca="false">IF($B1337="","",IFERROR(INDEX(품목마스터!$D$3:$D$302,MATCH($B1337,품목마스터!$A$3:$A$302,0)),""))</f>
        <v/>
      </c>
      <c r="E1337" s="12"/>
      <c r="F1337" s="10"/>
    </row>
    <row r="1338" customFormat="false" ht="15" hidden="false" customHeight="true" outlineLevel="0" collapsed="false">
      <c r="A1338" s="16"/>
      <c r="B1338" s="10"/>
      <c r="C1338" s="17" t="str">
        <f aca="false">IF($B1338="","",IFERROR(INDEX(품목마스터!$B$3:$B$302,MATCH($B1338,품목마스터!$A$3:$A$302,0)),"미등록품번"))</f>
        <v/>
      </c>
      <c r="D1338" s="17" t="str">
        <f aca="false">IF($B1338="","",IFERROR(INDEX(품목마스터!$D$3:$D$302,MATCH($B1338,품목마스터!$A$3:$A$302,0)),""))</f>
        <v/>
      </c>
      <c r="E1338" s="12"/>
      <c r="F1338" s="10"/>
    </row>
    <row r="1339" customFormat="false" ht="15" hidden="false" customHeight="true" outlineLevel="0" collapsed="false">
      <c r="A1339" s="16"/>
      <c r="B1339" s="10"/>
      <c r="C1339" s="17" t="str">
        <f aca="false">IF($B1339="","",IFERROR(INDEX(품목마스터!$B$3:$B$302,MATCH($B1339,품목마스터!$A$3:$A$302,0)),"미등록품번"))</f>
        <v/>
      </c>
      <c r="D1339" s="17" t="str">
        <f aca="false">IF($B1339="","",IFERROR(INDEX(품목마스터!$D$3:$D$302,MATCH($B1339,품목마스터!$A$3:$A$302,0)),""))</f>
        <v/>
      </c>
      <c r="E1339" s="12"/>
      <c r="F1339" s="10"/>
    </row>
    <row r="1340" customFormat="false" ht="15" hidden="false" customHeight="true" outlineLevel="0" collapsed="false">
      <c r="A1340" s="16"/>
      <c r="B1340" s="10"/>
      <c r="C1340" s="17" t="str">
        <f aca="false">IF($B1340="","",IFERROR(INDEX(품목마스터!$B$3:$B$302,MATCH($B1340,품목마스터!$A$3:$A$302,0)),"미등록품번"))</f>
        <v/>
      </c>
      <c r="D1340" s="17" t="str">
        <f aca="false">IF($B1340="","",IFERROR(INDEX(품목마스터!$D$3:$D$302,MATCH($B1340,품목마스터!$A$3:$A$302,0)),""))</f>
        <v/>
      </c>
      <c r="E1340" s="12"/>
      <c r="F1340" s="10"/>
    </row>
    <row r="1341" customFormat="false" ht="15" hidden="false" customHeight="true" outlineLevel="0" collapsed="false">
      <c r="A1341" s="16"/>
      <c r="B1341" s="10"/>
      <c r="C1341" s="17" t="str">
        <f aca="false">IF($B1341="","",IFERROR(INDEX(품목마스터!$B$3:$B$302,MATCH($B1341,품목마스터!$A$3:$A$302,0)),"미등록품번"))</f>
        <v/>
      </c>
      <c r="D1341" s="17" t="str">
        <f aca="false">IF($B1341="","",IFERROR(INDEX(품목마스터!$D$3:$D$302,MATCH($B1341,품목마스터!$A$3:$A$302,0)),""))</f>
        <v/>
      </c>
      <c r="E1341" s="12"/>
      <c r="F1341" s="10"/>
    </row>
    <row r="1342" customFormat="false" ht="15" hidden="false" customHeight="true" outlineLevel="0" collapsed="false">
      <c r="A1342" s="16"/>
      <c r="B1342" s="10"/>
      <c r="C1342" s="17" t="str">
        <f aca="false">IF($B1342="","",IFERROR(INDEX(품목마스터!$B$3:$B$302,MATCH($B1342,품목마스터!$A$3:$A$302,0)),"미등록품번"))</f>
        <v/>
      </c>
      <c r="D1342" s="17" t="str">
        <f aca="false">IF($B1342="","",IFERROR(INDEX(품목마스터!$D$3:$D$302,MATCH($B1342,품목마스터!$A$3:$A$302,0)),""))</f>
        <v/>
      </c>
      <c r="E1342" s="12"/>
      <c r="F1342" s="10"/>
    </row>
    <row r="1343" customFormat="false" ht="15" hidden="false" customHeight="true" outlineLevel="0" collapsed="false">
      <c r="A1343" s="16"/>
      <c r="B1343" s="10"/>
      <c r="C1343" s="17" t="str">
        <f aca="false">IF($B1343="","",IFERROR(INDEX(품목마스터!$B$3:$B$302,MATCH($B1343,품목마스터!$A$3:$A$302,0)),"미등록품번"))</f>
        <v/>
      </c>
      <c r="D1343" s="17" t="str">
        <f aca="false">IF($B1343="","",IFERROR(INDEX(품목마스터!$D$3:$D$302,MATCH($B1343,품목마스터!$A$3:$A$302,0)),""))</f>
        <v/>
      </c>
      <c r="E1343" s="12"/>
      <c r="F1343" s="10"/>
    </row>
    <row r="1344" customFormat="false" ht="15" hidden="false" customHeight="true" outlineLevel="0" collapsed="false">
      <c r="A1344" s="16"/>
      <c r="B1344" s="10"/>
      <c r="C1344" s="17" t="str">
        <f aca="false">IF($B1344="","",IFERROR(INDEX(품목마스터!$B$3:$B$302,MATCH($B1344,품목마스터!$A$3:$A$302,0)),"미등록품번"))</f>
        <v/>
      </c>
      <c r="D1344" s="17" t="str">
        <f aca="false">IF($B1344="","",IFERROR(INDEX(품목마스터!$D$3:$D$302,MATCH($B1344,품목마스터!$A$3:$A$302,0)),""))</f>
        <v/>
      </c>
      <c r="E1344" s="12"/>
      <c r="F1344" s="10"/>
    </row>
    <row r="1345" customFormat="false" ht="15" hidden="false" customHeight="true" outlineLevel="0" collapsed="false">
      <c r="A1345" s="16"/>
      <c r="B1345" s="10"/>
      <c r="C1345" s="17" t="str">
        <f aca="false">IF($B1345="","",IFERROR(INDEX(품목마스터!$B$3:$B$302,MATCH($B1345,품목마스터!$A$3:$A$302,0)),"미등록품번"))</f>
        <v/>
      </c>
      <c r="D1345" s="17" t="str">
        <f aca="false">IF($B1345="","",IFERROR(INDEX(품목마스터!$D$3:$D$302,MATCH($B1345,품목마스터!$A$3:$A$302,0)),""))</f>
        <v/>
      </c>
      <c r="E1345" s="12"/>
      <c r="F1345" s="10"/>
    </row>
    <row r="1346" customFormat="false" ht="15" hidden="false" customHeight="true" outlineLevel="0" collapsed="false">
      <c r="A1346" s="16"/>
      <c r="B1346" s="10"/>
      <c r="C1346" s="17" t="str">
        <f aca="false">IF($B1346="","",IFERROR(INDEX(품목마스터!$B$3:$B$302,MATCH($B1346,품목마스터!$A$3:$A$302,0)),"미등록품번"))</f>
        <v/>
      </c>
      <c r="D1346" s="17" t="str">
        <f aca="false">IF($B1346="","",IFERROR(INDEX(품목마스터!$D$3:$D$302,MATCH($B1346,품목마스터!$A$3:$A$302,0)),""))</f>
        <v/>
      </c>
      <c r="E1346" s="12"/>
      <c r="F1346" s="10"/>
    </row>
    <row r="1347" customFormat="false" ht="15" hidden="false" customHeight="true" outlineLevel="0" collapsed="false">
      <c r="A1347" s="16"/>
      <c r="B1347" s="10"/>
      <c r="C1347" s="17" t="str">
        <f aca="false">IF($B1347="","",IFERROR(INDEX(품목마스터!$B$3:$B$302,MATCH($B1347,품목마스터!$A$3:$A$302,0)),"미등록품번"))</f>
        <v/>
      </c>
      <c r="D1347" s="17" t="str">
        <f aca="false">IF($B1347="","",IFERROR(INDEX(품목마스터!$D$3:$D$302,MATCH($B1347,품목마스터!$A$3:$A$302,0)),""))</f>
        <v/>
      </c>
      <c r="E1347" s="12"/>
      <c r="F1347" s="10"/>
    </row>
    <row r="1348" customFormat="false" ht="15" hidden="false" customHeight="true" outlineLevel="0" collapsed="false">
      <c r="A1348" s="16"/>
      <c r="B1348" s="10"/>
      <c r="C1348" s="17" t="str">
        <f aca="false">IF($B1348="","",IFERROR(INDEX(품목마스터!$B$3:$B$302,MATCH($B1348,품목마스터!$A$3:$A$302,0)),"미등록품번"))</f>
        <v/>
      </c>
      <c r="D1348" s="17" t="str">
        <f aca="false">IF($B1348="","",IFERROR(INDEX(품목마스터!$D$3:$D$302,MATCH($B1348,품목마스터!$A$3:$A$302,0)),""))</f>
        <v/>
      </c>
      <c r="E1348" s="12"/>
      <c r="F1348" s="10"/>
    </row>
    <row r="1349" customFormat="false" ht="15" hidden="false" customHeight="true" outlineLevel="0" collapsed="false">
      <c r="A1349" s="16"/>
      <c r="B1349" s="10"/>
      <c r="C1349" s="17" t="str">
        <f aca="false">IF($B1349="","",IFERROR(INDEX(품목마스터!$B$3:$B$302,MATCH($B1349,품목마스터!$A$3:$A$302,0)),"미등록품번"))</f>
        <v/>
      </c>
      <c r="D1349" s="17" t="str">
        <f aca="false">IF($B1349="","",IFERROR(INDEX(품목마스터!$D$3:$D$302,MATCH($B1349,품목마스터!$A$3:$A$302,0)),""))</f>
        <v/>
      </c>
      <c r="E1349" s="12"/>
      <c r="F1349" s="10"/>
    </row>
    <row r="1350" customFormat="false" ht="15" hidden="false" customHeight="true" outlineLevel="0" collapsed="false">
      <c r="A1350" s="16"/>
      <c r="B1350" s="10"/>
      <c r="C1350" s="17" t="str">
        <f aca="false">IF($B1350="","",IFERROR(INDEX(품목마스터!$B$3:$B$302,MATCH($B1350,품목마스터!$A$3:$A$302,0)),"미등록품번"))</f>
        <v/>
      </c>
      <c r="D1350" s="17" t="str">
        <f aca="false">IF($B1350="","",IFERROR(INDEX(품목마스터!$D$3:$D$302,MATCH($B1350,품목마스터!$A$3:$A$302,0)),""))</f>
        <v/>
      </c>
      <c r="E1350" s="12"/>
      <c r="F1350" s="10"/>
    </row>
    <row r="1351" customFormat="false" ht="15" hidden="false" customHeight="true" outlineLevel="0" collapsed="false">
      <c r="A1351" s="16"/>
      <c r="B1351" s="10"/>
      <c r="C1351" s="17" t="str">
        <f aca="false">IF($B1351="","",IFERROR(INDEX(품목마스터!$B$3:$B$302,MATCH($B1351,품목마스터!$A$3:$A$302,0)),"미등록품번"))</f>
        <v/>
      </c>
      <c r="D1351" s="17" t="str">
        <f aca="false">IF($B1351="","",IFERROR(INDEX(품목마스터!$D$3:$D$302,MATCH($B1351,품목마스터!$A$3:$A$302,0)),""))</f>
        <v/>
      </c>
      <c r="E1351" s="12"/>
      <c r="F1351" s="10"/>
    </row>
    <row r="1352" customFormat="false" ht="15" hidden="false" customHeight="true" outlineLevel="0" collapsed="false">
      <c r="A1352" s="16"/>
      <c r="B1352" s="10"/>
      <c r="C1352" s="17" t="str">
        <f aca="false">IF($B1352="","",IFERROR(INDEX(품목마스터!$B$3:$B$302,MATCH($B1352,품목마스터!$A$3:$A$302,0)),"미등록품번"))</f>
        <v/>
      </c>
      <c r="D1352" s="17" t="str">
        <f aca="false">IF($B1352="","",IFERROR(INDEX(품목마스터!$D$3:$D$302,MATCH($B1352,품목마스터!$A$3:$A$302,0)),""))</f>
        <v/>
      </c>
      <c r="E1352" s="12"/>
      <c r="F1352" s="10"/>
    </row>
    <row r="1353" customFormat="false" ht="15" hidden="false" customHeight="true" outlineLevel="0" collapsed="false">
      <c r="A1353" s="16"/>
      <c r="B1353" s="10"/>
      <c r="C1353" s="17" t="str">
        <f aca="false">IF($B1353="","",IFERROR(INDEX(품목마스터!$B$3:$B$302,MATCH($B1353,품목마스터!$A$3:$A$302,0)),"미등록품번"))</f>
        <v/>
      </c>
      <c r="D1353" s="17" t="str">
        <f aca="false">IF($B1353="","",IFERROR(INDEX(품목마스터!$D$3:$D$302,MATCH($B1353,품목마스터!$A$3:$A$302,0)),""))</f>
        <v/>
      </c>
      <c r="E1353" s="12"/>
      <c r="F1353" s="10"/>
    </row>
    <row r="1354" customFormat="false" ht="15" hidden="false" customHeight="true" outlineLevel="0" collapsed="false">
      <c r="A1354" s="16"/>
      <c r="B1354" s="10"/>
      <c r="C1354" s="17" t="str">
        <f aca="false">IF($B1354="","",IFERROR(INDEX(품목마스터!$B$3:$B$302,MATCH($B1354,품목마스터!$A$3:$A$302,0)),"미등록품번"))</f>
        <v/>
      </c>
      <c r="D1354" s="17" t="str">
        <f aca="false">IF($B1354="","",IFERROR(INDEX(품목마스터!$D$3:$D$302,MATCH($B1354,품목마스터!$A$3:$A$302,0)),""))</f>
        <v/>
      </c>
      <c r="E1354" s="12"/>
      <c r="F1354" s="10"/>
    </row>
    <row r="1355" customFormat="false" ht="15" hidden="false" customHeight="true" outlineLevel="0" collapsed="false">
      <c r="A1355" s="16"/>
      <c r="B1355" s="10"/>
      <c r="C1355" s="17" t="str">
        <f aca="false">IF($B1355="","",IFERROR(INDEX(품목마스터!$B$3:$B$302,MATCH($B1355,품목마스터!$A$3:$A$302,0)),"미등록품번"))</f>
        <v/>
      </c>
      <c r="D1355" s="17" t="str">
        <f aca="false">IF($B1355="","",IFERROR(INDEX(품목마스터!$D$3:$D$302,MATCH($B1355,품목마스터!$A$3:$A$302,0)),""))</f>
        <v/>
      </c>
      <c r="E1355" s="12"/>
      <c r="F1355" s="10"/>
    </row>
    <row r="1356" customFormat="false" ht="15" hidden="false" customHeight="true" outlineLevel="0" collapsed="false">
      <c r="A1356" s="16"/>
      <c r="B1356" s="10"/>
      <c r="C1356" s="17" t="str">
        <f aca="false">IF($B1356="","",IFERROR(INDEX(품목마스터!$B$3:$B$302,MATCH($B1356,품목마스터!$A$3:$A$302,0)),"미등록품번"))</f>
        <v/>
      </c>
      <c r="D1356" s="17" t="str">
        <f aca="false">IF($B1356="","",IFERROR(INDEX(품목마스터!$D$3:$D$302,MATCH($B1356,품목마스터!$A$3:$A$302,0)),""))</f>
        <v/>
      </c>
      <c r="E1356" s="12"/>
      <c r="F1356" s="10"/>
    </row>
    <row r="1357" customFormat="false" ht="15" hidden="false" customHeight="true" outlineLevel="0" collapsed="false">
      <c r="A1357" s="16"/>
      <c r="B1357" s="10"/>
      <c r="C1357" s="17" t="str">
        <f aca="false">IF($B1357="","",IFERROR(INDEX(품목마스터!$B$3:$B$302,MATCH($B1357,품목마스터!$A$3:$A$302,0)),"미등록품번"))</f>
        <v/>
      </c>
      <c r="D1357" s="17" t="str">
        <f aca="false">IF($B1357="","",IFERROR(INDEX(품목마스터!$D$3:$D$302,MATCH($B1357,품목마스터!$A$3:$A$302,0)),""))</f>
        <v/>
      </c>
      <c r="E1357" s="12"/>
      <c r="F1357" s="10"/>
    </row>
    <row r="1358" customFormat="false" ht="15" hidden="false" customHeight="true" outlineLevel="0" collapsed="false">
      <c r="A1358" s="16"/>
      <c r="B1358" s="10"/>
      <c r="C1358" s="17" t="str">
        <f aca="false">IF($B1358="","",IFERROR(INDEX(품목마스터!$B$3:$B$302,MATCH($B1358,품목마스터!$A$3:$A$302,0)),"미등록품번"))</f>
        <v/>
      </c>
      <c r="D1358" s="17" t="str">
        <f aca="false">IF($B1358="","",IFERROR(INDEX(품목마스터!$D$3:$D$302,MATCH($B1358,품목마스터!$A$3:$A$302,0)),""))</f>
        <v/>
      </c>
      <c r="E1358" s="12"/>
      <c r="F1358" s="10"/>
    </row>
    <row r="1359" customFormat="false" ht="15" hidden="false" customHeight="true" outlineLevel="0" collapsed="false">
      <c r="A1359" s="16"/>
      <c r="B1359" s="10"/>
      <c r="C1359" s="17" t="str">
        <f aca="false">IF($B1359="","",IFERROR(INDEX(품목마스터!$B$3:$B$302,MATCH($B1359,품목마스터!$A$3:$A$302,0)),"미등록품번"))</f>
        <v/>
      </c>
      <c r="D1359" s="17" t="str">
        <f aca="false">IF($B1359="","",IFERROR(INDEX(품목마스터!$D$3:$D$302,MATCH($B1359,품목마스터!$A$3:$A$302,0)),""))</f>
        <v/>
      </c>
      <c r="E1359" s="12"/>
      <c r="F1359" s="10"/>
    </row>
    <row r="1360" customFormat="false" ht="15" hidden="false" customHeight="true" outlineLevel="0" collapsed="false">
      <c r="A1360" s="16"/>
      <c r="B1360" s="10"/>
      <c r="C1360" s="17" t="str">
        <f aca="false">IF($B1360="","",IFERROR(INDEX(품목마스터!$B$3:$B$302,MATCH($B1360,품목마스터!$A$3:$A$302,0)),"미등록품번"))</f>
        <v/>
      </c>
      <c r="D1360" s="17" t="str">
        <f aca="false">IF($B1360="","",IFERROR(INDEX(품목마스터!$D$3:$D$302,MATCH($B1360,품목마스터!$A$3:$A$302,0)),""))</f>
        <v/>
      </c>
      <c r="E1360" s="12"/>
      <c r="F1360" s="10"/>
    </row>
    <row r="1361" customFormat="false" ht="15" hidden="false" customHeight="true" outlineLevel="0" collapsed="false">
      <c r="A1361" s="16"/>
      <c r="B1361" s="10"/>
      <c r="C1361" s="17" t="str">
        <f aca="false">IF($B1361="","",IFERROR(INDEX(품목마스터!$B$3:$B$302,MATCH($B1361,품목마스터!$A$3:$A$302,0)),"미등록품번"))</f>
        <v/>
      </c>
      <c r="D1361" s="17" t="str">
        <f aca="false">IF($B1361="","",IFERROR(INDEX(품목마스터!$D$3:$D$302,MATCH($B1361,품목마스터!$A$3:$A$302,0)),""))</f>
        <v/>
      </c>
      <c r="E1361" s="12"/>
      <c r="F1361" s="10"/>
    </row>
    <row r="1362" customFormat="false" ht="15" hidden="false" customHeight="true" outlineLevel="0" collapsed="false">
      <c r="A1362" s="16"/>
      <c r="B1362" s="10"/>
      <c r="C1362" s="17" t="str">
        <f aca="false">IF($B1362="","",IFERROR(INDEX(품목마스터!$B$3:$B$302,MATCH($B1362,품목마스터!$A$3:$A$302,0)),"미등록품번"))</f>
        <v/>
      </c>
      <c r="D1362" s="17" t="str">
        <f aca="false">IF($B1362="","",IFERROR(INDEX(품목마스터!$D$3:$D$302,MATCH($B1362,품목마스터!$A$3:$A$302,0)),""))</f>
        <v/>
      </c>
      <c r="E1362" s="12"/>
      <c r="F1362" s="10"/>
    </row>
    <row r="1363" customFormat="false" ht="15" hidden="false" customHeight="true" outlineLevel="0" collapsed="false">
      <c r="A1363" s="16"/>
      <c r="B1363" s="10"/>
      <c r="C1363" s="17" t="str">
        <f aca="false">IF($B1363="","",IFERROR(INDEX(품목마스터!$B$3:$B$302,MATCH($B1363,품목마스터!$A$3:$A$302,0)),"미등록품번"))</f>
        <v/>
      </c>
      <c r="D1363" s="17" t="str">
        <f aca="false">IF($B1363="","",IFERROR(INDEX(품목마스터!$D$3:$D$302,MATCH($B1363,품목마스터!$A$3:$A$302,0)),""))</f>
        <v/>
      </c>
      <c r="E1363" s="12"/>
      <c r="F1363" s="10"/>
    </row>
    <row r="1364" customFormat="false" ht="15" hidden="false" customHeight="true" outlineLevel="0" collapsed="false">
      <c r="A1364" s="16"/>
      <c r="B1364" s="10"/>
      <c r="C1364" s="17" t="str">
        <f aca="false">IF($B1364="","",IFERROR(INDEX(품목마스터!$B$3:$B$302,MATCH($B1364,품목마스터!$A$3:$A$302,0)),"미등록품번"))</f>
        <v/>
      </c>
      <c r="D1364" s="17" t="str">
        <f aca="false">IF($B1364="","",IFERROR(INDEX(품목마스터!$D$3:$D$302,MATCH($B1364,품목마스터!$A$3:$A$302,0)),""))</f>
        <v/>
      </c>
      <c r="E1364" s="12"/>
      <c r="F1364" s="10"/>
    </row>
    <row r="1365" customFormat="false" ht="15" hidden="false" customHeight="true" outlineLevel="0" collapsed="false">
      <c r="A1365" s="16"/>
      <c r="B1365" s="10"/>
      <c r="C1365" s="17" t="str">
        <f aca="false">IF($B1365="","",IFERROR(INDEX(품목마스터!$B$3:$B$302,MATCH($B1365,품목마스터!$A$3:$A$302,0)),"미등록품번"))</f>
        <v/>
      </c>
      <c r="D1365" s="17" t="str">
        <f aca="false">IF($B1365="","",IFERROR(INDEX(품목마스터!$D$3:$D$302,MATCH($B1365,품목마스터!$A$3:$A$302,0)),""))</f>
        <v/>
      </c>
      <c r="E1365" s="12"/>
      <c r="F1365" s="10"/>
    </row>
    <row r="1366" customFormat="false" ht="15" hidden="false" customHeight="true" outlineLevel="0" collapsed="false">
      <c r="A1366" s="16"/>
      <c r="B1366" s="10"/>
      <c r="C1366" s="17" t="str">
        <f aca="false">IF($B1366="","",IFERROR(INDEX(품목마스터!$B$3:$B$302,MATCH($B1366,품목마스터!$A$3:$A$302,0)),"미등록품번"))</f>
        <v/>
      </c>
      <c r="D1366" s="17" t="str">
        <f aca="false">IF($B1366="","",IFERROR(INDEX(품목마스터!$D$3:$D$302,MATCH($B1366,품목마스터!$A$3:$A$302,0)),""))</f>
        <v/>
      </c>
      <c r="E1366" s="12"/>
      <c r="F1366" s="10"/>
    </row>
    <row r="1367" customFormat="false" ht="15" hidden="false" customHeight="true" outlineLevel="0" collapsed="false">
      <c r="A1367" s="16"/>
      <c r="B1367" s="10"/>
      <c r="C1367" s="17" t="str">
        <f aca="false">IF($B1367="","",IFERROR(INDEX(품목마스터!$B$3:$B$302,MATCH($B1367,품목마스터!$A$3:$A$302,0)),"미등록품번"))</f>
        <v/>
      </c>
      <c r="D1367" s="17" t="str">
        <f aca="false">IF($B1367="","",IFERROR(INDEX(품목마스터!$D$3:$D$302,MATCH($B1367,품목마스터!$A$3:$A$302,0)),""))</f>
        <v/>
      </c>
      <c r="E1367" s="12"/>
      <c r="F1367" s="10"/>
    </row>
    <row r="1368" customFormat="false" ht="15" hidden="false" customHeight="true" outlineLevel="0" collapsed="false">
      <c r="A1368" s="16"/>
      <c r="B1368" s="10"/>
      <c r="C1368" s="17" t="str">
        <f aca="false">IF($B1368="","",IFERROR(INDEX(품목마스터!$B$3:$B$302,MATCH($B1368,품목마스터!$A$3:$A$302,0)),"미등록품번"))</f>
        <v/>
      </c>
      <c r="D1368" s="17" t="str">
        <f aca="false">IF($B1368="","",IFERROR(INDEX(품목마스터!$D$3:$D$302,MATCH($B1368,품목마스터!$A$3:$A$302,0)),""))</f>
        <v/>
      </c>
      <c r="E1368" s="12"/>
      <c r="F1368" s="10"/>
    </row>
    <row r="1369" customFormat="false" ht="15" hidden="false" customHeight="true" outlineLevel="0" collapsed="false">
      <c r="A1369" s="16"/>
      <c r="B1369" s="10"/>
      <c r="C1369" s="17" t="str">
        <f aca="false">IF($B1369="","",IFERROR(INDEX(품목마스터!$B$3:$B$302,MATCH($B1369,품목마스터!$A$3:$A$302,0)),"미등록품번"))</f>
        <v/>
      </c>
      <c r="D1369" s="17" t="str">
        <f aca="false">IF($B1369="","",IFERROR(INDEX(품목마스터!$D$3:$D$302,MATCH($B1369,품목마스터!$A$3:$A$302,0)),""))</f>
        <v/>
      </c>
      <c r="E1369" s="12"/>
      <c r="F1369" s="10"/>
    </row>
    <row r="1370" customFormat="false" ht="15" hidden="false" customHeight="true" outlineLevel="0" collapsed="false">
      <c r="A1370" s="16"/>
      <c r="B1370" s="10"/>
      <c r="C1370" s="17" t="str">
        <f aca="false">IF($B1370="","",IFERROR(INDEX(품목마스터!$B$3:$B$302,MATCH($B1370,품목마스터!$A$3:$A$302,0)),"미등록품번"))</f>
        <v/>
      </c>
      <c r="D1370" s="17" t="str">
        <f aca="false">IF($B1370="","",IFERROR(INDEX(품목마스터!$D$3:$D$302,MATCH($B1370,품목마스터!$A$3:$A$302,0)),""))</f>
        <v/>
      </c>
      <c r="E1370" s="12"/>
      <c r="F1370" s="10"/>
    </row>
    <row r="1371" customFormat="false" ht="15" hidden="false" customHeight="true" outlineLevel="0" collapsed="false">
      <c r="A1371" s="16"/>
      <c r="B1371" s="10"/>
      <c r="C1371" s="17" t="str">
        <f aca="false">IF($B1371="","",IFERROR(INDEX(품목마스터!$B$3:$B$302,MATCH($B1371,품목마스터!$A$3:$A$302,0)),"미등록품번"))</f>
        <v/>
      </c>
      <c r="D1371" s="17" t="str">
        <f aca="false">IF($B1371="","",IFERROR(INDEX(품목마스터!$D$3:$D$302,MATCH($B1371,품목마스터!$A$3:$A$302,0)),""))</f>
        <v/>
      </c>
      <c r="E1371" s="12"/>
      <c r="F1371" s="10"/>
    </row>
    <row r="1372" customFormat="false" ht="15" hidden="false" customHeight="true" outlineLevel="0" collapsed="false">
      <c r="A1372" s="16"/>
      <c r="B1372" s="10"/>
      <c r="C1372" s="17" t="str">
        <f aca="false">IF($B1372="","",IFERROR(INDEX(품목마스터!$B$3:$B$302,MATCH($B1372,품목마스터!$A$3:$A$302,0)),"미등록품번"))</f>
        <v/>
      </c>
      <c r="D1372" s="17" t="str">
        <f aca="false">IF($B1372="","",IFERROR(INDEX(품목마스터!$D$3:$D$302,MATCH($B1372,품목마스터!$A$3:$A$302,0)),""))</f>
        <v/>
      </c>
      <c r="E1372" s="12"/>
      <c r="F1372" s="10"/>
    </row>
    <row r="1373" customFormat="false" ht="15" hidden="false" customHeight="true" outlineLevel="0" collapsed="false">
      <c r="A1373" s="16"/>
      <c r="B1373" s="10"/>
      <c r="C1373" s="17" t="str">
        <f aca="false">IF($B1373="","",IFERROR(INDEX(품목마스터!$B$3:$B$302,MATCH($B1373,품목마스터!$A$3:$A$302,0)),"미등록품번"))</f>
        <v/>
      </c>
      <c r="D1373" s="17" t="str">
        <f aca="false">IF($B1373="","",IFERROR(INDEX(품목마스터!$D$3:$D$302,MATCH($B1373,품목마스터!$A$3:$A$302,0)),""))</f>
        <v/>
      </c>
      <c r="E1373" s="12"/>
      <c r="F1373" s="10"/>
    </row>
    <row r="1374" customFormat="false" ht="15" hidden="false" customHeight="true" outlineLevel="0" collapsed="false">
      <c r="A1374" s="16"/>
      <c r="B1374" s="10"/>
      <c r="C1374" s="17" t="str">
        <f aca="false">IF($B1374="","",IFERROR(INDEX(품목마스터!$B$3:$B$302,MATCH($B1374,품목마스터!$A$3:$A$302,0)),"미등록품번"))</f>
        <v/>
      </c>
      <c r="D1374" s="17" t="str">
        <f aca="false">IF($B1374="","",IFERROR(INDEX(품목마스터!$D$3:$D$302,MATCH($B1374,품목마스터!$A$3:$A$302,0)),""))</f>
        <v/>
      </c>
      <c r="E1374" s="12"/>
      <c r="F1374" s="10"/>
    </row>
    <row r="1375" customFormat="false" ht="15" hidden="false" customHeight="true" outlineLevel="0" collapsed="false">
      <c r="A1375" s="16"/>
      <c r="B1375" s="10"/>
      <c r="C1375" s="17" t="str">
        <f aca="false">IF($B1375="","",IFERROR(INDEX(품목마스터!$B$3:$B$302,MATCH($B1375,품목마스터!$A$3:$A$302,0)),"미등록품번"))</f>
        <v/>
      </c>
      <c r="D1375" s="17" t="str">
        <f aca="false">IF($B1375="","",IFERROR(INDEX(품목마스터!$D$3:$D$302,MATCH($B1375,품목마스터!$A$3:$A$302,0)),""))</f>
        <v/>
      </c>
      <c r="E1375" s="12"/>
      <c r="F1375" s="10"/>
    </row>
    <row r="1376" customFormat="false" ht="15" hidden="false" customHeight="true" outlineLevel="0" collapsed="false">
      <c r="A1376" s="16"/>
      <c r="B1376" s="10"/>
      <c r="C1376" s="17" t="str">
        <f aca="false">IF($B1376="","",IFERROR(INDEX(품목마스터!$B$3:$B$302,MATCH($B1376,품목마스터!$A$3:$A$302,0)),"미등록품번"))</f>
        <v/>
      </c>
      <c r="D1376" s="17" t="str">
        <f aca="false">IF($B1376="","",IFERROR(INDEX(품목마스터!$D$3:$D$302,MATCH($B1376,품목마스터!$A$3:$A$302,0)),""))</f>
        <v/>
      </c>
      <c r="E1376" s="12"/>
      <c r="F1376" s="10"/>
    </row>
    <row r="1377" customFormat="false" ht="15" hidden="false" customHeight="true" outlineLevel="0" collapsed="false">
      <c r="A1377" s="16"/>
      <c r="B1377" s="10"/>
      <c r="C1377" s="17" t="str">
        <f aca="false">IF($B1377="","",IFERROR(INDEX(품목마스터!$B$3:$B$302,MATCH($B1377,품목마스터!$A$3:$A$302,0)),"미등록품번"))</f>
        <v/>
      </c>
      <c r="D1377" s="17" t="str">
        <f aca="false">IF($B1377="","",IFERROR(INDEX(품목마스터!$D$3:$D$302,MATCH($B1377,품목마스터!$A$3:$A$302,0)),""))</f>
        <v/>
      </c>
      <c r="E1377" s="12"/>
      <c r="F1377" s="10"/>
    </row>
    <row r="1378" customFormat="false" ht="15" hidden="false" customHeight="true" outlineLevel="0" collapsed="false">
      <c r="A1378" s="16"/>
      <c r="B1378" s="10"/>
      <c r="C1378" s="17" t="str">
        <f aca="false">IF($B1378="","",IFERROR(INDEX(품목마스터!$B$3:$B$302,MATCH($B1378,품목마스터!$A$3:$A$302,0)),"미등록품번"))</f>
        <v/>
      </c>
      <c r="D1378" s="17" t="str">
        <f aca="false">IF($B1378="","",IFERROR(INDEX(품목마스터!$D$3:$D$302,MATCH($B1378,품목마스터!$A$3:$A$302,0)),""))</f>
        <v/>
      </c>
      <c r="E1378" s="12"/>
      <c r="F1378" s="10"/>
    </row>
    <row r="1379" customFormat="false" ht="15" hidden="false" customHeight="true" outlineLevel="0" collapsed="false">
      <c r="A1379" s="16"/>
      <c r="B1379" s="10"/>
      <c r="C1379" s="17" t="str">
        <f aca="false">IF($B1379="","",IFERROR(INDEX(품목마스터!$B$3:$B$302,MATCH($B1379,품목마스터!$A$3:$A$302,0)),"미등록품번"))</f>
        <v/>
      </c>
      <c r="D1379" s="17" t="str">
        <f aca="false">IF($B1379="","",IFERROR(INDEX(품목마스터!$D$3:$D$302,MATCH($B1379,품목마스터!$A$3:$A$302,0)),""))</f>
        <v/>
      </c>
      <c r="E1379" s="12"/>
      <c r="F1379" s="10"/>
    </row>
    <row r="1380" customFormat="false" ht="15" hidden="false" customHeight="true" outlineLevel="0" collapsed="false">
      <c r="A1380" s="16"/>
      <c r="B1380" s="10"/>
      <c r="C1380" s="17" t="str">
        <f aca="false">IF($B1380="","",IFERROR(INDEX(품목마스터!$B$3:$B$302,MATCH($B1380,품목마스터!$A$3:$A$302,0)),"미등록품번"))</f>
        <v/>
      </c>
      <c r="D1380" s="17" t="str">
        <f aca="false">IF($B1380="","",IFERROR(INDEX(품목마스터!$D$3:$D$302,MATCH($B1380,품목마스터!$A$3:$A$302,0)),""))</f>
        <v/>
      </c>
      <c r="E1380" s="12"/>
      <c r="F1380" s="10"/>
    </row>
    <row r="1381" customFormat="false" ht="15" hidden="false" customHeight="true" outlineLevel="0" collapsed="false">
      <c r="A1381" s="16"/>
      <c r="B1381" s="10"/>
      <c r="C1381" s="17" t="str">
        <f aca="false">IF($B1381="","",IFERROR(INDEX(품목마스터!$B$3:$B$302,MATCH($B1381,품목마스터!$A$3:$A$302,0)),"미등록품번"))</f>
        <v/>
      </c>
      <c r="D1381" s="17" t="str">
        <f aca="false">IF($B1381="","",IFERROR(INDEX(품목마스터!$D$3:$D$302,MATCH($B1381,품목마스터!$A$3:$A$302,0)),""))</f>
        <v/>
      </c>
      <c r="E1381" s="12"/>
      <c r="F1381" s="10"/>
    </row>
    <row r="1382" customFormat="false" ht="15" hidden="false" customHeight="true" outlineLevel="0" collapsed="false">
      <c r="A1382" s="16"/>
      <c r="B1382" s="10"/>
      <c r="C1382" s="17" t="str">
        <f aca="false">IF($B1382="","",IFERROR(INDEX(품목마스터!$B$3:$B$302,MATCH($B1382,품목마스터!$A$3:$A$302,0)),"미등록품번"))</f>
        <v/>
      </c>
      <c r="D1382" s="17" t="str">
        <f aca="false">IF($B1382="","",IFERROR(INDEX(품목마스터!$D$3:$D$302,MATCH($B1382,품목마스터!$A$3:$A$302,0)),""))</f>
        <v/>
      </c>
      <c r="E1382" s="12"/>
      <c r="F1382" s="10"/>
    </row>
    <row r="1383" customFormat="false" ht="15" hidden="false" customHeight="true" outlineLevel="0" collapsed="false">
      <c r="A1383" s="16"/>
      <c r="B1383" s="10"/>
      <c r="C1383" s="17" t="str">
        <f aca="false">IF($B1383="","",IFERROR(INDEX(품목마스터!$B$3:$B$302,MATCH($B1383,품목마스터!$A$3:$A$302,0)),"미등록품번"))</f>
        <v/>
      </c>
      <c r="D1383" s="17" t="str">
        <f aca="false">IF($B1383="","",IFERROR(INDEX(품목마스터!$D$3:$D$302,MATCH($B1383,품목마스터!$A$3:$A$302,0)),""))</f>
        <v/>
      </c>
      <c r="E1383" s="12"/>
      <c r="F1383" s="10"/>
    </row>
    <row r="1384" customFormat="false" ht="15" hidden="false" customHeight="true" outlineLevel="0" collapsed="false">
      <c r="A1384" s="16"/>
      <c r="B1384" s="10"/>
      <c r="C1384" s="17" t="str">
        <f aca="false">IF($B1384="","",IFERROR(INDEX(품목마스터!$B$3:$B$302,MATCH($B1384,품목마스터!$A$3:$A$302,0)),"미등록품번"))</f>
        <v/>
      </c>
      <c r="D1384" s="17" t="str">
        <f aca="false">IF($B1384="","",IFERROR(INDEX(품목마스터!$D$3:$D$302,MATCH($B1384,품목마스터!$A$3:$A$302,0)),""))</f>
        <v/>
      </c>
      <c r="E1384" s="12"/>
      <c r="F1384" s="10"/>
    </row>
    <row r="1385" customFormat="false" ht="15" hidden="false" customHeight="true" outlineLevel="0" collapsed="false">
      <c r="A1385" s="16"/>
      <c r="B1385" s="10"/>
      <c r="C1385" s="17" t="str">
        <f aca="false">IF($B1385="","",IFERROR(INDEX(품목마스터!$B$3:$B$302,MATCH($B1385,품목마스터!$A$3:$A$302,0)),"미등록품번"))</f>
        <v/>
      </c>
      <c r="D1385" s="17" t="str">
        <f aca="false">IF($B1385="","",IFERROR(INDEX(품목마스터!$D$3:$D$302,MATCH($B1385,품목마스터!$A$3:$A$302,0)),""))</f>
        <v/>
      </c>
      <c r="E1385" s="12"/>
      <c r="F1385" s="10"/>
    </row>
    <row r="1386" customFormat="false" ht="15" hidden="false" customHeight="true" outlineLevel="0" collapsed="false">
      <c r="A1386" s="16"/>
      <c r="B1386" s="10"/>
      <c r="C1386" s="17" t="str">
        <f aca="false">IF($B1386="","",IFERROR(INDEX(품목마스터!$B$3:$B$302,MATCH($B1386,품목마스터!$A$3:$A$302,0)),"미등록품번"))</f>
        <v/>
      </c>
      <c r="D1386" s="17" t="str">
        <f aca="false">IF($B1386="","",IFERROR(INDEX(품목마스터!$D$3:$D$302,MATCH($B1386,품목마스터!$A$3:$A$302,0)),""))</f>
        <v/>
      </c>
      <c r="E1386" s="12"/>
      <c r="F1386" s="10"/>
    </row>
    <row r="1387" customFormat="false" ht="15" hidden="false" customHeight="true" outlineLevel="0" collapsed="false">
      <c r="A1387" s="16"/>
      <c r="B1387" s="10"/>
      <c r="C1387" s="17" t="str">
        <f aca="false">IF($B1387="","",IFERROR(INDEX(품목마스터!$B$3:$B$302,MATCH($B1387,품목마스터!$A$3:$A$302,0)),"미등록품번"))</f>
        <v/>
      </c>
      <c r="D1387" s="17" t="str">
        <f aca="false">IF($B1387="","",IFERROR(INDEX(품목마스터!$D$3:$D$302,MATCH($B1387,품목마스터!$A$3:$A$302,0)),""))</f>
        <v/>
      </c>
      <c r="E1387" s="12"/>
      <c r="F1387" s="10"/>
    </row>
    <row r="1388" customFormat="false" ht="15" hidden="false" customHeight="true" outlineLevel="0" collapsed="false">
      <c r="A1388" s="16"/>
      <c r="B1388" s="10"/>
      <c r="C1388" s="17" t="str">
        <f aca="false">IF($B1388="","",IFERROR(INDEX(품목마스터!$B$3:$B$302,MATCH($B1388,품목마스터!$A$3:$A$302,0)),"미등록품번"))</f>
        <v/>
      </c>
      <c r="D1388" s="17" t="str">
        <f aca="false">IF($B1388="","",IFERROR(INDEX(품목마스터!$D$3:$D$302,MATCH($B1388,품목마스터!$A$3:$A$302,0)),""))</f>
        <v/>
      </c>
      <c r="E1388" s="12"/>
      <c r="F1388" s="10"/>
    </row>
    <row r="1389" customFormat="false" ht="15" hidden="false" customHeight="true" outlineLevel="0" collapsed="false">
      <c r="A1389" s="16"/>
      <c r="B1389" s="10"/>
      <c r="C1389" s="17" t="str">
        <f aca="false">IF($B1389="","",IFERROR(INDEX(품목마스터!$B$3:$B$302,MATCH($B1389,품목마스터!$A$3:$A$302,0)),"미등록품번"))</f>
        <v/>
      </c>
      <c r="D1389" s="17" t="str">
        <f aca="false">IF($B1389="","",IFERROR(INDEX(품목마스터!$D$3:$D$302,MATCH($B1389,품목마스터!$A$3:$A$302,0)),""))</f>
        <v/>
      </c>
      <c r="E1389" s="12"/>
      <c r="F1389" s="10"/>
    </row>
    <row r="1390" customFormat="false" ht="15" hidden="false" customHeight="true" outlineLevel="0" collapsed="false">
      <c r="A1390" s="16"/>
      <c r="B1390" s="10"/>
      <c r="C1390" s="17" t="str">
        <f aca="false">IF($B1390="","",IFERROR(INDEX(품목마스터!$B$3:$B$302,MATCH($B1390,품목마스터!$A$3:$A$302,0)),"미등록품번"))</f>
        <v/>
      </c>
      <c r="D1390" s="17" t="str">
        <f aca="false">IF($B1390="","",IFERROR(INDEX(품목마스터!$D$3:$D$302,MATCH($B1390,품목마스터!$A$3:$A$302,0)),""))</f>
        <v/>
      </c>
      <c r="E1390" s="12"/>
      <c r="F1390" s="10"/>
    </row>
    <row r="1391" customFormat="false" ht="15" hidden="false" customHeight="true" outlineLevel="0" collapsed="false">
      <c r="A1391" s="16"/>
      <c r="B1391" s="10"/>
      <c r="C1391" s="17" t="str">
        <f aca="false">IF($B1391="","",IFERROR(INDEX(품목마스터!$B$3:$B$302,MATCH($B1391,품목마스터!$A$3:$A$302,0)),"미등록품번"))</f>
        <v/>
      </c>
      <c r="D1391" s="17" t="str">
        <f aca="false">IF($B1391="","",IFERROR(INDEX(품목마스터!$D$3:$D$302,MATCH($B1391,품목마스터!$A$3:$A$302,0)),""))</f>
        <v/>
      </c>
      <c r="E1391" s="12"/>
      <c r="F1391" s="10"/>
    </row>
    <row r="1392" customFormat="false" ht="15" hidden="false" customHeight="true" outlineLevel="0" collapsed="false">
      <c r="A1392" s="16"/>
      <c r="B1392" s="10"/>
      <c r="C1392" s="17" t="str">
        <f aca="false">IF($B1392="","",IFERROR(INDEX(품목마스터!$B$3:$B$302,MATCH($B1392,품목마스터!$A$3:$A$302,0)),"미등록품번"))</f>
        <v/>
      </c>
      <c r="D1392" s="17" t="str">
        <f aca="false">IF($B1392="","",IFERROR(INDEX(품목마스터!$D$3:$D$302,MATCH($B1392,품목마스터!$A$3:$A$302,0)),""))</f>
        <v/>
      </c>
      <c r="E1392" s="12"/>
      <c r="F1392" s="10"/>
    </row>
    <row r="1393" customFormat="false" ht="15" hidden="false" customHeight="true" outlineLevel="0" collapsed="false">
      <c r="A1393" s="16"/>
      <c r="B1393" s="10"/>
      <c r="C1393" s="17" t="str">
        <f aca="false">IF($B1393="","",IFERROR(INDEX(품목마스터!$B$3:$B$302,MATCH($B1393,품목마스터!$A$3:$A$302,0)),"미등록품번"))</f>
        <v/>
      </c>
      <c r="D1393" s="17" t="str">
        <f aca="false">IF($B1393="","",IFERROR(INDEX(품목마스터!$D$3:$D$302,MATCH($B1393,품목마스터!$A$3:$A$302,0)),""))</f>
        <v/>
      </c>
      <c r="E1393" s="12"/>
      <c r="F1393" s="10"/>
    </row>
    <row r="1394" customFormat="false" ht="15" hidden="false" customHeight="true" outlineLevel="0" collapsed="false">
      <c r="A1394" s="16"/>
      <c r="B1394" s="10"/>
      <c r="C1394" s="17" t="str">
        <f aca="false">IF($B1394="","",IFERROR(INDEX(품목마스터!$B$3:$B$302,MATCH($B1394,품목마스터!$A$3:$A$302,0)),"미등록품번"))</f>
        <v/>
      </c>
      <c r="D1394" s="17" t="str">
        <f aca="false">IF($B1394="","",IFERROR(INDEX(품목마스터!$D$3:$D$302,MATCH($B1394,품목마스터!$A$3:$A$302,0)),""))</f>
        <v/>
      </c>
      <c r="E1394" s="12"/>
      <c r="F1394" s="10"/>
    </row>
    <row r="1395" customFormat="false" ht="15" hidden="false" customHeight="true" outlineLevel="0" collapsed="false">
      <c r="A1395" s="16"/>
      <c r="B1395" s="10"/>
      <c r="C1395" s="17" t="str">
        <f aca="false">IF($B1395="","",IFERROR(INDEX(품목마스터!$B$3:$B$302,MATCH($B1395,품목마스터!$A$3:$A$302,0)),"미등록품번"))</f>
        <v/>
      </c>
      <c r="D1395" s="17" t="str">
        <f aca="false">IF($B1395="","",IFERROR(INDEX(품목마스터!$D$3:$D$302,MATCH($B1395,품목마스터!$A$3:$A$302,0)),""))</f>
        <v/>
      </c>
      <c r="E1395" s="12"/>
      <c r="F1395" s="10"/>
    </row>
    <row r="1396" customFormat="false" ht="15" hidden="false" customHeight="true" outlineLevel="0" collapsed="false">
      <c r="A1396" s="16"/>
      <c r="B1396" s="10"/>
      <c r="C1396" s="17" t="str">
        <f aca="false">IF($B1396="","",IFERROR(INDEX(품목마스터!$B$3:$B$302,MATCH($B1396,품목마스터!$A$3:$A$302,0)),"미등록품번"))</f>
        <v/>
      </c>
      <c r="D1396" s="17" t="str">
        <f aca="false">IF($B1396="","",IFERROR(INDEX(품목마스터!$D$3:$D$302,MATCH($B1396,품목마스터!$A$3:$A$302,0)),""))</f>
        <v/>
      </c>
      <c r="E1396" s="12"/>
      <c r="F1396" s="10"/>
    </row>
    <row r="1397" customFormat="false" ht="15" hidden="false" customHeight="true" outlineLevel="0" collapsed="false">
      <c r="A1397" s="16"/>
      <c r="B1397" s="10"/>
      <c r="C1397" s="17" t="str">
        <f aca="false">IF($B1397="","",IFERROR(INDEX(품목마스터!$B$3:$B$302,MATCH($B1397,품목마스터!$A$3:$A$302,0)),"미등록품번"))</f>
        <v/>
      </c>
      <c r="D1397" s="17" t="str">
        <f aca="false">IF($B1397="","",IFERROR(INDEX(품목마스터!$D$3:$D$302,MATCH($B1397,품목마스터!$A$3:$A$302,0)),""))</f>
        <v/>
      </c>
      <c r="E1397" s="12"/>
      <c r="F1397" s="10"/>
    </row>
    <row r="1398" customFormat="false" ht="15" hidden="false" customHeight="true" outlineLevel="0" collapsed="false">
      <c r="A1398" s="16"/>
      <c r="B1398" s="10"/>
      <c r="C1398" s="17" t="str">
        <f aca="false">IF($B1398="","",IFERROR(INDEX(품목마스터!$B$3:$B$302,MATCH($B1398,품목마스터!$A$3:$A$302,0)),"미등록품번"))</f>
        <v/>
      </c>
      <c r="D1398" s="17" t="str">
        <f aca="false">IF($B1398="","",IFERROR(INDEX(품목마스터!$D$3:$D$302,MATCH($B1398,품목마스터!$A$3:$A$302,0)),""))</f>
        <v/>
      </c>
      <c r="E1398" s="12"/>
      <c r="F1398" s="10"/>
    </row>
    <row r="1399" customFormat="false" ht="15" hidden="false" customHeight="true" outlineLevel="0" collapsed="false">
      <c r="A1399" s="16"/>
      <c r="B1399" s="10"/>
      <c r="C1399" s="17" t="str">
        <f aca="false">IF($B1399="","",IFERROR(INDEX(품목마스터!$B$3:$B$302,MATCH($B1399,품목마스터!$A$3:$A$302,0)),"미등록품번"))</f>
        <v/>
      </c>
      <c r="D1399" s="17" t="str">
        <f aca="false">IF($B1399="","",IFERROR(INDEX(품목마스터!$D$3:$D$302,MATCH($B1399,품목마스터!$A$3:$A$302,0)),""))</f>
        <v/>
      </c>
      <c r="E1399" s="12"/>
      <c r="F1399" s="10"/>
    </row>
    <row r="1400" customFormat="false" ht="15" hidden="false" customHeight="true" outlineLevel="0" collapsed="false">
      <c r="A1400" s="16"/>
      <c r="B1400" s="10"/>
      <c r="C1400" s="17" t="str">
        <f aca="false">IF($B1400="","",IFERROR(INDEX(품목마스터!$B$3:$B$302,MATCH($B1400,품목마스터!$A$3:$A$302,0)),"미등록품번"))</f>
        <v/>
      </c>
      <c r="D1400" s="17" t="str">
        <f aca="false">IF($B1400="","",IFERROR(INDEX(품목마스터!$D$3:$D$302,MATCH($B1400,품목마스터!$A$3:$A$302,0)),""))</f>
        <v/>
      </c>
      <c r="E1400" s="12"/>
      <c r="F1400" s="10"/>
    </row>
    <row r="1401" customFormat="false" ht="15" hidden="false" customHeight="true" outlineLevel="0" collapsed="false">
      <c r="A1401" s="16"/>
      <c r="B1401" s="10"/>
      <c r="C1401" s="17" t="str">
        <f aca="false">IF($B1401="","",IFERROR(INDEX(품목마스터!$B$3:$B$302,MATCH($B1401,품목마스터!$A$3:$A$302,0)),"미등록품번"))</f>
        <v/>
      </c>
      <c r="D1401" s="17" t="str">
        <f aca="false">IF($B1401="","",IFERROR(INDEX(품목마스터!$D$3:$D$302,MATCH($B1401,품목마스터!$A$3:$A$302,0)),""))</f>
        <v/>
      </c>
      <c r="E1401" s="12"/>
      <c r="F1401" s="10"/>
    </row>
    <row r="1402" customFormat="false" ht="15" hidden="false" customHeight="true" outlineLevel="0" collapsed="false">
      <c r="A1402" s="16"/>
      <c r="B1402" s="10"/>
      <c r="C1402" s="17" t="str">
        <f aca="false">IF($B1402="","",IFERROR(INDEX(품목마스터!$B$3:$B$302,MATCH($B1402,품목마스터!$A$3:$A$302,0)),"미등록품번"))</f>
        <v/>
      </c>
      <c r="D1402" s="17" t="str">
        <f aca="false">IF($B1402="","",IFERROR(INDEX(품목마스터!$D$3:$D$302,MATCH($B1402,품목마스터!$A$3:$A$302,0)),""))</f>
        <v/>
      </c>
      <c r="E1402" s="12"/>
      <c r="F1402" s="10"/>
    </row>
    <row r="1403" customFormat="false" ht="15" hidden="false" customHeight="true" outlineLevel="0" collapsed="false">
      <c r="A1403" s="16"/>
      <c r="B1403" s="10"/>
      <c r="C1403" s="17" t="str">
        <f aca="false">IF($B1403="","",IFERROR(INDEX(품목마스터!$B$3:$B$302,MATCH($B1403,품목마스터!$A$3:$A$302,0)),"미등록품번"))</f>
        <v/>
      </c>
      <c r="D1403" s="17" t="str">
        <f aca="false">IF($B1403="","",IFERROR(INDEX(품목마스터!$D$3:$D$302,MATCH($B1403,품목마스터!$A$3:$A$302,0)),""))</f>
        <v/>
      </c>
      <c r="E1403" s="12"/>
      <c r="F1403" s="10"/>
    </row>
    <row r="1404" customFormat="false" ht="15" hidden="false" customHeight="true" outlineLevel="0" collapsed="false">
      <c r="A1404" s="16"/>
      <c r="B1404" s="10"/>
      <c r="C1404" s="17" t="str">
        <f aca="false">IF($B1404="","",IFERROR(INDEX(품목마스터!$B$3:$B$302,MATCH($B1404,품목마스터!$A$3:$A$302,0)),"미등록품번"))</f>
        <v/>
      </c>
      <c r="D1404" s="17" t="str">
        <f aca="false">IF($B1404="","",IFERROR(INDEX(품목마스터!$D$3:$D$302,MATCH($B1404,품목마스터!$A$3:$A$302,0)),""))</f>
        <v/>
      </c>
      <c r="E1404" s="12"/>
      <c r="F1404" s="10"/>
    </row>
    <row r="1405" customFormat="false" ht="15" hidden="false" customHeight="true" outlineLevel="0" collapsed="false">
      <c r="A1405" s="16"/>
      <c r="B1405" s="10"/>
      <c r="C1405" s="17" t="str">
        <f aca="false">IF($B1405="","",IFERROR(INDEX(품목마스터!$B$3:$B$302,MATCH($B1405,품목마스터!$A$3:$A$302,0)),"미등록품번"))</f>
        <v/>
      </c>
      <c r="D1405" s="17" t="str">
        <f aca="false">IF($B1405="","",IFERROR(INDEX(품목마스터!$D$3:$D$302,MATCH($B1405,품목마스터!$A$3:$A$302,0)),""))</f>
        <v/>
      </c>
      <c r="E1405" s="12"/>
      <c r="F1405" s="10"/>
    </row>
    <row r="1406" customFormat="false" ht="15" hidden="false" customHeight="true" outlineLevel="0" collapsed="false">
      <c r="A1406" s="16"/>
      <c r="B1406" s="10"/>
      <c r="C1406" s="17" t="str">
        <f aca="false">IF($B1406="","",IFERROR(INDEX(품목마스터!$B$3:$B$302,MATCH($B1406,품목마스터!$A$3:$A$302,0)),"미등록품번"))</f>
        <v/>
      </c>
      <c r="D1406" s="17" t="str">
        <f aca="false">IF($B1406="","",IFERROR(INDEX(품목마스터!$D$3:$D$302,MATCH($B1406,품목마스터!$A$3:$A$302,0)),""))</f>
        <v/>
      </c>
      <c r="E1406" s="12"/>
      <c r="F1406" s="10"/>
    </row>
    <row r="1407" customFormat="false" ht="15" hidden="false" customHeight="true" outlineLevel="0" collapsed="false">
      <c r="A1407" s="16"/>
      <c r="B1407" s="10"/>
      <c r="C1407" s="17" t="str">
        <f aca="false">IF($B1407="","",IFERROR(INDEX(품목마스터!$B$3:$B$302,MATCH($B1407,품목마스터!$A$3:$A$302,0)),"미등록품번"))</f>
        <v/>
      </c>
      <c r="D1407" s="17" t="str">
        <f aca="false">IF($B1407="","",IFERROR(INDEX(품목마스터!$D$3:$D$302,MATCH($B1407,품목마스터!$A$3:$A$302,0)),""))</f>
        <v/>
      </c>
      <c r="E1407" s="12"/>
      <c r="F1407" s="10"/>
    </row>
    <row r="1408" customFormat="false" ht="15" hidden="false" customHeight="true" outlineLevel="0" collapsed="false">
      <c r="A1408" s="16"/>
      <c r="B1408" s="10"/>
      <c r="C1408" s="17" t="str">
        <f aca="false">IF($B1408="","",IFERROR(INDEX(품목마스터!$B$3:$B$302,MATCH($B1408,품목마스터!$A$3:$A$302,0)),"미등록품번"))</f>
        <v/>
      </c>
      <c r="D1408" s="17" t="str">
        <f aca="false">IF($B1408="","",IFERROR(INDEX(품목마스터!$D$3:$D$302,MATCH($B1408,품목마스터!$A$3:$A$302,0)),""))</f>
        <v/>
      </c>
      <c r="E1408" s="12"/>
      <c r="F1408" s="10"/>
    </row>
    <row r="1409" customFormat="false" ht="15" hidden="false" customHeight="true" outlineLevel="0" collapsed="false">
      <c r="A1409" s="16"/>
      <c r="B1409" s="10"/>
      <c r="C1409" s="17" t="str">
        <f aca="false">IF($B1409="","",IFERROR(INDEX(품목마스터!$B$3:$B$302,MATCH($B1409,품목마스터!$A$3:$A$302,0)),"미등록품번"))</f>
        <v/>
      </c>
      <c r="D1409" s="17" t="str">
        <f aca="false">IF($B1409="","",IFERROR(INDEX(품목마스터!$D$3:$D$302,MATCH($B1409,품목마스터!$A$3:$A$302,0)),""))</f>
        <v/>
      </c>
      <c r="E1409" s="12"/>
      <c r="F1409" s="10"/>
    </row>
    <row r="1410" customFormat="false" ht="15" hidden="false" customHeight="true" outlineLevel="0" collapsed="false">
      <c r="A1410" s="16"/>
      <c r="B1410" s="10"/>
      <c r="C1410" s="17" t="str">
        <f aca="false">IF($B1410="","",IFERROR(INDEX(품목마스터!$B$3:$B$302,MATCH($B1410,품목마스터!$A$3:$A$302,0)),"미등록품번"))</f>
        <v/>
      </c>
      <c r="D1410" s="17" t="str">
        <f aca="false">IF($B1410="","",IFERROR(INDEX(품목마스터!$D$3:$D$302,MATCH($B1410,품목마스터!$A$3:$A$302,0)),""))</f>
        <v/>
      </c>
      <c r="E1410" s="12"/>
      <c r="F1410" s="10"/>
    </row>
    <row r="1411" customFormat="false" ht="15" hidden="false" customHeight="true" outlineLevel="0" collapsed="false">
      <c r="A1411" s="16"/>
      <c r="B1411" s="10"/>
      <c r="C1411" s="17" t="str">
        <f aca="false">IF($B1411="","",IFERROR(INDEX(품목마스터!$B$3:$B$302,MATCH($B1411,품목마스터!$A$3:$A$302,0)),"미등록품번"))</f>
        <v/>
      </c>
      <c r="D1411" s="17" t="str">
        <f aca="false">IF($B1411="","",IFERROR(INDEX(품목마스터!$D$3:$D$302,MATCH($B1411,품목마스터!$A$3:$A$302,0)),""))</f>
        <v/>
      </c>
      <c r="E1411" s="12"/>
      <c r="F1411" s="10"/>
    </row>
    <row r="1412" customFormat="false" ht="15" hidden="false" customHeight="true" outlineLevel="0" collapsed="false">
      <c r="A1412" s="16"/>
      <c r="B1412" s="10"/>
      <c r="C1412" s="17" t="str">
        <f aca="false">IF($B1412="","",IFERROR(INDEX(품목마스터!$B$3:$B$302,MATCH($B1412,품목마스터!$A$3:$A$302,0)),"미등록품번"))</f>
        <v/>
      </c>
      <c r="D1412" s="17" t="str">
        <f aca="false">IF($B1412="","",IFERROR(INDEX(품목마스터!$D$3:$D$302,MATCH($B1412,품목마스터!$A$3:$A$302,0)),""))</f>
        <v/>
      </c>
      <c r="E1412" s="12"/>
      <c r="F1412" s="10"/>
    </row>
    <row r="1413" customFormat="false" ht="15" hidden="false" customHeight="true" outlineLevel="0" collapsed="false">
      <c r="A1413" s="16"/>
      <c r="B1413" s="10"/>
      <c r="C1413" s="17" t="str">
        <f aca="false">IF($B1413="","",IFERROR(INDEX(품목마스터!$B$3:$B$302,MATCH($B1413,품목마스터!$A$3:$A$302,0)),"미등록품번"))</f>
        <v/>
      </c>
      <c r="D1413" s="17" t="str">
        <f aca="false">IF($B1413="","",IFERROR(INDEX(품목마스터!$D$3:$D$302,MATCH($B1413,품목마스터!$A$3:$A$302,0)),""))</f>
        <v/>
      </c>
      <c r="E1413" s="12"/>
      <c r="F1413" s="10"/>
    </row>
    <row r="1414" customFormat="false" ht="15" hidden="false" customHeight="true" outlineLevel="0" collapsed="false">
      <c r="A1414" s="16"/>
      <c r="B1414" s="10"/>
      <c r="C1414" s="17" t="str">
        <f aca="false">IF($B1414="","",IFERROR(INDEX(품목마스터!$B$3:$B$302,MATCH($B1414,품목마스터!$A$3:$A$302,0)),"미등록품번"))</f>
        <v/>
      </c>
      <c r="D1414" s="17" t="str">
        <f aca="false">IF($B1414="","",IFERROR(INDEX(품목마스터!$D$3:$D$302,MATCH($B1414,품목마스터!$A$3:$A$302,0)),""))</f>
        <v/>
      </c>
      <c r="E1414" s="12"/>
      <c r="F1414" s="10"/>
    </row>
    <row r="1415" customFormat="false" ht="15" hidden="false" customHeight="true" outlineLevel="0" collapsed="false">
      <c r="A1415" s="16"/>
      <c r="B1415" s="10"/>
      <c r="C1415" s="17" t="str">
        <f aca="false">IF($B1415="","",IFERROR(INDEX(품목마스터!$B$3:$B$302,MATCH($B1415,품목마스터!$A$3:$A$302,0)),"미등록품번"))</f>
        <v/>
      </c>
      <c r="D1415" s="17" t="str">
        <f aca="false">IF($B1415="","",IFERROR(INDEX(품목마스터!$D$3:$D$302,MATCH($B1415,품목마스터!$A$3:$A$302,0)),""))</f>
        <v/>
      </c>
      <c r="E1415" s="12"/>
      <c r="F1415" s="10"/>
    </row>
    <row r="1416" customFormat="false" ht="15" hidden="false" customHeight="true" outlineLevel="0" collapsed="false">
      <c r="A1416" s="16"/>
      <c r="B1416" s="10"/>
      <c r="C1416" s="17" t="str">
        <f aca="false">IF($B1416="","",IFERROR(INDEX(품목마스터!$B$3:$B$302,MATCH($B1416,품목마스터!$A$3:$A$302,0)),"미등록품번"))</f>
        <v/>
      </c>
      <c r="D1416" s="17" t="str">
        <f aca="false">IF($B1416="","",IFERROR(INDEX(품목마스터!$D$3:$D$302,MATCH($B1416,품목마스터!$A$3:$A$302,0)),""))</f>
        <v/>
      </c>
      <c r="E1416" s="12"/>
      <c r="F1416" s="10"/>
    </row>
    <row r="1417" customFormat="false" ht="15" hidden="false" customHeight="true" outlineLevel="0" collapsed="false">
      <c r="A1417" s="16"/>
      <c r="B1417" s="10"/>
      <c r="C1417" s="17" t="str">
        <f aca="false">IF($B1417="","",IFERROR(INDEX(품목마스터!$B$3:$B$302,MATCH($B1417,품목마스터!$A$3:$A$302,0)),"미등록품번"))</f>
        <v/>
      </c>
      <c r="D1417" s="17" t="str">
        <f aca="false">IF($B1417="","",IFERROR(INDEX(품목마스터!$D$3:$D$302,MATCH($B1417,품목마스터!$A$3:$A$302,0)),""))</f>
        <v/>
      </c>
      <c r="E1417" s="12"/>
      <c r="F1417" s="10"/>
    </row>
    <row r="1418" customFormat="false" ht="15" hidden="false" customHeight="true" outlineLevel="0" collapsed="false">
      <c r="A1418" s="16"/>
      <c r="B1418" s="10"/>
      <c r="C1418" s="17" t="str">
        <f aca="false">IF($B1418="","",IFERROR(INDEX(품목마스터!$B$3:$B$302,MATCH($B1418,품목마스터!$A$3:$A$302,0)),"미등록품번"))</f>
        <v/>
      </c>
      <c r="D1418" s="17" t="str">
        <f aca="false">IF($B1418="","",IFERROR(INDEX(품목마스터!$D$3:$D$302,MATCH($B1418,품목마스터!$A$3:$A$302,0)),""))</f>
        <v/>
      </c>
      <c r="E1418" s="12"/>
      <c r="F1418" s="10"/>
    </row>
    <row r="1419" customFormat="false" ht="15" hidden="false" customHeight="true" outlineLevel="0" collapsed="false">
      <c r="A1419" s="16"/>
      <c r="B1419" s="10"/>
      <c r="C1419" s="17" t="str">
        <f aca="false">IF($B1419="","",IFERROR(INDEX(품목마스터!$B$3:$B$302,MATCH($B1419,품목마스터!$A$3:$A$302,0)),"미등록품번"))</f>
        <v/>
      </c>
      <c r="D1419" s="17" t="str">
        <f aca="false">IF($B1419="","",IFERROR(INDEX(품목마스터!$D$3:$D$302,MATCH($B1419,품목마스터!$A$3:$A$302,0)),""))</f>
        <v/>
      </c>
      <c r="E1419" s="12"/>
      <c r="F1419" s="10"/>
    </row>
    <row r="1420" customFormat="false" ht="15" hidden="false" customHeight="true" outlineLevel="0" collapsed="false">
      <c r="A1420" s="16"/>
      <c r="B1420" s="10"/>
      <c r="C1420" s="17" t="str">
        <f aca="false">IF($B1420="","",IFERROR(INDEX(품목마스터!$B$3:$B$302,MATCH($B1420,품목마스터!$A$3:$A$302,0)),"미등록품번"))</f>
        <v/>
      </c>
      <c r="D1420" s="17" t="str">
        <f aca="false">IF($B1420="","",IFERROR(INDEX(품목마스터!$D$3:$D$302,MATCH($B1420,품목마스터!$A$3:$A$302,0)),""))</f>
        <v/>
      </c>
      <c r="E1420" s="12"/>
      <c r="F1420" s="10"/>
    </row>
    <row r="1421" customFormat="false" ht="15" hidden="false" customHeight="true" outlineLevel="0" collapsed="false">
      <c r="A1421" s="16"/>
      <c r="B1421" s="10"/>
      <c r="C1421" s="17" t="str">
        <f aca="false">IF($B1421="","",IFERROR(INDEX(품목마스터!$B$3:$B$302,MATCH($B1421,품목마스터!$A$3:$A$302,0)),"미등록품번"))</f>
        <v/>
      </c>
      <c r="D1421" s="17" t="str">
        <f aca="false">IF($B1421="","",IFERROR(INDEX(품목마스터!$D$3:$D$302,MATCH($B1421,품목마스터!$A$3:$A$302,0)),""))</f>
        <v/>
      </c>
      <c r="E1421" s="12"/>
      <c r="F1421" s="10"/>
    </row>
    <row r="1422" customFormat="false" ht="15" hidden="false" customHeight="true" outlineLevel="0" collapsed="false">
      <c r="A1422" s="16"/>
      <c r="B1422" s="10"/>
      <c r="C1422" s="17" t="str">
        <f aca="false">IF($B1422="","",IFERROR(INDEX(품목마스터!$B$3:$B$302,MATCH($B1422,품목마스터!$A$3:$A$302,0)),"미등록품번"))</f>
        <v/>
      </c>
      <c r="D1422" s="17" t="str">
        <f aca="false">IF($B1422="","",IFERROR(INDEX(품목마스터!$D$3:$D$302,MATCH($B1422,품목마스터!$A$3:$A$302,0)),""))</f>
        <v/>
      </c>
      <c r="E1422" s="12"/>
      <c r="F1422" s="10"/>
    </row>
    <row r="1423" customFormat="false" ht="15" hidden="false" customHeight="true" outlineLevel="0" collapsed="false">
      <c r="A1423" s="16"/>
      <c r="B1423" s="10"/>
      <c r="C1423" s="17" t="str">
        <f aca="false">IF($B1423="","",IFERROR(INDEX(품목마스터!$B$3:$B$302,MATCH($B1423,품목마스터!$A$3:$A$302,0)),"미등록품번"))</f>
        <v/>
      </c>
      <c r="D1423" s="17" t="str">
        <f aca="false">IF($B1423="","",IFERROR(INDEX(품목마스터!$D$3:$D$302,MATCH($B1423,품목마스터!$A$3:$A$302,0)),""))</f>
        <v/>
      </c>
      <c r="E1423" s="12"/>
      <c r="F1423" s="10"/>
    </row>
    <row r="1424" customFormat="false" ht="15" hidden="false" customHeight="true" outlineLevel="0" collapsed="false">
      <c r="A1424" s="16"/>
      <c r="B1424" s="10"/>
      <c r="C1424" s="17" t="str">
        <f aca="false">IF($B1424="","",IFERROR(INDEX(품목마스터!$B$3:$B$302,MATCH($B1424,품목마스터!$A$3:$A$302,0)),"미등록품번"))</f>
        <v/>
      </c>
      <c r="D1424" s="17" t="str">
        <f aca="false">IF($B1424="","",IFERROR(INDEX(품목마스터!$D$3:$D$302,MATCH($B1424,품목마스터!$A$3:$A$302,0)),""))</f>
        <v/>
      </c>
      <c r="E1424" s="12"/>
      <c r="F1424" s="10"/>
    </row>
    <row r="1425" customFormat="false" ht="15" hidden="false" customHeight="true" outlineLevel="0" collapsed="false">
      <c r="A1425" s="16"/>
      <c r="B1425" s="10"/>
      <c r="C1425" s="17" t="str">
        <f aca="false">IF($B1425="","",IFERROR(INDEX(품목마스터!$B$3:$B$302,MATCH($B1425,품목마스터!$A$3:$A$302,0)),"미등록품번"))</f>
        <v/>
      </c>
      <c r="D1425" s="17" t="str">
        <f aca="false">IF($B1425="","",IFERROR(INDEX(품목마스터!$D$3:$D$302,MATCH($B1425,품목마스터!$A$3:$A$302,0)),""))</f>
        <v/>
      </c>
      <c r="E1425" s="12"/>
      <c r="F1425" s="10"/>
    </row>
    <row r="1426" customFormat="false" ht="15" hidden="false" customHeight="true" outlineLevel="0" collapsed="false">
      <c r="A1426" s="16"/>
      <c r="B1426" s="10"/>
      <c r="C1426" s="17" t="str">
        <f aca="false">IF($B1426="","",IFERROR(INDEX(품목마스터!$B$3:$B$302,MATCH($B1426,품목마스터!$A$3:$A$302,0)),"미등록품번"))</f>
        <v/>
      </c>
      <c r="D1426" s="17" t="str">
        <f aca="false">IF($B1426="","",IFERROR(INDEX(품목마스터!$D$3:$D$302,MATCH($B1426,품목마스터!$A$3:$A$302,0)),""))</f>
        <v/>
      </c>
      <c r="E1426" s="12"/>
      <c r="F1426" s="10"/>
    </row>
    <row r="1427" customFormat="false" ht="15" hidden="false" customHeight="true" outlineLevel="0" collapsed="false">
      <c r="A1427" s="16"/>
      <c r="B1427" s="10"/>
      <c r="C1427" s="17" t="str">
        <f aca="false">IF($B1427="","",IFERROR(INDEX(품목마스터!$B$3:$B$302,MATCH($B1427,품목마스터!$A$3:$A$302,0)),"미등록품번"))</f>
        <v/>
      </c>
      <c r="D1427" s="17" t="str">
        <f aca="false">IF($B1427="","",IFERROR(INDEX(품목마스터!$D$3:$D$302,MATCH($B1427,품목마스터!$A$3:$A$302,0)),""))</f>
        <v/>
      </c>
      <c r="E1427" s="12"/>
      <c r="F1427" s="10"/>
    </row>
    <row r="1428" customFormat="false" ht="15" hidden="false" customHeight="true" outlineLevel="0" collapsed="false">
      <c r="A1428" s="16"/>
      <c r="B1428" s="10"/>
      <c r="C1428" s="17" t="str">
        <f aca="false">IF($B1428="","",IFERROR(INDEX(품목마스터!$B$3:$B$302,MATCH($B1428,품목마스터!$A$3:$A$302,0)),"미등록품번"))</f>
        <v/>
      </c>
      <c r="D1428" s="17" t="str">
        <f aca="false">IF($B1428="","",IFERROR(INDEX(품목마스터!$D$3:$D$302,MATCH($B1428,품목마스터!$A$3:$A$302,0)),""))</f>
        <v/>
      </c>
      <c r="E1428" s="12"/>
      <c r="F1428" s="10"/>
    </row>
    <row r="1429" customFormat="false" ht="15" hidden="false" customHeight="true" outlineLevel="0" collapsed="false">
      <c r="A1429" s="16"/>
      <c r="B1429" s="10"/>
      <c r="C1429" s="17" t="str">
        <f aca="false">IF($B1429="","",IFERROR(INDEX(품목마스터!$B$3:$B$302,MATCH($B1429,품목마스터!$A$3:$A$302,0)),"미등록품번"))</f>
        <v/>
      </c>
      <c r="D1429" s="17" t="str">
        <f aca="false">IF($B1429="","",IFERROR(INDEX(품목마스터!$D$3:$D$302,MATCH($B1429,품목마스터!$A$3:$A$302,0)),""))</f>
        <v/>
      </c>
      <c r="E1429" s="12"/>
      <c r="F1429" s="10"/>
    </row>
    <row r="1430" customFormat="false" ht="15" hidden="false" customHeight="true" outlineLevel="0" collapsed="false">
      <c r="A1430" s="16"/>
      <c r="B1430" s="10"/>
      <c r="C1430" s="17" t="str">
        <f aca="false">IF($B1430="","",IFERROR(INDEX(품목마스터!$B$3:$B$302,MATCH($B1430,품목마스터!$A$3:$A$302,0)),"미등록품번"))</f>
        <v/>
      </c>
      <c r="D1430" s="17" t="str">
        <f aca="false">IF($B1430="","",IFERROR(INDEX(품목마스터!$D$3:$D$302,MATCH($B1430,품목마스터!$A$3:$A$302,0)),""))</f>
        <v/>
      </c>
      <c r="E1430" s="12"/>
      <c r="F1430" s="10"/>
    </row>
    <row r="1431" customFormat="false" ht="15" hidden="false" customHeight="true" outlineLevel="0" collapsed="false">
      <c r="A1431" s="16"/>
      <c r="B1431" s="10"/>
      <c r="C1431" s="17" t="str">
        <f aca="false">IF($B1431="","",IFERROR(INDEX(품목마스터!$B$3:$B$302,MATCH($B1431,품목마스터!$A$3:$A$302,0)),"미등록품번"))</f>
        <v/>
      </c>
      <c r="D1431" s="17" t="str">
        <f aca="false">IF($B1431="","",IFERROR(INDEX(품목마스터!$D$3:$D$302,MATCH($B1431,품목마스터!$A$3:$A$302,0)),""))</f>
        <v/>
      </c>
      <c r="E1431" s="12"/>
      <c r="F1431" s="10"/>
    </row>
    <row r="1432" customFormat="false" ht="15" hidden="false" customHeight="true" outlineLevel="0" collapsed="false">
      <c r="A1432" s="16"/>
      <c r="B1432" s="10"/>
      <c r="C1432" s="17" t="str">
        <f aca="false">IF($B1432="","",IFERROR(INDEX(품목마스터!$B$3:$B$302,MATCH($B1432,품목마스터!$A$3:$A$302,0)),"미등록품번"))</f>
        <v/>
      </c>
      <c r="D1432" s="17" t="str">
        <f aca="false">IF($B1432="","",IFERROR(INDEX(품목마스터!$D$3:$D$302,MATCH($B1432,품목마스터!$A$3:$A$302,0)),""))</f>
        <v/>
      </c>
      <c r="E1432" s="12"/>
      <c r="F1432" s="10"/>
    </row>
    <row r="1433" customFormat="false" ht="15" hidden="false" customHeight="true" outlineLevel="0" collapsed="false">
      <c r="A1433" s="16"/>
      <c r="B1433" s="10"/>
      <c r="C1433" s="17" t="str">
        <f aca="false">IF($B1433="","",IFERROR(INDEX(품목마스터!$B$3:$B$302,MATCH($B1433,품목마스터!$A$3:$A$302,0)),"미등록품번"))</f>
        <v/>
      </c>
      <c r="D1433" s="17" t="str">
        <f aca="false">IF($B1433="","",IFERROR(INDEX(품목마스터!$D$3:$D$302,MATCH($B1433,품목마스터!$A$3:$A$302,0)),""))</f>
        <v/>
      </c>
      <c r="E1433" s="12"/>
      <c r="F1433" s="10"/>
    </row>
    <row r="1434" customFormat="false" ht="15" hidden="false" customHeight="true" outlineLevel="0" collapsed="false">
      <c r="A1434" s="16"/>
      <c r="B1434" s="10"/>
      <c r="C1434" s="17" t="str">
        <f aca="false">IF($B1434="","",IFERROR(INDEX(품목마스터!$B$3:$B$302,MATCH($B1434,품목마스터!$A$3:$A$302,0)),"미등록품번"))</f>
        <v/>
      </c>
      <c r="D1434" s="17" t="str">
        <f aca="false">IF($B1434="","",IFERROR(INDEX(품목마스터!$D$3:$D$302,MATCH($B1434,품목마스터!$A$3:$A$302,0)),""))</f>
        <v/>
      </c>
      <c r="E1434" s="12"/>
      <c r="F1434" s="10"/>
    </row>
    <row r="1435" customFormat="false" ht="15" hidden="false" customHeight="true" outlineLevel="0" collapsed="false">
      <c r="A1435" s="16"/>
      <c r="B1435" s="10"/>
      <c r="C1435" s="17" t="str">
        <f aca="false">IF($B1435="","",IFERROR(INDEX(품목마스터!$B$3:$B$302,MATCH($B1435,품목마스터!$A$3:$A$302,0)),"미등록품번"))</f>
        <v/>
      </c>
      <c r="D1435" s="17" t="str">
        <f aca="false">IF($B1435="","",IFERROR(INDEX(품목마스터!$D$3:$D$302,MATCH($B1435,품목마스터!$A$3:$A$302,0)),""))</f>
        <v/>
      </c>
      <c r="E1435" s="12"/>
      <c r="F1435" s="10"/>
    </row>
    <row r="1436" customFormat="false" ht="15" hidden="false" customHeight="true" outlineLevel="0" collapsed="false">
      <c r="A1436" s="16"/>
      <c r="B1436" s="10"/>
      <c r="C1436" s="17" t="str">
        <f aca="false">IF($B1436="","",IFERROR(INDEX(품목마스터!$B$3:$B$302,MATCH($B1436,품목마스터!$A$3:$A$302,0)),"미등록품번"))</f>
        <v/>
      </c>
      <c r="D1436" s="17" t="str">
        <f aca="false">IF($B1436="","",IFERROR(INDEX(품목마스터!$D$3:$D$302,MATCH($B1436,품목마스터!$A$3:$A$302,0)),""))</f>
        <v/>
      </c>
      <c r="E1436" s="12"/>
      <c r="F1436" s="10"/>
    </row>
    <row r="1437" customFormat="false" ht="15" hidden="false" customHeight="true" outlineLevel="0" collapsed="false">
      <c r="A1437" s="16"/>
      <c r="B1437" s="10"/>
      <c r="C1437" s="17" t="str">
        <f aca="false">IF($B1437="","",IFERROR(INDEX(품목마스터!$B$3:$B$302,MATCH($B1437,품목마스터!$A$3:$A$302,0)),"미등록품번"))</f>
        <v/>
      </c>
      <c r="D1437" s="17" t="str">
        <f aca="false">IF($B1437="","",IFERROR(INDEX(품목마스터!$D$3:$D$302,MATCH($B1437,품목마스터!$A$3:$A$302,0)),""))</f>
        <v/>
      </c>
      <c r="E1437" s="12"/>
      <c r="F1437" s="10"/>
    </row>
    <row r="1438" customFormat="false" ht="15" hidden="false" customHeight="true" outlineLevel="0" collapsed="false">
      <c r="A1438" s="16"/>
      <c r="B1438" s="10"/>
      <c r="C1438" s="17" t="str">
        <f aca="false">IF($B1438="","",IFERROR(INDEX(품목마스터!$B$3:$B$302,MATCH($B1438,품목마스터!$A$3:$A$302,0)),"미등록품번"))</f>
        <v/>
      </c>
      <c r="D1438" s="17" t="str">
        <f aca="false">IF($B1438="","",IFERROR(INDEX(품목마스터!$D$3:$D$302,MATCH($B1438,품목마스터!$A$3:$A$302,0)),""))</f>
        <v/>
      </c>
      <c r="E1438" s="12"/>
      <c r="F1438" s="10"/>
    </row>
    <row r="1439" customFormat="false" ht="15" hidden="false" customHeight="true" outlineLevel="0" collapsed="false">
      <c r="A1439" s="16"/>
      <c r="B1439" s="10"/>
      <c r="C1439" s="17" t="str">
        <f aca="false">IF($B1439="","",IFERROR(INDEX(품목마스터!$B$3:$B$302,MATCH($B1439,품목마스터!$A$3:$A$302,0)),"미등록품번"))</f>
        <v/>
      </c>
      <c r="D1439" s="17" t="str">
        <f aca="false">IF($B1439="","",IFERROR(INDEX(품목마스터!$D$3:$D$302,MATCH($B1439,품목마스터!$A$3:$A$302,0)),""))</f>
        <v/>
      </c>
      <c r="E1439" s="12"/>
      <c r="F1439" s="10"/>
    </row>
    <row r="1440" customFormat="false" ht="15" hidden="false" customHeight="true" outlineLevel="0" collapsed="false">
      <c r="A1440" s="16"/>
      <c r="B1440" s="10"/>
      <c r="C1440" s="17" t="str">
        <f aca="false">IF($B1440="","",IFERROR(INDEX(품목마스터!$B$3:$B$302,MATCH($B1440,품목마스터!$A$3:$A$302,0)),"미등록품번"))</f>
        <v/>
      </c>
      <c r="D1440" s="17" t="str">
        <f aca="false">IF($B1440="","",IFERROR(INDEX(품목마스터!$D$3:$D$302,MATCH($B1440,품목마스터!$A$3:$A$302,0)),""))</f>
        <v/>
      </c>
      <c r="E1440" s="12"/>
      <c r="F1440" s="10"/>
    </row>
    <row r="1441" customFormat="false" ht="15" hidden="false" customHeight="true" outlineLevel="0" collapsed="false">
      <c r="A1441" s="16"/>
      <c r="B1441" s="10"/>
      <c r="C1441" s="17" t="str">
        <f aca="false">IF($B1441="","",IFERROR(INDEX(품목마스터!$B$3:$B$302,MATCH($B1441,품목마스터!$A$3:$A$302,0)),"미등록품번"))</f>
        <v/>
      </c>
      <c r="D1441" s="17" t="str">
        <f aca="false">IF($B1441="","",IFERROR(INDEX(품목마스터!$D$3:$D$302,MATCH($B1441,품목마스터!$A$3:$A$302,0)),""))</f>
        <v/>
      </c>
      <c r="E1441" s="12"/>
      <c r="F1441" s="10"/>
    </row>
    <row r="1442" customFormat="false" ht="15" hidden="false" customHeight="true" outlineLevel="0" collapsed="false">
      <c r="A1442" s="16"/>
      <c r="B1442" s="10"/>
      <c r="C1442" s="17" t="str">
        <f aca="false">IF($B1442="","",IFERROR(INDEX(품목마스터!$B$3:$B$302,MATCH($B1442,품목마스터!$A$3:$A$302,0)),"미등록품번"))</f>
        <v/>
      </c>
      <c r="D1442" s="17" t="str">
        <f aca="false">IF($B1442="","",IFERROR(INDEX(품목마스터!$D$3:$D$302,MATCH($B1442,품목마스터!$A$3:$A$302,0)),""))</f>
        <v/>
      </c>
      <c r="E1442" s="12"/>
      <c r="F1442" s="10"/>
    </row>
    <row r="1443" customFormat="false" ht="15" hidden="false" customHeight="true" outlineLevel="0" collapsed="false">
      <c r="A1443" s="16"/>
      <c r="B1443" s="10"/>
      <c r="C1443" s="17" t="str">
        <f aca="false">IF($B1443="","",IFERROR(INDEX(품목마스터!$B$3:$B$302,MATCH($B1443,품목마스터!$A$3:$A$302,0)),"미등록품번"))</f>
        <v/>
      </c>
      <c r="D1443" s="17" t="str">
        <f aca="false">IF($B1443="","",IFERROR(INDEX(품목마스터!$D$3:$D$302,MATCH($B1443,품목마스터!$A$3:$A$302,0)),""))</f>
        <v/>
      </c>
      <c r="E1443" s="12"/>
      <c r="F1443" s="10"/>
    </row>
    <row r="1444" customFormat="false" ht="15" hidden="false" customHeight="true" outlineLevel="0" collapsed="false">
      <c r="A1444" s="16"/>
      <c r="B1444" s="10"/>
      <c r="C1444" s="17" t="str">
        <f aca="false">IF($B1444="","",IFERROR(INDEX(품목마스터!$B$3:$B$302,MATCH($B1444,품목마스터!$A$3:$A$302,0)),"미등록품번"))</f>
        <v/>
      </c>
      <c r="D1444" s="17" t="str">
        <f aca="false">IF($B1444="","",IFERROR(INDEX(품목마스터!$D$3:$D$302,MATCH($B1444,품목마스터!$A$3:$A$302,0)),""))</f>
        <v/>
      </c>
      <c r="E1444" s="12"/>
      <c r="F1444" s="10"/>
    </row>
    <row r="1445" customFormat="false" ht="15" hidden="false" customHeight="true" outlineLevel="0" collapsed="false">
      <c r="A1445" s="16"/>
      <c r="B1445" s="10"/>
      <c r="C1445" s="17" t="str">
        <f aca="false">IF($B1445="","",IFERROR(INDEX(품목마스터!$B$3:$B$302,MATCH($B1445,품목마스터!$A$3:$A$302,0)),"미등록품번"))</f>
        <v/>
      </c>
      <c r="D1445" s="17" t="str">
        <f aca="false">IF($B1445="","",IFERROR(INDEX(품목마스터!$D$3:$D$302,MATCH($B1445,품목마스터!$A$3:$A$302,0)),""))</f>
        <v/>
      </c>
      <c r="E1445" s="12"/>
      <c r="F1445" s="10"/>
    </row>
    <row r="1446" customFormat="false" ht="15" hidden="false" customHeight="true" outlineLevel="0" collapsed="false">
      <c r="A1446" s="16"/>
      <c r="B1446" s="10"/>
      <c r="C1446" s="17" t="str">
        <f aca="false">IF($B1446="","",IFERROR(INDEX(품목마스터!$B$3:$B$302,MATCH($B1446,품목마스터!$A$3:$A$302,0)),"미등록품번"))</f>
        <v/>
      </c>
      <c r="D1446" s="17" t="str">
        <f aca="false">IF($B1446="","",IFERROR(INDEX(품목마스터!$D$3:$D$302,MATCH($B1446,품목마스터!$A$3:$A$302,0)),""))</f>
        <v/>
      </c>
      <c r="E1446" s="12"/>
      <c r="F1446" s="10"/>
    </row>
    <row r="1447" customFormat="false" ht="15" hidden="false" customHeight="true" outlineLevel="0" collapsed="false">
      <c r="A1447" s="16"/>
      <c r="B1447" s="10"/>
      <c r="C1447" s="17" t="str">
        <f aca="false">IF($B1447="","",IFERROR(INDEX(품목마스터!$B$3:$B$302,MATCH($B1447,품목마스터!$A$3:$A$302,0)),"미등록품번"))</f>
        <v/>
      </c>
      <c r="D1447" s="17" t="str">
        <f aca="false">IF($B1447="","",IFERROR(INDEX(품목마스터!$D$3:$D$302,MATCH($B1447,품목마스터!$A$3:$A$302,0)),""))</f>
        <v/>
      </c>
      <c r="E1447" s="12"/>
      <c r="F1447" s="10"/>
    </row>
    <row r="1448" customFormat="false" ht="15" hidden="false" customHeight="true" outlineLevel="0" collapsed="false">
      <c r="A1448" s="16"/>
      <c r="B1448" s="10"/>
      <c r="C1448" s="17" t="str">
        <f aca="false">IF($B1448="","",IFERROR(INDEX(품목마스터!$B$3:$B$302,MATCH($B1448,품목마스터!$A$3:$A$302,0)),"미등록품번"))</f>
        <v/>
      </c>
      <c r="D1448" s="17" t="str">
        <f aca="false">IF($B1448="","",IFERROR(INDEX(품목마스터!$D$3:$D$302,MATCH($B1448,품목마스터!$A$3:$A$302,0)),""))</f>
        <v/>
      </c>
      <c r="E1448" s="12"/>
      <c r="F1448" s="10"/>
    </row>
    <row r="1449" customFormat="false" ht="15" hidden="false" customHeight="true" outlineLevel="0" collapsed="false">
      <c r="A1449" s="16"/>
      <c r="B1449" s="10"/>
      <c r="C1449" s="17" t="str">
        <f aca="false">IF($B1449="","",IFERROR(INDEX(품목마스터!$B$3:$B$302,MATCH($B1449,품목마스터!$A$3:$A$302,0)),"미등록품번"))</f>
        <v/>
      </c>
      <c r="D1449" s="17" t="str">
        <f aca="false">IF($B1449="","",IFERROR(INDEX(품목마스터!$D$3:$D$302,MATCH($B1449,품목마스터!$A$3:$A$302,0)),""))</f>
        <v/>
      </c>
      <c r="E1449" s="12"/>
      <c r="F1449" s="10"/>
    </row>
    <row r="1450" customFormat="false" ht="15" hidden="false" customHeight="true" outlineLevel="0" collapsed="false">
      <c r="A1450" s="16"/>
      <c r="B1450" s="10"/>
      <c r="C1450" s="17" t="str">
        <f aca="false">IF($B1450="","",IFERROR(INDEX(품목마스터!$B$3:$B$302,MATCH($B1450,품목마스터!$A$3:$A$302,0)),"미등록품번"))</f>
        <v/>
      </c>
      <c r="D1450" s="17" t="str">
        <f aca="false">IF($B1450="","",IFERROR(INDEX(품목마스터!$D$3:$D$302,MATCH($B1450,품목마스터!$A$3:$A$302,0)),""))</f>
        <v/>
      </c>
      <c r="E1450" s="12"/>
      <c r="F1450" s="10"/>
    </row>
    <row r="1451" customFormat="false" ht="15" hidden="false" customHeight="true" outlineLevel="0" collapsed="false">
      <c r="A1451" s="16"/>
      <c r="B1451" s="10"/>
      <c r="C1451" s="17" t="str">
        <f aca="false">IF($B1451="","",IFERROR(INDEX(품목마스터!$B$3:$B$302,MATCH($B1451,품목마스터!$A$3:$A$302,0)),"미등록품번"))</f>
        <v/>
      </c>
      <c r="D1451" s="17" t="str">
        <f aca="false">IF($B1451="","",IFERROR(INDEX(품목마스터!$D$3:$D$302,MATCH($B1451,품목마스터!$A$3:$A$302,0)),""))</f>
        <v/>
      </c>
      <c r="E1451" s="12"/>
      <c r="F1451" s="10"/>
    </row>
    <row r="1452" customFormat="false" ht="15" hidden="false" customHeight="true" outlineLevel="0" collapsed="false">
      <c r="A1452" s="16"/>
      <c r="B1452" s="10"/>
      <c r="C1452" s="17" t="str">
        <f aca="false">IF($B1452="","",IFERROR(INDEX(품목마스터!$B$3:$B$302,MATCH($B1452,품목마스터!$A$3:$A$302,0)),"미등록품번"))</f>
        <v/>
      </c>
      <c r="D1452" s="17" t="str">
        <f aca="false">IF($B1452="","",IFERROR(INDEX(품목마스터!$D$3:$D$302,MATCH($B1452,품목마스터!$A$3:$A$302,0)),""))</f>
        <v/>
      </c>
      <c r="E1452" s="12"/>
      <c r="F1452" s="10"/>
    </row>
    <row r="1453" customFormat="false" ht="15" hidden="false" customHeight="true" outlineLevel="0" collapsed="false">
      <c r="A1453" s="16"/>
      <c r="B1453" s="10"/>
      <c r="C1453" s="17" t="str">
        <f aca="false">IF($B1453="","",IFERROR(INDEX(품목마스터!$B$3:$B$302,MATCH($B1453,품목마스터!$A$3:$A$302,0)),"미등록품번"))</f>
        <v/>
      </c>
      <c r="D1453" s="17" t="str">
        <f aca="false">IF($B1453="","",IFERROR(INDEX(품목마스터!$D$3:$D$302,MATCH($B1453,품목마스터!$A$3:$A$302,0)),""))</f>
        <v/>
      </c>
      <c r="E1453" s="12"/>
      <c r="F1453" s="10"/>
    </row>
    <row r="1454" customFormat="false" ht="15" hidden="false" customHeight="true" outlineLevel="0" collapsed="false">
      <c r="A1454" s="16"/>
      <c r="B1454" s="10"/>
      <c r="C1454" s="17" t="str">
        <f aca="false">IF($B1454="","",IFERROR(INDEX(품목마스터!$B$3:$B$302,MATCH($B1454,품목마스터!$A$3:$A$302,0)),"미등록품번"))</f>
        <v/>
      </c>
      <c r="D1454" s="17" t="str">
        <f aca="false">IF($B1454="","",IFERROR(INDEX(품목마스터!$D$3:$D$302,MATCH($B1454,품목마스터!$A$3:$A$302,0)),""))</f>
        <v/>
      </c>
      <c r="E1454" s="12"/>
      <c r="F1454" s="10"/>
    </row>
    <row r="1455" customFormat="false" ht="15" hidden="false" customHeight="true" outlineLevel="0" collapsed="false">
      <c r="A1455" s="16"/>
      <c r="B1455" s="10"/>
      <c r="C1455" s="17" t="str">
        <f aca="false">IF($B1455="","",IFERROR(INDEX(품목마스터!$B$3:$B$302,MATCH($B1455,품목마스터!$A$3:$A$302,0)),"미등록품번"))</f>
        <v/>
      </c>
      <c r="D1455" s="17" t="str">
        <f aca="false">IF($B1455="","",IFERROR(INDEX(품목마스터!$D$3:$D$302,MATCH($B1455,품목마스터!$A$3:$A$302,0)),""))</f>
        <v/>
      </c>
      <c r="E1455" s="12"/>
      <c r="F1455" s="10"/>
    </row>
    <row r="1456" customFormat="false" ht="15" hidden="false" customHeight="true" outlineLevel="0" collapsed="false">
      <c r="A1456" s="16"/>
      <c r="B1456" s="10"/>
      <c r="C1456" s="17" t="str">
        <f aca="false">IF($B1456="","",IFERROR(INDEX(품목마스터!$B$3:$B$302,MATCH($B1456,품목마스터!$A$3:$A$302,0)),"미등록품번"))</f>
        <v/>
      </c>
      <c r="D1456" s="17" t="str">
        <f aca="false">IF($B1456="","",IFERROR(INDEX(품목마스터!$D$3:$D$302,MATCH($B1456,품목마스터!$A$3:$A$302,0)),""))</f>
        <v/>
      </c>
      <c r="E1456" s="12"/>
      <c r="F1456" s="10"/>
    </row>
    <row r="1457" customFormat="false" ht="15" hidden="false" customHeight="true" outlineLevel="0" collapsed="false">
      <c r="A1457" s="16"/>
      <c r="B1457" s="10"/>
      <c r="C1457" s="17" t="str">
        <f aca="false">IF($B1457="","",IFERROR(INDEX(품목마스터!$B$3:$B$302,MATCH($B1457,품목마스터!$A$3:$A$302,0)),"미등록품번"))</f>
        <v/>
      </c>
      <c r="D1457" s="17" t="str">
        <f aca="false">IF($B1457="","",IFERROR(INDEX(품목마스터!$D$3:$D$302,MATCH($B1457,품목마스터!$A$3:$A$302,0)),""))</f>
        <v/>
      </c>
      <c r="E1457" s="12"/>
      <c r="F1457" s="10"/>
    </row>
    <row r="1458" customFormat="false" ht="15" hidden="false" customHeight="true" outlineLevel="0" collapsed="false">
      <c r="A1458" s="16"/>
      <c r="B1458" s="10"/>
      <c r="C1458" s="17" t="str">
        <f aca="false">IF($B1458="","",IFERROR(INDEX(품목마스터!$B$3:$B$302,MATCH($B1458,품목마스터!$A$3:$A$302,0)),"미등록품번"))</f>
        <v/>
      </c>
      <c r="D1458" s="17" t="str">
        <f aca="false">IF($B1458="","",IFERROR(INDEX(품목마스터!$D$3:$D$302,MATCH($B1458,품목마스터!$A$3:$A$302,0)),""))</f>
        <v/>
      </c>
      <c r="E1458" s="12"/>
      <c r="F1458" s="10"/>
    </row>
    <row r="1459" customFormat="false" ht="15" hidden="false" customHeight="true" outlineLevel="0" collapsed="false">
      <c r="A1459" s="16"/>
      <c r="B1459" s="10"/>
      <c r="C1459" s="17" t="str">
        <f aca="false">IF($B1459="","",IFERROR(INDEX(품목마스터!$B$3:$B$302,MATCH($B1459,품목마스터!$A$3:$A$302,0)),"미등록품번"))</f>
        <v/>
      </c>
      <c r="D1459" s="17" t="str">
        <f aca="false">IF($B1459="","",IFERROR(INDEX(품목마스터!$D$3:$D$302,MATCH($B1459,품목마스터!$A$3:$A$302,0)),""))</f>
        <v/>
      </c>
      <c r="E1459" s="12"/>
      <c r="F1459" s="10"/>
    </row>
    <row r="1460" customFormat="false" ht="15" hidden="false" customHeight="true" outlineLevel="0" collapsed="false">
      <c r="A1460" s="16"/>
      <c r="B1460" s="10"/>
      <c r="C1460" s="17" t="str">
        <f aca="false">IF($B1460="","",IFERROR(INDEX(품목마스터!$B$3:$B$302,MATCH($B1460,품목마스터!$A$3:$A$302,0)),"미등록품번"))</f>
        <v/>
      </c>
      <c r="D1460" s="17" t="str">
        <f aca="false">IF($B1460="","",IFERROR(INDEX(품목마스터!$D$3:$D$302,MATCH($B1460,품목마스터!$A$3:$A$302,0)),""))</f>
        <v/>
      </c>
      <c r="E1460" s="12"/>
      <c r="F1460" s="10"/>
    </row>
    <row r="1461" customFormat="false" ht="15" hidden="false" customHeight="true" outlineLevel="0" collapsed="false">
      <c r="A1461" s="16"/>
      <c r="B1461" s="10"/>
      <c r="C1461" s="17" t="str">
        <f aca="false">IF($B1461="","",IFERROR(INDEX(품목마스터!$B$3:$B$302,MATCH($B1461,품목마스터!$A$3:$A$302,0)),"미등록품번"))</f>
        <v/>
      </c>
      <c r="D1461" s="17" t="str">
        <f aca="false">IF($B1461="","",IFERROR(INDEX(품목마스터!$D$3:$D$302,MATCH($B1461,품목마스터!$A$3:$A$302,0)),""))</f>
        <v/>
      </c>
      <c r="E1461" s="12"/>
      <c r="F1461" s="10"/>
    </row>
    <row r="1462" customFormat="false" ht="15" hidden="false" customHeight="true" outlineLevel="0" collapsed="false">
      <c r="A1462" s="16"/>
      <c r="B1462" s="10"/>
      <c r="C1462" s="17" t="str">
        <f aca="false">IF($B1462="","",IFERROR(INDEX(품목마스터!$B$3:$B$302,MATCH($B1462,품목마스터!$A$3:$A$302,0)),"미등록품번"))</f>
        <v/>
      </c>
      <c r="D1462" s="17" t="str">
        <f aca="false">IF($B1462="","",IFERROR(INDEX(품목마스터!$D$3:$D$302,MATCH($B1462,품목마스터!$A$3:$A$302,0)),""))</f>
        <v/>
      </c>
      <c r="E1462" s="12"/>
      <c r="F1462" s="10"/>
    </row>
    <row r="1463" customFormat="false" ht="15" hidden="false" customHeight="true" outlineLevel="0" collapsed="false">
      <c r="A1463" s="16"/>
      <c r="B1463" s="10"/>
      <c r="C1463" s="17" t="str">
        <f aca="false">IF($B1463="","",IFERROR(INDEX(품목마스터!$B$3:$B$302,MATCH($B1463,품목마스터!$A$3:$A$302,0)),"미등록품번"))</f>
        <v/>
      </c>
      <c r="D1463" s="17" t="str">
        <f aca="false">IF($B1463="","",IFERROR(INDEX(품목마스터!$D$3:$D$302,MATCH($B1463,품목마스터!$A$3:$A$302,0)),""))</f>
        <v/>
      </c>
      <c r="E1463" s="12"/>
      <c r="F1463" s="10"/>
    </row>
    <row r="1464" customFormat="false" ht="15" hidden="false" customHeight="true" outlineLevel="0" collapsed="false">
      <c r="A1464" s="16"/>
      <c r="B1464" s="10"/>
      <c r="C1464" s="17" t="str">
        <f aca="false">IF($B1464="","",IFERROR(INDEX(품목마스터!$B$3:$B$302,MATCH($B1464,품목마스터!$A$3:$A$302,0)),"미등록품번"))</f>
        <v/>
      </c>
      <c r="D1464" s="17" t="str">
        <f aca="false">IF($B1464="","",IFERROR(INDEX(품목마스터!$D$3:$D$302,MATCH($B1464,품목마스터!$A$3:$A$302,0)),""))</f>
        <v/>
      </c>
      <c r="E1464" s="12"/>
      <c r="F1464" s="10"/>
    </row>
    <row r="1465" customFormat="false" ht="15" hidden="false" customHeight="true" outlineLevel="0" collapsed="false">
      <c r="A1465" s="16"/>
      <c r="B1465" s="10"/>
      <c r="C1465" s="17" t="str">
        <f aca="false">IF($B1465="","",IFERROR(INDEX(품목마스터!$B$3:$B$302,MATCH($B1465,품목마스터!$A$3:$A$302,0)),"미등록품번"))</f>
        <v/>
      </c>
      <c r="D1465" s="17" t="str">
        <f aca="false">IF($B1465="","",IFERROR(INDEX(품목마스터!$D$3:$D$302,MATCH($B1465,품목마스터!$A$3:$A$302,0)),""))</f>
        <v/>
      </c>
      <c r="E1465" s="12"/>
      <c r="F1465" s="10"/>
    </row>
    <row r="1466" customFormat="false" ht="15" hidden="false" customHeight="true" outlineLevel="0" collapsed="false">
      <c r="A1466" s="16"/>
      <c r="B1466" s="10"/>
      <c r="C1466" s="17" t="str">
        <f aca="false">IF($B1466="","",IFERROR(INDEX(품목마스터!$B$3:$B$302,MATCH($B1466,품목마스터!$A$3:$A$302,0)),"미등록품번"))</f>
        <v/>
      </c>
      <c r="D1466" s="17" t="str">
        <f aca="false">IF($B1466="","",IFERROR(INDEX(품목마스터!$D$3:$D$302,MATCH($B1466,품목마스터!$A$3:$A$302,0)),""))</f>
        <v/>
      </c>
      <c r="E1466" s="12"/>
      <c r="F1466" s="10"/>
    </row>
    <row r="1467" customFormat="false" ht="15" hidden="false" customHeight="true" outlineLevel="0" collapsed="false">
      <c r="A1467" s="16"/>
      <c r="B1467" s="10"/>
      <c r="C1467" s="17" t="str">
        <f aca="false">IF($B1467="","",IFERROR(INDEX(품목마스터!$B$3:$B$302,MATCH($B1467,품목마스터!$A$3:$A$302,0)),"미등록품번"))</f>
        <v/>
      </c>
      <c r="D1467" s="17" t="str">
        <f aca="false">IF($B1467="","",IFERROR(INDEX(품목마스터!$D$3:$D$302,MATCH($B1467,품목마스터!$A$3:$A$302,0)),""))</f>
        <v/>
      </c>
      <c r="E1467" s="12"/>
      <c r="F1467" s="10"/>
    </row>
    <row r="1468" customFormat="false" ht="15" hidden="false" customHeight="true" outlineLevel="0" collapsed="false">
      <c r="A1468" s="16"/>
      <c r="B1468" s="10"/>
      <c r="C1468" s="17" t="str">
        <f aca="false">IF($B1468="","",IFERROR(INDEX(품목마스터!$B$3:$B$302,MATCH($B1468,품목마스터!$A$3:$A$302,0)),"미등록품번"))</f>
        <v/>
      </c>
      <c r="D1468" s="17" t="str">
        <f aca="false">IF($B1468="","",IFERROR(INDEX(품목마스터!$D$3:$D$302,MATCH($B1468,품목마스터!$A$3:$A$302,0)),""))</f>
        <v/>
      </c>
      <c r="E1468" s="12"/>
      <c r="F1468" s="10"/>
    </row>
    <row r="1469" customFormat="false" ht="15" hidden="false" customHeight="true" outlineLevel="0" collapsed="false">
      <c r="A1469" s="16"/>
      <c r="B1469" s="10"/>
      <c r="C1469" s="17" t="str">
        <f aca="false">IF($B1469="","",IFERROR(INDEX(품목마스터!$B$3:$B$302,MATCH($B1469,품목마스터!$A$3:$A$302,0)),"미등록품번"))</f>
        <v/>
      </c>
      <c r="D1469" s="17" t="str">
        <f aca="false">IF($B1469="","",IFERROR(INDEX(품목마스터!$D$3:$D$302,MATCH($B1469,품목마스터!$A$3:$A$302,0)),""))</f>
        <v/>
      </c>
      <c r="E1469" s="12"/>
      <c r="F1469" s="10"/>
    </row>
    <row r="1470" customFormat="false" ht="15" hidden="false" customHeight="true" outlineLevel="0" collapsed="false">
      <c r="A1470" s="16"/>
      <c r="B1470" s="10"/>
      <c r="C1470" s="17" t="str">
        <f aca="false">IF($B1470="","",IFERROR(INDEX(품목마스터!$B$3:$B$302,MATCH($B1470,품목마스터!$A$3:$A$302,0)),"미등록품번"))</f>
        <v/>
      </c>
      <c r="D1470" s="17" t="str">
        <f aca="false">IF($B1470="","",IFERROR(INDEX(품목마스터!$D$3:$D$302,MATCH($B1470,품목마스터!$A$3:$A$302,0)),""))</f>
        <v/>
      </c>
      <c r="E1470" s="12"/>
      <c r="F1470" s="10"/>
    </row>
    <row r="1471" customFormat="false" ht="15" hidden="false" customHeight="true" outlineLevel="0" collapsed="false">
      <c r="A1471" s="16"/>
      <c r="B1471" s="10"/>
      <c r="C1471" s="17" t="str">
        <f aca="false">IF($B1471="","",IFERROR(INDEX(품목마스터!$B$3:$B$302,MATCH($B1471,품목마스터!$A$3:$A$302,0)),"미등록품번"))</f>
        <v/>
      </c>
      <c r="D1471" s="17" t="str">
        <f aca="false">IF($B1471="","",IFERROR(INDEX(품목마스터!$D$3:$D$302,MATCH($B1471,품목마스터!$A$3:$A$302,0)),""))</f>
        <v/>
      </c>
      <c r="E1471" s="12"/>
      <c r="F1471" s="10"/>
    </row>
    <row r="1472" customFormat="false" ht="15" hidden="false" customHeight="true" outlineLevel="0" collapsed="false">
      <c r="A1472" s="16"/>
      <c r="B1472" s="10"/>
      <c r="C1472" s="17" t="str">
        <f aca="false">IF($B1472="","",IFERROR(INDEX(품목마스터!$B$3:$B$302,MATCH($B1472,품목마스터!$A$3:$A$302,0)),"미등록품번"))</f>
        <v/>
      </c>
      <c r="D1472" s="17" t="str">
        <f aca="false">IF($B1472="","",IFERROR(INDEX(품목마스터!$D$3:$D$302,MATCH($B1472,품목마스터!$A$3:$A$302,0)),""))</f>
        <v/>
      </c>
      <c r="E1472" s="12"/>
      <c r="F1472" s="10"/>
    </row>
    <row r="1473" customFormat="false" ht="15" hidden="false" customHeight="true" outlineLevel="0" collapsed="false">
      <c r="A1473" s="16"/>
      <c r="B1473" s="10"/>
      <c r="C1473" s="17" t="str">
        <f aca="false">IF($B1473="","",IFERROR(INDEX(품목마스터!$B$3:$B$302,MATCH($B1473,품목마스터!$A$3:$A$302,0)),"미등록품번"))</f>
        <v/>
      </c>
      <c r="D1473" s="17" t="str">
        <f aca="false">IF($B1473="","",IFERROR(INDEX(품목마스터!$D$3:$D$302,MATCH($B1473,품목마스터!$A$3:$A$302,0)),""))</f>
        <v/>
      </c>
      <c r="E1473" s="12"/>
      <c r="F1473" s="10"/>
    </row>
    <row r="1474" customFormat="false" ht="15" hidden="false" customHeight="true" outlineLevel="0" collapsed="false">
      <c r="A1474" s="16"/>
      <c r="B1474" s="10"/>
      <c r="C1474" s="17" t="str">
        <f aca="false">IF($B1474="","",IFERROR(INDEX(품목마스터!$B$3:$B$302,MATCH($B1474,품목마스터!$A$3:$A$302,0)),"미등록품번"))</f>
        <v/>
      </c>
      <c r="D1474" s="17" t="str">
        <f aca="false">IF($B1474="","",IFERROR(INDEX(품목마스터!$D$3:$D$302,MATCH($B1474,품목마스터!$A$3:$A$302,0)),""))</f>
        <v/>
      </c>
      <c r="E1474" s="12"/>
      <c r="F1474" s="10"/>
    </row>
    <row r="1475" customFormat="false" ht="15" hidden="false" customHeight="true" outlineLevel="0" collapsed="false">
      <c r="A1475" s="16"/>
      <c r="B1475" s="10"/>
      <c r="C1475" s="17" t="str">
        <f aca="false">IF($B1475="","",IFERROR(INDEX(품목마스터!$B$3:$B$302,MATCH($B1475,품목마스터!$A$3:$A$302,0)),"미등록품번"))</f>
        <v/>
      </c>
      <c r="D1475" s="17" t="str">
        <f aca="false">IF($B1475="","",IFERROR(INDEX(품목마스터!$D$3:$D$302,MATCH($B1475,품목마스터!$A$3:$A$302,0)),""))</f>
        <v/>
      </c>
      <c r="E1475" s="12"/>
      <c r="F1475" s="10"/>
    </row>
    <row r="1476" customFormat="false" ht="15" hidden="false" customHeight="true" outlineLevel="0" collapsed="false">
      <c r="A1476" s="16"/>
      <c r="B1476" s="10"/>
      <c r="C1476" s="17" t="str">
        <f aca="false">IF($B1476="","",IFERROR(INDEX(품목마스터!$B$3:$B$302,MATCH($B1476,품목마스터!$A$3:$A$302,0)),"미등록품번"))</f>
        <v/>
      </c>
      <c r="D1476" s="17" t="str">
        <f aca="false">IF($B1476="","",IFERROR(INDEX(품목마스터!$D$3:$D$302,MATCH($B1476,품목마스터!$A$3:$A$302,0)),""))</f>
        <v/>
      </c>
      <c r="E1476" s="12"/>
      <c r="F1476" s="10"/>
    </row>
    <row r="1477" customFormat="false" ht="15" hidden="false" customHeight="true" outlineLevel="0" collapsed="false">
      <c r="A1477" s="16"/>
      <c r="B1477" s="10"/>
      <c r="C1477" s="17" t="str">
        <f aca="false">IF($B1477="","",IFERROR(INDEX(품목마스터!$B$3:$B$302,MATCH($B1477,품목마스터!$A$3:$A$302,0)),"미등록품번"))</f>
        <v/>
      </c>
      <c r="D1477" s="17" t="str">
        <f aca="false">IF($B1477="","",IFERROR(INDEX(품목마스터!$D$3:$D$302,MATCH($B1477,품목마스터!$A$3:$A$302,0)),""))</f>
        <v/>
      </c>
      <c r="E1477" s="12"/>
      <c r="F1477" s="10"/>
    </row>
    <row r="1478" customFormat="false" ht="15" hidden="false" customHeight="true" outlineLevel="0" collapsed="false">
      <c r="A1478" s="16"/>
      <c r="B1478" s="10"/>
      <c r="C1478" s="17" t="str">
        <f aca="false">IF($B1478="","",IFERROR(INDEX(품목마스터!$B$3:$B$302,MATCH($B1478,품목마스터!$A$3:$A$302,0)),"미등록품번"))</f>
        <v/>
      </c>
      <c r="D1478" s="17" t="str">
        <f aca="false">IF($B1478="","",IFERROR(INDEX(품목마스터!$D$3:$D$302,MATCH($B1478,품목마스터!$A$3:$A$302,0)),""))</f>
        <v/>
      </c>
      <c r="E1478" s="12"/>
      <c r="F1478" s="10"/>
    </row>
    <row r="1479" customFormat="false" ht="15" hidden="false" customHeight="true" outlineLevel="0" collapsed="false">
      <c r="A1479" s="16"/>
      <c r="B1479" s="10"/>
      <c r="C1479" s="17" t="str">
        <f aca="false">IF($B1479="","",IFERROR(INDEX(품목마스터!$B$3:$B$302,MATCH($B1479,품목마스터!$A$3:$A$302,0)),"미등록품번"))</f>
        <v/>
      </c>
      <c r="D1479" s="17" t="str">
        <f aca="false">IF($B1479="","",IFERROR(INDEX(품목마스터!$D$3:$D$302,MATCH($B1479,품목마스터!$A$3:$A$302,0)),""))</f>
        <v/>
      </c>
      <c r="E1479" s="12"/>
      <c r="F1479" s="10"/>
    </row>
    <row r="1480" customFormat="false" ht="15" hidden="false" customHeight="true" outlineLevel="0" collapsed="false">
      <c r="A1480" s="16"/>
      <c r="B1480" s="10"/>
      <c r="C1480" s="17" t="str">
        <f aca="false">IF($B1480="","",IFERROR(INDEX(품목마스터!$B$3:$B$302,MATCH($B1480,품목마스터!$A$3:$A$302,0)),"미등록품번"))</f>
        <v/>
      </c>
      <c r="D1480" s="17" t="str">
        <f aca="false">IF($B1480="","",IFERROR(INDEX(품목마스터!$D$3:$D$302,MATCH($B1480,품목마스터!$A$3:$A$302,0)),""))</f>
        <v/>
      </c>
      <c r="E1480" s="12"/>
      <c r="F1480" s="10"/>
    </row>
    <row r="1481" customFormat="false" ht="15" hidden="false" customHeight="true" outlineLevel="0" collapsed="false">
      <c r="A1481" s="16"/>
      <c r="B1481" s="10"/>
      <c r="C1481" s="17" t="str">
        <f aca="false">IF($B1481="","",IFERROR(INDEX(품목마스터!$B$3:$B$302,MATCH($B1481,품목마스터!$A$3:$A$302,0)),"미등록품번"))</f>
        <v/>
      </c>
      <c r="D1481" s="17" t="str">
        <f aca="false">IF($B1481="","",IFERROR(INDEX(품목마스터!$D$3:$D$302,MATCH($B1481,품목마스터!$A$3:$A$302,0)),""))</f>
        <v/>
      </c>
      <c r="E1481" s="12"/>
      <c r="F1481" s="10"/>
    </row>
    <row r="1482" customFormat="false" ht="15" hidden="false" customHeight="true" outlineLevel="0" collapsed="false">
      <c r="A1482" s="16"/>
      <c r="B1482" s="10"/>
      <c r="C1482" s="17" t="str">
        <f aca="false">IF($B1482="","",IFERROR(INDEX(품목마스터!$B$3:$B$302,MATCH($B1482,품목마스터!$A$3:$A$302,0)),"미등록품번"))</f>
        <v/>
      </c>
      <c r="D1482" s="17" t="str">
        <f aca="false">IF($B1482="","",IFERROR(INDEX(품목마스터!$D$3:$D$302,MATCH($B1482,품목마스터!$A$3:$A$302,0)),""))</f>
        <v/>
      </c>
      <c r="E1482" s="12"/>
      <c r="F1482" s="10"/>
    </row>
    <row r="1483" customFormat="false" ht="15" hidden="false" customHeight="true" outlineLevel="0" collapsed="false">
      <c r="A1483" s="16"/>
      <c r="B1483" s="10"/>
      <c r="C1483" s="17" t="str">
        <f aca="false">IF($B1483="","",IFERROR(INDEX(품목마스터!$B$3:$B$302,MATCH($B1483,품목마스터!$A$3:$A$302,0)),"미등록품번"))</f>
        <v/>
      </c>
      <c r="D1483" s="17" t="str">
        <f aca="false">IF($B1483="","",IFERROR(INDEX(품목마스터!$D$3:$D$302,MATCH($B1483,품목마스터!$A$3:$A$302,0)),""))</f>
        <v/>
      </c>
      <c r="E1483" s="12"/>
      <c r="F1483" s="10"/>
    </row>
    <row r="1484" customFormat="false" ht="15" hidden="false" customHeight="true" outlineLevel="0" collapsed="false">
      <c r="A1484" s="16"/>
      <c r="B1484" s="10"/>
      <c r="C1484" s="17" t="str">
        <f aca="false">IF($B1484="","",IFERROR(INDEX(품목마스터!$B$3:$B$302,MATCH($B1484,품목마스터!$A$3:$A$302,0)),"미등록품번"))</f>
        <v/>
      </c>
      <c r="D1484" s="17" t="str">
        <f aca="false">IF($B1484="","",IFERROR(INDEX(품목마스터!$D$3:$D$302,MATCH($B1484,품목마스터!$A$3:$A$302,0)),""))</f>
        <v/>
      </c>
      <c r="E1484" s="12"/>
      <c r="F1484" s="10"/>
    </row>
    <row r="1485" customFormat="false" ht="15" hidden="false" customHeight="true" outlineLevel="0" collapsed="false">
      <c r="A1485" s="16"/>
      <c r="B1485" s="10"/>
      <c r="C1485" s="17" t="str">
        <f aca="false">IF($B1485="","",IFERROR(INDEX(품목마스터!$B$3:$B$302,MATCH($B1485,품목마스터!$A$3:$A$302,0)),"미등록품번"))</f>
        <v/>
      </c>
      <c r="D1485" s="17" t="str">
        <f aca="false">IF($B1485="","",IFERROR(INDEX(품목마스터!$D$3:$D$302,MATCH($B1485,품목마스터!$A$3:$A$302,0)),""))</f>
        <v/>
      </c>
      <c r="E1485" s="12"/>
      <c r="F1485" s="10"/>
    </row>
    <row r="1486" customFormat="false" ht="15" hidden="false" customHeight="true" outlineLevel="0" collapsed="false">
      <c r="A1486" s="16"/>
      <c r="B1486" s="10"/>
      <c r="C1486" s="17" t="str">
        <f aca="false">IF($B1486="","",IFERROR(INDEX(품목마스터!$B$3:$B$302,MATCH($B1486,품목마스터!$A$3:$A$302,0)),"미등록품번"))</f>
        <v/>
      </c>
      <c r="D1486" s="17" t="str">
        <f aca="false">IF($B1486="","",IFERROR(INDEX(품목마스터!$D$3:$D$302,MATCH($B1486,품목마스터!$A$3:$A$302,0)),""))</f>
        <v/>
      </c>
      <c r="E1486" s="12"/>
      <c r="F1486" s="10"/>
    </row>
    <row r="1487" customFormat="false" ht="15" hidden="false" customHeight="true" outlineLevel="0" collapsed="false">
      <c r="A1487" s="16"/>
      <c r="B1487" s="10"/>
      <c r="C1487" s="17" t="str">
        <f aca="false">IF($B1487="","",IFERROR(INDEX(품목마스터!$B$3:$B$302,MATCH($B1487,품목마스터!$A$3:$A$302,0)),"미등록품번"))</f>
        <v/>
      </c>
      <c r="D1487" s="17" t="str">
        <f aca="false">IF($B1487="","",IFERROR(INDEX(품목마스터!$D$3:$D$302,MATCH($B1487,품목마스터!$A$3:$A$302,0)),""))</f>
        <v/>
      </c>
      <c r="E1487" s="12"/>
      <c r="F1487" s="10"/>
    </row>
    <row r="1488" customFormat="false" ht="15" hidden="false" customHeight="true" outlineLevel="0" collapsed="false">
      <c r="A1488" s="16"/>
      <c r="B1488" s="10"/>
      <c r="C1488" s="17" t="str">
        <f aca="false">IF($B1488="","",IFERROR(INDEX(품목마스터!$B$3:$B$302,MATCH($B1488,품목마스터!$A$3:$A$302,0)),"미등록품번"))</f>
        <v/>
      </c>
      <c r="D1488" s="17" t="str">
        <f aca="false">IF($B1488="","",IFERROR(INDEX(품목마스터!$D$3:$D$302,MATCH($B1488,품목마스터!$A$3:$A$302,0)),""))</f>
        <v/>
      </c>
      <c r="E1488" s="12"/>
      <c r="F1488" s="10"/>
    </row>
    <row r="1489" customFormat="false" ht="15" hidden="false" customHeight="true" outlineLevel="0" collapsed="false">
      <c r="A1489" s="16"/>
      <c r="B1489" s="10"/>
      <c r="C1489" s="17" t="str">
        <f aca="false">IF($B1489="","",IFERROR(INDEX(품목마스터!$B$3:$B$302,MATCH($B1489,품목마스터!$A$3:$A$302,0)),"미등록품번"))</f>
        <v/>
      </c>
      <c r="D1489" s="17" t="str">
        <f aca="false">IF($B1489="","",IFERROR(INDEX(품목마스터!$D$3:$D$302,MATCH($B1489,품목마스터!$A$3:$A$302,0)),""))</f>
        <v/>
      </c>
      <c r="E1489" s="12"/>
      <c r="F1489" s="10"/>
    </row>
    <row r="1490" customFormat="false" ht="15" hidden="false" customHeight="true" outlineLevel="0" collapsed="false">
      <c r="A1490" s="16"/>
      <c r="B1490" s="10"/>
      <c r="C1490" s="17" t="str">
        <f aca="false">IF($B1490="","",IFERROR(INDEX(품목마스터!$B$3:$B$302,MATCH($B1490,품목마스터!$A$3:$A$302,0)),"미등록품번"))</f>
        <v/>
      </c>
      <c r="D1490" s="17" t="str">
        <f aca="false">IF($B1490="","",IFERROR(INDEX(품목마스터!$D$3:$D$302,MATCH($B1490,품목마스터!$A$3:$A$302,0)),""))</f>
        <v/>
      </c>
      <c r="E1490" s="12"/>
      <c r="F1490" s="10"/>
    </row>
    <row r="1491" customFormat="false" ht="15" hidden="false" customHeight="true" outlineLevel="0" collapsed="false">
      <c r="A1491" s="16"/>
      <c r="B1491" s="10"/>
      <c r="C1491" s="17" t="str">
        <f aca="false">IF($B1491="","",IFERROR(INDEX(품목마스터!$B$3:$B$302,MATCH($B1491,품목마스터!$A$3:$A$302,0)),"미등록품번"))</f>
        <v/>
      </c>
      <c r="D1491" s="17" t="str">
        <f aca="false">IF($B1491="","",IFERROR(INDEX(품목마스터!$D$3:$D$302,MATCH($B1491,품목마스터!$A$3:$A$302,0)),""))</f>
        <v/>
      </c>
      <c r="E1491" s="12"/>
      <c r="F1491" s="10"/>
    </row>
    <row r="1492" customFormat="false" ht="15" hidden="false" customHeight="true" outlineLevel="0" collapsed="false">
      <c r="A1492" s="16"/>
      <c r="B1492" s="10"/>
      <c r="C1492" s="17" t="str">
        <f aca="false">IF($B1492="","",IFERROR(INDEX(품목마스터!$B$3:$B$302,MATCH($B1492,품목마스터!$A$3:$A$302,0)),"미등록품번"))</f>
        <v/>
      </c>
      <c r="D1492" s="17" t="str">
        <f aca="false">IF($B1492="","",IFERROR(INDEX(품목마스터!$D$3:$D$302,MATCH($B1492,품목마스터!$A$3:$A$302,0)),""))</f>
        <v/>
      </c>
      <c r="E1492" s="12"/>
      <c r="F1492" s="10"/>
    </row>
    <row r="1493" customFormat="false" ht="15" hidden="false" customHeight="true" outlineLevel="0" collapsed="false">
      <c r="A1493" s="16"/>
      <c r="B1493" s="10"/>
      <c r="C1493" s="17" t="str">
        <f aca="false">IF($B1493="","",IFERROR(INDEX(품목마스터!$B$3:$B$302,MATCH($B1493,품목마스터!$A$3:$A$302,0)),"미등록품번"))</f>
        <v/>
      </c>
      <c r="D1493" s="17" t="str">
        <f aca="false">IF($B1493="","",IFERROR(INDEX(품목마스터!$D$3:$D$302,MATCH($B1493,품목마스터!$A$3:$A$302,0)),""))</f>
        <v/>
      </c>
      <c r="E1493" s="12"/>
      <c r="F1493" s="10"/>
    </row>
    <row r="1494" customFormat="false" ht="15" hidden="false" customHeight="true" outlineLevel="0" collapsed="false">
      <c r="A1494" s="16"/>
      <c r="B1494" s="10"/>
      <c r="C1494" s="17" t="str">
        <f aca="false">IF($B1494="","",IFERROR(INDEX(품목마스터!$B$3:$B$302,MATCH($B1494,품목마스터!$A$3:$A$302,0)),"미등록품번"))</f>
        <v/>
      </c>
      <c r="D1494" s="17" t="str">
        <f aca="false">IF($B1494="","",IFERROR(INDEX(품목마스터!$D$3:$D$302,MATCH($B1494,품목마스터!$A$3:$A$302,0)),""))</f>
        <v/>
      </c>
      <c r="E1494" s="12"/>
      <c r="F1494" s="10"/>
    </row>
    <row r="1495" customFormat="false" ht="15" hidden="false" customHeight="true" outlineLevel="0" collapsed="false">
      <c r="A1495" s="16"/>
      <c r="B1495" s="10"/>
      <c r="C1495" s="17" t="str">
        <f aca="false">IF($B1495="","",IFERROR(INDEX(품목마스터!$B$3:$B$302,MATCH($B1495,품목마스터!$A$3:$A$302,0)),"미등록품번"))</f>
        <v/>
      </c>
      <c r="D1495" s="17" t="str">
        <f aca="false">IF($B1495="","",IFERROR(INDEX(품목마스터!$D$3:$D$302,MATCH($B1495,품목마스터!$A$3:$A$302,0)),""))</f>
        <v/>
      </c>
      <c r="E1495" s="12"/>
      <c r="F1495" s="10"/>
    </row>
    <row r="1496" customFormat="false" ht="15" hidden="false" customHeight="true" outlineLevel="0" collapsed="false">
      <c r="A1496" s="16"/>
      <c r="B1496" s="10"/>
      <c r="C1496" s="17" t="str">
        <f aca="false">IF($B1496="","",IFERROR(INDEX(품목마스터!$B$3:$B$302,MATCH($B1496,품목마스터!$A$3:$A$302,0)),"미등록품번"))</f>
        <v/>
      </c>
      <c r="D1496" s="17" t="str">
        <f aca="false">IF($B1496="","",IFERROR(INDEX(품목마스터!$D$3:$D$302,MATCH($B1496,품목마스터!$A$3:$A$302,0)),""))</f>
        <v/>
      </c>
      <c r="E1496" s="12"/>
      <c r="F1496" s="10"/>
    </row>
    <row r="1497" customFormat="false" ht="15" hidden="false" customHeight="true" outlineLevel="0" collapsed="false">
      <c r="A1497" s="16"/>
      <c r="B1497" s="10"/>
      <c r="C1497" s="17" t="str">
        <f aca="false">IF($B1497="","",IFERROR(INDEX(품목마스터!$B$3:$B$302,MATCH($B1497,품목마스터!$A$3:$A$302,0)),"미등록품번"))</f>
        <v/>
      </c>
      <c r="D1497" s="17" t="str">
        <f aca="false">IF($B1497="","",IFERROR(INDEX(품목마스터!$D$3:$D$302,MATCH($B1497,품목마스터!$A$3:$A$302,0)),""))</f>
        <v/>
      </c>
      <c r="E1497" s="12"/>
      <c r="F1497" s="10"/>
    </row>
    <row r="1498" customFormat="false" ht="15" hidden="false" customHeight="true" outlineLevel="0" collapsed="false">
      <c r="A1498" s="16"/>
      <c r="B1498" s="10"/>
      <c r="C1498" s="17" t="str">
        <f aca="false">IF($B1498="","",IFERROR(INDEX(품목마스터!$B$3:$B$302,MATCH($B1498,품목마스터!$A$3:$A$302,0)),"미등록품번"))</f>
        <v/>
      </c>
      <c r="D1498" s="17" t="str">
        <f aca="false">IF($B1498="","",IFERROR(INDEX(품목마스터!$D$3:$D$302,MATCH($B1498,품목마스터!$A$3:$A$302,0)),""))</f>
        <v/>
      </c>
      <c r="E1498" s="12"/>
      <c r="F1498" s="10"/>
    </row>
    <row r="1499" customFormat="false" ht="15" hidden="false" customHeight="true" outlineLevel="0" collapsed="false">
      <c r="A1499" s="16"/>
      <c r="B1499" s="10"/>
      <c r="C1499" s="17" t="str">
        <f aca="false">IF($B1499="","",IFERROR(INDEX(품목마스터!$B$3:$B$302,MATCH($B1499,품목마스터!$A$3:$A$302,0)),"미등록품번"))</f>
        <v/>
      </c>
      <c r="D1499" s="17" t="str">
        <f aca="false">IF($B1499="","",IFERROR(INDEX(품목마스터!$D$3:$D$302,MATCH($B1499,품목마스터!$A$3:$A$302,0)),""))</f>
        <v/>
      </c>
      <c r="E1499" s="12"/>
      <c r="F1499" s="10"/>
    </row>
    <row r="1500" customFormat="false" ht="15" hidden="false" customHeight="true" outlineLevel="0" collapsed="false">
      <c r="A1500" s="16"/>
      <c r="B1500" s="10"/>
      <c r="C1500" s="17" t="str">
        <f aca="false">IF($B1500="","",IFERROR(INDEX(품목마스터!$B$3:$B$302,MATCH($B1500,품목마스터!$A$3:$A$302,0)),"미등록품번"))</f>
        <v/>
      </c>
      <c r="D1500" s="17" t="str">
        <f aca="false">IF($B1500="","",IFERROR(INDEX(품목마스터!$D$3:$D$302,MATCH($B1500,품목마스터!$A$3:$A$302,0)),""))</f>
        <v/>
      </c>
      <c r="E1500" s="12"/>
      <c r="F1500" s="10"/>
    </row>
    <row r="1501" customFormat="false" ht="15" hidden="false" customHeight="true" outlineLevel="0" collapsed="false">
      <c r="A1501" s="16"/>
      <c r="B1501" s="10"/>
      <c r="C1501" s="17" t="str">
        <f aca="false">IF($B1501="","",IFERROR(INDEX(품목마스터!$B$3:$B$302,MATCH($B1501,품목마스터!$A$3:$A$302,0)),"미등록품번"))</f>
        <v/>
      </c>
      <c r="D1501" s="17" t="str">
        <f aca="false">IF($B1501="","",IFERROR(INDEX(품목마스터!$D$3:$D$302,MATCH($B1501,품목마스터!$A$3:$A$302,0)),""))</f>
        <v/>
      </c>
      <c r="E1501" s="12"/>
      <c r="F1501" s="10"/>
    </row>
    <row r="1502" customFormat="false" ht="15" hidden="false" customHeight="true" outlineLevel="0" collapsed="false">
      <c r="A1502" s="16"/>
      <c r="B1502" s="10"/>
      <c r="C1502" s="17" t="str">
        <f aca="false">IF($B1502="","",IFERROR(INDEX(품목마스터!$B$3:$B$302,MATCH($B1502,품목마스터!$A$3:$A$302,0)),"미등록품번"))</f>
        <v/>
      </c>
      <c r="D1502" s="17" t="str">
        <f aca="false">IF($B1502="","",IFERROR(INDEX(품목마스터!$D$3:$D$302,MATCH($B1502,품목마스터!$A$3:$A$302,0)),""))</f>
        <v/>
      </c>
      <c r="E1502" s="12"/>
      <c r="F1502" s="10"/>
    </row>
    <row r="1503" customFormat="false" ht="15" hidden="false" customHeight="true" outlineLevel="0" collapsed="false">
      <c r="A1503" s="16"/>
      <c r="B1503" s="10"/>
      <c r="C1503" s="17" t="str">
        <f aca="false">IF($B1503="","",IFERROR(INDEX(품목마스터!$B$3:$B$302,MATCH($B1503,품목마스터!$A$3:$A$302,0)),"미등록품번"))</f>
        <v/>
      </c>
      <c r="D1503" s="17" t="str">
        <f aca="false">IF($B1503="","",IFERROR(INDEX(품목마스터!$D$3:$D$302,MATCH($B1503,품목마스터!$A$3:$A$302,0)),""))</f>
        <v/>
      </c>
      <c r="E1503" s="12"/>
      <c r="F1503" s="10"/>
    </row>
    <row r="1504" customFormat="false" ht="15" hidden="false" customHeight="true" outlineLevel="0" collapsed="false">
      <c r="A1504" s="16"/>
      <c r="B1504" s="10"/>
      <c r="C1504" s="17" t="str">
        <f aca="false">IF($B1504="","",IFERROR(INDEX(품목마스터!$B$3:$B$302,MATCH($B1504,품목마스터!$A$3:$A$302,0)),"미등록품번"))</f>
        <v/>
      </c>
      <c r="D1504" s="17" t="str">
        <f aca="false">IF($B1504="","",IFERROR(INDEX(품목마스터!$D$3:$D$302,MATCH($B1504,품목마스터!$A$3:$A$302,0)),""))</f>
        <v/>
      </c>
      <c r="E1504" s="12"/>
      <c r="F1504" s="10"/>
    </row>
    <row r="1505" customFormat="false" ht="15" hidden="false" customHeight="true" outlineLevel="0" collapsed="false">
      <c r="A1505" s="16"/>
      <c r="B1505" s="10"/>
      <c r="C1505" s="17" t="str">
        <f aca="false">IF($B1505="","",IFERROR(INDEX(품목마스터!$B$3:$B$302,MATCH($B1505,품목마스터!$A$3:$A$302,0)),"미등록품번"))</f>
        <v/>
      </c>
      <c r="D1505" s="17" t="str">
        <f aca="false">IF($B1505="","",IFERROR(INDEX(품목마스터!$D$3:$D$302,MATCH($B1505,품목마스터!$A$3:$A$302,0)),""))</f>
        <v/>
      </c>
      <c r="E1505" s="12"/>
      <c r="F1505" s="10"/>
    </row>
    <row r="1506" customFormat="false" ht="15" hidden="false" customHeight="true" outlineLevel="0" collapsed="false">
      <c r="A1506" s="16"/>
      <c r="B1506" s="10"/>
      <c r="C1506" s="17" t="str">
        <f aca="false">IF($B1506="","",IFERROR(INDEX(품목마스터!$B$3:$B$302,MATCH($B1506,품목마스터!$A$3:$A$302,0)),"미등록품번"))</f>
        <v/>
      </c>
      <c r="D1506" s="17" t="str">
        <f aca="false">IF($B1506="","",IFERROR(INDEX(품목마스터!$D$3:$D$302,MATCH($B1506,품목마스터!$A$3:$A$302,0)),""))</f>
        <v/>
      </c>
      <c r="E1506" s="12"/>
      <c r="F1506" s="10"/>
    </row>
    <row r="1507" customFormat="false" ht="15" hidden="false" customHeight="true" outlineLevel="0" collapsed="false">
      <c r="A1507" s="16"/>
      <c r="B1507" s="10"/>
      <c r="C1507" s="17" t="str">
        <f aca="false">IF($B1507="","",IFERROR(INDEX(품목마스터!$B$3:$B$302,MATCH($B1507,품목마스터!$A$3:$A$302,0)),"미등록품번"))</f>
        <v/>
      </c>
      <c r="D1507" s="17" t="str">
        <f aca="false">IF($B1507="","",IFERROR(INDEX(품목마스터!$D$3:$D$302,MATCH($B1507,품목마스터!$A$3:$A$302,0)),""))</f>
        <v/>
      </c>
      <c r="E1507" s="12"/>
      <c r="F1507" s="10"/>
    </row>
    <row r="1508" customFormat="false" ht="15" hidden="false" customHeight="true" outlineLevel="0" collapsed="false">
      <c r="A1508" s="16"/>
      <c r="B1508" s="10"/>
      <c r="C1508" s="17" t="str">
        <f aca="false">IF($B1508="","",IFERROR(INDEX(품목마스터!$B$3:$B$302,MATCH($B1508,품목마스터!$A$3:$A$302,0)),"미등록품번"))</f>
        <v/>
      </c>
      <c r="D1508" s="17" t="str">
        <f aca="false">IF($B1508="","",IFERROR(INDEX(품목마스터!$D$3:$D$302,MATCH($B1508,품목마스터!$A$3:$A$302,0)),""))</f>
        <v/>
      </c>
      <c r="E1508" s="12"/>
      <c r="F1508" s="10"/>
    </row>
    <row r="1509" customFormat="false" ht="15" hidden="false" customHeight="true" outlineLevel="0" collapsed="false">
      <c r="A1509" s="16"/>
      <c r="B1509" s="10"/>
      <c r="C1509" s="17" t="str">
        <f aca="false">IF($B1509="","",IFERROR(INDEX(품목마스터!$B$3:$B$302,MATCH($B1509,품목마스터!$A$3:$A$302,0)),"미등록품번"))</f>
        <v/>
      </c>
      <c r="D1509" s="17" t="str">
        <f aca="false">IF($B1509="","",IFERROR(INDEX(품목마스터!$D$3:$D$302,MATCH($B1509,품목마스터!$A$3:$A$302,0)),""))</f>
        <v/>
      </c>
      <c r="E1509" s="12"/>
      <c r="F1509" s="10"/>
    </row>
    <row r="1510" customFormat="false" ht="15" hidden="false" customHeight="true" outlineLevel="0" collapsed="false">
      <c r="A1510" s="16"/>
      <c r="B1510" s="10"/>
      <c r="C1510" s="17" t="str">
        <f aca="false">IF($B1510="","",IFERROR(INDEX(품목마스터!$B$3:$B$302,MATCH($B1510,품목마스터!$A$3:$A$302,0)),"미등록품번"))</f>
        <v/>
      </c>
      <c r="D1510" s="17" t="str">
        <f aca="false">IF($B1510="","",IFERROR(INDEX(품목마스터!$D$3:$D$302,MATCH($B1510,품목마스터!$A$3:$A$302,0)),""))</f>
        <v/>
      </c>
      <c r="E1510" s="12"/>
      <c r="F1510" s="10"/>
    </row>
    <row r="1511" customFormat="false" ht="15" hidden="false" customHeight="true" outlineLevel="0" collapsed="false">
      <c r="A1511" s="16"/>
      <c r="B1511" s="10"/>
      <c r="C1511" s="17" t="str">
        <f aca="false">IF($B1511="","",IFERROR(INDEX(품목마스터!$B$3:$B$302,MATCH($B1511,품목마스터!$A$3:$A$302,0)),"미등록품번"))</f>
        <v/>
      </c>
      <c r="D1511" s="17" t="str">
        <f aca="false">IF($B1511="","",IFERROR(INDEX(품목마스터!$D$3:$D$302,MATCH($B1511,품목마스터!$A$3:$A$302,0)),""))</f>
        <v/>
      </c>
      <c r="E1511" s="12"/>
      <c r="F1511" s="10"/>
    </row>
    <row r="1512" customFormat="false" ht="15" hidden="false" customHeight="true" outlineLevel="0" collapsed="false">
      <c r="A1512" s="16"/>
      <c r="B1512" s="10"/>
      <c r="C1512" s="17" t="str">
        <f aca="false">IF($B1512="","",IFERROR(INDEX(품목마스터!$B$3:$B$302,MATCH($B1512,품목마스터!$A$3:$A$302,0)),"미등록품번"))</f>
        <v/>
      </c>
      <c r="D1512" s="17" t="str">
        <f aca="false">IF($B1512="","",IFERROR(INDEX(품목마스터!$D$3:$D$302,MATCH($B1512,품목마스터!$A$3:$A$302,0)),""))</f>
        <v/>
      </c>
      <c r="E1512" s="12"/>
      <c r="F1512" s="10"/>
    </row>
    <row r="1513" customFormat="false" ht="15" hidden="false" customHeight="true" outlineLevel="0" collapsed="false">
      <c r="A1513" s="16"/>
      <c r="B1513" s="10"/>
      <c r="C1513" s="17" t="str">
        <f aca="false">IF($B1513="","",IFERROR(INDEX(품목마스터!$B$3:$B$302,MATCH($B1513,품목마스터!$A$3:$A$302,0)),"미등록품번"))</f>
        <v/>
      </c>
      <c r="D1513" s="17" t="str">
        <f aca="false">IF($B1513="","",IFERROR(INDEX(품목마스터!$D$3:$D$302,MATCH($B1513,품목마스터!$A$3:$A$302,0)),""))</f>
        <v/>
      </c>
      <c r="E1513" s="12"/>
      <c r="F1513" s="10"/>
    </row>
    <row r="1514" customFormat="false" ht="15" hidden="false" customHeight="true" outlineLevel="0" collapsed="false">
      <c r="A1514" s="16"/>
      <c r="B1514" s="10"/>
      <c r="C1514" s="17" t="str">
        <f aca="false">IF($B1514="","",IFERROR(INDEX(품목마스터!$B$3:$B$302,MATCH($B1514,품목마스터!$A$3:$A$302,0)),"미등록품번"))</f>
        <v/>
      </c>
      <c r="D1514" s="17" t="str">
        <f aca="false">IF($B1514="","",IFERROR(INDEX(품목마스터!$D$3:$D$302,MATCH($B1514,품목마스터!$A$3:$A$302,0)),""))</f>
        <v/>
      </c>
      <c r="E1514" s="12"/>
      <c r="F1514" s="10"/>
    </row>
    <row r="1515" customFormat="false" ht="15" hidden="false" customHeight="true" outlineLevel="0" collapsed="false">
      <c r="A1515" s="16"/>
      <c r="B1515" s="10"/>
      <c r="C1515" s="17" t="str">
        <f aca="false">IF($B1515="","",IFERROR(INDEX(품목마스터!$B$3:$B$302,MATCH($B1515,품목마스터!$A$3:$A$302,0)),"미등록품번"))</f>
        <v/>
      </c>
      <c r="D1515" s="17" t="str">
        <f aca="false">IF($B1515="","",IFERROR(INDEX(품목마스터!$D$3:$D$302,MATCH($B1515,품목마스터!$A$3:$A$302,0)),""))</f>
        <v/>
      </c>
      <c r="E1515" s="12"/>
      <c r="F1515" s="10"/>
    </row>
    <row r="1516" customFormat="false" ht="15" hidden="false" customHeight="true" outlineLevel="0" collapsed="false">
      <c r="A1516" s="16"/>
      <c r="B1516" s="10"/>
      <c r="C1516" s="17" t="str">
        <f aca="false">IF($B1516="","",IFERROR(INDEX(품목마스터!$B$3:$B$302,MATCH($B1516,품목마스터!$A$3:$A$302,0)),"미등록품번"))</f>
        <v/>
      </c>
      <c r="D1516" s="17" t="str">
        <f aca="false">IF($B1516="","",IFERROR(INDEX(품목마스터!$D$3:$D$302,MATCH($B1516,품목마스터!$A$3:$A$302,0)),""))</f>
        <v/>
      </c>
      <c r="E1516" s="12"/>
      <c r="F1516" s="10"/>
    </row>
    <row r="1517" customFormat="false" ht="15" hidden="false" customHeight="true" outlineLevel="0" collapsed="false">
      <c r="A1517" s="16"/>
      <c r="B1517" s="10"/>
      <c r="C1517" s="17" t="str">
        <f aca="false">IF($B1517="","",IFERROR(INDEX(품목마스터!$B$3:$B$302,MATCH($B1517,품목마스터!$A$3:$A$302,0)),"미등록품번"))</f>
        <v/>
      </c>
      <c r="D1517" s="17" t="str">
        <f aca="false">IF($B1517="","",IFERROR(INDEX(품목마스터!$D$3:$D$302,MATCH($B1517,품목마스터!$A$3:$A$302,0)),""))</f>
        <v/>
      </c>
      <c r="E1517" s="12"/>
      <c r="F1517" s="10"/>
    </row>
    <row r="1518" customFormat="false" ht="15" hidden="false" customHeight="true" outlineLevel="0" collapsed="false">
      <c r="A1518" s="16"/>
      <c r="B1518" s="10"/>
      <c r="C1518" s="17" t="str">
        <f aca="false">IF($B1518="","",IFERROR(INDEX(품목마스터!$B$3:$B$302,MATCH($B1518,품목마스터!$A$3:$A$302,0)),"미등록품번"))</f>
        <v/>
      </c>
      <c r="D1518" s="17" t="str">
        <f aca="false">IF($B1518="","",IFERROR(INDEX(품목마스터!$D$3:$D$302,MATCH($B1518,품목마스터!$A$3:$A$302,0)),""))</f>
        <v/>
      </c>
      <c r="E1518" s="12"/>
      <c r="F1518" s="10"/>
    </row>
    <row r="1519" customFormat="false" ht="15" hidden="false" customHeight="true" outlineLevel="0" collapsed="false">
      <c r="A1519" s="16"/>
      <c r="B1519" s="10"/>
      <c r="C1519" s="17" t="str">
        <f aca="false">IF($B1519="","",IFERROR(INDEX(품목마스터!$B$3:$B$302,MATCH($B1519,품목마스터!$A$3:$A$302,0)),"미등록품번"))</f>
        <v/>
      </c>
      <c r="D1519" s="17" t="str">
        <f aca="false">IF($B1519="","",IFERROR(INDEX(품목마스터!$D$3:$D$302,MATCH($B1519,품목마스터!$A$3:$A$302,0)),""))</f>
        <v/>
      </c>
      <c r="E1519" s="12"/>
      <c r="F1519" s="10"/>
    </row>
    <row r="1520" customFormat="false" ht="15" hidden="false" customHeight="true" outlineLevel="0" collapsed="false">
      <c r="A1520" s="16"/>
      <c r="B1520" s="10"/>
      <c r="C1520" s="17" t="str">
        <f aca="false">IF($B1520="","",IFERROR(INDEX(품목마스터!$B$3:$B$302,MATCH($B1520,품목마스터!$A$3:$A$302,0)),"미등록품번"))</f>
        <v/>
      </c>
      <c r="D1520" s="17" t="str">
        <f aca="false">IF($B1520="","",IFERROR(INDEX(품목마스터!$D$3:$D$302,MATCH($B1520,품목마스터!$A$3:$A$302,0)),""))</f>
        <v/>
      </c>
      <c r="E1520" s="12"/>
      <c r="F1520" s="10"/>
    </row>
    <row r="1521" customFormat="false" ht="15" hidden="false" customHeight="true" outlineLevel="0" collapsed="false">
      <c r="A1521" s="16"/>
      <c r="B1521" s="10"/>
      <c r="C1521" s="17" t="str">
        <f aca="false">IF($B1521="","",IFERROR(INDEX(품목마스터!$B$3:$B$302,MATCH($B1521,품목마스터!$A$3:$A$302,0)),"미등록품번"))</f>
        <v/>
      </c>
      <c r="D1521" s="17" t="str">
        <f aca="false">IF($B1521="","",IFERROR(INDEX(품목마스터!$D$3:$D$302,MATCH($B1521,품목마스터!$A$3:$A$302,0)),""))</f>
        <v/>
      </c>
      <c r="E1521" s="12"/>
      <c r="F1521" s="10"/>
    </row>
    <row r="1522" customFormat="false" ht="15" hidden="false" customHeight="true" outlineLevel="0" collapsed="false">
      <c r="A1522" s="16"/>
      <c r="B1522" s="10"/>
      <c r="C1522" s="17" t="str">
        <f aca="false">IF($B1522="","",IFERROR(INDEX(품목마스터!$B$3:$B$302,MATCH($B1522,품목마스터!$A$3:$A$302,0)),"미등록품번"))</f>
        <v/>
      </c>
      <c r="D1522" s="17" t="str">
        <f aca="false">IF($B1522="","",IFERROR(INDEX(품목마스터!$D$3:$D$302,MATCH($B1522,품목마스터!$A$3:$A$302,0)),""))</f>
        <v/>
      </c>
      <c r="E1522" s="12"/>
      <c r="F1522" s="10"/>
    </row>
    <row r="1523" customFormat="false" ht="15" hidden="false" customHeight="true" outlineLevel="0" collapsed="false">
      <c r="A1523" s="16"/>
      <c r="B1523" s="10"/>
      <c r="C1523" s="17" t="str">
        <f aca="false">IF($B1523="","",IFERROR(INDEX(품목마스터!$B$3:$B$302,MATCH($B1523,품목마스터!$A$3:$A$302,0)),"미등록품번"))</f>
        <v/>
      </c>
      <c r="D1523" s="17" t="str">
        <f aca="false">IF($B1523="","",IFERROR(INDEX(품목마스터!$D$3:$D$302,MATCH($B1523,품목마스터!$A$3:$A$302,0)),""))</f>
        <v/>
      </c>
      <c r="E1523" s="12"/>
      <c r="F1523" s="10"/>
    </row>
    <row r="1524" customFormat="false" ht="15" hidden="false" customHeight="true" outlineLevel="0" collapsed="false">
      <c r="A1524" s="16"/>
      <c r="B1524" s="10"/>
      <c r="C1524" s="17" t="str">
        <f aca="false">IF($B1524="","",IFERROR(INDEX(품목마스터!$B$3:$B$302,MATCH($B1524,품목마스터!$A$3:$A$302,0)),"미등록품번"))</f>
        <v/>
      </c>
      <c r="D1524" s="17" t="str">
        <f aca="false">IF($B1524="","",IFERROR(INDEX(품목마스터!$D$3:$D$302,MATCH($B1524,품목마스터!$A$3:$A$302,0)),""))</f>
        <v/>
      </c>
      <c r="E1524" s="12"/>
      <c r="F1524" s="10"/>
    </row>
    <row r="1525" customFormat="false" ht="15" hidden="false" customHeight="true" outlineLevel="0" collapsed="false">
      <c r="A1525" s="16"/>
      <c r="B1525" s="10"/>
      <c r="C1525" s="17" t="str">
        <f aca="false">IF($B1525="","",IFERROR(INDEX(품목마스터!$B$3:$B$302,MATCH($B1525,품목마스터!$A$3:$A$302,0)),"미등록품번"))</f>
        <v/>
      </c>
      <c r="D1525" s="17" t="str">
        <f aca="false">IF($B1525="","",IFERROR(INDEX(품목마스터!$D$3:$D$302,MATCH($B1525,품목마스터!$A$3:$A$302,0)),""))</f>
        <v/>
      </c>
      <c r="E1525" s="12"/>
      <c r="F1525" s="10"/>
    </row>
    <row r="1526" customFormat="false" ht="15" hidden="false" customHeight="true" outlineLevel="0" collapsed="false">
      <c r="A1526" s="16"/>
      <c r="B1526" s="10"/>
      <c r="C1526" s="17" t="str">
        <f aca="false">IF($B1526="","",IFERROR(INDEX(품목마스터!$B$3:$B$302,MATCH($B1526,품목마스터!$A$3:$A$302,0)),"미등록품번"))</f>
        <v/>
      </c>
      <c r="D1526" s="17" t="str">
        <f aca="false">IF($B1526="","",IFERROR(INDEX(품목마스터!$D$3:$D$302,MATCH($B1526,품목마스터!$A$3:$A$302,0)),""))</f>
        <v/>
      </c>
      <c r="E1526" s="12"/>
      <c r="F1526" s="10"/>
    </row>
    <row r="1527" customFormat="false" ht="15" hidden="false" customHeight="true" outlineLevel="0" collapsed="false">
      <c r="A1527" s="16"/>
      <c r="B1527" s="10"/>
      <c r="C1527" s="17" t="str">
        <f aca="false">IF($B1527="","",IFERROR(INDEX(품목마스터!$B$3:$B$302,MATCH($B1527,품목마스터!$A$3:$A$302,0)),"미등록품번"))</f>
        <v/>
      </c>
      <c r="D1527" s="17" t="str">
        <f aca="false">IF($B1527="","",IFERROR(INDEX(품목마스터!$D$3:$D$302,MATCH($B1527,품목마스터!$A$3:$A$302,0)),""))</f>
        <v/>
      </c>
      <c r="E1527" s="12"/>
      <c r="F1527" s="10"/>
    </row>
    <row r="1528" customFormat="false" ht="15" hidden="false" customHeight="true" outlineLevel="0" collapsed="false">
      <c r="A1528" s="16"/>
      <c r="B1528" s="10"/>
      <c r="C1528" s="17" t="str">
        <f aca="false">IF($B1528="","",IFERROR(INDEX(품목마스터!$B$3:$B$302,MATCH($B1528,품목마스터!$A$3:$A$302,0)),"미등록품번"))</f>
        <v/>
      </c>
      <c r="D1528" s="17" t="str">
        <f aca="false">IF($B1528="","",IFERROR(INDEX(품목마스터!$D$3:$D$302,MATCH($B1528,품목마스터!$A$3:$A$302,0)),""))</f>
        <v/>
      </c>
      <c r="E1528" s="12"/>
      <c r="F1528" s="10"/>
    </row>
    <row r="1529" customFormat="false" ht="15" hidden="false" customHeight="true" outlineLevel="0" collapsed="false">
      <c r="A1529" s="16"/>
      <c r="B1529" s="10"/>
      <c r="C1529" s="17" t="str">
        <f aca="false">IF($B1529="","",IFERROR(INDEX(품목마스터!$B$3:$B$302,MATCH($B1529,품목마스터!$A$3:$A$302,0)),"미등록품번"))</f>
        <v/>
      </c>
      <c r="D1529" s="17" t="str">
        <f aca="false">IF($B1529="","",IFERROR(INDEX(품목마스터!$D$3:$D$302,MATCH($B1529,품목마스터!$A$3:$A$302,0)),""))</f>
        <v/>
      </c>
      <c r="E1529" s="12"/>
      <c r="F1529" s="10"/>
    </row>
    <row r="1530" customFormat="false" ht="15" hidden="false" customHeight="true" outlineLevel="0" collapsed="false">
      <c r="A1530" s="16"/>
      <c r="B1530" s="10"/>
      <c r="C1530" s="17" t="str">
        <f aca="false">IF($B1530="","",IFERROR(INDEX(품목마스터!$B$3:$B$302,MATCH($B1530,품목마스터!$A$3:$A$302,0)),"미등록품번"))</f>
        <v/>
      </c>
      <c r="D1530" s="17" t="str">
        <f aca="false">IF($B1530="","",IFERROR(INDEX(품목마스터!$D$3:$D$302,MATCH($B1530,품목마스터!$A$3:$A$302,0)),""))</f>
        <v/>
      </c>
      <c r="E1530" s="12"/>
      <c r="F1530" s="10"/>
    </row>
    <row r="1531" customFormat="false" ht="15" hidden="false" customHeight="true" outlineLevel="0" collapsed="false">
      <c r="A1531" s="16"/>
      <c r="B1531" s="10"/>
      <c r="C1531" s="17" t="str">
        <f aca="false">IF($B1531="","",IFERROR(INDEX(품목마스터!$B$3:$B$302,MATCH($B1531,품목마스터!$A$3:$A$302,0)),"미등록품번"))</f>
        <v/>
      </c>
      <c r="D1531" s="17" t="str">
        <f aca="false">IF($B1531="","",IFERROR(INDEX(품목마스터!$D$3:$D$302,MATCH($B1531,품목마스터!$A$3:$A$302,0)),""))</f>
        <v/>
      </c>
      <c r="E1531" s="12"/>
      <c r="F1531" s="10"/>
    </row>
    <row r="1532" customFormat="false" ht="15" hidden="false" customHeight="true" outlineLevel="0" collapsed="false">
      <c r="A1532" s="16"/>
      <c r="B1532" s="10"/>
      <c r="C1532" s="17" t="str">
        <f aca="false">IF($B1532="","",IFERROR(INDEX(품목마스터!$B$3:$B$302,MATCH($B1532,품목마스터!$A$3:$A$302,0)),"미등록품번"))</f>
        <v/>
      </c>
      <c r="D1532" s="17" t="str">
        <f aca="false">IF($B1532="","",IFERROR(INDEX(품목마스터!$D$3:$D$302,MATCH($B1532,품목마스터!$A$3:$A$302,0)),""))</f>
        <v/>
      </c>
      <c r="E1532" s="12"/>
      <c r="F1532" s="10"/>
    </row>
    <row r="1533" customFormat="false" ht="15" hidden="false" customHeight="true" outlineLevel="0" collapsed="false">
      <c r="A1533" s="16"/>
      <c r="B1533" s="10"/>
      <c r="C1533" s="17" t="str">
        <f aca="false">IF($B1533="","",IFERROR(INDEX(품목마스터!$B$3:$B$302,MATCH($B1533,품목마스터!$A$3:$A$302,0)),"미등록품번"))</f>
        <v/>
      </c>
      <c r="D1533" s="17" t="str">
        <f aca="false">IF($B1533="","",IFERROR(INDEX(품목마스터!$D$3:$D$302,MATCH($B1533,품목마스터!$A$3:$A$302,0)),""))</f>
        <v/>
      </c>
      <c r="E1533" s="12"/>
      <c r="F1533" s="10"/>
    </row>
    <row r="1534" customFormat="false" ht="15" hidden="false" customHeight="true" outlineLevel="0" collapsed="false">
      <c r="A1534" s="16"/>
      <c r="B1534" s="10"/>
      <c r="C1534" s="17" t="str">
        <f aca="false">IF($B1534="","",IFERROR(INDEX(품목마스터!$B$3:$B$302,MATCH($B1534,품목마스터!$A$3:$A$302,0)),"미등록품번"))</f>
        <v/>
      </c>
      <c r="D1534" s="17" t="str">
        <f aca="false">IF($B1534="","",IFERROR(INDEX(품목마스터!$D$3:$D$302,MATCH($B1534,품목마스터!$A$3:$A$302,0)),""))</f>
        <v/>
      </c>
      <c r="E1534" s="12"/>
      <c r="F1534" s="10"/>
    </row>
    <row r="1535" customFormat="false" ht="15" hidden="false" customHeight="true" outlineLevel="0" collapsed="false">
      <c r="A1535" s="16"/>
      <c r="B1535" s="10"/>
      <c r="C1535" s="17" t="str">
        <f aca="false">IF($B1535="","",IFERROR(INDEX(품목마스터!$B$3:$B$302,MATCH($B1535,품목마스터!$A$3:$A$302,0)),"미등록품번"))</f>
        <v/>
      </c>
      <c r="D1535" s="17" t="str">
        <f aca="false">IF($B1535="","",IFERROR(INDEX(품목마스터!$D$3:$D$302,MATCH($B1535,품목마스터!$A$3:$A$302,0)),""))</f>
        <v/>
      </c>
      <c r="E1535" s="12"/>
      <c r="F1535" s="10"/>
    </row>
    <row r="1536" customFormat="false" ht="15" hidden="false" customHeight="true" outlineLevel="0" collapsed="false">
      <c r="A1536" s="16"/>
      <c r="B1536" s="10"/>
      <c r="C1536" s="17" t="str">
        <f aca="false">IF($B1536="","",IFERROR(INDEX(품목마스터!$B$3:$B$302,MATCH($B1536,품목마스터!$A$3:$A$302,0)),"미등록품번"))</f>
        <v/>
      </c>
      <c r="D1536" s="17" t="str">
        <f aca="false">IF($B1536="","",IFERROR(INDEX(품목마스터!$D$3:$D$302,MATCH($B1536,품목마스터!$A$3:$A$302,0)),""))</f>
        <v/>
      </c>
      <c r="E1536" s="12"/>
      <c r="F1536" s="10"/>
    </row>
    <row r="1537" customFormat="false" ht="15" hidden="false" customHeight="true" outlineLevel="0" collapsed="false">
      <c r="A1537" s="16"/>
      <c r="B1537" s="10"/>
      <c r="C1537" s="17" t="str">
        <f aca="false">IF($B1537="","",IFERROR(INDEX(품목마스터!$B$3:$B$302,MATCH($B1537,품목마스터!$A$3:$A$302,0)),"미등록품번"))</f>
        <v/>
      </c>
      <c r="D1537" s="17" t="str">
        <f aca="false">IF($B1537="","",IFERROR(INDEX(품목마스터!$D$3:$D$302,MATCH($B1537,품목마스터!$A$3:$A$302,0)),""))</f>
        <v/>
      </c>
      <c r="E1537" s="12"/>
      <c r="F1537" s="10"/>
    </row>
    <row r="1538" customFormat="false" ht="15" hidden="false" customHeight="true" outlineLevel="0" collapsed="false">
      <c r="A1538" s="16"/>
      <c r="B1538" s="10"/>
      <c r="C1538" s="17" t="str">
        <f aca="false">IF($B1538="","",IFERROR(INDEX(품목마스터!$B$3:$B$302,MATCH($B1538,품목마스터!$A$3:$A$302,0)),"미등록품번"))</f>
        <v/>
      </c>
      <c r="D1538" s="17" t="str">
        <f aca="false">IF($B1538="","",IFERROR(INDEX(품목마스터!$D$3:$D$302,MATCH($B1538,품목마스터!$A$3:$A$302,0)),""))</f>
        <v/>
      </c>
      <c r="E1538" s="12"/>
      <c r="F1538" s="10"/>
    </row>
    <row r="1539" customFormat="false" ht="15" hidden="false" customHeight="true" outlineLevel="0" collapsed="false">
      <c r="A1539" s="16"/>
      <c r="B1539" s="10"/>
      <c r="C1539" s="17" t="str">
        <f aca="false">IF($B1539="","",IFERROR(INDEX(품목마스터!$B$3:$B$302,MATCH($B1539,품목마스터!$A$3:$A$302,0)),"미등록품번"))</f>
        <v/>
      </c>
      <c r="D1539" s="17" t="str">
        <f aca="false">IF($B1539="","",IFERROR(INDEX(품목마스터!$D$3:$D$302,MATCH($B1539,품목마스터!$A$3:$A$302,0)),""))</f>
        <v/>
      </c>
      <c r="E1539" s="12"/>
      <c r="F1539" s="10"/>
    </row>
    <row r="1540" customFormat="false" ht="15" hidden="false" customHeight="true" outlineLevel="0" collapsed="false">
      <c r="A1540" s="16"/>
      <c r="B1540" s="10"/>
      <c r="C1540" s="17" t="str">
        <f aca="false">IF($B1540="","",IFERROR(INDEX(품목마스터!$B$3:$B$302,MATCH($B1540,품목마스터!$A$3:$A$302,0)),"미등록품번"))</f>
        <v/>
      </c>
      <c r="D1540" s="17" t="str">
        <f aca="false">IF($B1540="","",IFERROR(INDEX(품목마스터!$D$3:$D$302,MATCH($B1540,품목마스터!$A$3:$A$302,0)),""))</f>
        <v/>
      </c>
      <c r="E1540" s="12"/>
      <c r="F1540" s="10"/>
    </row>
    <row r="1541" customFormat="false" ht="15" hidden="false" customHeight="true" outlineLevel="0" collapsed="false">
      <c r="A1541" s="16"/>
      <c r="B1541" s="10"/>
      <c r="C1541" s="17" t="str">
        <f aca="false">IF($B1541="","",IFERROR(INDEX(품목마스터!$B$3:$B$302,MATCH($B1541,품목마스터!$A$3:$A$302,0)),"미등록품번"))</f>
        <v/>
      </c>
      <c r="D1541" s="17" t="str">
        <f aca="false">IF($B1541="","",IFERROR(INDEX(품목마스터!$D$3:$D$302,MATCH($B1541,품목마스터!$A$3:$A$302,0)),""))</f>
        <v/>
      </c>
      <c r="E1541" s="12"/>
      <c r="F1541" s="10"/>
    </row>
    <row r="1542" customFormat="false" ht="15" hidden="false" customHeight="true" outlineLevel="0" collapsed="false">
      <c r="A1542" s="16"/>
      <c r="B1542" s="10"/>
      <c r="C1542" s="17" t="str">
        <f aca="false">IF($B1542="","",IFERROR(INDEX(품목마스터!$B$3:$B$302,MATCH($B1542,품목마스터!$A$3:$A$302,0)),"미등록품번"))</f>
        <v/>
      </c>
      <c r="D1542" s="17" t="str">
        <f aca="false">IF($B1542="","",IFERROR(INDEX(품목마스터!$D$3:$D$302,MATCH($B1542,품목마스터!$A$3:$A$302,0)),""))</f>
        <v/>
      </c>
      <c r="E1542" s="12"/>
      <c r="F1542" s="10"/>
    </row>
    <row r="1543" customFormat="false" ht="15" hidden="false" customHeight="true" outlineLevel="0" collapsed="false">
      <c r="A1543" s="16"/>
      <c r="B1543" s="10"/>
      <c r="C1543" s="17" t="str">
        <f aca="false">IF($B1543="","",IFERROR(INDEX(품목마스터!$B$3:$B$302,MATCH($B1543,품목마스터!$A$3:$A$302,0)),"미등록품번"))</f>
        <v/>
      </c>
      <c r="D1543" s="17" t="str">
        <f aca="false">IF($B1543="","",IFERROR(INDEX(품목마스터!$D$3:$D$302,MATCH($B1543,품목마스터!$A$3:$A$302,0)),""))</f>
        <v/>
      </c>
      <c r="E1543" s="12"/>
      <c r="F1543" s="10"/>
    </row>
    <row r="1544" customFormat="false" ht="15" hidden="false" customHeight="true" outlineLevel="0" collapsed="false">
      <c r="A1544" s="16"/>
      <c r="B1544" s="10"/>
      <c r="C1544" s="17" t="str">
        <f aca="false">IF($B1544="","",IFERROR(INDEX(품목마스터!$B$3:$B$302,MATCH($B1544,품목마스터!$A$3:$A$302,0)),"미등록품번"))</f>
        <v/>
      </c>
      <c r="D1544" s="17" t="str">
        <f aca="false">IF($B1544="","",IFERROR(INDEX(품목마스터!$D$3:$D$302,MATCH($B1544,품목마스터!$A$3:$A$302,0)),""))</f>
        <v/>
      </c>
      <c r="E1544" s="12"/>
      <c r="F1544" s="10"/>
    </row>
    <row r="1545" customFormat="false" ht="15" hidden="false" customHeight="true" outlineLevel="0" collapsed="false">
      <c r="A1545" s="16"/>
      <c r="B1545" s="10"/>
      <c r="C1545" s="17" t="str">
        <f aca="false">IF($B1545="","",IFERROR(INDEX(품목마스터!$B$3:$B$302,MATCH($B1545,품목마스터!$A$3:$A$302,0)),"미등록품번"))</f>
        <v/>
      </c>
      <c r="D1545" s="17" t="str">
        <f aca="false">IF($B1545="","",IFERROR(INDEX(품목마스터!$D$3:$D$302,MATCH($B1545,품목마스터!$A$3:$A$302,0)),""))</f>
        <v/>
      </c>
      <c r="E1545" s="12"/>
      <c r="F1545" s="10"/>
    </row>
    <row r="1546" customFormat="false" ht="15" hidden="false" customHeight="true" outlineLevel="0" collapsed="false">
      <c r="A1546" s="16"/>
      <c r="B1546" s="10"/>
      <c r="C1546" s="17" t="str">
        <f aca="false">IF($B1546="","",IFERROR(INDEX(품목마스터!$B$3:$B$302,MATCH($B1546,품목마스터!$A$3:$A$302,0)),"미등록품번"))</f>
        <v/>
      </c>
      <c r="D1546" s="17" t="str">
        <f aca="false">IF($B1546="","",IFERROR(INDEX(품목마스터!$D$3:$D$302,MATCH($B1546,품목마스터!$A$3:$A$302,0)),""))</f>
        <v/>
      </c>
      <c r="E1546" s="12"/>
      <c r="F1546" s="10"/>
    </row>
    <row r="1547" customFormat="false" ht="15" hidden="false" customHeight="true" outlineLevel="0" collapsed="false">
      <c r="A1547" s="16"/>
      <c r="B1547" s="10"/>
      <c r="C1547" s="17" t="str">
        <f aca="false">IF($B1547="","",IFERROR(INDEX(품목마스터!$B$3:$B$302,MATCH($B1547,품목마스터!$A$3:$A$302,0)),"미등록품번"))</f>
        <v/>
      </c>
      <c r="D1547" s="17" t="str">
        <f aca="false">IF($B1547="","",IFERROR(INDEX(품목마스터!$D$3:$D$302,MATCH($B1547,품목마스터!$A$3:$A$302,0)),""))</f>
        <v/>
      </c>
      <c r="E1547" s="12"/>
      <c r="F1547" s="10"/>
    </row>
    <row r="1548" customFormat="false" ht="15" hidden="false" customHeight="true" outlineLevel="0" collapsed="false">
      <c r="A1548" s="16"/>
      <c r="B1548" s="10"/>
      <c r="C1548" s="17" t="str">
        <f aca="false">IF($B1548="","",IFERROR(INDEX(품목마스터!$B$3:$B$302,MATCH($B1548,품목마스터!$A$3:$A$302,0)),"미등록품번"))</f>
        <v/>
      </c>
      <c r="D1548" s="17" t="str">
        <f aca="false">IF($B1548="","",IFERROR(INDEX(품목마스터!$D$3:$D$302,MATCH($B1548,품목마스터!$A$3:$A$302,0)),""))</f>
        <v/>
      </c>
      <c r="E1548" s="12"/>
      <c r="F1548" s="10"/>
    </row>
    <row r="1549" customFormat="false" ht="15" hidden="false" customHeight="true" outlineLevel="0" collapsed="false">
      <c r="A1549" s="16"/>
      <c r="B1549" s="10"/>
      <c r="C1549" s="17" t="str">
        <f aca="false">IF($B1549="","",IFERROR(INDEX(품목마스터!$B$3:$B$302,MATCH($B1549,품목마스터!$A$3:$A$302,0)),"미등록품번"))</f>
        <v/>
      </c>
      <c r="D1549" s="17" t="str">
        <f aca="false">IF($B1549="","",IFERROR(INDEX(품목마스터!$D$3:$D$302,MATCH($B1549,품목마스터!$A$3:$A$302,0)),""))</f>
        <v/>
      </c>
      <c r="E1549" s="12"/>
      <c r="F1549" s="10"/>
    </row>
    <row r="1550" customFormat="false" ht="15" hidden="false" customHeight="true" outlineLevel="0" collapsed="false">
      <c r="A1550" s="16"/>
      <c r="B1550" s="10"/>
      <c r="C1550" s="17" t="str">
        <f aca="false">IF($B1550="","",IFERROR(INDEX(품목마스터!$B$3:$B$302,MATCH($B1550,품목마스터!$A$3:$A$302,0)),"미등록품번"))</f>
        <v/>
      </c>
      <c r="D1550" s="17" t="str">
        <f aca="false">IF($B1550="","",IFERROR(INDEX(품목마스터!$D$3:$D$302,MATCH($B1550,품목마스터!$A$3:$A$302,0)),""))</f>
        <v/>
      </c>
      <c r="E1550" s="12"/>
      <c r="F1550" s="10"/>
    </row>
    <row r="1551" customFormat="false" ht="15" hidden="false" customHeight="true" outlineLevel="0" collapsed="false">
      <c r="A1551" s="16"/>
      <c r="B1551" s="10"/>
      <c r="C1551" s="17" t="str">
        <f aca="false">IF($B1551="","",IFERROR(INDEX(품목마스터!$B$3:$B$302,MATCH($B1551,품목마스터!$A$3:$A$302,0)),"미등록품번"))</f>
        <v/>
      </c>
      <c r="D1551" s="17" t="str">
        <f aca="false">IF($B1551="","",IFERROR(INDEX(품목마스터!$D$3:$D$302,MATCH($B1551,품목마스터!$A$3:$A$302,0)),""))</f>
        <v/>
      </c>
      <c r="E1551" s="12"/>
      <c r="F1551" s="10"/>
    </row>
    <row r="1552" customFormat="false" ht="15" hidden="false" customHeight="true" outlineLevel="0" collapsed="false">
      <c r="A1552" s="16"/>
      <c r="B1552" s="10"/>
      <c r="C1552" s="17" t="str">
        <f aca="false">IF($B1552="","",IFERROR(INDEX(품목마스터!$B$3:$B$302,MATCH($B1552,품목마스터!$A$3:$A$302,0)),"미등록품번"))</f>
        <v/>
      </c>
      <c r="D1552" s="17" t="str">
        <f aca="false">IF($B1552="","",IFERROR(INDEX(품목마스터!$D$3:$D$302,MATCH($B1552,품목마스터!$A$3:$A$302,0)),""))</f>
        <v/>
      </c>
      <c r="E1552" s="12"/>
      <c r="F1552" s="10"/>
    </row>
    <row r="1553" customFormat="false" ht="15" hidden="false" customHeight="true" outlineLevel="0" collapsed="false">
      <c r="A1553" s="16"/>
      <c r="B1553" s="10"/>
      <c r="C1553" s="17" t="str">
        <f aca="false">IF($B1553="","",IFERROR(INDEX(품목마스터!$B$3:$B$302,MATCH($B1553,품목마스터!$A$3:$A$302,0)),"미등록품번"))</f>
        <v/>
      </c>
      <c r="D1553" s="17" t="str">
        <f aca="false">IF($B1553="","",IFERROR(INDEX(품목마스터!$D$3:$D$302,MATCH($B1553,품목마스터!$A$3:$A$302,0)),""))</f>
        <v/>
      </c>
      <c r="E1553" s="12"/>
      <c r="F1553" s="10"/>
    </row>
    <row r="1554" customFormat="false" ht="15" hidden="false" customHeight="true" outlineLevel="0" collapsed="false">
      <c r="A1554" s="16"/>
      <c r="B1554" s="10"/>
      <c r="C1554" s="17" t="str">
        <f aca="false">IF($B1554="","",IFERROR(INDEX(품목마스터!$B$3:$B$302,MATCH($B1554,품목마스터!$A$3:$A$302,0)),"미등록품번"))</f>
        <v/>
      </c>
      <c r="D1554" s="17" t="str">
        <f aca="false">IF($B1554="","",IFERROR(INDEX(품목마스터!$D$3:$D$302,MATCH($B1554,품목마스터!$A$3:$A$302,0)),""))</f>
        <v/>
      </c>
      <c r="E1554" s="12"/>
      <c r="F1554" s="10"/>
    </row>
    <row r="1555" customFormat="false" ht="15" hidden="false" customHeight="true" outlineLevel="0" collapsed="false">
      <c r="A1555" s="16"/>
      <c r="B1555" s="10"/>
      <c r="C1555" s="17" t="str">
        <f aca="false">IF($B1555="","",IFERROR(INDEX(품목마스터!$B$3:$B$302,MATCH($B1555,품목마스터!$A$3:$A$302,0)),"미등록품번"))</f>
        <v/>
      </c>
      <c r="D1555" s="17" t="str">
        <f aca="false">IF($B1555="","",IFERROR(INDEX(품목마스터!$D$3:$D$302,MATCH($B1555,품목마스터!$A$3:$A$302,0)),""))</f>
        <v/>
      </c>
      <c r="E1555" s="12"/>
      <c r="F1555" s="10"/>
    </row>
    <row r="1556" customFormat="false" ht="15" hidden="false" customHeight="true" outlineLevel="0" collapsed="false">
      <c r="A1556" s="16"/>
      <c r="B1556" s="10"/>
      <c r="C1556" s="17" t="str">
        <f aca="false">IF($B1556="","",IFERROR(INDEX(품목마스터!$B$3:$B$302,MATCH($B1556,품목마스터!$A$3:$A$302,0)),"미등록품번"))</f>
        <v/>
      </c>
      <c r="D1556" s="17" t="str">
        <f aca="false">IF($B1556="","",IFERROR(INDEX(품목마스터!$D$3:$D$302,MATCH($B1556,품목마스터!$A$3:$A$302,0)),""))</f>
        <v/>
      </c>
      <c r="E1556" s="12"/>
      <c r="F1556" s="10"/>
    </row>
    <row r="1557" customFormat="false" ht="15" hidden="false" customHeight="true" outlineLevel="0" collapsed="false">
      <c r="A1557" s="16"/>
      <c r="B1557" s="10"/>
      <c r="C1557" s="17" t="str">
        <f aca="false">IF($B1557="","",IFERROR(INDEX(품목마스터!$B$3:$B$302,MATCH($B1557,품목마스터!$A$3:$A$302,0)),"미등록품번"))</f>
        <v/>
      </c>
      <c r="D1557" s="17" t="str">
        <f aca="false">IF($B1557="","",IFERROR(INDEX(품목마스터!$D$3:$D$302,MATCH($B1557,품목마스터!$A$3:$A$302,0)),""))</f>
        <v/>
      </c>
      <c r="E1557" s="12"/>
      <c r="F1557" s="10"/>
    </row>
    <row r="1558" customFormat="false" ht="15" hidden="false" customHeight="true" outlineLevel="0" collapsed="false">
      <c r="A1558" s="16"/>
      <c r="B1558" s="10"/>
      <c r="C1558" s="17" t="str">
        <f aca="false">IF($B1558="","",IFERROR(INDEX(품목마스터!$B$3:$B$302,MATCH($B1558,품목마스터!$A$3:$A$302,0)),"미등록품번"))</f>
        <v/>
      </c>
      <c r="D1558" s="17" t="str">
        <f aca="false">IF($B1558="","",IFERROR(INDEX(품목마스터!$D$3:$D$302,MATCH($B1558,품목마스터!$A$3:$A$302,0)),""))</f>
        <v/>
      </c>
      <c r="E1558" s="12"/>
      <c r="F1558" s="10"/>
    </row>
    <row r="1559" customFormat="false" ht="15" hidden="false" customHeight="true" outlineLevel="0" collapsed="false">
      <c r="A1559" s="16"/>
      <c r="B1559" s="10"/>
      <c r="C1559" s="17" t="str">
        <f aca="false">IF($B1559="","",IFERROR(INDEX(품목마스터!$B$3:$B$302,MATCH($B1559,품목마스터!$A$3:$A$302,0)),"미등록품번"))</f>
        <v/>
      </c>
      <c r="D1559" s="17" t="str">
        <f aca="false">IF($B1559="","",IFERROR(INDEX(품목마스터!$D$3:$D$302,MATCH($B1559,품목마스터!$A$3:$A$302,0)),""))</f>
        <v/>
      </c>
      <c r="E1559" s="12"/>
      <c r="F1559" s="10"/>
    </row>
    <row r="1560" customFormat="false" ht="15" hidden="false" customHeight="true" outlineLevel="0" collapsed="false">
      <c r="A1560" s="16"/>
      <c r="B1560" s="10"/>
      <c r="C1560" s="17" t="str">
        <f aca="false">IF($B1560="","",IFERROR(INDEX(품목마스터!$B$3:$B$302,MATCH($B1560,품목마스터!$A$3:$A$302,0)),"미등록품번"))</f>
        <v/>
      </c>
      <c r="D1560" s="17" t="str">
        <f aca="false">IF($B1560="","",IFERROR(INDEX(품목마스터!$D$3:$D$302,MATCH($B1560,품목마스터!$A$3:$A$302,0)),""))</f>
        <v/>
      </c>
      <c r="E1560" s="12"/>
      <c r="F1560" s="10"/>
    </row>
    <row r="1561" customFormat="false" ht="15" hidden="false" customHeight="true" outlineLevel="0" collapsed="false">
      <c r="A1561" s="16"/>
      <c r="B1561" s="10"/>
      <c r="C1561" s="17" t="str">
        <f aca="false">IF($B1561="","",IFERROR(INDEX(품목마스터!$B$3:$B$302,MATCH($B1561,품목마스터!$A$3:$A$302,0)),"미등록품번"))</f>
        <v/>
      </c>
      <c r="D1561" s="17" t="str">
        <f aca="false">IF($B1561="","",IFERROR(INDEX(품목마스터!$D$3:$D$302,MATCH($B1561,품목마스터!$A$3:$A$302,0)),""))</f>
        <v/>
      </c>
      <c r="E1561" s="12"/>
      <c r="F1561" s="10"/>
    </row>
    <row r="1562" customFormat="false" ht="15" hidden="false" customHeight="true" outlineLevel="0" collapsed="false">
      <c r="A1562" s="16"/>
      <c r="B1562" s="10"/>
      <c r="C1562" s="17" t="str">
        <f aca="false">IF($B1562="","",IFERROR(INDEX(품목마스터!$B$3:$B$302,MATCH($B1562,품목마스터!$A$3:$A$302,0)),"미등록품번"))</f>
        <v/>
      </c>
      <c r="D1562" s="17" t="str">
        <f aca="false">IF($B1562="","",IFERROR(INDEX(품목마스터!$D$3:$D$302,MATCH($B1562,품목마스터!$A$3:$A$302,0)),""))</f>
        <v/>
      </c>
      <c r="E1562" s="12"/>
      <c r="F1562" s="10"/>
    </row>
    <row r="1563" customFormat="false" ht="15" hidden="false" customHeight="true" outlineLevel="0" collapsed="false">
      <c r="A1563" s="16"/>
      <c r="B1563" s="10"/>
      <c r="C1563" s="17" t="str">
        <f aca="false">IF($B1563="","",IFERROR(INDEX(품목마스터!$B$3:$B$302,MATCH($B1563,품목마스터!$A$3:$A$302,0)),"미등록품번"))</f>
        <v/>
      </c>
      <c r="D1563" s="17" t="str">
        <f aca="false">IF($B1563="","",IFERROR(INDEX(품목마스터!$D$3:$D$302,MATCH($B1563,품목마스터!$A$3:$A$302,0)),""))</f>
        <v/>
      </c>
      <c r="E1563" s="12"/>
      <c r="F1563" s="10"/>
    </row>
    <row r="1564" customFormat="false" ht="15" hidden="false" customHeight="true" outlineLevel="0" collapsed="false">
      <c r="A1564" s="16"/>
      <c r="B1564" s="10"/>
      <c r="C1564" s="17" t="str">
        <f aca="false">IF($B1564="","",IFERROR(INDEX(품목마스터!$B$3:$B$302,MATCH($B1564,품목마스터!$A$3:$A$302,0)),"미등록품번"))</f>
        <v/>
      </c>
      <c r="D1564" s="17" t="str">
        <f aca="false">IF($B1564="","",IFERROR(INDEX(품목마스터!$D$3:$D$302,MATCH($B1564,품목마스터!$A$3:$A$302,0)),""))</f>
        <v/>
      </c>
      <c r="E1564" s="12"/>
      <c r="F1564" s="10"/>
    </row>
    <row r="1565" customFormat="false" ht="15" hidden="false" customHeight="true" outlineLevel="0" collapsed="false">
      <c r="A1565" s="16"/>
      <c r="B1565" s="10"/>
      <c r="C1565" s="17" t="str">
        <f aca="false">IF($B1565="","",IFERROR(INDEX(품목마스터!$B$3:$B$302,MATCH($B1565,품목마스터!$A$3:$A$302,0)),"미등록품번"))</f>
        <v/>
      </c>
      <c r="D1565" s="17" t="str">
        <f aca="false">IF($B1565="","",IFERROR(INDEX(품목마스터!$D$3:$D$302,MATCH($B1565,품목마스터!$A$3:$A$302,0)),""))</f>
        <v/>
      </c>
      <c r="E1565" s="12"/>
      <c r="F1565" s="10"/>
    </row>
    <row r="1566" customFormat="false" ht="15" hidden="false" customHeight="true" outlineLevel="0" collapsed="false">
      <c r="A1566" s="16"/>
      <c r="B1566" s="10"/>
      <c r="C1566" s="17" t="str">
        <f aca="false">IF($B1566="","",IFERROR(INDEX(품목마스터!$B$3:$B$302,MATCH($B1566,품목마스터!$A$3:$A$302,0)),"미등록품번"))</f>
        <v/>
      </c>
      <c r="D1566" s="17" t="str">
        <f aca="false">IF($B1566="","",IFERROR(INDEX(품목마스터!$D$3:$D$302,MATCH($B1566,품목마스터!$A$3:$A$302,0)),""))</f>
        <v/>
      </c>
      <c r="E1566" s="12"/>
      <c r="F1566" s="10"/>
    </row>
    <row r="1567" customFormat="false" ht="15" hidden="false" customHeight="true" outlineLevel="0" collapsed="false">
      <c r="A1567" s="16"/>
      <c r="B1567" s="10"/>
      <c r="C1567" s="17" t="str">
        <f aca="false">IF($B1567="","",IFERROR(INDEX(품목마스터!$B$3:$B$302,MATCH($B1567,품목마스터!$A$3:$A$302,0)),"미등록품번"))</f>
        <v/>
      </c>
      <c r="D1567" s="17" t="str">
        <f aca="false">IF($B1567="","",IFERROR(INDEX(품목마스터!$D$3:$D$302,MATCH($B1567,품목마스터!$A$3:$A$302,0)),""))</f>
        <v/>
      </c>
      <c r="E1567" s="12"/>
      <c r="F1567" s="10"/>
    </row>
    <row r="1568" customFormat="false" ht="15" hidden="false" customHeight="true" outlineLevel="0" collapsed="false">
      <c r="A1568" s="16"/>
      <c r="B1568" s="10"/>
      <c r="C1568" s="17" t="str">
        <f aca="false">IF($B1568="","",IFERROR(INDEX(품목마스터!$B$3:$B$302,MATCH($B1568,품목마스터!$A$3:$A$302,0)),"미등록품번"))</f>
        <v/>
      </c>
      <c r="D1568" s="17" t="str">
        <f aca="false">IF($B1568="","",IFERROR(INDEX(품목마스터!$D$3:$D$302,MATCH($B1568,품목마스터!$A$3:$A$302,0)),""))</f>
        <v/>
      </c>
      <c r="E1568" s="12"/>
      <c r="F1568" s="10"/>
    </row>
    <row r="1569" customFormat="false" ht="15" hidden="false" customHeight="true" outlineLevel="0" collapsed="false">
      <c r="A1569" s="16"/>
      <c r="B1569" s="10"/>
      <c r="C1569" s="17" t="str">
        <f aca="false">IF($B1569="","",IFERROR(INDEX(품목마스터!$B$3:$B$302,MATCH($B1569,품목마스터!$A$3:$A$302,0)),"미등록품번"))</f>
        <v/>
      </c>
      <c r="D1569" s="17" t="str">
        <f aca="false">IF($B1569="","",IFERROR(INDEX(품목마스터!$D$3:$D$302,MATCH($B1569,품목마스터!$A$3:$A$302,0)),""))</f>
        <v/>
      </c>
      <c r="E1569" s="12"/>
      <c r="F1569" s="10"/>
    </row>
    <row r="1570" customFormat="false" ht="15" hidden="false" customHeight="true" outlineLevel="0" collapsed="false">
      <c r="A1570" s="16"/>
      <c r="B1570" s="10"/>
      <c r="C1570" s="17" t="str">
        <f aca="false">IF($B1570="","",IFERROR(INDEX(품목마스터!$B$3:$B$302,MATCH($B1570,품목마스터!$A$3:$A$302,0)),"미등록품번"))</f>
        <v/>
      </c>
      <c r="D1570" s="17" t="str">
        <f aca="false">IF($B1570="","",IFERROR(INDEX(품목마스터!$D$3:$D$302,MATCH($B1570,품목마스터!$A$3:$A$302,0)),""))</f>
        <v/>
      </c>
      <c r="E1570" s="12"/>
      <c r="F1570" s="10"/>
    </row>
    <row r="1571" customFormat="false" ht="15" hidden="false" customHeight="true" outlineLevel="0" collapsed="false">
      <c r="A1571" s="16"/>
      <c r="B1571" s="10"/>
      <c r="C1571" s="17" t="str">
        <f aca="false">IF($B1571="","",IFERROR(INDEX(품목마스터!$B$3:$B$302,MATCH($B1571,품목마스터!$A$3:$A$302,0)),"미등록품번"))</f>
        <v/>
      </c>
      <c r="D1571" s="17" t="str">
        <f aca="false">IF($B1571="","",IFERROR(INDEX(품목마스터!$D$3:$D$302,MATCH($B1571,품목마스터!$A$3:$A$302,0)),""))</f>
        <v/>
      </c>
      <c r="E1571" s="12"/>
      <c r="F1571" s="10"/>
    </row>
    <row r="1572" customFormat="false" ht="15" hidden="false" customHeight="true" outlineLevel="0" collapsed="false">
      <c r="A1572" s="16"/>
      <c r="B1572" s="10"/>
      <c r="C1572" s="17" t="str">
        <f aca="false">IF($B1572="","",IFERROR(INDEX(품목마스터!$B$3:$B$302,MATCH($B1572,품목마스터!$A$3:$A$302,0)),"미등록품번"))</f>
        <v/>
      </c>
      <c r="D1572" s="17" t="str">
        <f aca="false">IF($B1572="","",IFERROR(INDEX(품목마스터!$D$3:$D$302,MATCH($B1572,품목마스터!$A$3:$A$302,0)),""))</f>
        <v/>
      </c>
      <c r="E1572" s="12"/>
      <c r="F1572" s="10"/>
    </row>
    <row r="1573" customFormat="false" ht="15" hidden="false" customHeight="true" outlineLevel="0" collapsed="false">
      <c r="A1573" s="16"/>
      <c r="B1573" s="10"/>
      <c r="C1573" s="17" t="str">
        <f aca="false">IF($B1573="","",IFERROR(INDEX(품목마스터!$B$3:$B$302,MATCH($B1573,품목마스터!$A$3:$A$302,0)),"미등록품번"))</f>
        <v/>
      </c>
      <c r="D1573" s="17" t="str">
        <f aca="false">IF($B1573="","",IFERROR(INDEX(품목마스터!$D$3:$D$302,MATCH($B1573,품목마스터!$A$3:$A$302,0)),""))</f>
        <v/>
      </c>
      <c r="E1573" s="12"/>
      <c r="F1573" s="10"/>
    </row>
    <row r="1574" customFormat="false" ht="15" hidden="false" customHeight="true" outlineLevel="0" collapsed="false">
      <c r="A1574" s="16"/>
      <c r="B1574" s="10"/>
      <c r="C1574" s="17" t="str">
        <f aca="false">IF($B1574="","",IFERROR(INDEX(품목마스터!$B$3:$B$302,MATCH($B1574,품목마스터!$A$3:$A$302,0)),"미등록품번"))</f>
        <v/>
      </c>
      <c r="D1574" s="17" t="str">
        <f aca="false">IF($B1574="","",IFERROR(INDEX(품목마스터!$D$3:$D$302,MATCH($B1574,품목마스터!$A$3:$A$302,0)),""))</f>
        <v/>
      </c>
      <c r="E1574" s="12"/>
      <c r="F1574" s="10"/>
    </row>
    <row r="1575" customFormat="false" ht="15" hidden="false" customHeight="true" outlineLevel="0" collapsed="false">
      <c r="A1575" s="16"/>
      <c r="B1575" s="10"/>
      <c r="C1575" s="17" t="str">
        <f aca="false">IF($B1575="","",IFERROR(INDEX(품목마스터!$B$3:$B$302,MATCH($B1575,품목마스터!$A$3:$A$302,0)),"미등록품번"))</f>
        <v/>
      </c>
      <c r="D1575" s="17" t="str">
        <f aca="false">IF($B1575="","",IFERROR(INDEX(품목마스터!$D$3:$D$302,MATCH($B1575,품목마스터!$A$3:$A$302,0)),""))</f>
        <v/>
      </c>
      <c r="E1575" s="12"/>
      <c r="F1575" s="10"/>
    </row>
    <row r="1576" customFormat="false" ht="15" hidden="false" customHeight="true" outlineLevel="0" collapsed="false">
      <c r="A1576" s="16"/>
      <c r="B1576" s="10"/>
      <c r="C1576" s="17" t="str">
        <f aca="false">IF($B1576="","",IFERROR(INDEX(품목마스터!$B$3:$B$302,MATCH($B1576,품목마스터!$A$3:$A$302,0)),"미등록품번"))</f>
        <v/>
      </c>
      <c r="D1576" s="17" t="str">
        <f aca="false">IF($B1576="","",IFERROR(INDEX(품목마스터!$D$3:$D$302,MATCH($B1576,품목마스터!$A$3:$A$302,0)),""))</f>
        <v/>
      </c>
      <c r="E1576" s="12"/>
      <c r="F1576" s="10"/>
    </row>
    <row r="1577" customFormat="false" ht="15" hidden="false" customHeight="true" outlineLevel="0" collapsed="false">
      <c r="A1577" s="16"/>
      <c r="B1577" s="10"/>
      <c r="C1577" s="17" t="str">
        <f aca="false">IF($B1577="","",IFERROR(INDEX(품목마스터!$B$3:$B$302,MATCH($B1577,품목마스터!$A$3:$A$302,0)),"미등록품번"))</f>
        <v/>
      </c>
      <c r="D1577" s="17" t="str">
        <f aca="false">IF($B1577="","",IFERROR(INDEX(품목마스터!$D$3:$D$302,MATCH($B1577,품목마스터!$A$3:$A$302,0)),""))</f>
        <v/>
      </c>
      <c r="E1577" s="12"/>
      <c r="F1577" s="10"/>
    </row>
    <row r="1578" customFormat="false" ht="15" hidden="false" customHeight="true" outlineLevel="0" collapsed="false">
      <c r="A1578" s="16"/>
      <c r="B1578" s="10"/>
      <c r="C1578" s="17" t="str">
        <f aca="false">IF($B1578="","",IFERROR(INDEX(품목마스터!$B$3:$B$302,MATCH($B1578,품목마스터!$A$3:$A$302,0)),"미등록품번"))</f>
        <v/>
      </c>
      <c r="D1578" s="17" t="str">
        <f aca="false">IF($B1578="","",IFERROR(INDEX(품목마스터!$D$3:$D$302,MATCH($B1578,품목마스터!$A$3:$A$302,0)),""))</f>
        <v/>
      </c>
      <c r="E1578" s="12"/>
      <c r="F1578" s="10"/>
    </row>
    <row r="1579" customFormat="false" ht="15" hidden="false" customHeight="true" outlineLevel="0" collapsed="false">
      <c r="A1579" s="16"/>
      <c r="B1579" s="10"/>
      <c r="C1579" s="17" t="str">
        <f aca="false">IF($B1579="","",IFERROR(INDEX(품목마스터!$B$3:$B$302,MATCH($B1579,품목마스터!$A$3:$A$302,0)),"미등록품번"))</f>
        <v/>
      </c>
      <c r="D1579" s="17" t="str">
        <f aca="false">IF($B1579="","",IFERROR(INDEX(품목마스터!$D$3:$D$302,MATCH($B1579,품목마스터!$A$3:$A$302,0)),""))</f>
        <v/>
      </c>
      <c r="E1579" s="12"/>
      <c r="F1579" s="10"/>
    </row>
    <row r="1580" customFormat="false" ht="15" hidden="false" customHeight="true" outlineLevel="0" collapsed="false">
      <c r="A1580" s="16"/>
      <c r="B1580" s="10"/>
      <c r="C1580" s="17" t="str">
        <f aca="false">IF($B1580="","",IFERROR(INDEX(품목마스터!$B$3:$B$302,MATCH($B1580,품목마스터!$A$3:$A$302,0)),"미등록품번"))</f>
        <v/>
      </c>
      <c r="D1580" s="17" t="str">
        <f aca="false">IF($B1580="","",IFERROR(INDEX(품목마스터!$D$3:$D$302,MATCH($B1580,품목마스터!$A$3:$A$302,0)),""))</f>
        <v/>
      </c>
      <c r="E1580" s="12"/>
      <c r="F1580" s="10"/>
    </row>
    <row r="1581" customFormat="false" ht="15" hidden="false" customHeight="true" outlineLevel="0" collapsed="false">
      <c r="A1581" s="16"/>
      <c r="B1581" s="10"/>
      <c r="C1581" s="17" t="str">
        <f aca="false">IF($B1581="","",IFERROR(INDEX(품목마스터!$B$3:$B$302,MATCH($B1581,품목마스터!$A$3:$A$302,0)),"미등록품번"))</f>
        <v/>
      </c>
      <c r="D1581" s="17" t="str">
        <f aca="false">IF($B1581="","",IFERROR(INDEX(품목마스터!$D$3:$D$302,MATCH($B1581,품목마스터!$A$3:$A$302,0)),""))</f>
        <v/>
      </c>
      <c r="E1581" s="12"/>
      <c r="F1581" s="10"/>
    </row>
    <row r="1582" customFormat="false" ht="15" hidden="false" customHeight="true" outlineLevel="0" collapsed="false">
      <c r="A1582" s="16"/>
      <c r="B1582" s="10"/>
      <c r="C1582" s="17" t="str">
        <f aca="false">IF($B1582="","",IFERROR(INDEX(품목마스터!$B$3:$B$302,MATCH($B1582,품목마스터!$A$3:$A$302,0)),"미등록품번"))</f>
        <v/>
      </c>
      <c r="D1582" s="17" t="str">
        <f aca="false">IF($B1582="","",IFERROR(INDEX(품목마스터!$D$3:$D$302,MATCH($B1582,품목마스터!$A$3:$A$302,0)),""))</f>
        <v/>
      </c>
      <c r="E1582" s="12"/>
      <c r="F1582" s="10"/>
    </row>
    <row r="1583" customFormat="false" ht="15" hidden="false" customHeight="true" outlineLevel="0" collapsed="false">
      <c r="A1583" s="16"/>
      <c r="B1583" s="10"/>
      <c r="C1583" s="17" t="str">
        <f aca="false">IF($B1583="","",IFERROR(INDEX(품목마스터!$B$3:$B$302,MATCH($B1583,품목마스터!$A$3:$A$302,0)),"미등록품번"))</f>
        <v/>
      </c>
      <c r="D1583" s="17" t="str">
        <f aca="false">IF($B1583="","",IFERROR(INDEX(품목마스터!$D$3:$D$302,MATCH($B1583,품목마스터!$A$3:$A$302,0)),""))</f>
        <v/>
      </c>
      <c r="E1583" s="12"/>
      <c r="F1583" s="10"/>
    </row>
    <row r="1584" customFormat="false" ht="15" hidden="false" customHeight="true" outlineLevel="0" collapsed="false">
      <c r="A1584" s="16"/>
      <c r="B1584" s="10"/>
      <c r="C1584" s="17" t="str">
        <f aca="false">IF($B1584="","",IFERROR(INDEX(품목마스터!$B$3:$B$302,MATCH($B1584,품목마스터!$A$3:$A$302,0)),"미등록품번"))</f>
        <v/>
      </c>
      <c r="D1584" s="17" t="str">
        <f aca="false">IF($B1584="","",IFERROR(INDEX(품목마스터!$D$3:$D$302,MATCH($B1584,품목마스터!$A$3:$A$302,0)),""))</f>
        <v/>
      </c>
      <c r="E1584" s="12"/>
      <c r="F1584" s="10"/>
    </row>
    <row r="1585" customFormat="false" ht="15" hidden="false" customHeight="true" outlineLevel="0" collapsed="false">
      <c r="A1585" s="16"/>
      <c r="B1585" s="10"/>
      <c r="C1585" s="17" t="str">
        <f aca="false">IF($B1585="","",IFERROR(INDEX(품목마스터!$B$3:$B$302,MATCH($B1585,품목마스터!$A$3:$A$302,0)),"미등록품번"))</f>
        <v/>
      </c>
      <c r="D1585" s="17" t="str">
        <f aca="false">IF($B1585="","",IFERROR(INDEX(품목마스터!$D$3:$D$302,MATCH($B1585,품목마스터!$A$3:$A$302,0)),""))</f>
        <v/>
      </c>
      <c r="E1585" s="12"/>
      <c r="F1585" s="10"/>
    </row>
    <row r="1586" customFormat="false" ht="15" hidden="false" customHeight="true" outlineLevel="0" collapsed="false">
      <c r="A1586" s="16"/>
      <c r="B1586" s="10"/>
      <c r="C1586" s="17" t="str">
        <f aca="false">IF($B1586="","",IFERROR(INDEX(품목마스터!$B$3:$B$302,MATCH($B1586,품목마스터!$A$3:$A$302,0)),"미등록품번"))</f>
        <v/>
      </c>
      <c r="D1586" s="17" t="str">
        <f aca="false">IF($B1586="","",IFERROR(INDEX(품목마스터!$D$3:$D$302,MATCH($B1586,품목마스터!$A$3:$A$302,0)),""))</f>
        <v/>
      </c>
      <c r="E1586" s="12"/>
      <c r="F1586" s="10"/>
    </row>
    <row r="1587" customFormat="false" ht="15" hidden="false" customHeight="true" outlineLevel="0" collapsed="false">
      <c r="A1587" s="16"/>
      <c r="B1587" s="10"/>
      <c r="C1587" s="17" t="str">
        <f aca="false">IF($B1587="","",IFERROR(INDEX(품목마스터!$B$3:$B$302,MATCH($B1587,품목마스터!$A$3:$A$302,0)),"미등록품번"))</f>
        <v/>
      </c>
      <c r="D1587" s="17" t="str">
        <f aca="false">IF($B1587="","",IFERROR(INDEX(품목마스터!$D$3:$D$302,MATCH($B1587,품목마스터!$A$3:$A$302,0)),""))</f>
        <v/>
      </c>
      <c r="E1587" s="12"/>
      <c r="F1587" s="10"/>
    </row>
    <row r="1588" customFormat="false" ht="15" hidden="false" customHeight="true" outlineLevel="0" collapsed="false">
      <c r="A1588" s="16"/>
      <c r="B1588" s="10"/>
      <c r="C1588" s="17" t="str">
        <f aca="false">IF($B1588="","",IFERROR(INDEX(품목마스터!$B$3:$B$302,MATCH($B1588,품목마스터!$A$3:$A$302,0)),"미등록품번"))</f>
        <v/>
      </c>
      <c r="D1588" s="17" t="str">
        <f aca="false">IF($B1588="","",IFERROR(INDEX(품목마스터!$D$3:$D$302,MATCH($B1588,품목마스터!$A$3:$A$302,0)),""))</f>
        <v/>
      </c>
      <c r="E1588" s="12"/>
      <c r="F1588" s="10"/>
    </row>
    <row r="1589" customFormat="false" ht="15" hidden="false" customHeight="true" outlineLevel="0" collapsed="false">
      <c r="A1589" s="16"/>
      <c r="B1589" s="10"/>
      <c r="C1589" s="17" t="str">
        <f aca="false">IF($B1589="","",IFERROR(INDEX(품목마스터!$B$3:$B$302,MATCH($B1589,품목마스터!$A$3:$A$302,0)),"미등록품번"))</f>
        <v/>
      </c>
      <c r="D1589" s="17" t="str">
        <f aca="false">IF($B1589="","",IFERROR(INDEX(품목마스터!$D$3:$D$302,MATCH($B1589,품목마스터!$A$3:$A$302,0)),""))</f>
        <v/>
      </c>
      <c r="E1589" s="12"/>
      <c r="F1589" s="10"/>
    </row>
    <row r="1590" customFormat="false" ht="15" hidden="false" customHeight="true" outlineLevel="0" collapsed="false">
      <c r="A1590" s="16"/>
      <c r="B1590" s="10"/>
      <c r="C1590" s="17" t="str">
        <f aca="false">IF($B1590="","",IFERROR(INDEX(품목마스터!$B$3:$B$302,MATCH($B1590,품목마스터!$A$3:$A$302,0)),"미등록품번"))</f>
        <v/>
      </c>
      <c r="D1590" s="17" t="str">
        <f aca="false">IF($B1590="","",IFERROR(INDEX(품목마스터!$D$3:$D$302,MATCH($B1590,품목마스터!$A$3:$A$302,0)),""))</f>
        <v/>
      </c>
      <c r="E1590" s="12"/>
      <c r="F1590" s="10"/>
    </row>
    <row r="1591" customFormat="false" ht="15" hidden="false" customHeight="true" outlineLevel="0" collapsed="false">
      <c r="A1591" s="16"/>
      <c r="B1591" s="10"/>
      <c r="C1591" s="17" t="str">
        <f aca="false">IF($B1591="","",IFERROR(INDEX(품목마스터!$B$3:$B$302,MATCH($B1591,품목마스터!$A$3:$A$302,0)),"미등록품번"))</f>
        <v/>
      </c>
      <c r="D1591" s="17" t="str">
        <f aca="false">IF($B1591="","",IFERROR(INDEX(품목마스터!$D$3:$D$302,MATCH($B1591,품목마스터!$A$3:$A$302,0)),""))</f>
        <v/>
      </c>
      <c r="E1591" s="12"/>
      <c r="F1591" s="10"/>
    </row>
    <row r="1592" customFormat="false" ht="15" hidden="false" customHeight="true" outlineLevel="0" collapsed="false">
      <c r="A1592" s="16"/>
      <c r="B1592" s="10"/>
      <c r="C1592" s="17" t="str">
        <f aca="false">IF($B1592="","",IFERROR(INDEX(품목마스터!$B$3:$B$302,MATCH($B1592,품목마스터!$A$3:$A$302,0)),"미등록품번"))</f>
        <v/>
      </c>
      <c r="D1592" s="17" t="str">
        <f aca="false">IF($B1592="","",IFERROR(INDEX(품목마스터!$D$3:$D$302,MATCH($B1592,품목마스터!$A$3:$A$302,0)),""))</f>
        <v/>
      </c>
      <c r="E1592" s="12"/>
      <c r="F1592" s="10"/>
    </row>
    <row r="1593" customFormat="false" ht="15" hidden="false" customHeight="true" outlineLevel="0" collapsed="false">
      <c r="A1593" s="16"/>
      <c r="B1593" s="10"/>
      <c r="C1593" s="17" t="str">
        <f aca="false">IF($B1593="","",IFERROR(INDEX(품목마스터!$B$3:$B$302,MATCH($B1593,품목마스터!$A$3:$A$302,0)),"미등록품번"))</f>
        <v/>
      </c>
      <c r="D1593" s="17" t="str">
        <f aca="false">IF($B1593="","",IFERROR(INDEX(품목마스터!$D$3:$D$302,MATCH($B1593,품목마스터!$A$3:$A$302,0)),""))</f>
        <v/>
      </c>
      <c r="E1593" s="12"/>
      <c r="F1593" s="10"/>
    </row>
    <row r="1594" customFormat="false" ht="15" hidden="false" customHeight="true" outlineLevel="0" collapsed="false">
      <c r="A1594" s="16"/>
      <c r="B1594" s="10"/>
      <c r="C1594" s="17" t="str">
        <f aca="false">IF($B1594="","",IFERROR(INDEX(품목마스터!$B$3:$B$302,MATCH($B1594,품목마스터!$A$3:$A$302,0)),"미등록품번"))</f>
        <v/>
      </c>
      <c r="D1594" s="17" t="str">
        <f aca="false">IF($B1594="","",IFERROR(INDEX(품목마스터!$D$3:$D$302,MATCH($B1594,품목마스터!$A$3:$A$302,0)),""))</f>
        <v/>
      </c>
      <c r="E1594" s="12"/>
      <c r="F1594" s="10"/>
    </row>
    <row r="1595" customFormat="false" ht="15" hidden="false" customHeight="true" outlineLevel="0" collapsed="false">
      <c r="A1595" s="16"/>
      <c r="B1595" s="10"/>
      <c r="C1595" s="17" t="str">
        <f aca="false">IF($B1595="","",IFERROR(INDEX(품목마스터!$B$3:$B$302,MATCH($B1595,품목마스터!$A$3:$A$302,0)),"미등록품번"))</f>
        <v/>
      </c>
      <c r="D1595" s="17" t="str">
        <f aca="false">IF($B1595="","",IFERROR(INDEX(품목마스터!$D$3:$D$302,MATCH($B1595,품목마스터!$A$3:$A$302,0)),""))</f>
        <v/>
      </c>
      <c r="E1595" s="12"/>
      <c r="F1595" s="10"/>
    </row>
    <row r="1596" customFormat="false" ht="15" hidden="false" customHeight="true" outlineLevel="0" collapsed="false">
      <c r="A1596" s="16"/>
      <c r="B1596" s="10"/>
      <c r="C1596" s="17" t="str">
        <f aca="false">IF($B1596="","",IFERROR(INDEX(품목마스터!$B$3:$B$302,MATCH($B1596,품목마스터!$A$3:$A$302,0)),"미등록품번"))</f>
        <v/>
      </c>
      <c r="D1596" s="17" t="str">
        <f aca="false">IF($B1596="","",IFERROR(INDEX(품목마스터!$D$3:$D$302,MATCH($B1596,품목마스터!$A$3:$A$302,0)),""))</f>
        <v/>
      </c>
      <c r="E1596" s="12"/>
      <c r="F1596" s="10"/>
    </row>
    <row r="1597" customFormat="false" ht="15" hidden="false" customHeight="true" outlineLevel="0" collapsed="false">
      <c r="A1597" s="16"/>
      <c r="B1597" s="10"/>
      <c r="C1597" s="17" t="str">
        <f aca="false">IF($B1597="","",IFERROR(INDEX(품목마스터!$B$3:$B$302,MATCH($B1597,품목마스터!$A$3:$A$302,0)),"미등록품번"))</f>
        <v/>
      </c>
      <c r="D1597" s="17" t="str">
        <f aca="false">IF($B1597="","",IFERROR(INDEX(품목마스터!$D$3:$D$302,MATCH($B1597,품목마스터!$A$3:$A$302,0)),""))</f>
        <v/>
      </c>
      <c r="E1597" s="12"/>
      <c r="F1597" s="10"/>
    </row>
    <row r="1598" customFormat="false" ht="15" hidden="false" customHeight="true" outlineLevel="0" collapsed="false">
      <c r="A1598" s="16"/>
      <c r="B1598" s="10"/>
      <c r="C1598" s="17" t="str">
        <f aca="false">IF($B1598="","",IFERROR(INDEX(품목마스터!$B$3:$B$302,MATCH($B1598,품목마스터!$A$3:$A$302,0)),"미등록품번"))</f>
        <v/>
      </c>
      <c r="D1598" s="17" t="str">
        <f aca="false">IF($B1598="","",IFERROR(INDEX(품목마스터!$D$3:$D$302,MATCH($B1598,품목마스터!$A$3:$A$302,0)),""))</f>
        <v/>
      </c>
      <c r="E1598" s="12"/>
      <c r="F1598" s="10"/>
    </row>
    <row r="1599" customFormat="false" ht="15" hidden="false" customHeight="true" outlineLevel="0" collapsed="false">
      <c r="A1599" s="16"/>
      <c r="B1599" s="10"/>
      <c r="C1599" s="17" t="str">
        <f aca="false">IF($B1599="","",IFERROR(INDEX(품목마스터!$B$3:$B$302,MATCH($B1599,품목마스터!$A$3:$A$302,0)),"미등록품번"))</f>
        <v/>
      </c>
      <c r="D1599" s="17" t="str">
        <f aca="false">IF($B1599="","",IFERROR(INDEX(품목마스터!$D$3:$D$302,MATCH($B1599,품목마스터!$A$3:$A$302,0)),""))</f>
        <v/>
      </c>
      <c r="E1599" s="12"/>
      <c r="F1599" s="10"/>
    </row>
    <row r="1600" customFormat="false" ht="15" hidden="false" customHeight="true" outlineLevel="0" collapsed="false">
      <c r="A1600" s="16"/>
      <c r="B1600" s="10"/>
      <c r="C1600" s="17" t="str">
        <f aca="false">IF($B1600="","",IFERROR(INDEX(품목마스터!$B$3:$B$302,MATCH($B1600,품목마스터!$A$3:$A$302,0)),"미등록품번"))</f>
        <v/>
      </c>
      <c r="D1600" s="17" t="str">
        <f aca="false">IF($B1600="","",IFERROR(INDEX(품목마스터!$D$3:$D$302,MATCH($B1600,품목마스터!$A$3:$A$302,0)),""))</f>
        <v/>
      </c>
      <c r="E1600" s="12"/>
      <c r="F1600" s="10"/>
    </row>
    <row r="1601" customFormat="false" ht="15" hidden="false" customHeight="true" outlineLevel="0" collapsed="false">
      <c r="A1601" s="16"/>
      <c r="B1601" s="10"/>
      <c r="C1601" s="17" t="str">
        <f aca="false">IF($B1601="","",IFERROR(INDEX(품목마스터!$B$3:$B$302,MATCH($B1601,품목마스터!$A$3:$A$302,0)),"미등록품번"))</f>
        <v/>
      </c>
      <c r="D1601" s="17" t="str">
        <f aca="false">IF($B1601="","",IFERROR(INDEX(품목마스터!$D$3:$D$302,MATCH($B1601,품목마스터!$A$3:$A$302,0)),""))</f>
        <v/>
      </c>
      <c r="E1601" s="12"/>
      <c r="F1601" s="10"/>
    </row>
    <row r="1602" customFormat="false" ht="15" hidden="false" customHeight="true" outlineLevel="0" collapsed="false">
      <c r="A1602" s="16"/>
      <c r="B1602" s="10"/>
      <c r="C1602" s="17" t="str">
        <f aca="false">IF($B1602="","",IFERROR(INDEX(품목마스터!$B$3:$B$302,MATCH($B1602,품목마스터!$A$3:$A$302,0)),"미등록품번"))</f>
        <v/>
      </c>
      <c r="D1602" s="17" t="str">
        <f aca="false">IF($B1602="","",IFERROR(INDEX(품목마스터!$D$3:$D$302,MATCH($B1602,품목마스터!$A$3:$A$302,0)),""))</f>
        <v/>
      </c>
      <c r="E1602" s="12"/>
      <c r="F1602" s="10"/>
    </row>
    <row r="1603" customFormat="false" ht="15" hidden="false" customHeight="true" outlineLevel="0" collapsed="false">
      <c r="A1603" s="16"/>
      <c r="B1603" s="10"/>
      <c r="C1603" s="17" t="str">
        <f aca="false">IF($B1603="","",IFERROR(INDEX(품목마스터!$B$3:$B$302,MATCH($B1603,품목마스터!$A$3:$A$302,0)),"미등록품번"))</f>
        <v/>
      </c>
      <c r="D1603" s="17" t="str">
        <f aca="false">IF($B1603="","",IFERROR(INDEX(품목마스터!$D$3:$D$302,MATCH($B1603,품목마스터!$A$3:$A$302,0)),""))</f>
        <v/>
      </c>
      <c r="E1603" s="12"/>
      <c r="F1603" s="10"/>
    </row>
    <row r="1604" customFormat="false" ht="15" hidden="false" customHeight="true" outlineLevel="0" collapsed="false">
      <c r="A1604" s="16"/>
      <c r="B1604" s="10"/>
      <c r="C1604" s="17" t="str">
        <f aca="false">IF($B1604="","",IFERROR(INDEX(품목마스터!$B$3:$B$302,MATCH($B1604,품목마스터!$A$3:$A$302,0)),"미등록품번"))</f>
        <v/>
      </c>
      <c r="D1604" s="17" t="str">
        <f aca="false">IF($B1604="","",IFERROR(INDEX(품목마스터!$D$3:$D$302,MATCH($B1604,품목마스터!$A$3:$A$302,0)),""))</f>
        <v/>
      </c>
      <c r="E1604" s="12"/>
      <c r="F1604" s="10"/>
    </row>
    <row r="1605" customFormat="false" ht="15" hidden="false" customHeight="true" outlineLevel="0" collapsed="false">
      <c r="A1605" s="16"/>
      <c r="B1605" s="10"/>
      <c r="C1605" s="17" t="str">
        <f aca="false">IF($B1605="","",IFERROR(INDEX(품목마스터!$B$3:$B$302,MATCH($B1605,품목마스터!$A$3:$A$302,0)),"미등록품번"))</f>
        <v/>
      </c>
      <c r="D1605" s="17" t="str">
        <f aca="false">IF($B1605="","",IFERROR(INDEX(품목마스터!$D$3:$D$302,MATCH($B1605,품목마스터!$A$3:$A$302,0)),""))</f>
        <v/>
      </c>
      <c r="E1605" s="12"/>
      <c r="F1605" s="10"/>
    </row>
    <row r="1606" customFormat="false" ht="15" hidden="false" customHeight="true" outlineLevel="0" collapsed="false">
      <c r="A1606" s="16"/>
      <c r="B1606" s="10"/>
      <c r="C1606" s="17" t="str">
        <f aca="false">IF($B1606="","",IFERROR(INDEX(품목마스터!$B$3:$B$302,MATCH($B1606,품목마스터!$A$3:$A$302,0)),"미등록품번"))</f>
        <v/>
      </c>
      <c r="D1606" s="17" t="str">
        <f aca="false">IF($B1606="","",IFERROR(INDEX(품목마스터!$D$3:$D$302,MATCH($B1606,품목마스터!$A$3:$A$302,0)),""))</f>
        <v/>
      </c>
      <c r="E1606" s="12"/>
      <c r="F1606" s="10"/>
    </row>
    <row r="1607" customFormat="false" ht="15" hidden="false" customHeight="true" outlineLevel="0" collapsed="false">
      <c r="A1607" s="16"/>
      <c r="B1607" s="10"/>
      <c r="C1607" s="17" t="str">
        <f aca="false">IF($B1607="","",IFERROR(INDEX(품목마스터!$B$3:$B$302,MATCH($B1607,품목마스터!$A$3:$A$302,0)),"미등록품번"))</f>
        <v/>
      </c>
      <c r="D1607" s="17" t="str">
        <f aca="false">IF($B1607="","",IFERROR(INDEX(품목마스터!$D$3:$D$302,MATCH($B1607,품목마스터!$A$3:$A$302,0)),""))</f>
        <v/>
      </c>
      <c r="E1607" s="12"/>
      <c r="F1607" s="10"/>
    </row>
    <row r="1608" customFormat="false" ht="15" hidden="false" customHeight="true" outlineLevel="0" collapsed="false">
      <c r="A1608" s="16"/>
      <c r="B1608" s="10"/>
      <c r="C1608" s="17" t="str">
        <f aca="false">IF($B1608="","",IFERROR(INDEX(품목마스터!$B$3:$B$302,MATCH($B1608,품목마스터!$A$3:$A$302,0)),"미등록품번"))</f>
        <v/>
      </c>
      <c r="D1608" s="17" t="str">
        <f aca="false">IF($B1608="","",IFERROR(INDEX(품목마스터!$D$3:$D$302,MATCH($B1608,품목마스터!$A$3:$A$302,0)),""))</f>
        <v/>
      </c>
      <c r="E1608" s="12"/>
      <c r="F1608" s="10"/>
    </row>
    <row r="1609" customFormat="false" ht="15" hidden="false" customHeight="true" outlineLevel="0" collapsed="false">
      <c r="A1609" s="16"/>
      <c r="B1609" s="10"/>
      <c r="C1609" s="17" t="str">
        <f aca="false">IF($B1609="","",IFERROR(INDEX(품목마스터!$B$3:$B$302,MATCH($B1609,품목마스터!$A$3:$A$302,0)),"미등록품번"))</f>
        <v/>
      </c>
      <c r="D1609" s="17" t="str">
        <f aca="false">IF($B1609="","",IFERROR(INDEX(품목마스터!$D$3:$D$302,MATCH($B1609,품목마스터!$A$3:$A$302,0)),""))</f>
        <v/>
      </c>
      <c r="E1609" s="12"/>
      <c r="F1609" s="10"/>
    </row>
    <row r="1610" customFormat="false" ht="15" hidden="false" customHeight="true" outlineLevel="0" collapsed="false">
      <c r="A1610" s="16"/>
      <c r="B1610" s="10"/>
      <c r="C1610" s="17" t="str">
        <f aca="false">IF($B1610="","",IFERROR(INDEX(품목마스터!$B$3:$B$302,MATCH($B1610,품목마스터!$A$3:$A$302,0)),"미등록품번"))</f>
        <v/>
      </c>
      <c r="D1610" s="17" t="str">
        <f aca="false">IF($B1610="","",IFERROR(INDEX(품목마스터!$D$3:$D$302,MATCH($B1610,품목마스터!$A$3:$A$302,0)),""))</f>
        <v/>
      </c>
      <c r="E1610" s="12"/>
      <c r="F1610" s="10"/>
    </row>
    <row r="1611" customFormat="false" ht="15" hidden="false" customHeight="true" outlineLevel="0" collapsed="false">
      <c r="A1611" s="16"/>
      <c r="B1611" s="10"/>
      <c r="C1611" s="17" t="str">
        <f aca="false">IF($B1611="","",IFERROR(INDEX(품목마스터!$B$3:$B$302,MATCH($B1611,품목마스터!$A$3:$A$302,0)),"미등록품번"))</f>
        <v/>
      </c>
      <c r="D1611" s="17" t="str">
        <f aca="false">IF($B1611="","",IFERROR(INDEX(품목마스터!$D$3:$D$302,MATCH($B1611,품목마스터!$A$3:$A$302,0)),""))</f>
        <v/>
      </c>
      <c r="E1611" s="12"/>
      <c r="F1611" s="10"/>
    </row>
    <row r="1612" customFormat="false" ht="15" hidden="false" customHeight="true" outlineLevel="0" collapsed="false">
      <c r="A1612" s="16"/>
      <c r="B1612" s="10"/>
      <c r="C1612" s="17" t="str">
        <f aca="false">IF($B1612="","",IFERROR(INDEX(품목마스터!$B$3:$B$302,MATCH($B1612,품목마스터!$A$3:$A$302,0)),"미등록품번"))</f>
        <v/>
      </c>
      <c r="D1612" s="17" t="str">
        <f aca="false">IF($B1612="","",IFERROR(INDEX(품목마스터!$D$3:$D$302,MATCH($B1612,품목마스터!$A$3:$A$302,0)),""))</f>
        <v/>
      </c>
      <c r="E1612" s="12"/>
      <c r="F1612" s="10"/>
    </row>
    <row r="1613" customFormat="false" ht="15" hidden="false" customHeight="true" outlineLevel="0" collapsed="false">
      <c r="A1613" s="16"/>
      <c r="B1613" s="10"/>
      <c r="C1613" s="17" t="str">
        <f aca="false">IF($B1613="","",IFERROR(INDEX(품목마스터!$B$3:$B$302,MATCH($B1613,품목마스터!$A$3:$A$302,0)),"미등록품번"))</f>
        <v/>
      </c>
      <c r="D1613" s="17" t="str">
        <f aca="false">IF($B1613="","",IFERROR(INDEX(품목마스터!$D$3:$D$302,MATCH($B1613,품목마스터!$A$3:$A$302,0)),""))</f>
        <v/>
      </c>
      <c r="E1613" s="12"/>
      <c r="F1613" s="10"/>
    </row>
    <row r="1614" customFormat="false" ht="15" hidden="false" customHeight="true" outlineLevel="0" collapsed="false">
      <c r="A1614" s="16"/>
      <c r="B1614" s="10"/>
      <c r="C1614" s="17" t="str">
        <f aca="false">IF($B1614="","",IFERROR(INDEX(품목마스터!$B$3:$B$302,MATCH($B1614,품목마스터!$A$3:$A$302,0)),"미등록품번"))</f>
        <v/>
      </c>
      <c r="D1614" s="17" t="str">
        <f aca="false">IF($B1614="","",IFERROR(INDEX(품목마스터!$D$3:$D$302,MATCH($B1614,품목마스터!$A$3:$A$302,0)),""))</f>
        <v/>
      </c>
      <c r="E1614" s="12"/>
      <c r="F1614" s="10"/>
    </row>
    <row r="1615" customFormat="false" ht="15" hidden="false" customHeight="true" outlineLevel="0" collapsed="false">
      <c r="A1615" s="16"/>
      <c r="B1615" s="10"/>
      <c r="C1615" s="17" t="str">
        <f aca="false">IF($B1615="","",IFERROR(INDEX(품목마스터!$B$3:$B$302,MATCH($B1615,품목마스터!$A$3:$A$302,0)),"미등록품번"))</f>
        <v/>
      </c>
      <c r="D1615" s="17" t="str">
        <f aca="false">IF($B1615="","",IFERROR(INDEX(품목마스터!$D$3:$D$302,MATCH($B1615,품목마스터!$A$3:$A$302,0)),""))</f>
        <v/>
      </c>
      <c r="E1615" s="12"/>
      <c r="F1615" s="10"/>
    </row>
    <row r="1616" customFormat="false" ht="15" hidden="false" customHeight="true" outlineLevel="0" collapsed="false">
      <c r="A1616" s="16"/>
      <c r="B1616" s="10"/>
      <c r="C1616" s="17" t="str">
        <f aca="false">IF($B1616="","",IFERROR(INDEX(품목마스터!$B$3:$B$302,MATCH($B1616,품목마스터!$A$3:$A$302,0)),"미등록품번"))</f>
        <v/>
      </c>
      <c r="D1616" s="17" t="str">
        <f aca="false">IF($B1616="","",IFERROR(INDEX(품목마스터!$D$3:$D$302,MATCH($B1616,품목마스터!$A$3:$A$302,0)),""))</f>
        <v/>
      </c>
      <c r="E1616" s="12"/>
      <c r="F1616" s="10"/>
    </row>
    <row r="1617" customFormat="false" ht="15" hidden="false" customHeight="true" outlineLevel="0" collapsed="false">
      <c r="A1617" s="16"/>
      <c r="B1617" s="10"/>
      <c r="C1617" s="17" t="str">
        <f aca="false">IF($B1617="","",IFERROR(INDEX(품목마스터!$B$3:$B$302,MATCH($B1617,품목마스터!$A$3:$A$302,0)),"미등록품번"))</f>
        <v/>
      </c>
      <c r="D1617" s="17" t="str">
        <f aca="false">IF($B1617="","",IFERROR(INDEX(품목마스터!$D$3:$D$302,MATCH($B1617,품목마스터!$A$3:$A$302,0)),""))</f>
        <v/>
      </c>
      <c r="E1617" s="12"/>
      <c r="F1617" s="10"/>
    </row>
    <row r="1618" customFormat="false" ht="15" hidden="false" customHeight="true" outlineLevel="0" collapsed="false">
      <c r="A1618" s="16"/>
      <c r="B1618" s="10"/>
      <c r="C1618" s="17" t="str">
        <f aca="false">IF($B1618="","",IFERROR(INDEX(품목마스터!$B$3:$B$302,MATCH($B1618,품목마스터!$A$3:$A$302,0)),"미등록품번"))</f>
        <v/>
      </c>
      <c r="D1618" s="17" t="str">
        <f aca="false">IF($B1618="","",IFERROR(INDEX(품목마스터!$D$3:$D$302,MATCH($B1618,품목마스터!$A$3:$A$302,0)),""))</f>
        <v/>
      </c>
      <c r="E1618" s="12"/>
      <c r="F1618" s="10"/>
    </row>
    <row r="1619" customFormat="false" ht="15" hidden="false" customHeight="true" outlineLevel="0" collapsed="false">
      <c r="A1619" s="16"/>
      <c r="B1619" s="10"/>
      <c r="C1619" s="17" t="str">
        <f aca="false">IF($B1619="","",IFERROR(INDEX(품목마스터!$B$3:$B$302,MATCH($B1619,품목마스터!$A$3:$A$302,0)),"미등록품번"))</f>
        <v/>
      </c>
      <c r="D1619" s="17" t="str">
        <f aca="false">IF($B1619="","",IFERROR(INDEX(품목마스터!$D$3:$D$302,MATCH($B1619,품목마스터!$A$3:$A$302,0)),""))</f>
        <v/>
      </c>
      <c r="E1619" s="12"/>
      <c r="F1619" s="10"/>
    </row>
    <row r="1620" customFormat="false" ht="15" hidden="false" customHeight="true" outlineLevel="0" collapsed="false">
      <c r="A1620" s="16"/>
      <c r="B1620" s="10"/>
      <c r="C1620" s="17" t="str">
        <f aca="false">IF($B1620="","",IFERROR(INDEX(품목마스터!$B$3:$B$302,MATCH($B1620,품목마스터!$A$3:$A$302,0)),"미등록품번"))</f>
        <v/>
      </c>
      <c r="D1620" s="17" t="str">
        <f aca="false">IF($B1620="","",IFERROR(INDEX(품목마스터!$D$3:$D$302,MATCH($B1620,품목마스터!$A$3:$A$302,0)),""))</f>
        <v/>
      </c>
      <c r="E1620" s="12"/>
      <c r="F1620" s="10"/>
    </row>
    <row r="1621" customFormat="false" ht="15" hidden="false" customHeight="true" outlineLevel="0" collapsed="false">
      <c r="A1621" s="16"/>
      <c r="B1621" s="10"/>
      <c r="C1621" s="17" t="str">
        <f aca="false">IF($B1621="","",IFERROR(INDEX(품목마스터!$B$3:$B$302,MATCH($B1621,품목마스터!$A$3:$A$302,0)),"미등록품번"))</f>
        <v/>
      </c>
      <c r="D1621" s="17" t="str">
        <f aca="false">IF($B1621="","",IFERROR(INDEX(품목마스터!$D$3:$D$302,MATCH($B1621,품목마스터!$A$3:$A$302,0)),""))</f>
        <v/>
      </c>
      <c r="E1621" s="12"/>
      <c r="F1621" s="10"/>
    </row>
    <row r="1622" customFormat="false" ht="15" hidden="false" customHeight="true" outlineLevel="0" collapsed="false">
      <c r="A1622" s="16"/>
      <c r="B1622" s="10"/>
      <c r="C1622" s="17" t="str">
        <f aca="false">IF($B1622="","",IFERROR(INDEX(품목마스터!$B$3:$B$302,MATCH($B1622,품목마스터!$A$3:$A$302,0)),"미등록품번"))</f>
        <v/>
      </c>
      <c r="D1622" s="17" t="str">
        <f aca="false">IF($B1622="","",IFERROR(INDEX(품목마스터!$D$3:$D$302,MATCH($B1622,품목마스터!$A$3:$A$302,0)),""))</f>
        <v/>
      </c>
      <c r="E1622" s="12"/>
      <c r="F1622" s="10"/>
    </row>
    <row r="1623" customFormat="false" ht="15" hidden="false" customHeight="true" outlineLevel="0" collapsed="false">
      <c r="A1623" s="16"/>
      <c r="B1623" s="10"/>
      <c r="C1623" s="17" t="str">
        <f aca="false">IF($B1623="","",IFERROR(INDEX(품목마스터!$B$3:$B$302,MATCH($B1623,품목마스터!$A$3:$A$302,0)),"미등록품번"))</f>
        <v/>
      </c>
      <c r="D1623" s="17" t="str">
        <f aca="false">IF($B1623="","",IFERROR(INDEX(품목마스터!$D$3:$D$302,MATCH($B1623,품목마스터!$A$3:$A$302,0)),""))</f>
        <v/>
      </c>
      <c r="E1623" s="12"/>
      <c r="F1623" s="10"/>
    </row>
    <row r="1624" customFormat="false" ht="15" hidden="false" customHeight="true" outlineLevel="0" collapsed="false">
      <c r="A1624" s="16"/>
      <c r="B1624" s="10"/>
      <c r="C1624" s="17" t="str">
        <f aca="false">IF($B1624="","",IFERROR(INDEX(품목마스터!$B$3:$B$302,MATCH($B1624,품목마스터!$A$3:$A$302,0)),"미등록품번"))</f>
        <v/>
      </c>
      <c r="D1624" s="17" t="str">
        <f aca="false">IF($B1624="","",IFERROR(INDEX(품목마스터!$D$3:$D$302,MATCH($B1624,품목마스터!$A$3:$A$302,0)),""))</f>
        <v/>
      </c>
      <c r="E1624" s="12"/>
      <c r="F1624" s="10"/>
    </row>
    <row r="1625" customFormat="false" ht="15" hidden="false" customHeight="true" outlineLevel="0" collapsed="false">
      <c r="A1625" s="16"/>
      <c r="B1625" s="10"/>
      <c r="C1625" s="17" t="str">
        <f aca="false">IF($B1625="","",IFERROR(INDEX(품목마스터!$B$3:$B$302,MATCH($B1625,품목마스터!$A$3:$A$302,0)),"미등록품번"))</f>
        <v/>
      </c>
      <c r="D1625" s="17" t="str">
        <f aca="false">IF($B1625="","",IFERROR(INDEX(품목마스터!$D$3:$D$302,MATCH($B1625,품목마스터!$A$3:$A$302,0)),""))</f>
        <v/>
      </c>
      <c r="E1625" s="12"/>
      <c r="F1625" s="10"/>
    </row>
    <row r="1626" customFormat="false" ht="15" hidden="false" customHeight="true" outlineLevel="0" collapsed="false">
      <c r="A1626" s="16"/>
      <c r="B1626" s="10"/>
      <c r="C1626" s="17" t="str">
        <f aca="false">IF($B1626="","",IFERROR(INDEX(품목마스터!$B$3:$B$302,MATCH($B1626,품목마스터!$A$3:$A$302,0)),"미등록품번"))</f>
        <v/>
      </c>
      <c r="D1626" s="17" t="str">
        <f aca="false">IF($B1626="","",IFERROR(INDEX(품목마스터!$D$3:$D$302,MATCH($B1626,품목마스터!$A$3:$A$302,0)),""))</f>
        <v/>
      </c>
      <c r="E1626" s="12"/>
      <c r="F1626" s="10"/>
    </row>
    <row r="1627" customFormat="false" ht="15" hidden="false" customHeight="true" outlineLevel="0" collapsed="false">
      <c r="A1627" s="16"/>
      <c r="B1627" s="10"/>
      <c r="C1627" s="17" t="str">
        <f aca="false">IF($B1627="","",IFERROR(INDEX(품목마스터!$B$3:$B$302,MATCH($B1627,품목마스터!$A$3:$A$302,0)),"미등록품번"))</f>
        <v/>
      </c>
      <c r="D1627" s="17" t="str">
        <f aca="false">IF($B1627="","",IFERROR(INDEX(품목마스터!$D$3:$D$302,MATCH($B1627,품목마스터!$A$3:$A$302,0)),""))</f>
        <v/>
      </c>
      <c r="E1627" s="12"/>
      <c r="F1627" s="10"/>
    </row>
    <row r="1628" customFormat="false" ht="15" hidden="false" customHeight="true" outlineLevel="0" collapsed="false">
      <c r="A1628" s="16"/>
      <c r="B1628" s="10"/>
      <c r="C1628" s="17" t="str">
        <f aca="false">IF($B1628="","",IFERROR(INDEX(품목마스터!$B$3:$B$302,MATCH($B1628,품목마스터!$A$3:$A$302,0)),"미등록품번"))</f>
        <v/>
      </c>
      <c r="D1628" s="17" t="str">
        <f aca="false">IF($B1628="","",IFERROR(INDEX(품목마스터!$D$3:$D$302,MATCH($B1628,품목마스터!$A$3:$A$302,0)),""))</f>
        <v/>
      </c>
      <c r="E1628" s="12"/>
      <c r="F1628" s="10"/>
    </row>
    <row r="1629" customFormat="false" ht="15" hidden="false" customHeight="true" outlineLevel="0" collapsed="false">
      <c r="A1629" s="16"/>
      <c r="B1629" s="10"/>
      <c r="C1629" s="17" t="str">
        <f aca="false">IF($B1629="","",IFERROR(INDEX(품목마스터!$B$3:$B$302,MATCH($B1629,품목마스터!$A$3:$A$302,0)),"미등록품번"))</f>
        <v/>
      </c>
      <c r="D1629" s="17" t="str">
        <f aca="false">IF($B1629="","",IFERROR(INDEX(품목마스터!$D$3:$D$302,MATCH($B1629,품목마스터!$A$3:$A$302,0)),""))</f>
        <v/>
      </c>
      <c r="E1629" s="12"/>
      <c r="F1629" s="10"/>
    </row>
    <row r="1630" customFormat="false" ht="15" hidden="false" customHeight="true" outlineLevel="0" collapsed="false">
      <c r="A1630" s="16"/>
      <c r="B1630" s="10"/>
      <c r="C1630" s="17" t="str">
        <f aca="false">IF($B1630="","",IFERROR(INDEX(품목마스터!$B$3:$B$302,MATCH($B1630,품목마스터!$A$3:$A$302,0)),"미등록품번"))</f>
        <v/>
      </c>
      <c r="D1630" s="17" t="str">
        <f aca="false">IF($B1630="","",IFERROR(INDEX(품목마스터!$D$3:$D$302,MATCH($B1630,품목마스터!$A$3:$A$302,0)),""))</f>
        <v/>
      </c>
      <c r="E1630" s="12"/>
      <c r="F1630" s="10"/>
    </row>
    <row r="1631" customFormat="false" ht="15" hidden="false" customHeight="true" outlineLevel="0" collapsed="false">
      <c r="A1631" s="16"/>
      <c r="B1631" s="10"/>
      <c r="C1631" s="17" t="str">
        <f aca="false">IF($B1631="","",IFERROR(INDEX(품목마스터!$B$3:$B$302,MATCH($B1631,품목마스터!$A$3:$A$302,0)),"미등록품번"))</f>
        <v/>
      </c>
      <c r="D1631" s="17" t="str">
        <f aca="false">IF($B1631="","",IFERROR(INDEX(품목마스터!$D$3:$D$302,MATCH($B1631,품목마스터!$A$3:$A$302,0)),""))</f>
        <v/>
      </c>
      <c r="E1631" s="12"/>
      <c r="F1631" s="10"/>
    </row>
    <row r="1632" customFormat="false" ht="15" hidden="false" customHeight="true" outlineLevel="0" collapsed="false">
      <c r="A1632" s="16"/>
      <c r="B1632" s="10"/>
      <c r="C1632" s="17" t="str">
        <f aca="false">IF($B1632="","",IFERROR(INDEX(품목마스터!$B$3:$B$302,MATCH($B1632,품목마스터!$A$3:$A$302,0)),"미등록품번"))</f>
        <v/>
      </c>
      <c r="D1632" s="17" t="str">
        <f aca="false">IF($B1632="","",IFERROR(INDEX(품목마스터!$D$3:$D$302,MATCH($B1632,품목마스터!$A$3:$A$302,0)),""))</f>
        <v/>
      </c>
      <c r="E1632" s="12"/>
      <c r="F1632" s="10"/>
    </row>
    <row r="1633" customFormat="false" ht="15" hidden="false" customHeight="true" outlineLevel="0" collapsed="false">
      <c r="A1633" s="16"/>
      <c r="B1633" s="10"/>
      <c r="C1633" s="17" t="str">
        <f aca="false">IF($B1633="","",IFERROR(INDEX(품목마스터!$B$3:$B$302,MATCH($B1633,품목마스터!$A$3:$A$302,0)),"미등록품번"))</f>
        <v/>
      </c>
      <c r="D1633" s="17" t="str">
        <f aca="false">IF($B1633="","",IFERROR(INDEX(품목마스터!$D$3:$D$302,MATCH($B1633,품목마스터!$A$3:$A$302,0)),""))</f>
        <v/>
      </c>
      <c r="E1633" s="12"/>
      <c r="F1633" s="10"/>
    </row>
    <row r="1634" customFormat="false" ht="15" hidden="false" customHeight="true" outlineLevel="0" collapsed="false">
      <c r="A1634" s="16"/>
      <c r="B1634" s="10"/>
      <c r="C1634" s="17" t="str">
        <f aca="false">IF($B1634="","",IFERROR(INDEX(품목마스터!$B$3:$B$302,MATCH($B1634,품목마스터!$A$3:$A$302,0)),"미등록품번"))</f>
        <v/>
      </c>
      <c r="D1634" s="17" t="str">
        <f aca="false">IF($B1634="","",IFERROR(INDEX(품목마스터!$D$3:$D$302,MATCH($B1634,품목마스터!$A$3:$A$302,0)),""))</f>
        <v/>
      </c>
      <c r="E1634" s="12"/>
      <c r="F1634" s="10"/>
    </row>
    <row r="1635" customFormat="false" ht="15" hidden="false" customHeight="true" outlineLevel="0" collapsed="false">
      <c r="A1635" s="16"/>
      <c r="B1635" s="10"/>
      <c r="C1635" s="17" t="str">
        <f aca="false">IF($B1635="","",IFERROR(INDEX(품목마스터!$B$3:$B$302,MATCH($B1635,품목마스터!$A$3:$A$302,0)),"미등록품번"))</f>
        <v/>
      </c>
      <c r="D1635" s="17" t="str">
        <f aca="false">IF($B1635="","",IFERROR(INDEX(품목마스터!$D$3:$D$302,MATCH($B1635,품목마스터!$A$3:$A$302,0)),""))</f>
        <v/>
      </c>
      <c r="E1635" s="12"/>
      <c r="F1635" s="10"/>
    </row>
    <row r="1636" customFormat="false" ht="15" hidden="false" customHeight="true" outlineLevel="0" collapsed="false">
      <c r="A1636" s="16"/>
      <c r="B1636" s="10"/>
      <c r="C1636" s="17" t="str">
        <f aca="false">IF($B1636="","",IFERROR(INDEX(품목마스터!$B$3:$B$302,MATCH($B1636,품목마스터!$A$3:$A$302,0)),"미등록품번"))</f>
        <v/>
      </c>
      <c r="D1636" s="17" t="str">
        <f aca="false">IF($B1636="","",IFERROR(INDEX(품목마스터!$D$3:$D$302,MATCH($B1636,품목마스터!$A$3:$A$302,0)),""))</f>
        <v/>
      </c>
      <c r="E1636" s="12"/>
      <c r="F1636" s="10"/>
    </row>
    <row r="1637" customFormat="false" ht="15" hidden="false" customHeight="true" outlineLevel="0" collapsed="false">
      <c r="A1637" s="16"/>
      <c r="B1637" s="10"/>
      <c r="C1637" s="17" t="str">
        <f aca="false">IF($B1637="","",IFERROR(INDEX(품목마스터!$B$3:$B$302,MATCH($B1637,품목마스터!$A$3:$A$302,0)),"미등록품번"))</f>
        <v/>
      </c>
      <c r="D1637" s="17" t="str">
        <f aca="false">IF($B1637="","",IFERROR(INDEX(품목마스터!$D$3:$D$302,MATCH($B1637,품목마스터!$A$3:$A$302,0)),""))</f>
        <v/>
      </c>
      <c r="E1637" s="12"/>
      <c r="F1637" s="10"/>
    </row>
    <row r="1638" customFormat="false" ht="15" hidden="false" customHeight="true" outlineLevel="0" collapsed="false">
      <c r="A1638" s="16"/>
      <c r="B1638" s="10"/>
      <c r="C1638" s="17" t="str">
        <f aca="false">IF($B1638="","",IFERROR(INDEX(품목마스터!$B$3:$B$302,MATCH($B1638,품목마스터!$A$3:$A$302,0)),"미등록품번"))</f>
        <v/>
      </c>
      <c r="D1638" s="17" t="str">
        <f aca="false">IF($B1638="","",IFERROR(INDEX(품목마스터!$D$3:$D$302,MATCH($B1638,품목마스터!$A$3:$A$302,0)),""))</f>
        <v/>
      </c>
      <c r="E1638" s="12"/>
      <c r="F1638" s="10"/>
    </row>
    <row r="1639" customFormat="false" ht="15" hidden="false" customHeight="true" outlineLevel="0" collapsed="false">
      <c r="A1639" s="16"/>
      <c r="B1639" s="10"/>
      <c r="C1639" s="17" t="str">
        <f aca="false">IF($B1639="","",IFERROR(INDEX(품목마스터!$B$3:$B$302,MATCH($B1639,품목마스터!$A$3:$A$302,0)),"미등록품번"))</f>
        <v/>
      </c>
      <c r="D1639" s="17" t="str">
        <f aca="false">IF($B1639="","",IFERROR(INDEX(품목마스터!$D$3:$D$302,MATCH($B1639,품목마스터!$A$3:$A$302,0)),""))</f>
        <v/>
      </c>
      <c r="E1639" s="12"/>
      <c r="F1639" s="10"/>
    </row>
    <row r="1640" customFormat="false" ht="15" hidden="false" customHeight="true" outlineLevel="0" collapsed="false">
      <c r="A1640" s="16"/>
      <c r="B1640" s="10"/>
      <c r="C1640" s="17" t="str">
        <f aca="false">IF($B1640="","",IFERROR(INDEX(품목마스터!$B$3:$B$302,MATCH($B1640,품목마스터!$A$3:$A$302,0)),"미등록품번"))</f>
        <v/>
      </c>
      <c r="D1640" s="17" t="str">
        <f aca="false">IF($B1640="","",IFERROR(INDEX(품목마스터!$D$3:$D$302,MATCH($B1640,품목마스터!$A$3:$A$302,0)),""))</f>
        <v/>
      </c>
      <c r="E1640" s="12"/>
      <c r="F1640" s="10"/>
    </row>
    <row r="1641" customFormat="false" ht="15" hidden="false" customHeight="true" outlineLevel="0" collapsed="false">
      <c r="A1641" s="16"/>
      <c r="B1641" s="10"/>
      <c r="C1641" s="17" t="str">
        <f aca="false">IF($B1641="","",IFERROR(INDEX(품목마스터!$B$3:$B$302,MATCH($B1641,품목마스터!$A$3:$A$302,0)),"미등록품번"))</f>
        <v/>
      </c>
      <c r="D1641" s="17" t="str">
        <f aca="false">IF($B1641="","",IFERROR(INDEX(품목마스터!$D$3:$D$302,MATCH($B1641,품목마스터!$A$3:$A$302,0)),""))</f>
        <v/>
      </c>
      <c r="E1641" s="12"/>
      <c r="F1641" s="10"/>
    </row>
    <row r="1642" customFormat="false" ht="15" hidden="false" customHeight="true" outlineLevel="0" collapsed="false">
      <c r="A1642" s="16"/>
      <c r="B1642" s="10"/>
      <c r="C1642" s="17" t="str">
        <f aca="false">IF($B1642="","",IFERROR(INDEX(품목마스터!$B$3:$B$302,MATCH($B1642,품목마스터!$A$3:$A$302,0)),"미등록품번"))</f>
        <v/>
      </c>
      <c r="D1642" s="17" t="str">
        <f aca="false">IF($B1642="","",IFERROR(INDEX(품목마스터!$D$3:$D$302,MATCH($B1642,품목마스터!$A$3:$A$302,0)),""))</f>
        <v/>
      </c>
      <c r="E1642" s="12"/>
      <c r="F1642" s="10"/>
    </row>
    <row r="1643" customFormat="false" ht="15" hidden="false" customHeight="true" outlineLevel="0" collapsed="false">
      <c r="A1643" s="16"/>
      <c r="B1643" s="10"/>
      <c r="C1643" s="17" t="str">
        <f aca="false">IF($B1643="","",IFERROR(INDEX(품목마스터!$B$3:$B$302,MATCH($B1643,품목마스터!$A$3:$A$302,0)),"미등록품번"))</f>
        <v/>
      </c>
      <c r="D1643" s="17" t="str">
        <f aca="false">IF($B1643="","",IFERROR(INDEX(품목마스터!$D$3:$D$302,MATCH($B1643,품목마스터!$A$3:$A$302,0)),""))</f>
        <v/>
      </c>
      <c r="E1643" s="12"/>
      <c r="F1643" s="10"/>
    </row>
    <row r="1644" customFormat="false" ht="15" hidden="false" customHeight="true" outlineLevel="0" collapsed="false">
      <c r="A1644" s="16"/>
      <c r="B1644" s="10"/>
      <c r="C1644" s="17" t="str">
        <f aca="false">IF($B1644="","",IFERROR(INDEX(품목마스터!$B$3:$B$302,MATCH($B1644,품목마스터!$A$3:$A$302,0)),"미등록품번"))</f>
        <v/>
      </c>
      <c r="D1644" s="17" t="str">
        <f aca="false">IF($B1644="","",IFERROR(INDEX(품목마스터!$D$3:$D$302,MATCH($B1644,품목마스터!$A$3:$A$302,0)),""))</f>
        <v/>
      </c>
      <c r="E1644" s="12"/>
      <c r="F1644" s="10"/>
    </row>
    <row r="1645" customFormat="false" ht="15" hidden="false" customHeight="true" outlineLevel="0" collapsed="false">
      <c r="A1645" s="16"/>
      <c r="B1645" s="10"/>
      <c r="C1645" s="17" t="str">
        <f aca="false">IF($B1645="","",IFERROR(INDEX(품목마스터!$B$3:$B$302,MATCH($B1645,품목마스터!$A$3:$A$302,0)),"미등록품번"))</f>
        <v/>
      </c>
      <c r="D1645" s="17" t="str">
        <f aca="false">IF($B1645="","",IFERROR(INDEX(품목마스터!$D$3:$D$302,MATCH($B1645,품목마스터!$A$3:$A$302,0)),""))</f>
        <v/>
      </c>
      <c r="E1645" s="12"/>
      <c r="F1645" s="10"/>
    </row>
    <row r="1646" customFormat="false" ht="15" hidden="false" customHeight="true" outlineLevel="0" collapsed="false">
      <c r="A1646" s="16"/>
      <c r="B1646" s="10"/>
      <c r="C1646" s="17" t="str">
        <f aca="false">IF($B1646="","",IFERROR(INDEX(품목마스터!$B$3:$B$302,MATCH($B1646,품목마스터!$A$3:$A$302,0)),"미등록품번"))</f>
        <v/>
      </c>
      <c r="D1646" s="17" t="str">
        <f aca="false">IF($B1646="","",IFERROR(INDEX(품목마스터!$D$3:$D$302,MATCH($B1646,품목마스터!$A$3:$A$302,0)),""))</f>
        <v/>
      </c>
      <c r="E1646" s="12"/>
      <c r="F1646" s="10"/>
    </row>
    <row r="1647" customFormat="false" ht="15" hidden="false" customHeight="true" outlineLevel="0" collapsed="false">
      <c r="A1647" s="16"/>
      <c r="B1647" s="10"/>
      <c r="C1647" s="17" t="str">
        <f aca="false">IF($B1647="","",IFERROR(INDEX(품목마스터!$B$3:$B$302,MATCH($B1647,품목마스터!$A$3:$A$302,0)),"미등록품번"))</f>
        <v/>
      </c>
      <c r="D1647" s="17" t="str">
        <f aca="false">IF($B1647="","",IFERROR(INDEX(품목마스터!$D$3:$D$302,MATCH($B1647,품목마스터!$A$3:$A$302,0)),""))</f>
        <v/>
      </c>
      <c r="E1647" s="12"/>
      <c r="F1647" s="10"/>
    </row>
    <row r="1648" customFormat="false" ht="15" hidden="false" customHeight="true" outlineLevel="0" collapsed="false">
      <c r="A1648" s="16"/>
      <c r="B1648" s="10"/>
      <c r="C1648" s="17" t="str">
        <f aca="false">IF($B1648="","",IFERROR(INDEX(품목마스터!$B$3:$B$302,MATCH($B1648,품목마스터!$A$3:$A$302,0)),"미등록품번"))</f>
        <v/>
      </c>
      <c r="D1648" s="17" t="str">
        <f aca="false">IF($B1648="","",IFERROR(INDEX(품목마스터!$D$3:$D$302,MATCH($B1648,품목마스터!$A$3:$A$302,0)),""))</f>
        <v/>
      </c>
      <c r="E1648" s="12"/>
      <c r="F1648" s="10"/>
    </row>
    <row r="1649" customFormat="false" ht="15" hidden="false" customHeight="true" outlineLevel="0" collapsed="false">
      <c r="A1649" s="16"/>
      <c r="B1649" s="10"/>
      <c r="C1649" s="17" t="str">
        <f aca="false">IF($B1649="","",IFERROR(INDEX(품목마스터!$B$3:$B$302,MATCH($B1649,품목마스터!$A$3:$A$302,0)),"미등록품번"))</f>
        <v/>
      </c>
      <c r="D1649" s="17" t="str">
        <f aca="false">IF($B1649="","",IFERROR(INDEX(품목마스터!$D$3:$D$302,MATCH($B1649,품목마스터!$A$3:$A$302,0)),""))</f>
        <v/>
      </c>
      <c r="E1649" s="12"/>
      <c r="F1649" s="10"/>
    </row>
    <row r="1650" customFormat="false" ht="15" hidden="false" customHeight="true" outlineLevel="0" collapsed="false">
      <c r="A1650" s="16"/>
      <c r="B1650" s="10"/>
      <c r="C1650" s="17" t="str">
        <f aca="false">IF($B1650="","",IFERROR(INDEX(품목마스터!$B$3:$B$302,MATCH($B1650,품목마스터!$A$3:$A$302,0)),"미등록품번"))</f>
        <v/>
      </c>
      <c r="D1650" s="17" t="str">
        <f aca="false">IF($B1650="","",IFERROR(INDEX(품목마스터!$D$3:$D$302,MATCH($B1650,품목마스터!$A$3:$A$302,0)),""))</f>
        <v/>
      </c>
      <c r="E1650" s="12"/>
      <c r="F1650" s="10"/>
    </row>
    <row r="1651" customFormat="false" ht="15" hidden="false" customHeight="true" outlineLevel="0" collapsed="false">
      <c r="A1651" s="16"/>
      <c r="B1651" s="10"/>
      <c r="C1651" s="17" t="str">
        <f aca="false">IF($B1651="","",IFERROR(INDEX(품목마스터!$B$3:$B$302,MATCH($B1651,품목마스터!$A$3:$A$302,0)),"미등록품번"))</f>
        <v/>
      </c>
      <c r="D1651" s="17" t="str">
        <f aca="false">IF($B1651="","",IFERROR(INDEX(품목마스터!$D$3:$D$302,MATCH($B1651,품목마스터!$A$3:$A$302,0)),""))</f>
        <v/>
      </c>
      <c r="E1651" s="12"/>
      <c r="F1651" s="10"/>
    </row>
    <row r="1652" customFormat="false" ht="15" hidden="false" customHeight="true" outlineLevel="0" collapsed="false">
      <c r="A1652" s="16"/>
      <c r="B1652" s="10"/>
      <c r="C1652" s="17" t="str">
        <f aca="false">IF($B1652="","",IFERROR(INDEX(품목마스터!$B$3:$B$302,MATCH($B1652,품목마스터!$A$3:$A$302,0)),"미등록품번"))</f>
        <v/>
      </c>
      <c r="D1652" s="17" t="str">
        <f aca="false">IF($B1652="","",IFERROR(INDEX(품목마스터!$D$3:$D$302,MATCH($B1652,품목마스터!$A$3:$A$302,0)),""))</f>
        <v/>
      </c>
      <c r="E1652" s="12"/>
      <c r="F1652" s="10"/>
    </row>
    <row r="1653" customFormat="false" ht="15" hidden="false" customHeight="true" outlineLevel="0" collapsed="false">
      <c r="A1653" s="16"/>
      <c r="B1653" s="10"/>
      <c r="C1653" s="17" t="str">
        <f aca="false">IF($B1653="","",IFERROR(INDEX(품목마스터!$B$3:$B$302,MATCH($B1653,품목마스터!$A$3:$A$302,0)),"미등록품번"))</f>
        <v/>
      </c>
      <c r="D1653" s="17" t="str">
        <f aca="false">IF($B1653="","",IFERROR(INDEX(품목마스터!$D$3:$D$302,MATCH($B1653,품목마스터!$A$3:$A$302,0)),""))</f>
        <v/>
      </c>
      <c r="E1653" s="12"/>
      <c r="F1653" s="10"/>
    </row>
    <row r="1654" customFormat="false" ht="15" hidden="false" customHeight="true" outlineLevel="0" collapsed="false">
      <c r="A1654" s="16"/>
      <c r="B1654" s="10"/>
      <c r="C1654" s="17" t="str">
        <f aca="false">IF($B1654="","",IFERROR(INDEX(품목마스터!$B$3:$B$302,MATCH($B1654,품목마스터!$A$3:$A$302,0)),"미등록품번"))</f>
        <v/>
      </c>
      <c r="D1654" s="17" t="str">
        <f aca="false">IF($B1654="","",IFERROR(INDEX(품목마스터!$D$3:$D$302,MATCH($B1654,품목마스터!$A$3:$A$302,0)),""))</f>
        <v/>
      </c>
      <c r="E1654" s="12"/>
      <c r="F1654" s="10"/>
    </row>
    <row r="1655" customFormat="false" ht="15" hidden="false" customHeight="true" outlineLevel="0" collapsed="false">
      <c r="A1655" s="16"/>
      <c r="B1655" s="10"/>
      <c r="C1655" s="17" t="str">
        <f aca="false">IF($B1655="","",IFERROR(INDEX(품목마스터!$B$3:$B$302,MATCH($B1655,품목마스터!$A$3:$A$302,0)),"미등록품번"))</f>
        <v/>
      </c>
      <c r="D1655" s="17" t="str">
        <f aca="false">IF($B1655="","",IFERROR(INDEX(품목마스터!$D$3:$D$302,MATCH($B1655,품목마스터!$A$3:$A$302,0)),""))</f>
        <v/>
      </c>
      <c r="E1655" s="12"/>
      <c r="F1655" s="10"/>
    </row>
    <row r="1656" customFormat="false" ht="15" hidden="false" customHeight="true" outlineLevel="0" collapsed="false">
      <c r="A1656" s="16"/>
      <c r="B1656" s="10"/>
      <c r="C1656" s="17" t="str">
        <f aca="false">IF($B1656="","",IFERROR(INDEX(품목마스터!$B$3:$B$302,MATCH($B1656,품목마스터!$A$3:$A$302,0)),"미등록품번"))</f>
        <v/>
      </c>
      <c r="D1656" s="17" t="str">
        <f aca="false">IF($B1656="","",IFERROR(INDEX(품목마스터!$D$3:$D$302,MATCH($B1656,품목마스터!$A$3:$A$302,0)),""))</f>
        <v/>
      </c>
      <c r="E1656" s="12"/>
      <c r="F1656" s="10"/>
    </row>
    <row r="1657" customFormat="false" ht="15" hidden="false" customHeight="true" outlineLevel="0" collapsed="false">
      <c r="A1657" s="16"/>
      <c r="B1657" s="10"/>
      <c r="C1657" s="17" t="str">
        <f aca="false">IF($B1657="","",IFERROR(INDEX(품목마스터!$B$3:$B$302,MATCH($B1657,품목마스터!$A$3:$A$302,0)),"미등록품번"))</f>
        <v/>
      </c>
      <c r="D1657" s="17" t="str">
        <f aca="false">IF($B1657="","",IFERROR(INDEX(품목마스터!$D$3:$D$302,MATCH($B1657,품목마스터!$A$3:$A$302,0)),""))</f>
        <v/>
      </c>
      <c r="E1657" s="12"/>
      <c r="F1657" s="10"/>
    </row>
    <row r="1658" customFormat="false" ht="15" hidden="false" customHeight="true" outlineLevel="0" collapsed="false">
      <c r="A1658" s="16"/>
      <c r="B1658" s="10"/>
      <c r="C1658" s="17" t="str">
        <f aca="false">IF($B1658="","",IFERROR(INDEX(품목마스터!$B$3:$B$302,MATCH($B1658,품목마스터!$A$3:$A$302,0)),"미등록품번"))</f>
        <v/>
      </c>
      <c r="D1658" s="17" t="str">
        <f aca="false">IF($B1658="","",IFERROR(INDEX(품목마스터!$D$3:$D$302,MATCH($B1658,품목마스터!$A$3:$A$302,0)),""))</f>
        <v/>
      </c>
      <c r="E1658" s="12"/>
      <c r="F1658" s="10"/>
    </row>
    <row r="1659" customFormat="false" ht="15" hidden="false" customHeight="true" outlineLevel="0" collapsed="false">
      <c r="A1659" s="16"/>
      <c r="B1659" s="10"/>
      <c r="C1659" s="17" t="str">
        <f aca="false">IF($B1659="","",IFERROR(INDEX(품목마스터!$B$3:$B$302,MATCH($B1659,품목마스터!$A$3:$A$302,0)),"미등록품번"))</f>
        <v/>
      </c>
      <c r="D1659" s="17" t="str">
        <f aca="false">IF($B1659="","",IFERROR(INDEX(품목마스터!$D$3:$D$302,MATCH($B1659,품목마스터!$A$3:$A$302,0)),""))</f>
        <v/>
      </c>
      <c r="E1659" s="12"/>
      <c r="F1659" s="10"/>
    </row>
    <row r="1660" customFormat="false" ht="15" hidden="false" customHeight="true" outlineLevel="0" collapsed="false">
      <c r="A1660" s="16"/>
      <c r="B1660" s="10"/>
      <c r="C1660" s="17" t="str">
        <f aca="false">IF($B1660="","",IFERROR(INDEX(품목마스터!$B$3:$B$302,MATCH($B1660,품목마스터!$A$3:$A$302,0)),"미등록품번"))</f>
        <v/>
      </c>
      <c r="D1660" s="17" t="str">
        <f aca="false">IF($B1660="","",IFERROR(INDEX(품목마스터!$D$3:$D$302,MATCH($B1660,품목마스터!$A$3:$A$302,0)),""))</f>
        <v/>
      </c>
      <c r="E1660" s="12"/>
      <c r="F1660" s="10"/>
    </row>
    <row r="1661" customFormat="false" ht="15" hidden="false" customHeight="true" outlineLevel="0" collapsed="false">
      <c r="A1661" s="16"/>
      <c r="B1661" s="10"/>
      <c r="C1661" s="17" t="str">
        <f aca="false">IF($B1661="","",IFERROR(INDEX(품목마스터!$B$3:$B$302,MATCH($B1661,품목마스터!$A$3:$A$302,0)),"미등록품번"))</f>
        <v/>
      </c>
      <c r="D1661" s="17" t="str">
        <f aca="false">IF($B1661="","",IFERROR(INDEX(품목마스터!$D$3:$D$302,MATCH($B1661,품목마스터!$A$3:$A$302,0)),""))</f>
        <v/>
      </c>
      <c r="E1661" s="12"/>
      <c r="F1661" s="10"/>
    </row>
    <row r="1662" customFormat="false" ht="15" hidden="false" customHeight="true" outlineLevel="0" collapsed="false">
      <c r="A1662" s="16"/>
      <c r="B1662" s="10"/>
      <c r="C1662" s="17" t="str">
        <f aca="false">IF($B1662="","",IFERROR(INDEX(품목마스터!$B$3:$B$302,MATCH($B1662,품목마스터!$A$3:$A$302,0)),"미등록품번"))</f>
        <v/>
      </c>
      <c r="D1662" s="17" t="str">
        <f aca="false">IF($B1662="","",IFERROR(INDEX(품목마스터!$D$3:$D$302,MATCH($B1662,품목마스터!$A$3:$A$302,0)),""))</f>
        <v/>
      </c>
      <c r="E1662" s="12"/>
      <c r="F1662" s="10"/>
    </row>
    <row r="1663" customFormat="false" ht="15" hidden="false" customHeight="true" outlineLevel="0" collapsed="false">
      <c r="A1663" s="16"/>
      <c r="B1663" s="10"/>
      <c r="C1663" s="17" t="str">
        <f aca="false">IF($B1663="","",IFERROR(INDEX(품목마스터!$B$3:$B$302,MATCH($B1663,품목마스터!$A$3:$A$302,0)),"미등록품번"))</f>
        <v/>
      </c>
      <c r="D1663" s="17" t="str">
        <f aca="false">IF($B1663="","",IFERROR(INDEX(품목마스터!$D$3:$D$302,MATCH($B1663,품목마스터!$A$3:$A$302,0)),""))</f>
        <v/>
      </c>
      <c r="E1663" s="12"/>
      <c r="F1663" s="10"/>
    </row>
    <row r="1664" customFormat="false" ht="15" hidden="false" customHeight="true" outlineLevel="0" collapsed="false">
      <c r="A1664" s="16"/>
      <c r="B1664" s="10"/>
      <c r="C1664" s="17" t="str">
        <f aca="false">IF($B1664="","",IFERROR(INDEX(품목마스터!$B$3:$B$302,MATCH($B1664,품목마스터!$A$3:$A$302,0)),"미등록품번"))</f>
        <v/>
      </c>
      <c r="D1664" s="17" t="str">
        <f aca="false">IF($B1664="","",IFERROR(INDEX(품목마스터!$D$3:$D$302,MATCH($B1664,품목마스터!$A$3:$A$302,0)),""))</f>
        <v/>
      </c>
      <c r="E1664" s="12"/>
      <c r="F1664" s="10"/>
    </row>
    <row r="1665" customFormat="false" ht="15" hidden="false" customHeight="true" outlineLevel="0" collapsed="false">
      <c r="A1665" s="16"/>
      <c r="B1665" s="10"/>
      <c r="C1665" s="17" t="str">
        <f aca="false">IF($B1665="","",IFERROR(INDEX(품목마스터!$B$3:$B$302,MATCH($B1665,품목마스터!$A$3:$A$302,0)),"미등록품번"))</f>
        <v/>
      </c>
      <c r="D1665" s="17" t="str">
        <f aca="false">IF($B1665="","",IFERROR(INDEX(품목마스터!$D$3:$D$302,MATCH($B1665,품목마스터!$A$3:$A$302,0)),""))</f>
        <v/>
      </c>
      <c r="E1665" s="12"/>
      <c r="F1665" s="10"/>
    </row>
    <row r="1666" customFormat="false" ht="15" hidden="false" customHeight="true" outlineLevel="0" collapsed="false">
      <c r="A1666" s="16"/>
      <c r="B1666" s="10"/>
      <c r="C1666" s="17" t="str">
        <f aca="false">IF($B1666="","",IFERROR(INDEX(품목마스터!$B$3:$B$302,MATCH($B1666,품목마스터!$A$3:$A$302,0)),"미등록품번"))</f>
        <v/>
      </c>
      <c r="D1666" s="17" t="str">
        <f aca="false">IF($B1666="","",IFERROR(INDEX(품목마스터!$D$3:$D$302,MATCH($B1666,품목마스터!$A$3:$A$302,0)),""))</f>
        <v/>
      </c>
      <c r="E1666" s="12"/>
      <c r="F1666" s="10"/>
    </row>
    <row r="1667" customFormat="false" ht="15" hidden="false" customHeight="true" outlineLevel="0" collapsed="false">
      <c r="A1667" s="16"/>
      <c r="B1667" s="10"/>
      <c r="C1667" s="17" t="str">
        <f aca="false">IF($B1667="","",IFERROR(INDEX(품목마스터!$B$3:$B$302,MATCH($B1667,품목마스터!$A$3:$A$302,0)),"미등록품번"))</f>
        <v/>
      </c>
      <c r="D1667" s="17" t="str">
        <f aca="false">IF($B1667="","",IFERROR(INDEX(품목마스터!$D$3:$D$302,MATCH($B1667,품목마스터!$A$3:$A$302,0)),""))</f>
        <v/>
      </c>
      <c r="E1667" s="12"/>
      <c r="F1667" s="10"/>
    </row>
    <row r="1668" customFormat="false" ht="15" hidden="false" customHeight="true" outlineLevel="0" collapsed="false">
      <c r="A1668" s="16"/>
      <c r="B1668" s="10"/>
      <c r="C1668" s="17" t="str">
        <f aca="false">IF($B1668="","",IFERROR(INDEX(품목마스터!$B$3:$B$302,MATCH($B1668,품목마스터!$A$3:$A$302,0)),"미등록품번"))</f>
        <v/>
      </c>
      <c r="D1668" s="17" t="str">
        <f aca="false">IF($B1668="","",IFERROR(INDEX(품목마스터!$D$3:$D$302,MATCH($B1668,품목마스터!$A$3:$A$302,0)),""))</f>
        <v/>
      </c>
      <c r="E1668" s="12"/>
      <c r="F1668" s="10"/>
    </row>
    <row r="1669" customFormat="false" ht="15" hidden="false" customHeight="true" outlineLevel="0" collapsed="false">
      <c r="A1669" s="16"/>
      <c r="B1669" s="10"/>
      <c r="C1669" s="17" t="str">
        <f aca="false">IF($B1669="","",IFERROR(INDEX(품목마스터!$B$3:$B$302,MATCH($B1669,품목마스터!$A$3:$A$302,0)),"미등록품번"))</f>
        <v/>
      </c>
      <c r="D1669" s="17" t="str">
        <f aca="false">IF($B1669="","",IFERROR(INDEX(품목마스터!$D$3:$D$302,MATCH($B1669,품목마스터!$A$3:$A$302,0)),""))</f>
        <v/>
      </c>
      <c r="E1669" s="12"/>
      <c r="F1669" s="10"/>
    </row>
    <row r="1670" customFormat="false" ht="15" hidden="false" customHeight="true" outlineLevel="0" collapsed="false">
      <c r="A1670" s="16"/>
      <c r="B1670" s="10"/>
      <c r="C1670" s="17" t="str">
        <f aca="false">IF($B1670="","",IFERROR(INDEX(품목마스터!$B$3:$B$302,MATCH($B1670,품목마스터!$A$3:$A$302,0)),"미등록품번"))</f>
        <v/>
      </c>
      <c r="D1670" s="17" t="str">
        <f aca="false">IF($B1670="","",IFERROR(INDEX(품목마스터!$D$3:$D$302,MATCH($B1670,품목마스터!$A$3:$A$302,0)),""))</f>
        <v/>
      </c>
      <c r="E1670" s="12"/>
      <c r="F1670" s="10"/>
    </row>
    <row r="1671" customFormat="false" ht="15" hidden="false" customHeight="true" outlineLevel="0" collapsed="false">
      <c r="A1671" s="16"/>
      <c r="B1671" s="10"/>
      <c r="C1671" s="17" t="str">
        <f aca="false">IF($B1671="","",IFERROR(INDEX(품목마스터!$B$3:$B$302,MATCH($B1671,품목마스터!$A$3:$A$302,0)),"미등록품번"))</f>
        <v/>
      </c>
      <c r="D1671" s="17" t="str">
        <f aca="false">IF($B1671="","",IFERROR(INDEX(품목마스터!$D$3:$D$302,MATCH($B1671,품목마스터!$A$3:$A$302,0)),""))</f>
        <v/>
      </c>
      <c r="E1671" s="12"/>
      <c r="F1671" s="10"/>
    </row>
    <row r="1672" customFormat="false" ht="15" hidden="false" customHeight="true" outlineLevel="0" collapsed="false">
      <c r="A1672" s="16"/>
      <c r="B1672" s="10"/>
      <c r="C1672" s="17" t="str">
        <f aca="false">IF($B1672="","",IFERROR(INDEX(품목마스터!$B$3:$B$302,MATCH($B1672,품목마스터!$A$3:$A$302,0)),"미등록품번"))</f>
        <v/>
      </c>
      <c r="D1672" s="17" t="str">
        <f aca="false">IF($B1672="","",IFERROR(INDEX(품목마스터!$D$3:$D$302,MATCH($B1672,품목마스터!$A$3:$A$302,0)),""))</f>
        <v/>
      </c>
      <c r="E1672" s="12"/>
      <c r="F1672" s="10"/>
    </row>
    <row r="1673" customFormat="false" ht="15" hidden="false" customHeight="true" outlineLevel="0" collapsed="false">
      <c r="A1673" s="16"/>
      <c r="B1673" s="10"/>
      <c r="C1673" s="17" t="str">
        <f aca="false">IF($B1673="","",IFERROR(INDEX(품목마스터!$B$3:$B$302,MATCH($B1673,품목마스터!$A$3:$A$302,0)),"미등록품번"))</f>
        <v/>
      </c>
      <c r="D1673" s="17" t="str">
        <f aca="false">IF($B1673="","",IFERROR(INDEX(품목마스터!$D$3:$D$302,MATCH($B1673,품목마스터!$A$3:$A$302,0)),""))</f>
        <v/>
      </c>
      <c r="E1673" s="12"/>
      <c r="F1673" s="10"/>
    </row>
    <row r="1674" customFormat="false" ht="15" hidden="false" customHeight="true" outlineLevel="0" collapsed="false">
      <c r="A1674" s="16"/>
      <c r="B1674" s="10"/>
      <c r="C1674" s="17" t="str">
        <f aca="false">IF($B1674="","",IFERROR(INDEX(품목마스터!$B$3:$B$302,MATCH($B1674,품목마스터!$A$3:$A$302,0)),"미등록품번"))</f>
        <v/>
      </c>
      <c r="D1674" s="17" t="str">
        <f aca="false">IF($B1674="","",IFERROR(INDEX(품목마스터!$D$3:$D$302,MATCH($B1674,품목마스터!$A$3:$A$302,0)),""))</f>
        <v/>
      </c>
      <c r="E1674" s="12"/>
      <c r="F1674" s="10"/>
    </row>
    <row r="1675" customFormat="false" ht="15" hidden="false" customHeight="true" outlineLevel="0" collapsed="false">
      <c r="A1675" s="16"/>
      <c r="B1675" s="10"/>
      <c r="C1675" s="17" t="str">
        <f aca="false">IF($B1675="","",IFERROR(INDEX(품목마스터!$B$3:$B$302,MATCH($B1675,품목마스터!$A$3:$A$302,0)),"미등록품번"))</f>
        <v/>
      </c>
      <c r="D1675" s="17" t="str">
        <f aca="false">IF($B1675="","",IFERROR(INDEX(품목마스터!$D$3:$D$302,MATCH($B1675,품목마스터!$A$3:$A$302,0)),""))</f>
        <v/>
      </c>
      <c r="E1675" s="12"/>
      <c r="F1675" s="10"/>
    </row>
    <row r="1676" customFormat="false" ht="15" hidden="false" customHeight="true" outlineLevel="0" collapsed="false">
      <c r="A1676" s="16"/>
      <c r="B1676" s="10"/>
      <c r="C1676" s="17" t="str">
        <f aca="false">IF($B1676="","",IFERROR(INDEX(품목마스터!$B$3:$B$302,MATCH($B1676,품목마스터!$A$3:$A$302,0)),"미등록품번"))</f>
        <v/>
      </c>
      <c r="D1676" s="17" t="str">
        <f aca="false">IF($B1676="","",IFERROR(INDEX(품목마스터!$D$3:$D$302,MATCH($B1676,품목마스터!$A$3:$A$302,0)),""))</f>
        <v/>
      </c>
      <c r="E1676" s="12"/>
      <c r="F1676" s="10"/>
    </row>
    <row r="1677" customFormat="false" ht="15" hidden="false" customHeight="true" outlineLevel="0" collapsed="false">
      <c r="A1677" s="16"/>
      <c r="B1677" s="10"/>
      <c r="C1677" s="17" t="str">
        <f aca="false">IF($B1677="","",IFERROR(INDEX(품목마스터!$B$3:$B$302,MATCH($B1677,품목마스터!$A$3:$A$302,0)),"미등록품번"))</f>
        <v/>
      </c>
      <c r="D1677" s="17" t="str">
        <f aca="false">IF($B1677="","",IFERROR(INDEX(품목마스터!$D$3:$D$302,MATCH($B1677,품목마스터!$A$3:$A$302,0)),""))</f>
        <v/>
      </c>
      <c r="E1677" s="12"/>
      <c r="F1677" s="10"/>
    </row>
    <row r="1678" customFormat="false" ht="15" hidden="false" customHeight="true" outlineLevel="0" collapsed="false">
      <c r="A1678" s="16"/>
      <c r="B1678" s="10"/>
      <c r="C1678" s="17" t="str">
        <f aca="false">IF($B1678="","",IFERROR(INDEX(품목마스터!$B$3:$B$302,MATCH($B1678,품목마스터!$A$3:$A$302,0)),"미등록품번"))</f>
        <v/>
      </c>
      <c r="D1678" s="17" t="str">
        <f aca="false">IF($B1678="","",IFERROR(INDEX(품목마스터!$D$3:$D$302,MATCH($B1678,품목마스터!$A$3:$A$302,0)),""))</f>
        <v/>
      </c>
      <c r="E1678" s="12"/>
      <c r="F1678" s="10"/>
    </row>
    <row r="1679" customFormat="false" ht="15" hidden="false" customHeight="true" outlineLevel="0" collapsed="false">
      <c r="A1679" s="16"/>
      <c r="B1679" s="10"/>
      <c r="C1679" s="17" t="str">
        <f aca="false">IF($B1679="","",IFERROR(INDEX(품목마스터!$B$3:$B$302,MATCH($B1679,품목마스터!$A$3:$A$302,0)),"미등록품번"))</f>
        <v/>
      </c>
      <c r="D1679" s="17" t="str">
        <f aca="false">IF($B1679="","",IFERROR(INDEX(품목마스터!$D$3:$D$302,MATCH($B1679,품목마스터!$A$3:$A$302,0)),""))</f>
        <v/>
      </c>
      <c r="E1679" s="12"/>
      <c r="F1679" s="10"/>
    </row>
    <row r="1680" customFormat="false" ht="15" hidden="false" customHeight="true" outlineLevel="0" collapsed="false">
      <c r="A1680" s="16"/>
      <c r="B1680" s="10"/>
      <c r="C1680" s="17" t="str">
        <f aca="false">IF($B1680="","",IFERROR(INDEX(품목마스터!$B$3:$B$302,MATCH($B1680,품목마스터!$A$3:$A$302,0)),"미등록품번"))</f>
        <v/>
      </c>
      <c r="D1680" s="17" t="str">
        <f aca="false">IF($B1680="","",IFERROR(INDEX(품목마스터!$D$3:$D$302,MATCH($B1680,품목마스터!$A$3:$A$302,0)),""))</f>
        <v/>
      </c>
      <c r="E1680" s="12"/>
      <c r="F1680" s="10"/>
    </row>
    <row r="1681" customFormat="false" ht="15" hidden="false" customHeight="true" outlineLevel="0" collapsed="false">
      <c r="A1681" s="16"/>
      <c r="B1681" s="10"/>
      <c r="C1681" s="17" t="str">
        <f aca="false">IF($B1681="","",IFERROR(INDEX(품목마스터!$B$3:$B$302,MATCH($B1681,품목마스터!$A$3:$A$302,0)),"미등록품번"))</f>
        <v/>
      </c>
      <c r="D1681" s="17" t="str">
        <f aca="false">IF($B1681="","",IFERROR(INDEX(품목마스터!$D$3:$D$302,MATCH($B1681,품목마스터!$A$3:$A$302,0)),""))</f>
        <v/>
      </c>
      <c r="E1681" s="12"/>
      <c r="F1681" s="10"/>
    </row>
    <row r="1682" customFormat="false" ht="15" hidden="false" customHeight="true" outlineLevel="0" collapsed="false">
      <c r="A1682" s="16"/>
      <c r="B1682" s="10"/>
      <c r="C1682" s="17" t="str">
        <f aca="false">IF($B1682="","",IFERROR(INDEX(품목마스터!$B$3:$B$302,MATCH($B1682,품목마스터!$A$3:$A$302,0)),"미등록품번"))</f>
        <v/>
      </c>
      <c r="D1682" s="17" t="str">
        <f aca="false">IF($B1682="","",IFERROR(INDEX(품목마스터!$D$3:$D$302,MATCH($B1682,품목마스터!$A$3:$A$302,0)),""))</f>
        <v/>
      </c>
      <c r="E1682" s="12"/>
      <c r="F1682" s="10"/>
    </row>
    <row r="1683" customFormat="false" ht="15" hidden="false" customHeight="true" outlineLevel="0" collapsed="false">
      <c r="A1683" s="16"/>
      <c r="B1683" s="10"/>
      <c r="C1683" s="17" t="str">
        <f aca="false">IF($B1683="","",IFERROR(INDEX(품목마스터!$B$3:$B$302,MATCH($B1683,품목마스터!$A$3:$A$302,0)),"미등록품번"))</f>
        <v/>
      </c>
      <c r="D1683" s="17" t="str">
        <f aca="false">IF($B1683="","",IFERROR(INDEX(품목마스터!$D$3:$D$302,MATCH($B1683,품목마스터!$A$3:$A$302,0)),""))</f>
        <v/>
      </c>
      <c r="E1683" s="12"/>
      <c r="F1683" s="10"/>
    </row>
    <row r="1684" customFormat="false" ht="15" hidden="false" customHeight="true" outlineLevel="0" collapsed="false">
      <c r="A1684" s="16"/>
      <c r="B1684" s="10"/>
      <c r="C1684" s="17" t="str">
        <f aca="false">IF($B1684="","",IFERROR(INDEX(품목마스터!$B$3:$B$302,MATCH($B1684,품목마스터!$A$3:$A$302,0)),"미등록품번"))</f>
        <v/>
      </c>
      <c r="D1684" s="17" t="str">
        <f aca="false">IF($B1684="","",IFERROR(INDEX(품목마스터!$D$3:$D$302,MATCH($B1684,품목마스터!$A$3:$A$302,0)),""))</f>
        <v/>
      </c>
      <c r="E1684" s="12"/>
      <c r="F1684" s="10"/>
    </row>
    <row r="1685" customFormat="false" ht="15" hidden="false" customHeight="true" outlineLevel="0" collapsed="false">
      <c r="A1685" s="16"/>
      <c r="B1685" s="10"/>
      <c r="C1685" s="17" t="str">
        <f aca="false">IF($B1685="","",IFERROR(INDEX(품목마스터!$B$3:$B$302,MATCH($B1685,품목마스터!$A$3:$A$302,0)),"미등록품번"))</f>
        <v/>
      </c>
      <c r="D1685" s="17" t="str">
        <f aca="false">IF($B1685="","",IFERROR(INDEX(품목마스터!$D$3:$D$302,MATCH($B1685,품목마스터!$A$3:$A$302,0)),""))</f>
        <v/>
      </c>
      <c r="E1685" s="12"/>
      <c r="F1685" s="10"/>
    </row>
    <row r="1686" customFormat="false" ht="15" hidden="false" customHeight="true" outlineLevel="0" collapsed="false">
      <c r="A1686" s="16"/>
      <c r="B1686" s="10"/>
      <c r="C1686" s="17" t="str">
        <f aca="false">IF($B1686="","",IFERROR(INDEX(품목마스터!$B$3:$B$302,MATCH($B1686,품목마스터!$A$3:$A$302,0)),"미등록품번"))</f>
        <v/>
      </c>
      <c r="D1686" s="17" t="str">
        <f aca="false">IF($B1686="","",IFERROR(INDEX(품목마스터!$D$3:$D$302,MATCH($B1686,품목마스터!$A$3:$A$302,0)),""))</f>
        <v/>
      </c>
      <c r="E1686" s="12"/>
      <c r="F1686" s="10"/>
    </row>
    <row r="1687" customFormat="false" ht="15" hidden="false" customHeight="true" outlineLevel="0" collapsed="false">
      <c r="A1687" s="16"/>
      <c r="B1687" s="10"/>
      <c r="C1687" s="17" t="str">
        <f aca="false">IF($B1687="","",IFERROR(INDEX(품목마스터!$B$3:$B$302,MATCH($B1687,품목마스터!$A$3:$A$302,0)),"미등록품번"))</f>
        <v/>
      </c>
      <c r="D1687" s="17" t="str">
        <f aca="false">IF($B1687="","",IFERROR(INDEX(품목마스터!$D$3:$D$302,MATCH($B1687,품목마스터!$A$3:$A$302,0)),""))</f>
        <v/>
      </c>
      <c r="E1687" s="12"/>
      <c r="F1687" s="10"/>
    </row>
    <row r="1688" customFormat="false" ht="15" hidden="false" customHeight="true" outlineLevel="0" collapsed="false">
      <c r="A1688" s="16"/>
      <c r="B1688" s="10"/>
      <c r="C1688" s="17" t="str">
        <f aca="false">IF($B1688="","",IFERROR(INDEX(품목마스터!$B$3:$B$302,MATCH($B1688,품목마스터!$A$3:$A$302,0)),"미등록품번"))</f>
        <v/>
      </c>
      <c r="D1688" s="17" t="str">
        <f aca="false">IF($B1688="","",IFERROR(INDEX(품목마스터!$D$3:$D$302,MATCH($B1688,품목마스터!$A$3:$A$302,0)),""))</f>
        <v/>
      </c>
      <c r="E1688" s="12"/>
      <c r="F1688" s="10"/>
    </row>
    <row r="1689" customFormat="false" ht="15" hidden="false" customHeight="true" outlineLevel="0" collapsed="false">
      <c r="A1689" s="16"/>
      <c r="B1689" s="10"/>
      <c r="C1689" s="17" t="str">
        <f aca="false">IF($B1689="","",IFERROR(INDEX(품목마스터!$B$3:$B$302,MATCH($B1689,품목마스터!$A$3:$A$302,0)),"미등록품번"))</f>
        <v/>
      </c>
      <c r="D1689" s="17" t="str">
        <f aca="false">IF($B1689="","",IFERROR(INDEX(품목마스터!$D$3:$D$302,MATCH($B1689,품목마스터!$A$3:$A$302,0)),""))</f>
        <v/>
      </c>
      <c r="E1689" s="12"/>
      <c r="F1689" s="10"/>
    </row>
    <row r="1690" customFormat="false" ht="15" hidden="false" customHeight="true" outlineLevel="0" collapsed="false">
      <c r="A1690" s="16"/>
      <c r="B1690" s="10"/>
      <c r="C1690" s="17" t="str">
        <f aca="false">IF($B1690="","",IFERROR(INDEX(품목마스터!$B$3:$B$302,MATCH($B1690,품목마스터!$A$3:$A$302,0)),"미등록품번"))</f>
        <v/>
      </c>
      <c r="D1690" s="17" t="str">
        <f aca="false">IF($B1690="","",IFERROR(INDEX(품목마스터!$D$3:$D$302,MATCH($B1690,품목마스터!$A$3:$A$302,0)),""))</f>
        <v/>
      </c>
      <c r="E1690" s="12"/>
      <c r="F1690" s="10"/>
    </row>
    <row r="1691" customFormat="false" ht="15" hidden="false" customHeight="true" outlineLevel="0" collapsed="false">
      <c r="A1691" s="16"/>
      <c r="B1691" s="10"/>
      <c r="C1691" s="17" t="str">
        <f aca="false">IF($B1691="","",IFERROR(INDEX(품목마스터!$B$3:$B$302,MATCH($B1691,품목마스터!$A$3:$A$302,0)),"미등록품번"))</f>
        <v/>
      </c>
      <c r="D1691" s="17" t="str">
        <f aca="false">IF($B1691="","",IFERROR(INDEX(품목마스터!$D$3:$D$302,MATCH($B1691,품목마스터!$A$3:$A$302,0)),""))</f>
        <v/>
      </c>
      <c r="E1691" s="12"/>
      <c r="F1691" s="10"/>
    </row>
    <row r="1692" customFormat="false" ht="15" hidden="false" customHeight="true" outlineLevel="0" collapsed="false">
      <c r="A1692" s="16"/>
      <c r="B1692" s="10"/>
      <c r="C1692" s="17" t="str">
        <f aca="false">IF($B1692="","",IFERROR(INDEX(품목마스터!$B$3:$B$302,MATCH($B1692,품목마스터!$A$3:$A$302,0)),"미등록품번"))</f>
        <v/>
      </c>
      <c r="D1692" s="17" t="str">
        <f aca="false">IF($B1692="","",IFERROR(INDEX(품목마스터!$D$3:$D$302,MATCH($B1692,품목마스터!$A$3:$A$302,0)),""))</f>
        <v/>
      </c>
      <c r="E1692" s="12"/>
      <c r="F1692" s="10"/>
    </row>
    <row r="1693" customFormat="false" ht="15" hidden="false" customHeight="true" outlineLevel="0" collapsed="false">
      <c r="A1693" s="16"/>
      <c r="B1693" s="10"/>
      <c r="C1693" s="17" t="str">
        <f aca="false">IF($B1693="","",IFERROR(INDEX(품목마스터!$B$3:$B$302,MATCH($B1693,품목마스터!$A$3:$A$302,0)),"미등록품번"))</f>
        <v/>
      </c>
      <c r="D1693" s="17" t="str">
        <f aca="false">IF($B1693="","",IFERROR(INDEX(품목마스터!$D$3:$D$302,MATCH($B1693,품목마스터!$A$3:$A$302,0)),""))</f>
        <v/>
      </c>
      <c r="E1693" s="12"/>
      <c r="F1693" s="10"/>
    </row>
    <row r="1694" customFormat="false" ht="15" hidden="false" customHeight="true" outlineLevel="0" collapsed="false">
      <c r="A1694" s="16"/>
      <c r="B1694" s="10"/>
      <c r="C1694" s="17" t="str">
        <f aca="false">IF($B1694="","",IFERROR(INDEX(품목마스터!$B$3:$B$302,MATCH($B1694,품목마스터!$A$3:$A$302,0)),"미등록품번"))</f>
        <v/>
      </c>
      <c r="D1694" s="17" t="str">
        <f aca="false">IF($B1694="","",IFERROR(INDEX(품목마스터!$D$3:$D$302,MATCH($B1694,품목마스터!$A$3:$A$302,0)),""))</f>
        <v/>
      </c>
      <c r="E1694" s="12"/>
      <c r="F1694" s="10"/>
    </row>
    <row r="1695" customFormat="false" ht="15" hidden="false" customHeight="true" outlineLevel="0" collapsed="false">
      <c r="A1695" s="16"/>
      <c r="B1695" s="10"/>
      <c r="C1695" s="17" t="str">
        <f aca="false">IF($B1695="","",IFERROR(INDEX(품목마스터!$B$3:$B$302,MATCH($B1695,품목마스터!$A$3:$A$302,0)),"미등록품번"))</f>
        <v/>
      </c>
      <c r="D1695" s="17" t="str">
        <f aca="false">IF($B1695="","",IFERROR(INDEX(품목마스터!$D$3:$D$302,MATCH($B1695,품목마스터!$A$3:$A$302,0)),""))</f>
        <v/>
      </c>
      <c r="E1695" s="12"/>
      <c r="F1695" s="10"/>
    </row>
    <row r="1696" customFormat="false" ht="15" hidden="false" customHeight="true" outlineLevel="0" collapsed="false">
      <c r="A1696" s="16"/>
      <c r="B1696" s="10"/>
      <c r="C1696" s="17" t="str">
        <f aca="false">IF($B1696="","",IFERROR(INDEX(품목마스터!$B$3:$B$302,MATCH($B1696,품목마스터!$A$3:$A$302,0)),"미등록품번"))</f>
        <v/>
      </c>
      <c r="D1696" s="17" t="str">
        <f aca="false">IF($B1696="","",IFERROR(INDEX(품목마스터!$D$3:$D$302,MATCH($B1696,품목마스터!$A$3:$A$302,0)),""))</f>
        <v/>
      </c>
      <c r="E1696" s="12"/>
      <c r="F1696" s="10"/>
    </row>
    <row r="1697" customFormat="false" ht="15" hidden="false" customHeight="true" outlineLevel="0" collapsed="false">
      <c r="A1697" s="16"/>
      <c r="B1697" s="10"/>
      <c r="C1697" s="17" t="str">
        <f aca="false">IF($B1697="","",IFERROR(INDEX(품목마스터!$B$3:$B$302,MATCH($B1697,품목마스터!$A$3:$A$302,0)),"미등록품번"))</f>
        <v/>
      </c>
      <c r="D1697" s="17" t="str">
        <f aca="false">IF($B1697="","",IFERROR(INDEX(품목마스터!$D$3:$D$302,MATCH($B1697,품목마스터!$A$3:$A$302,0)),""))</f>
        <v/>
      </c>
      <c r="E1697" s="12"/>
      <c r="F1697" s="10"/>
    </row>
    <row r="1698" customFormat="false" ht="15" hidden="false" customHeight="true" outlineLevel="0" collapsed="false">
      <c r="A1698" s="16"/>
      <c r="B1698" s="10"/>
      <c r="C1698" s="17" t="str">
        <f aca="false">IF($B1698="","",IFERROR(INDEX(품목마스터!$B$3:$B$302,MATCH($B1698,품목마스터!$A$3:$A$302,0)),"미등록품번"))</f>
        <v/>
      </c>
      <c r="D1698" s="17" t="str">
        <f aca="false">IF($B1698="","",IFERROR(INDEX(품목마스터!$D$3:$D$302,MATCH($B1698,품목마스터!$A$3:$A$302,0)),""))</f>
        <v/>
      </c>
      <c r="E1698" s="12"/>
      <c r="F1698" s="10"/>
    </row>
    <row r="1699" customFormat="false" ht="15" hidden="false" customHeight="true" outlineLevel="0" collapsed="false">
      <c r="A1699" s="16"/>
      <c r="B1699" s="10"/>
      <c r="C1699" s="17" t="str">
        <f aca="false">IF($B1699="","",IFERROR(INDEX(품목마스터!$B$3:$B$302,MATCH($B1699,품목마스터!$A$3:$A$302,0)),"미등록품번"))</f>
        <v/>
      </c>
      <c r="D1699" s="17" t="str">
        <f aca="false">IF($B1699="","",IFERROR(INDEX(품목마스터!$D$3:$D$302,MATCH($B1699,품목마스터!$A$3:$A$302,0)),""))</f>
        <v/>
      </c>
      <c r="E1699" s="12"/>
      <c r="F1699" s="10"/>
    </row>
    <row r="1700" customFormat="false" ht="15" hidden="false" customHeight="true" outlineLevel="0" collapsed="false">
      <c r="A1700" s="16"/>
      <c r="B1700" s="10"/>
      <c r="C1700" s="17" t="str">
        <f aca="false">IF($B1700="","",IFERROR(INDEX(품목마스터!$B$3:$B$302,MATCH($B1700,품목마스터!$A$3:$A$302,0)),"미등록품번"))</f>
        <v/>
      </c>
      <c r="D1700" s="17" t="str">
        <f aca="false">IF($B1700="","",IFERROR(INDEX(품목마스터!$D$3:$D$302,MATCH($B1700,품목마스터!$A$3:$A$302,0)),""))</f>
        <v/>
      </c>
      <c r="E1700" s="12"/>
      <c r="F1700" s="10"/>
    </row>
    <row r="1701" customFormat="false" ht="15" hidden="false" customHeight="true" outlineLevel="0" collapsed="false">
      <c r="A1701" s="16"/>
      <c r="B1701" s="10"/>
      <c r="C1701" s="17" t="str">
        <f aca="false">IF($B1701="","",IFERROR(INDEX(품목마스터!$B$3:$B$302,MATCH($B1701,품목마스터!$A$3:$A$302,0)),"미등록품번"))</f>
        <v/>
      </c>
      <c r="D1701" s="17" t="str">
        <f aca="false">IF($B1701="","",IFERROR(INDEX(품목마스터!$D$3:$D$302,MATCH($B1701,품목마스터!$A$3:$A$302,0)),""))</f>
        <v/>
      </c>
      <c r="E1701" s="12"/>
      <c r="F1701" s="10"/>
    </row>
    <row r="1702" customFormat="false" ht="15" hidden="false" customHeight="true" outlineLevel="0" collapsed="false">
      <c r="A1702" s="16"/>
      <c r="B1702" s="10"/>
      <c r="C1702" s="17" t="str">
        <f aca="false">IF($B1702="","",IFERROR(INDEX(품목마스터!$B$3:$B$302,MATCH($B1702,품목마스터!$A$3:$A$302,0)),"미등록품번"))</f>
        <v/>
      </c>
      <c r="D1702" s="17" t="str">
        <f aca="false">IF($B1702="","",IFERROR(INDEX(품목마스터!$D$3:$D$302,MATCH($B1702,품목마스터!$A$3:$A$302,0)),""))</f>
        <v/>
      </c>
      <c r="E1702" s="12"/>
      <c r="F1702" s="10"/>
    </row>
    <row r="1703" customFormat="false" ht="15" hidden="false" customHeight="true" outlineLevel="0" collapsed="false">
      <c r="A1703" s="16"/>
      <c r="B1703" s="10"/>
      <c r="C1703" s="17" t="str">
        <f aca="false">IF($B1703="","",IFERROR(INDEX(품목마스터!$B$3:$B$302,MATCH($B1703,품목마스터!$A$3:$A$302,0)),"미등록품번"))</f>
        <v/>
      </c>
      <c r="D1703" s="17" t="str">
        <f aca="false">IF($B1703="","",IFERROR(INDEX(품목마스터!$D$3:$D$302,MATCH($B1703,품목마스터!$A$3:$A$302,0)),""))</f>
        <v/>
      </c>
      <c r="E1703" s="12"/>
      <c r="F1703" s="10"/>
    </row>
    <row r="1704" customFormat="false" ht="15" hidden="false" customHeight="true" outlineLevel="0" collapsed="false">
      <c r="A1704" s="16"/>
      <c r="B1704" s="10"/>
      <c r="C1704" s="17" t="str">
        <f aca="false">IF($B1704="","",IFERROR(INDEX(품목마스터!$B$3:$B$302,MATCH($B1704,품목마스터!$A$3:$A$302,0)),"미등록품번"))</f>
        <v/>
      </c>
      <c r="D1704" s="17" t="str">
        <f aca="false">IF($B1704="","",IFERROR(INDEX(품목마스터!$D$3:$D$302,MATCH($B1704,품목마스터!$A$3:$A$302,0)),""))</f>
        <v/>
      </c>
      <c r="E1704" s="12"/>
      <c r="F1704" s="10"/>
    </row>
    <row r="1705" customFormat="false" ht="15" hidden="false" customHeight="true" outlineLevel="0" collapsed="false">
      <c r="A1705" s="16"/>
      <c r="B1705" s="10"/>
      <c r="C1705" s="17" t="str">
        <f aca="false">IF($B1705="","",IFERROR(INDEX(품목마스터!$B$3:$B$302,MATCH($B1705,품목마스터!$A$3:$A$302,0)),"미등록품번"))</f>
        <v/>
      </c>
      <c r="D1705" s="17" t="str">
        <f aca="false">IF($B1705="","",IFERROR(INDEX(품목마스터!$D$3:$D$302,MATCH($B1705,품목마스터!$A$3:$A$302,0)),""))</f>
        <v/>
      </c>
      <c r="E1705" s="12"/>
      <c r="F1705" s="10"/>
    </row>
    <row r="1706" customFormat="false" ht="15" hidden="false" customHeight="true" outlineLevel="0" collapsed="false">
      <c r="A1706" s="16"/>
      <c r="B1706" s="10"/>
      <c r="C1706" s="17" t="str">
        <f aca="false">IF($B1706="","",IFERROR(INDEX(품목마스터!$B$3:$B$302,MATCH($B1706,품목마스터!$A$3:$A$302,0)),"미등록품번"))</f>
        <v/>
      </c>
      <c r="D1706" s="17" t="str">
        <f aca="false">IF($B1706="","",IFERROR(INDEX(품목마스터!$D$3:$D$302,MATCH($B1706,품목마스터!$A$3:$A$302,0)),""))</f>
        <v/>
      </c>
      <c r="E1706" s="12"/>
      <c r="F1706" s="10"/>
    </row>
    <row r="1707" customFormat="false" ht="15" hidden="false" customHeight="true" outlineLevel="0" collapsed="false">
      <c r="A1707" s="16"/>
      <c r="B1707" s="10"/>
      <c r="C1707" s="17" t="str">
        <f aca="false">IF($B1707="","",IFERROR(INDEX(품목마스터!$B$3:$B$302,MATCH($B1707,품목마스터!$A$3:$A$302,0)),"미등록품번"))</f>
        <v/>
      </c>
      <c r="D1707" s="17" t="str">
        <f aca="false">IF($B1707="","",IFERROR(INDEX(품목마스터!$D$3:$D$302,MATCH($B1707,품목마스터!$A$3:$A$302,0)),""))</f>
        <v/>
      </c>
      <c r="E1707" s="12"/>
      <c r="F1707" s="10"/>
    </row>
    <row r="1708" customFormat="false" ht="15" hidden="false" customHeight="true" outlineLevel="0" collapsed="false">
      <c r="A1708" s="16"/>
      <c r="B1708" s="10"/>
      <c r="C1708" s="17" t="str">
        <f aca="false">IF($B1708="","",IFERROR(INDEX(품목마스터!$B$3:$B$302,MATCH($B1708,품목마스터!$A$3:$A$302,0)),"미등록품번"))</f>
        <v/>
      </c>
      <c r="D1708" s="17" t="str">
        <f aca="false">IF($B1708="","",IFERROR(INDEX(품목마스터!$D$3:$D$302,MATCH($B1708,품목마스터!$A$3:$A$302,0)),""))</f>
        <v/>
      </c>
      <c r="E1708" s="12"/>
      <c r="F1708" s="10"/>
    </row>
    <row r="1709" customFormat="false" ht="15" hidden="false" customHeight="true" outlineLevel="0" collapsed="false">
      <c r="A1709" s="16"/>
      <c r="B1709" s="10"/>
      <c r="C1709" s="17" t="str">
        <f aca="false">IF($B1709="","",IFERROR(INDEX(품목마스터!$B$3:$B$302,MATCH($B1709,품목마스터!$A$3:$A$302,0)),"미등록품번"))</f>
        <v/>
      </c>
      <c r="D1709" s="17" t="str">
        <f aca="false">IF($B1709="","",IFERROR(INDEX(품목마스터!$D$3:$D$302,MATCH($B1709,품목마스터!$A$3:$A$302,0)),""))</f>
        <v/>
      </c>
      <c r="E1709" s="12"/>
      <c r="F1709" s="10"/>
    </row>
    <row r="1710" customFormat="false" ht="15" hidden="false" customHeight="true" outlineLevel="0" collapsed="false">
      <c r="A1710" s="16"/>
      <c r="B1710" s="10"/>
      <c r="C1710" s="17" t="str">
        <f aca="false">IF($B1710="","",IFERROR(INDEX(품목마스터!$B$3:$B$302,MATCH($B1710,품목마스터!$A$3:$A$302,0)),"미등록품번"))</f>
        <v/>
      </c>
      <c r="D1710" s="17" t="str">
        <f aca="false">IF($B1710="","",IFERROR(INDEX(품목마스터!$D$3:$D$302,MATCH($B1710,품목마스터!$A$3:$A$302,0)),""))</f>
        <v/>
      </c>
      <c r="E1710" s="12"/>
      <c r="F1710" s="10"/>
    </row>
    <row r="1711" customFormat="false" ht="15" hidden="false" customHeight="true" outlineLevel="0" collapsed="false">
      <c r="A1711" s="16"/>
      <c r="B1711" s="10"/>
      <c r="C1711" s="17" t="str">
        <f aca="false">IF($B1711="","",IFERROR(INDEX(품목마스터!$B$3:$B$302,MATCH($B1711,품목마스터!$A$3:$A$302,0)),"미등록품번"))</f>
        <v/>
      </c>
      <c r="D1711" s="17" t="str">
        <f aca="false">IF($B1711="","",IFERROR(INDEX(품목마스터!$D$3:$D$302,MATCH($B1711,품목마스터!$A$3:$A$302,0)),""))</f>
        <v/>
      </c>
      <c r="E1711" s="12"/>
      <c r="F1711" s="10"/>
    </row>
    <row r="1712" customFormat="false" ht="15" hidden="false" customHeight="true" outlineLevel="0" collapsed="false">
      <c r="A1712" s="16"/>
      <c r="B1712" s="10"/>
      <c r="C1712" s="17" t="str">
        <f aca="false">IF($B1712="","",IFERROR(INDEX(품목마스터!$B$3:$B$302,MATCH($B1712,품목마스터!$A$3:$A$302,0)),"미등록품번"))</f>
        <v/>
      </c>
      <c r="D1712" s="17" t="str">
        <f aca="false">IF($B1712="","",IFERROR(INDEX(품목마스터!$D$3:$D$302,MATCH($B1712,품목마스터!$A$3:$A$302,0)),""))</f>
        <v/>
      </c>
      <c r="E1712" s="12"/>
      <c r="F1712" s="10"/>
    </row>
    <row r="1713" customFormat="false" ht="15" hidden="false" customHeight="true" outlineLevel="0" collapsed="false">
      <c r="A1713" s="16"/>
      <c r="B1713" s="10"/>
      <c r="C1713" s="17" t="str">
        <f aca="false">IF($B1713="","",IFERROR(INDEX(품목마스터!$B$3:$B$302,MATCH($B1713,품목마스터!$A$3:$A$302,0)),"미등록품번"))</f>
        <v/>
      </c>
      <c r="D1713" s="17" t="str">
        <f aca="false">IF($B1713="","",IFERROR(INDEX(품목마스터!$D$3:$D$302,MATCH($B1713,품목마스터!$A$3:$A$302,0)),""))</f>
        <v/>
      </c>
      <c r="E1713" s="12"/>
      <c r="F1713" s="10"/>
    </row>
    <row r="1714" customFormat="false" ht="15" hidden="false" customHeight="true" outlineLevel="0" collapsed="false">
      <c r="A1714" s="16"/>
      <c r="B1714" s="10"/>
      <c r="C1714" s="17" t="str">
        <f aca="false">IF($B1714="","",IFERROR(INDEX(품목마스터!$B$3:$B$302,MATCH($B1714,품목마스터!$A$3:$A$302,0)),"미등록품번"))</f>
        <v/>
      </c>
      <c r="D1714" s="17" t="str">
        <f aca="false">IF($B1714="","",IFERROR(INDEX(품목마스터!$D$3:$D$302,MATCH($B1714,품목마스터!$A$3:$A$302,0)),""))</f>
        <v/>
      </c>
      <c r="E1714" s="12"/>
      <c r="F1714" s="10"/>
    </row>
    <row r="1715" customFormat="false" ht="15" hidden="false" customHeight="true" outlineLevel="0" collapsed="false">
      <c r="A1715" s="16"/>
      <c r="B1715" s="10"/>
      <c r="C1715" s="17" t="str">
        <f aca="false">IF($B1715="","",IFERROR(INDEX(품목마스터!$B$3:$B$302,MATCH($B1715,품목마스터!$A$3:$A$302,0)),"미등록품번"))</f>
        <v/>
      </c>
      <c r="D1715" s="17" t="str">
        <f aca="false">IF($B1715="","",IFERROR(INDEX(품목마스터!$D$3:$D$302,MATCH($B1715,품목마스터!$A$3:$A$302,0)),""))</f>
        <v/>
      </c>
      <c r="E1715" s="12"/>
      <c r="F1715" s="10"/>
    </row>
    <row r="1716" customFormat="false" ht="15" hidden="false" customHeight="true" outlineLevel="0" collapsed="false">
      <c r="A1716" s="16"/>
      <c r="B1716" s="10"/>
      <c r="C1716" s="17" t="str">
        <f aca="false">IF($B1716="","",IFERROR(INDEX(품목마스터!$B$3:$B$302,MATCH($B1716,품목마스터!$A$3:$A$302,0)),"미등록품번"))</f>
        <v/>
      </c>
      <c r="D1716" s="17" t="str">
        <f aca="false">IF($B1716="","",IFERROR(INDEX(품목마스터!$D$3:$D$302,MATCH($B1716,품목마스터!$A$3:$A$302,0)),""))</f>
        <v/>
      </c>
      <c r="E1716" s="12"/>
      <c r="F1716" s="10"/>
    </row>
    <row r="1717" customFormat="false" ht="15" hidden="false" customHeight="true" outlineLevel="0" collapsed="false">
      <c r="A1717" s="16"/>
      <c r="B1717" s="10"/>
      <c r="C1717" s="17" t="str">
        <f aca="false">IF($B1717="","",IFERROR(INDEX(품목마스터!$B$3:$B$302,MATCH($B1717,품목마스터!$A$3:$A$302,0)),"미등록품번"))</f>
        <v/>
      </c>
      <c r="D1717" s="17" t="str">
        <f aca="false">IF($B1717="","",IFERROR(INDEX(품목마스터!$D$3:$D$302,MATCH($B1717,품목마스터!$A$3:$A$302,0)),""))</f>
        <v/>
      </c>
      <c r="E1717" s="12"/>
      <c r="F1717" s="10"/>
    </row>
    <row r="1718" customFormat="false" ht="15" hidden="false" customHeight="true" outlineLevel="0" collapsed="false">
      <c r="A1718" s="16"/>
      <c r="B1718" s="10"/>
      <c r="C1718" s="17" t="str">
        <f aca="false">IF($B1718="","",IFERROR(INDEX(품목마스터!$B$3:$B$302,MATCH($B1718,품목마스터!$A$3:$A$302,0)),"미등록품번"))</f>
        <v/>
      </c>
      <c r="D1718" s="17" t="str">
        <f aca="false">IF($B1718="","",IFERROR(INDEX(품목마스터!$D$3:$D$302,MATCH($B1718,품목마스터!$A$3:$A$302,0)),""))</f>
        <v/>
      </c>
      <c r="E1718" s="12"/>
      <c r="F1718" s="10"/>
    </row>
    <row r="1719" customFormat="false" ht="15" hidden="false" customHeight="true" outlineLevel="0" collapsed="false">
      <c r="A1719" s="16"/>
      <c r="B1719" s="10"/>
      <c r="C1719" s="17" t="str">
        <f aca="false">IF($B1719="","",IFERROR(INDEX(품목마스터!$B$3:$B$302,MATCH($B1719,품목마스터!$A$3:$A$302,0)),"미등록품번"))</f>
        <v/>
      </c>
      <c r="D1719" s="17" t="str">
        <f aca="false">IF($B1719="","",IFERROR(INDEX(품목마스터!$D$3:$D$302,MATCH($B1719,품목마스터!$A$3:$A$302,0)),""))</f>
        <v/>
      </c>
      <c r="E1719" s="12"/>
      <c r="F1719" s="10"/>
    </row>
    <row r="1720" customFormat="false" ht="15" hidden="false" customHeight="true" outlineLevel="0" collapsed="false">
      <c r="A1720" s="16"/>
      <c r="B1720" s="10"/>
      <c r="C1720" s="17" t="str">
        <f aca="false">IF($B1720="","",IFERROR(INDEX(품목마스터!$B$3:$B$302,MATCH($B1720,품목마스터!$A$3:$A$302,0)),"미등록품번"))</f>
        <v/>
      </c>
      <c r="D1720" s="17" t="str">
        <f aca="false">IF($B1720="","",IFERROR(INDEX(품목마스터!$D$3:$D$302,MATCH($B1720,품목마스터!$A$3:$A$302,0)),""))</f>
        <v/>
      </c>
      <c r="E1720" s="12"/>
      <c r="F1720" s="10"/>
    </row>
    <row r="1721" customFormat="false" ht="15" hidden="false" customHeight="true" outlineLevel="0" collapsed="false">
      <c r="A1721" s="16"/>
      <c r="B1721" s="10"/>
      <c r="C1721" s="17" t="str">
        <f aca="false">IF($B1721="","",IFERROR(INDEX(품목마스터!$B$3:$B$302,MATCH($B1721,품목마스터!$A$3:$A$302,0)),"미등록품번"))</f>
        <v/>
      </c>
      <c r="D1721" s="17" t="str">
        <f aca="false">IF($B1721="","",IFERROR(INDEX(품목마스터!$D$3:$D$302,MATCH($B1721,품목마스터!$A$3:$A$302,0)),""))</f>
        <v/>
      </c>
      <c r="E1721" s="12"/>
      <c r="F1721" s="10"/>
    </row>
    <row r="1722" customFormat="false" ht="15" hidden="false" customHeight="true" outlineLevel="0" collapsed="false">
      <c r="A1722" s="16"/>
      <c r="B1722" s="10"/>
      <c r="C1722" s="17" t="str">
        <f aca="false">IF($B1722="","",IFERROR(INDEX(품목마스터!$B$3:$B$302,MATCH($B1722,품목마스터!$A$3:$A$302,0)),"미등록품번"))</f>
        <v/>
      </c>
      <c r="D1722" s="17" t="str">
        <f aca="false">IF($B1722="","",IFERROR(INDEX(품목마스터!$D$3:$D$302,MATCH($B1722,품목마스터!$A$3:$A$302,0)),""))</f>
        <v/>
      </c>
      <c r="E1722" s="12"/>
      <c r="F1722" s="10"/>
    </row>
    <row r="1723" customFormat="false" ht="15" hidden="false" customHeight="true" outlineLevel="0" collapsed="false">
      <c r="A1723" s="16"/>
      <c r="B1723" s="10"/>
      <c r="C1723" s="17" t="str">
        <f aca="false">IF($B1723="","",IFERROR(INDEX(품목마스터!$B$3:$B$302,MATCH($B1723,품목마스터!$A$3:$A$302,0)),"미등록품번"))</f>
        <v/>
      </c>
      <c r="D1723" s="17" t="str">
        <f aca="false">IF($B1723="","",IFERROR(INDEX(품목마스터!$D$3:$D$302,MATCH($B1723,품목마스터!$A$3:$A$302,0)),""))</f>
        <v/>
      </c>
      <c r="E1723" s="12"/>
      <c r="F1723" s="10"/>
    </row>
    <row r="1724" customFormat="false" ht="15" hidden="false" customHeight="true" outlineLevel="0" collapsed="false">
      <c r="A1724" s="16"/>
      <c r="B1724" s="10"/>
      <c r="C1724" s="17" t="str">
        <f aca="false">IF($B1724="","",IFERROR(INDEX(품목마스터!$B$3:$B$302,MATCH($B1724,품목마스터!$A$3:$A$302,0)),"미등록품번"))</f>
        <v/>
      </c>
      <c r="D1724" s="17" t="str">
        <f aca="false">IF($B1724="","",IFERROR(INDEX(품목마스터!$D$3:$D$302,MATCH($B1724,품목마스터!$A$3:$A$302,0)),""))</f>
        <v/>
      </c>
      <c r="E1724" s="12"/>
      <c r="F1724" s="10"/>
    </row>
    <row r="1725" customFormat="false" ht="15" hidden="false" customHeight="true" outlineLevel="0" collapsed="false">
      <c r="A1725" s="16"/>
      <c r="B1725" s="10"/>
      <c r="C1725" s="17" t="str">
        <f aca="false">IF($B1725="","",IFERROR(INDEX(품목마스터!$B$3:$B$302,MATCH($B1725,품목마스터!$A$3:$A$302,0)),"미등록품번"))</f>
        <v/>
      </c>
      <c r="D1725" s="17" t="str">
        <f aca="false">IF($B1725="","",IFERROR(INDEX(품목마스터!$D$3:$D$302,MATCH($B1725,품목마스터!$A$3:$A$302,0)),""))</f>
        <v/>
      </c>
      <c r="E1725" s="12"/>
      <c r="F1725" s="10"/>
    </row>
    <row r="1726" customFormat="false" ht="15" hidden="false" customHeight="true" outlineLevel="0" collapsed="false">
      <c r="A1726" s="16"/>
      <c r="B1726" s="10"/>
      <c r="C1726" s="17" t="str">
        <f aca="false">IF($B1726="","",IFERROR(INDEX(품목마스터!$B$3:$B$302,MATCH($B1726,품목마스터!$A$3:$A$302,0)),"미등록품번"))</f>
        <v/>
      </c>
      <c r="D1726" s="17" t="str">
        <f aca="false">IF($B1726="","",IFERROR(INDEX(품목마스터!$D$3:$D$302,MATCH($B1726,품목마스터!$A$3:$A$302,0)),""))</f>
        <v/>
      </c>
      <c r="E1726" s="12"/>
      <c r="F1726" s="10"/>
    </row>
    <row r="1727" customFormat="false" ht="15" hidden="false" customHeight="true" outlineLevel="0" collapsed="false">
      <c r="A1727" s="16"/>
      <c r="B1727" s="10"/>
      <c r="C1727" s="17" t="str">
        <f aca="false">IF($B1727="","",IFERROR(INDEX(품목마스터!$B$3:$B$302,MATCH($B1727,품목마스터!$A$3:$A$302,0)),"미등록품번"))</f>
        <v/>
      </c>
      <c r="D1727" s="17" t="str">
        <f aca="false">IF($B1727="","",IFERROR(INDEX(품목마스터!$D$3:$D$302,MATCH($B1727,품목마스터!$A$3:$A$302,0)),""))</f>
        <v/>
      </c>
      <c r="E1727" s="12"/>
      <c r="F1727" s="10"/>
    </row>
    <row r="1728" customFormat="false" ht="15" hidden="false" customHeight="true" outlineLevel="0" collapsed="false">
      <c r="A1728" s="16"/>
      <c r="B1728" s="10"/>
      <c r="C1728" s="17" t="str">
        <f aca="false">IF($B1728="","",IFERROR(INDEX(품목마스터!$B$3:$B$302,MATCH($B1728,품목마스터!$A$3:$A$302,0)),"미등록품번"))</f>
        <v/>
      </c>
      <c r="D1728" s="17" t="str">
        <f aca="false">IF($B1728="","",IFERROR(INDEX(품목마스터!$D$3:$D$302,MATCH($B1728,품목마스터!$A$3:$A$302,0)),""))</f>
        <v/>
      </c>
      <c r="E1728" s="12"/>
      <c r="F1728" s="10"/>
    </row>
    <row r="1729" customFormat="false" ht="15" hidden="false" customHeight="true" outlineLevel="0" collapsed="false">
      <c r="A1729" s="16"/>
      <c r="B1729" s="10"/>
      <c r="C1729" s="17" t="str">
        <f aca="false">IF($B1729="","",IFERROR(INDEX(품목마스터!$B$3:$B$302,MATCH($B1729,품목마스터!$A$3:$A$302,0)),"미등록품번"))</f>
        <v/>
      </c>
      <c r="D1729" s="17" t="str">
        <f aca="false">IF($B1729="","",IFERROR(INDEX(품목마스터!$D$3:$D$302,MATCH($B1729,품목마스터!$A$3:$A$302,0)),""))</f>
        <v/>
      </c>
      <c r="E1729" s="12"/>
      <c r="F1729" s="10"/>
    </row>
    <row r="1730" customFormat="false" ht="15" hidden="false" customHeight="true" outlineLevel="0" collapsed="false">
      <c r="A1730" s="16"/>
      <c r="B1730" s="10"/>
      <c r="C1730" s="17" t="str">
        <f aca="false">IF($B1730="","",IFERROR(INDEX(품목마스터!$B$3:$B$302,MATCH($B1730,품목마스터!$A$3:$A$302,0)),"미등록품번"))</f>
        <v/>
      </c>
      <c r="D1730" s="17" t="str">
        <f aca="false">IF($B1730="","",IFERROR(INDEX(품목마스터!$D$3:$D$302,MATCH($B1730,품목마스터!$A$3:$A$302,0)),""))</f>
        <v/>
      </c>
      <c r="E1730" s="12"/>
      <c r="F1730" s="10"/>
    </row>
    <row r="1731" customFormat="false" ht="15" hidden="false" customHeight="true" outlineLevel="0" collapsed="false">
      <c r="A1731" s="16"/>
      <c r="B1731" s="10"/>
      <c r="C1731" s="17" t="str">
        <f aca="false">IF($B1731="","",IFERROR(INDEX(품목마스터!$B$3:$B$302,MATCH($B1731,품목마스터!$A$3:$A$302,0)),"미등록품번"))</f>
        <v/>
      </c>
      <c r="D1731" s="17" t="str">
        <f aca="false">IF($B1731="","",IFERROR(INDEX(품목마스터!$D$3:$D$302,MATCH($B1731,품목마스터!$A$3:$A$302,0)),""))</f>
        <v/>
      </c>
      <c r="E1731" s="12"/>
      <c r="F1731" s="10"/>
    </row>
    <row r="1732" customFormat="false" ht="15" hidden="false" customHeight="true" outlineLevel="0" collapsed="false">
      <c r="A1732" s="16"/>
      <c r="B1732" s="10"/>
      <c r="C1732" s="17" t="str">
        <f aca="false">IF($B1732="","",IFERROR(INDEX(품목마스터!$B$3:$B$302,MATCH($B1732,품목마스터!$A$3:$A$302,0)),"미등록품번"))</f>
        <v/>
      </c>
      <c r="D1732" s="17" t="str">
        <f aca="false">IF($B1732="","",IFERROR(INDEX(품목마스터!$D$3:$D$302,MATCH($B1732,품목마스터!$A$3:$A$302,0)),""))</f>
        <v/>
      </c>
      <c r="E1732" s="12"/>
      <c r="F1732" s="10"/>
    </row>
    <row r="1733" customFormat="false" ht="15" hidden="false" customHeight="true" outlineLevel="0" collapsed="false">
      <c r="A1733" s="16"/>
      <c r="B1733" s="10"/>
      <c r="C1733" s="17" t="str">
        <f aca="false">IF($B1733="","",IFERROR(INDEX(품목마스터!$B$3:$B$302,MATCH($B1733,품목마스터!$A$3:$A$302,0)),"미등록품번"))</f>
        <v/>
      </c>
      <c r="D1733" s="17" t="str">
        <f aca="false">IF($B1733="","",IFERROR(INDEX(품목마스터!$D$3:$D$302,MATCH($B1733,품목마스터!$A$3:$A$302,0)),""))</f>
        <v/>
      </c>
      <c r="E1733" s="12"/>
      <c r="F1733" s="10"/>
    </row>
    <row r="1734" customFormat="false" ht="15" hidden="false" customHeight="true" outlineLevel="0" collapsed="false">
      <c r="A1734" s="16"/>
      <c r="B1734" s="10"/>
      <c r="C1734" s="17" t="str">
        <f aca="false">IF($B1734="","",IFERROR(INDEX(품목마스터!$B$3:$B$302,MATCH($B1734,품목마스터!$A$3:$A$302,0)),"미등록품번"))</f>
        <v/>
      </c>
      <c r="D1734" s="17" t="str">
        <f aca="false">IF($B1734="","",IFERROR(INDEX(품목마스터!$D$3:$D$302,MATCH($B1734,품목마스터!$A$3:$A$302,0)),""))</f>
        <v/>
      </c>
      <c r="E1734" s="12"/>
      <c r="F1734" s="10"/>
    </row>
    <row r="1735" customFormat="false" ht="15" hidden="false" customHeight="true" outlineLevel="0" collapsed="false">
      <c r="A1735" s="16"/>
      <c r="B1735" s="10"/>
      <c r="C1735" s="17" t="str">
        <f aca="false">IF($B1735="","",IFERROR(INDEX(품목마스터!$B$3:$B$302,MATCH($B1735,품목마스터!$A$3:$A$302,0)),"미등록품번"))</f>
        <v/>
      </c>
      <c r="D1735" s="17" t="str">
        <f aca="false">IF($B1735="","",IFERROR(INDEX(품목마스터!$D$3:$D$302,MATCH($B1735,품목마스터!$A$3:$A$302,0)),""))</f>
        <v/>
      </c>
      <c r="E1735" s="12"/>
      <c r="F1735" s="10"/>
    </row>
    <row r="1736" customFormat="false" ht="15" hidden="false" customHeight="true" outlineLevel="0" collapsed="false">
      <c r="A1736" s="16"/>
      <c r="B1736" s="10"/>
      <c r="C1736" s="17" t="str">
        <f aca="false">IF($B1736="","",IFERROR(INDEX(품목마스터!$B$3:$B$302,MATCH($B1736,품목마스터!$A$3:$A$302,0)),"미등록품번"))</f>
        <v/>
      </c>
      <c r="D1736" s="17" t="str">
        <f aca="false">IF($B1736="","",IFERROR(INDEX(품목마스터!$D$3:$D$302,MATCH($B1736,품목마스터!$A$3:$A$302,0)),""))</f>
        <v/>
      </c>
      <c r="E1736" s="12"/>
      <c r="F1736" s="10"/>
    </row>
    <row r="1737" customFormat="false" ht="15" hidden="false" customHeight="true" outlineLevel="0" collapsed="false">
      <c r="A1737" s="16"/>
      <c r="B1737" s="10"/>
      <c r="C1737" s="17" t="str">
        <f aca="false">IF($B1737="","",IFERROR(INDEX(품목마스터!$B$3:$B$302,MATCH($B1737,품목마스터!$A$3:$A$302,0)),"미등록품번"))</f>
        <v/>
      </c>
      <c r="D1737" s="17" t="str">
        <f aca="false">IF($B1737="","",IFERROR(INDEX(품목마스터!$D$3:$D$302,MATCH($B1737,품목마스터!$A$3:$A$302,0)),""))</f>
        <v/>
      </c>
      <c r="E1737" s="12"/>
      <c r="F1737" s="10"/>
    </row>
    <row r="1738" customFormat="false" ht="15" hidden="false" customHeight="true" outlineLevel="0" collapsed="false">
      <c r="A1738" s="16"/>
      <c r="B1738" s="10"/>
      <c r="C1738" s="17" t="str">
        <f aca="false">IF($B1738="","",IFERROR(INDEX(품목마스터!$B$3:$B$302,MATCH($B1738,품목마스터!$A$3:$A$302,0)),"미등록품번"))</f>
        <v/>
      </c>
      <c r="D1738" s="17" t="str">
        <f aca="false">IF($B1738="","",IFERROR(INDEX(품목마스터!$D$3:$D$302,MATCH($B1738,품목마스터!$A$3:$A$302,0)),""))</f>
        <v/>
      </c>
      <c r="E1738" s="12"/>
      <c r="F1738" s="10"/>
    </row>
    <row r="1739" customFormat="false" ht="15" hidden="false" customHeight="true" outlineLevel="0" collapsed="false">
      <c r="A1739" s="16"/>
      <c r="B1739" s="10"/>
      <c r="C1739" s="17" t="str">
        <f aca="false">IF($B1739="","",IFERROR(INDEX(품목마스터!$B$3:$B$302,MATCH($B1739,품목마스터!$A$3:$A$302,0)),"미등록품번"))</f>
        <v/>
      </c>
      <c r="D1739" s="17" t="str">
        <f aca="false">IF($B1739="","",IFERROR(INDEX(품목마스터!$D$3:$D$302,MATCH($B1739,품목마스터!$A$3:$A$302,0)),""))</f>
        <v/>
      </c>
      <c r="E1739" s="12"/>
      <c r="F1739" s="10"/>
    </row>
    <row r="1740" customFormat="false" ht="15" hidden="false" customHeight="true" outlineLevel="0" collapsed="false">
      <c r="A1740" s="16"/>
      <c r="B1740" s="10"/>
      <c r="C1740" s="17" t="str">
        <f aca="false">IF($B1740="","",IFERROR(INDEX(품목마스터!$B$3:$B$302,MATCH($B1740,품목마스터!$A$3:$A$302,0)),"미등록품번"))</f>
        <v/>
      </c>
      <c r="D1740" s="17" t="str">
        <f aca="false">IF($B1740="","",IFERROR(INDEX(품목마스터!$D$3:$D$302,MATCH($B1740,품목마스터!$A$3:$A$302,0)),""))</f>
        <v/>
      </c>
      <c r="E1740" s="12"/>
      <c r="F1740" s="10"/>
    </row>
    <row r="1741" customFormat="false" ht="15" hidden="false" customHeight="true" outlineLevel="0" collapsed="false">
      <c r="A1741" s="16"/>
      <c r="B1741" s="10"/>
      <c r="C1741" s="17" t="str">
        <f aca="false">IF($B1741="","",IFERROR(INDEX(품목마스터!$B$3:$B$302,MATCH($B1741,품목마스터!$A$3:$A$302,0)),"미등록품번"))</f>
        <v/>
      </c>
      <c r="D1741" s="17" t="str">
        <f aca="false">IF($B1741="","",IFERROR(INDEX(품목마스터!$D$3:$D$302,MATCH($B1741,품목마스터!$A$3:$A$302,0)),""))</f>
        <v/>
      </c>
      <c r="E1741" s="12"/>
      <c r="F1741" s="10"/>
    </row>
    <row r="1742" customFormat="false" ht="15" hidden="false" customHeight="true" outlineLevel="0" collapsed="false">
      <c r="A1742" s="16"/>
      <c r="B1742" s="10"/>
      <c r="C1742" s="17" t="str">
        <f aca="false">IF($B1742="","",IFERROR(INDEX(품목마스터!$B$3:$B$302,MATCH($B1742,품목마스터!$A$3:$A$302,0)),"미등록품번"))</f>
        <v/>
      </c>
      <c r="D1742" s="17" t="str">
        <f aca="false">IF($B1742="","",IFERROR(INDEX(품목마스터!$D$3:$D$302,MATCH($B1742,품목마스터!$A$3:$A$302,0)),""))</f>
        <v/>
      </c>
      <c r="E1742" s="12"/>
      <c r="F1742" s="10"/>
    </row>
    <row r="1743" customFormat="false" ht="15" hidden="false" customHeight="true" outlineLevel="0" collapsed="false">
      <c r="A1743" s="16"/>
      <c r="B1743" s="10"/>
      <c r="C1743" s="17" t="str">
        <f aca="false">IF($B1743="","",IFERROR(INDEX(품목마스터!$B$3:$B$302,MATCH($B1743,품목마스터!$A$3:$A$302,0)),"미등록품번"))</f>
        <v/>
      </c>
      <c r="D1743" s="17" t="str">
        <f aca="false">IF($B1743="","",IFERROR(INDEX(품목마스터!$D$3:$D$302,MATCH($B1743,품목마스터!$A$3:$A$302,0)),""))</f>
        <v/>
      </c>
      <c r="E1743" s="12"/>
      <c r="F1743" s="10"/>
    </row>
    <row r="1744" customFormat="false" ht="15" hidden="false" customHeight="true" outlineLevel="0" collapsed="false">
      <c r="A1744" s="16"/>
      <c r="B1744" s="10"/>
      <c r="C1744" s="17" t="str">
        <f aca="false">IF($B1744="","",IFERROR(INDEX(품목마스터!$B$3:$B$302,MATCH($B1744,품목마스터!$A$3:$A$302,0)),"미등록품번"))</f>
        <v/>
      </c>
      <c r="D1744" s="17" t="str">
        <f aca="false">IF($B1744="","",IFERROR(INDEX(품목마스터!$D$3:$D$302,MATCH($B1744,품목마스터!$A$3:$A$302,0)),""))</f>
        <v/>
      </c>
      <c r="E1744" s="12"/>
      <c r="F1744" s="10"/>
    </row>
    <row r="1745" customFormat="false" ht="15" hidden="false" customHeight="true" outlineLevel="0" collapsed="false">
      <c r="A1745" s="16"/>
      <c r="B1745" s="10"/>
      <c r="C1745" s="17" t="str">
        <f aca="false">IF($B1745="","",IFERROR(INDEX(품목마스터!$B$3:$B$302,MATCH($B1745,품목마스터!$A$3:$A$302,0)),"미등록품번"))</f>
        <v/>
      </c>
      <c r="D1745" s="17" t="str">
        <f aca="false">IF($B1745="","",IFERROR(INDEX(품목마스터!$D$3:$D$302,MATCH($B1745,품목마스터!$A$3:$A$302,0)),""))</f>
        <v/>
      </c>
      <c r="E1745" s="12"/>
      <c r="F1745" s="10"/>
    </row>
    <row r="1746" customFormat="false" ht="15" hidden="false" customHeight="true" outlineLevel="0" collapsed="false">
      <c r="A1746" s="16"/>
      <c r="B1746" s="10"/>
      <c r="C1746" s="17" t="str">
        <f aca="false">IF($B1746="","",IFERROR(INDEX(품목마스터!$B$3:$B$302,MATCH($B1746,품목마스터!$A$3:$A$302,0)),"미등록품번"))</f>
        <v/>
      </c>
      <c r="D1746" s="17" t="str">
        <f aca="false">IF($B1746="","",IFERROR(INDEX(품목마스터!$D$3:$D$302,MATCH($B1746,품목마스터!$A$3:$A$302,0)),""))</f>
        <v/>
      </c>
      <c r="E1746" s="12"/>
      <c r="F1746" s="10"/>
    </row>
    <row r="1747" customFormat="false" ht="15" hidden="false" customHeight="true" outlineLevel="0" collapsed="false">
      <c r="A1747" s="16"/>
      <c r="B1747" s="10"/>
      <c r="C1747" s="17" t="str">
        <f aca="false">IF($B1747="","",IFERROR(INDEX(품목마스터!$B$3:$B$302,MATCH($B1747,품목마스터!$A$3:$A$302,0)),"미등록품번"))</f>
        <v/>
      </c>
      <c r="D1747" s="17" t="str">
        <f aca="false">IF($B1747="","",IFERROR(INDEX(품목마스터!$D$3:$D$302,MATCH($B1747,품목마스터!$A$3:$A$302,0)),""))</f>
        <v/>
      </c>
      <c r="E1747" s="12"/>
      <c r="F1747" s="10"/>
    </row>
    <row r="1748" customFormat="false" ht="15" hidden="false" customHeight="true" outlineLevel="0" collapsed="false">
      <c r="A1748" s="16"/>
      <c r="B1748" s="10"/>
      <c r="C1748" s="17" t="str">
        <f aca="false">IF($B1748="","",IFERROR(INDEX(품목마스터!$B$3:$B$302,MATCH($B1748,품목마스터!$A$3:$A$302,0)),"미등록품번"))</f>
        <v/>
      </c>
      <c r="D1748" s="17" t="str">
        <f aca="false">IF($B1748="","",IFERROR(INDEX(품목마스터!$D$3:$D$302,MATCH($B1748,품목마스터!$A$3:$A$302,0)),""))</f>
        <v/>
      </c>
      <c r="E1748" s="12"/>
      <c r="F1748" s="10"/>
    </row>
    <row r="1749" customFormat="false" ht="15" hidden="false" customHeight="true" outlineLevel="0" collapsed="false">
      <c r="A1749" s="16"/>
      <c r="B1749" s="10"/>
      <c r="C1749" s="17" t="str">
        <f aca="false">IF($B1749="","",IFERROR(INDEX(품목마스터!$B$3:$B$302,MATCH($B1749,품목마스터!$A$3:$A$302,0)),"미등록품번"))</f>
        <v/>
      </c>
      <c r="D1749" s="17" t="str">
        <f aca="false">IF($B1749="","",IFERROR(INDEX(품목마스터!$D$3:$D$302,MATCH($B1749,품목마스터!$A$3:$A$302,0)),""))</f>
        <v/>
      </c>
      <c r="E1749" s="12"/>
      <c r="F1749" s="10"/>
    </row>
    <row r="1750" customFormat="false" ht="15" hidden="false" customHeight="true" outlineLevel="0" collapsed="false">
      <c r="A1750" s="16"/>
      <c r="B1750" s="10"/>
      <c r="C1750" s="17" t="str">
        <f aca="false">IF($B1750="","",IFERROR(INDEX(품목마스터!$B$3:$B$302,MATCH($B1750,품목마스터!$A$3:$A$302,0)),"미등록품번"))</f>
        <v/>
      </c>
      <c r="D1750" s="17" t="str">
        <f aca="false">IF($B1750="","",IFERROR(INDEX(품목마스터!$D$3:$D$302,MATCH($B1750,품목마스터!$A$3:$A$302,0)),""))</f>
        <v/>
      </c>
      <c r="E1750" s="12"/>
      <c r="F1750" s="10"/>
    </row>
    <row r="1751" customFormat="false" ht="15" hidden="false" customHeight="true" outlineLevel="0" collapsed="false">
      <c r="A1751" s="16"/>
      <c r="B1751" s="10"/>
      <c r="C1751" s="17" t="str">
        <f aca="false">IF($B1751="","",IFERROR(INDEX(품목마스터!$B$3:$B$302,MATCH($B1751,품목마스터!$A$3:$A$302,0)),"미등록품번"))</f>
        <v/>
      </c>
      <c r="D1751" s="17" t="str">
        <f aca="false">IF($B1751="","",IFERROR(INDEX(품목마스터!$D$3:$D$302,MATCH($B1751,품목마스터!$A$3:$A$302,0)),""))</f>
        <v/>
      </c>
      <c r="E1751" s="12"/>
      <c r="F1751" s="10"/>
    </row>
    <row r="1752" customFormat="false" ht="15" hidden="false" customHeight="true" outlineLevel="0" collapsed="false">
      <c r="A1752" s="16"/>
      <c r="B1752" s="10"/>
      <c r="C1752" s="17" t="str">
        <f aca="false">IF($B1752="","",IFERROR(INDEX(품목마스터!$B$3:$B$302,MATCH($B1752,품목마스터!$A$3:$A$302,0)),"미등록품번"))</f>
        <v/>
      </c>
      <c r="D1752" s="17" t="str">
        <f aca="false">IF($B1752="","",IFERROR(INDEX(품목마스터!$D$3:$D$302,MATCH($B1752,품목마스터!$A$3:$A$302,0)),""))</f>
        <v/>
      </c>
      <c r="E1752" s="12"/>
      <c r="F1752" s="10"/>
    </row>
    <row r="1753" customFormat="false" ht="15" hidden="false" customHeight="true" outlineLevel="0" collapsed="false">
      <c r="A1753" s="16"/>
      <c r="B1753" s="10"/>
      <c r="C1753" s="17" t="str">
        <f aca="false">IF($B1753="","",IFERROR(INDEX(품목마스터!$B$3:$B$302,MATCH($B1753,품목마스터!$A$3:$A$302,0)),"미등록품번"))</f>
        <v/>
      </c>
      <c r="D1753" s="17" t="str">
        <f aca="false">IF($B1753="","",IFERROR(INDEX(품목마스터!$D$3:$D$302,MATCH($B1753,품목마스터!$A$3:$A$302,0)),""))</f>
        <v/>
      </c>
      <c r="E1753" s="12"/>
      <c r="F1753" s="10"/>
    </row>
    <row r="1754" customFormat="false" ht="15" hidden="false" customHeight="true" outlineLevel="0" collapsed="false">
      <c r="A1754" s="16"/>
      <c r="B1754" s="10"/>
      <c r="C1754" s="17" t="str">
        <f aca="false">IF($B1754="","",IFERROR(INDEX(품목마스터!$B$3:$B$302,MATCH($B1754,품목마스터!$A$3:$A$302,0)),"미등록품번"))</f>
        <v/>
      </c>
      <c r="D1754" s="17" t="str">
        <f aca="false">IF($B1754="","",IFERROR(INDEX(품목마스터!$D$3:$D$302,MATCH($B1754,품목마스터!$A$3:$A$302,0)),""))</f>
        <v/>
      </c>
      <c r="E1754" s="12"/>
      <c r="F1754" s="10"/>
    </row>
    <row r="1755" customFormat="false" ht="15" hidden="false" customHeight="true" outlineLevel="0" collapsed="false">
      <c r="A1755" s="16"/>
      <c r="B1755" s="10"/>
      <c r="C1755" s="17" t="str">
        <f aca="false">IF($B1755="","",IFERROR(INDEX(품목마스터!$B$3:$B$302,MATCH($B1755,품목마스터!$A$3:$A$302,0)),"미등록품번"))</f>
        <v/>
      </c>
      <c r="D1755" s="17" t="str">
        <f aca="false">IF($B1755="","",IFERROR(INDEX(품목마스터!$D$3:$D$302,MATCH($B1755,품목마스터!$A$3:$A$302,0)),""))</f>
        <v/>
      </c>
      <c r="E1755" s="12"/>
      <c r="F1755" s="10"/>
    </row>
    <row r="1756" customFormat="false" ht="15" hidden="false" customHeight="true" outlineLevel="0" collapsed="false">
      <c r="A1756" s="16"/>
      <c r="B1756" s="10"/>
      <c r="C1756" s="17" t="str">
        <f aca="false">IF($B1756="","",IFERROR(INDEX(품목마스터!$B$3:$B$302,MATCH($B1756,품목마스터!$A$3:$A$302,0)),"미등록품번"))</f>
        <v/>
      </c>
      <c r="D1756" s="17" t="str">
        <f aca="false">IF($B1756="","",IFERROR(INDEX(품목마스터!$D$3:$D$302,MATCH($B1756,품목마스터!$A$3:$A$302,0)),""))</f>
        <v/>
      </c>
      <c r="E1756" s="12"/>
      <c r="F1756" s="10"/>
    </row>
    <row r="1757" customFormat="false" ht="15" hidden="false" customHeight="true" outlineLevel="0" collapsed="false">
      <c r="A1757" s="16"/>
      <c r="B1757" s="10"/>
      <c r="C1757" s="17" t="str">
        <f aca="false">IF($B1757="","",IFERROR(INDEX(품목마스터!$B$3:$B$302,MATCH($B1757,품목마스터!$A$3:$A$302,0)),"미등록품번"))</f>
        <v/>
      </c>
      <c r="D1757" s="17" t="str">
        <f aca="false">IF($B1757="","",IFERROR(INDEX(품목마스터!$D$3:$D$302,MATCH($B1757,품목마스터!$A$3:$A$302,0)),""))</f>
        <v/>
      </c>
      <c r="E1757" s="12"/>
      <c r="F1757" s="10"/>
    </row>
    <row r="1758" customFormat="false" ht="15" hidden="false" customHeight="true" outlineLevel="0" collapsed="false">
      <c r="A1758" s="16"/>
      <c r="B1758" s="10"/>
      <c r="C1758" s="17" t="str">
        <f aca="false">IF($B1758="","",IFERROR(INDEX(품목마스터!$B$3:$B$302,MATCH($B1758,품목마스터!$A$3:$A$302,0)),"미등록품번"))</f>
        <v/>
      </c>
      <c r="D1758" s="17" t="str">
        <f aca="false">IF($B1758="","",IFERROR(INDEX(품목마스터!$D$3:$D$302,MATCH($B1758,품목마스터!$A$3:$A$302,0)),""))</f>
        <v/>
      </c>
      <c r="E1758" s="12"/>
      <c r="F1758" s="10"/>
    </row>
    <row r="1759" customFormat="false" ht="15" hidden="false" customHeight="true" outlineLevel="0" collapsed="false">
      <c r="A1759" s="16"/>
      <c r="B1759" s="10"/>
      <c r="C1759" s="17" t="str">
        <f aca="false">IF($B1759="","",IFERROR(INDEX(품목마스터!$B$3:$B$302,MATCH($B1759,품목마스터!$A$3:$A$302,0)),"미등록품번"))</f>
        <v/>
      </c>
      <c r="D1759" s="17" t="str">
        <f aca="false">IF($B1759="","",IFERROR(INDEX(품목마스터!$D$3:$D$302,MATCH($B1759,품목마스터!$A$3:$A$302,0)),""))</f>
        <v/>
      </c>
      <c r="E1759" s="12"/>
      <c r="F1759" s="10"/>
    </row>
    <row r="1760" customFormat="false" ht="15" hidden="false" customHeight="true" outlineLevel="0" collapsed="false">
      <c r="A1760" s="16"/>
      <c r="B1760" s="10"/>
      <c r="C1760" s="17" t="str">
        <f aca="false">IF($B1760="","",IFERROR(INDEX(품목마스터!$B$3:$B$302,MATCH($B1760,품목마스터!$A$3:$A$302,0)),"미등록품번"))</f>
        <v/>
      </c>
      <c r="D1760" s="17" t="str">
        <f aca="false">IF($B1760="","",IFERROR(INDEX(품목마스터!$D$3:$D$302,MATCH($B1760,품목마스터!$A$3:$A$302,0)),""))</f>
        <v/>
      </c>
      <c r="E1760" s="12"/>
      <c r="F1760" s="10"/>
    </row>
    <row r="1761" customFormat="false" ht="15" hidden="false" customHeight="true" outlineLevel="0" collapsed="false">
      <c r="A1761" s="16"/>
      <c r="B1761" s="10"/>
      <c r="C1761" s="17" t="str">
        <f aca="false">IF($B1761="","",IFERROR(INDEX(품목마스터!$B$3:$B$302,MATCH($B1761,품목마스터!$A$3:$A$302,0)),"미등록품번"))</f>
        <v/>
      </c>
      <c r="D1761" s="17" t="str">
        <f aca="false">IF($B1761="","",IFERROR(INDEX(품목마스터!$D$3:$D$302,MATCH($B1761,품목마스터!$A$3:$A$302,0)),""))</f>
        <v/>
      </c>
      <c r="E1761" s="12"/>
      <c r="F1761" s="10"/>
    </row>
    <row r="1762" customFormat="false" ht="15" hidden="false" customHeight="true" outlineLevel="0" collapsed="false">
      <c r="A1762" s="16"/>
      <c r="B1762" s="10"/>
      <c r="C1762" s="17" t="str">
        <f aca="false">IF($B1762="","",IFERROR(INDEX(품목마스터!$B$3:$B$302,MATCH($B1762,품목마스터!$A$3:$A$302,0)),"미등록품번"))</f>
        <v/>
      </c>
      <c r="D1762" s="17" t="str">
        <f aca="false">IF($B1762="","",IFERROR(INDEX(품목마스터!$D$3:$D$302,MATCH($B1762,품목마스터!$A$3:$A$302,0)),""))</f>
        <v/>
      </c>
      <c r="E1762" s="12"/>
      <c r="F1762" s="10"/>
    </row>
    <row r="1763" customFormat="false" ht="15" hidden="false" customHeight="true" outlineLevel="0" collapsed="false">
      <c r="A1763" s="16"/>
      <c r="B1763" s="10"/>
      <c r="C1763" s="17" t="str">
        <f aca="false">IF($B1763="","",IFERROR(INDEX(품목마스터!$B$3:$B$302,MATCH($B1763,품목마스터!$A$3:$A$302,0)),"미등록품번"))</f>
        <v/>
      </c>
      <c r="D1763" s="17" t="str">
        <f aca="false">IF($B1763="","",IFERROR(INDEX(품목마스터!$D$3:$D$302,MATCH($B1763,품목마스터!$A$3:$A$302,0)),""))</f>
        <v/>
      </c>
      <c r="E1763" s="12"/>
      <c r="F1763" s="10"/>
    </row>
    <row r="1764" customFormat="false" ht="15" hidden="false" customHeight="true" outlineLevel="0" collapsed="false">
      <c r="A1764" s="16"/>
      <c r="B1764" s="10"/>
      <c r="C1764" s="17" t="str">
        <f aca="false">IF($B1764="","",IFERROR(INDEX(품목마스터!$B$3:$B$302,MATCH($B1764,품목마스터!$A$3:$A$302,0)),"미등록품번"))</f>
        <v/>
      </c>
      <c r="D1764" s="17" t="str">
        <f aca="false">IF($B1764="","",IFERROR(INDEX(품목마스터!$D$3:$D$302,MATCH($B1764,품목마스터!$A$3:$A$302,0)),""))</f>
        <v/>
      </c>
      <c r="E1764" s="12"/>
      <c r="F1764" s="10"/>
    </row>
    <row r="1765" customFormat="false" ht="15" hidden="false" customHeight="true" outlineLevel="0" collapsed="false">
      <c r="A1765" s="16"/>
      <c r="B1765" s="10"/>
      <c r="C1765" s="17" t="str">
        <f aca="false">IF($B1765="","",IFERROR(INDEX(품목마스터!$B$3:$B$302,MATCH($B1765,품목마스터!$A$3:$A$302,0)),"미등록품번"))</f>
        <v/>
      </c>
      <c r="D1765" s="17" t="str">
        <f aca="false">IF($B1765="","",IFERROR(INDEX(품목마스터!$D$3:$D$302,MATCH($B1765,품목마스터!$A$3:$A$302,0)),""))</f>
        <v/>
      </c>
      <c r="E1765" s="12"/>
      <c r="F1765" s="10"/>
    </row>
    <row r="1766" customFormat="false" ht="15" hidden="false" customHeight="true" outlineLevel="0" collapsed="false">
      <c r="A1766" s="16"/>
      <c r="B1766" s="10"/>
      <c r="C1766" s="17" t="str">
        <f aca="false">IF($B1766="","",IFERROR(INDEX(품목마스터!$B$3:$B$302,MATCH($B1766,품목마스터!$A$3:$A$302,0)),"미등록품번"))</f>
        <v/>
      </c>
      <c r="D1766" s="17" t="str">
        <f aca="false">IF($B1766="","",IFERROR(INDEX(품목마스터!$D$3:$D$302,MATCH($B1766,품목마스터!$A$3:$A$302,0)),""))</f>
        <v/>
      </c>
      <c r="E1766" s="12"/>
      <c r="F1766" s="10"/>
    </row>
    <row r="1767" customFormat="false" ht="15" hidden="false" customHeight="true" outlineLevel="0" collapsed="false">
      <c r="A1767" s="16"/>
      <c r="B1767" s="10"/>
      <c r="C1767" s="17" t="str">
        <f aca="false">IF($B1767="","",IFERROR(INDEX(품목마스터!$B$3:$B$302,MATCH($B1767,품목마스터!$A$3:$A$302,0)),"미등록품번"))</f>
        <v/>
      </c>
      <c r="D1767" s="17" t="str">
        <f aca="false">IF($B1767="","",IFERROR(INDEX(품목마스터!$D$3:$D$302,MATCH($B1767,품목마스터!$A$3:$A$302,0)),""))</f>
        <v/>
      </c>
      <c r="E1767" s="12"/>
      <c r="F1767" s="10"/>
    </row>
    <row r="1768" customFormat="false" ht="15" hidden="false" customHeight="true" outlineLevel="0" collapsed="false">
      <c r="A1768" s="16"/>
      <c r="B1768" s="10"/>
      <c r="C1768" s="17" t="str">
        <f aca="false">IF($B1768="","",IFERROR(INDEX(품목마스터!$B$3:$B$302,MATCH($B1768,품목마스터!$A$3:$A$302,0)),"미등록품번"))</f>
        <v/>
      </c>
      <c r="D1768" s="17" t="str">
        <f aca="false">IF($B1768="","",IFERROR(INDEX(품목마스터!$D$3:$D$302,MATCH($B1768,품목마스터!$A$3:$A$302,0)),""))</f>
        <v/>
      </c>
      <c r="E1768" s="12"/>
      <c r="F1768" s="10"/>
    </row>
    <row r="1769" customFormat="false" ht="15" hidden="false" customHeight="true" outlineLevel="0" collapsed="false">
      <c r="A1769" s="16"/>
      <c r="B1769" s="10"/>
      <c r="C1769" s="17" t="str">
        <f aca="false">IF($B1769="","",IFERROR(INDEX(품목마스터!$B$3:$B$302,MATCH($B1769,품목마스터!$A$3:$A$302,0)),"미등록품번"))</f>
        <v/>
      </c>
      <c r="D1769" s="17" t="str">
        <f aca="false">IF($B1769="","",IFERROR(INDEX(품목마스터!$D$3:$D$302,MATCH($B1769,품목마스터!$A$3:$A$302,0)),""))</f>
        <v/>
      </c>
      <c r="E1769" s="12"/>
      <c r="F1769" s="10"/>
    </row>
    <row r="1770" customFormat="false" ht="15" hidden="false" customHeight="true" outlineLevel="0" collapsed="false">
      <c r="A1770" s="16"/>
      <c r="B1770" s="10"/>
      <c r="C1770" s="17" t="str">
        <f aca="false">IF($B1770="","",IFERROR(INDEX(품목마스터!$B$3:$B$302,MATCH($B1770,품목마스터!$A$3:$A$302,0)),"미등록품번"))</f>
        <v/>
      </c>
      <c r="D1770" s="17" t="str">
        <f aca="false">IF($B1770="","",IFERROR(INDEX(품목마스터!$D$3:$D$302,MATCH($B1770,품목마스터!$A$3:$A$302,0)),""))</f>
        <v/>
      </c>
      <c r="E1770" s="12"/>
      <c r="F1770" s="10"/>
    </row>
    <row r="1771" customFormat="false" ht="15" hidden="false" customHeight="true" outlineLevel="0" collapsed="false">
      <c r="A1771" s="16"/>
      <c r="B1771" s="10"/>
      <c r="C1771" s="17" t="str">
        <f aca="false">IF($B1771="","",IFERROR(INDEX(품목마스터!$B$3:$B$302,MATCH($B1771,품목마스터!$A$3:$A$302,0)),"미등록품번"))</f>
        <v/>
      </c>
      <c r="D1771" s="17" t="str">
        <f aca="false">IF($B1771="","",IFERROR(INDEX(품목마스터!$D$3:$D$302,MATCH($B1771,품목마스터!$A$3:$A$302,0)),""))</f>
        <v/>
      </c>
      <c r="E1771" s="12"/>
      <c r="F1771" s="10"/>
    </row>
    <row r="1772" customFormat="false" ht="15" hidden="false" customHeight="true" outlineLevel="0" collapsed="false">
      <c r="A1772" s="16"/>
      <c r="B1772" s="10"/>
      <c r="C1772" s="17" t="str">
        <f aca="false">IF($B1772="","",IFERROR(INDEX(품목마스터!$B$3:$B$302,MATCH($B1772,품목마스터!$A$3:$A$302,0)),"미등록품번"))</f>
        <v/>
      </c>
      <c r="D1772" s="17" t="str">
        <f aca="false">IF($B1772="","",IFERROR(INDEX(품목마스터!$D$3:$D$302,MATCH($B1772,품목마스터!$A$3:$A$302,0)),""))</f>
        <v/>
      </c>
      <c r="E1772" s="12"/>
      <c r="F1772" s="10"/>
    </row>
    <row r="1773" customFormat="false" ht="15" hidden="false" customHeight="true" outlineLevel="0" collapsed="false">
      <c r="A1773" s="16"/>
      <c r="B1773" s="10"/>
      <c r="C1773" s="17" t="str">
        <f aca="false">IF($B1773="","",IFERROR(INDEX(품목마스터!$B$3:$B$302,MATCH($B1773,품목마스터!$A$3:$A$302,0)),"미등록품번"))</f>
        <v/>
      </c>
      <c r="D1773" s="17" t="str">
        <f aca="false">IF($B1773="","",IFERROR(INDEX(품목마스터!$D$3:$D$302,MATCH($B1773,품목마스터!$A$3:$A$302,0)),""))</f>
        <v/>
      </c>
      <c r="E1773" s="12"/>
      <c r="F1773" s="10"/>
    </row>
    <row r="1774" customFormat="false" ht="15" hidden="false" customHeight="true" outlineLevel="0" collapsed="false">
      <c r="A1774" s="16"/>
      <c r="B1774" s="10"/>
      <c r="C1774" s="17" t="str">
        <f aca="false">IF($B1774="","",IFERROR(INDEX(품목마스터!$B$3:$B$302,MATCH($B1774,품목마스터!$A$3:$A$302,0)),"미등록품번"))</f>
        <v/>
      </c>
      <c r="D1774" s="17" t="str">
        <f aca="false">IF($B1774="","",IFERROR(INDEX(품목마스터!$D$3:$D$302,MATCH($B1774,품목마스터!$A$3:$A$302,0)),""))</f>
        <v/>
      </c>
      <c r="E1774" s="12"/>
      <c r="F1774" s="10"/>
    </row>
    <row r="1775" customFormat="false" ht="15" hidden="false" customHeight="true" outlineLevel="0" collapsed="false">
      <c r="A1775" s="16"/>
      <c r="B1775" s="10"/>
      <c r="C1775" s="17" t="str">
        <f aca="false">IF($B1775="","",IFERROR(INDEX(품목마스터!$B$3:$B$302,MATCH($B1775,품목마스터!$A$3:$A$302,0)),"미등록품번"))</f>
        <v/>
      </c>
      <c r="D1775" s="17" t="str">
        <f aca="false">IF($B1775="","",IFERROR(INDEX(품목마스터!$D$3:$D$302,MATCH($B1775,품목마스터!$A$3:$A$302,0)),""))</f>
        <v/>
      </c>
      <c r="E1775" s="12"/>
      <c r="F1775" s="10"/>
    </row>
    <row r="1776" customFormat="false" ht="15" hidden="false" customHeight="true" outlineLevel="0" collapsed="false">
      <c r="A1776" s="16"/>
      <c r="B1776" s="10"/>
      <c r="C1776" s="17" t="str">
        <f aca="false">IF($B1776="","",IFERROR(INDEX(품목마스터!$B$3:$B$302,MATCH($B1776,품목마스터!$A$3:$A$302,0)),"미등록품번"))</f>
        <v/>
      </c>
      <c r="D1776" s="17" t="str">
        <f aca="false">IF($B1776="","",IFERROR(INDEX(품목마스터!$D$3:$D$302,MATCH($B1776,품목마스터!$A$3:$A$302,0)),""))</f>
        <v/>
      </c>
      <c r="E1776" s="12"/>
      <c r="F1776" s="10"/>
    </row>
    <row r="1777" customFormat="false" ht="15" hidden="false" customHeight="true" outlineLevel="0" collapsed="false">
      <c r="A1777" s="16"/>
      <c r="B1777" s="10"/>
      <c r="C1777" s="17" t="str">
        <f aca="false">IF($B1777="","",IFERROR(INDEX(품목마스터!$B$3:$B$302,MATCH($B1777,품목마스터!$A$3:$A$302,0)),"미등록품번"))</f>
        <v/>
      </c>
      <c r="D1777" s="17" t="str">
        <f aca="false">IF($B1777="","",IFERROR(INDEX(품목마스터!$D$3:$D$302,MATCH($B1777,품목마스터!$A$3:$A$302,0)),""))</f>
        <v/>
      </c>
      <c r="E1777" s="12"/>
      <c r="F1777" s="10"/>
    </row>
    <row r="1778" customFormat="false" ht="15" hidden="false" customHeight="true" outlineLevel="0" collapsed="false">
      <c r="A1778" s="16"/>
      <c r="B1778" s="10"/>
      <c r="C1778" s="17" t="str">
        <f aca="false">IF($B1778="","",IFERROR(INDEX(품목마스터!$B$3:$B$302,MATCH($B1778,품목마스터!$A$3:$A$302,0)),"미등록품번"))</f>
        <v/>
      </c>
      <c r="D1778" s="17" t="str">
        <f aca="false">IF($B1778="","",IFERROR(INDEX(품목마스터!$D$3:$D$302,MATCH($B1778,품목마스터!$A$3:$A$302,0)),""))</f>
        <v/>
      </c>
      <c r="E1778" s="12"/>
      <c r="F1778" s="10"/>
    </row>
    <row r="1779" customFormat="false" ht="15" hidden="false" customHeight="true" outlineLevel="0" collapsed="false">
      <c r="A1779" s="16"/>
      <c r="B1779" s="10"/>
      <c r="C1779" s="17" t="str">
        <f aca="false">IF($B1779="","",IFERROR(INDEX(품목마스터!$B$3:$B$302,MATCH($B1779,품목마스터!$A$3:$A$302,0)),"미등록품번"))</f>
        <v/>
      </c>
      <c r="D1779" s="17" t="str">
        <f aca="false">IF($B1779="","",IFERROR(INDEX(품목마스터!$D$3:$D$302,MATCH($B1779,품목마스터!$A$3:$A$302,0)),""))</f>
        <v/>
      </c>
      <c r="E1779" s="12"/>
      <c r="F1779" s="10"/>
    </row>
    <row r="1780" customFormat="false" ht="15" hidden="false" customHeight="true" outlineLevel="0" collapsed="false">
      <c r="A1780" s="16"/>
      <c r="B1780" s="10"/>
      <c r="C1780" s="17" t="str">
        <f aca="false">IF($B1780="","",IFERROR(INDEX(품목마스터!$B$3:$B$302,MATCH($B1780,품목마스터!$A$3:$A$302,0)),"미등록품번"))</f>
        <v/>
      </c>
      <c r="D1780" s="17" t="str">
        <f aca="false">IF($B1780="","",IFERROR(INDEX(품목마스터!$D$3:$D$302,MATCH($B1780,품목마스터!$A$3:$A$302,0)),""))</f>
        <v/>
      </c>
      <c r="E1780" s="12"/>
      <c r="F1780" s="10"/>
    </row>
    <row r="1781" customFormat="false" ht="15" hidden="false" customHeight="true" outlineLevel="0" collapsed="false">
      <c r="A1781" s="16"/>
      <c r="B1781" s="10"/>
      <c r="C1781" s="17" t="str">
        <f aca="false">IF($B1781="","",IFERROR(INDEX(품목마스터!$B$3:$B$302,MATCH($B1781,품목마스터!$A$3:$A$302,0)),"미등록품번"))</f>
        <v/>
      </c>
      <c r="D1781" s="17" t="str">
        <f aca="false">IF($B1781="","",IFERROR(INDEX(품목마스터!$D$3:$D$302,MATCH($B1781,품목마스터!$A$3:$A$302,0)),""))</f>
        <v/>
      </c>
      <c r="E1781" s="12"/>
      <c r="F1781" s="10"/>
    </row>
    <row r="1782" customFormat="false" ht="15" hidden="false" customHeight="true" outlineLevel="0" collapsed="false">
      <c r="A1782" s="16"/>
      <c r="B1782" s="10"/>
      <c r="C1782" s="17" t="str">
        <f aca="false">IF($B1782="","",IFERROR(INDEX(품목마스터!$B$3:$B$302,MATCH($B1782,품목마스터!$A$3:$A$302,0)),"미등록품번"))</f>
        <v/>
      </c>
      <c r="D1782" s="17" t="str">
        <f aca="false">IF($B1782="","",IFERROR(INDEX(품목마스터!$D$3:$D$302,MATCH($B1782,품목마스터!$A$3:$A$302,0)),""))</f>
        <v/>
      </c>
      <c r="E1782" s="12"/>
      <c r="F1782" s="10"/>
    </row>
    <row r="1783" customFormat="false" ht="15" hidden="false" customHeight="true" outlineLevel="0" collapsed="false">
      <c r="A1783" s="16"/>
      <c r="B1783" s="10"/>
      <c r="C1783" s="17" t="str">
        <f aca="false">IF($B1783="","",IFERROR(INDEX(품목마스터!$B$3:$B$302,MATCH($B1783,품목마스터!$A$3:$A$302,0)),"미등록품번"))</f>
        <v/>
      </c>
      <c r="D1783" s="17" t="str">
        <f aca="false">IF($B1783="","",IFERROR(INDEX(품목마스터!$D$3:$D$302,MATCH($B1783,품목마스터!$A$3:$A$302,0)),""))</f>
        <v/>
      </c>
      <c r="E1783" s="12"/>
      <c r="F1783" s="10"/>
    </row>
    <row r="1784" customFormat="false" ht="15" hidden="false" customHeight="true" outlineLevel="0" collapsed="false">
      <c r="A1784" s="16"/>
      <c r="B1784" s="10"/>
      <c r="C1784" s="17" t="str">
        <f aca="false">IF($B1784="","",IFERROR(INDEX(품목마스터!$B$3:$B$302,MATCH($B1784,품목마스터!$A$3:$A$302,0)),"미등록품번"))</f>
        <v/>
      </c>
      <c r="D1784" s="17" t="str">
        <f aca="false">IF($B1784="","",IFERROR(INDEX(품목마스터!$D$3:$D$302,MATCH($B1784,품목마스터!$A$3:$A$302,0)),""))</f>
        <v/>
      </c>
      <c r="E1784" s="12"/>
      <c r="F1784" s="10"/>
    </row>
    <row r="1785" customFormat="false" ht="15" hidden="false" customHeight="true" outlineLevel="0" collapsed="false">
      <c r="A1785" s="16"/>
      <c r="B1785" s="10"/>
      <c r="C1785" s="17" t="str">
        <f aca="false">IF($B1785="","",IFERROR(INDEX(품목마스터!$B$3:$B$302,MATCH($B1785,품목마스터!$A$3:$A$302,0)),"미등록품번"))</f>
        <v/>
      </c>
      <c r="D1785" s="17" t="str">
        <f aca="false">IF($B1785="","",IFERROR(INDEX(품목마스터!$D$3:$D$302,MATCH($B1785,품목마스터!$A$3:$A$302,0)),""))</f>
        <v/>
      </c>
      <c r="E1785" s="12"/>
      <c r="F1785" s="10"/>
    </row>
    <row r="1786" customFormat="false" ht="15" hidden="false" customHeight="true" outlineLevel="0" collapsed="false">
      <c r="A1786" s="16"/>
      <c r="B1786" s="10"/>
      <c r="C1786" s="17" t="str">
        <f aca="false">IF($B1786="","",IFERROR(INDEX(품목마스터!$B$3:$B$302,MATCH($B1786,품목마스터!$A$3:$A$302,0)),"미등록품번"))</f>
        <v/>
      </c>
      <c r="D1786" s="17" t="str">
        <f aca="false">IF($B1786="","",IFERROR(INDEX(품목마스터!$D$3:$D$302,MATCH($B1786,품목마스터!$A$3:$A$302,0)),""))</f>
        <v/>
      </c>
      <c r="E1786" s="12"/>
      <c r="F1786" s="10"/>
    </row>
    <row r="1787" customFormat="false" ht="15" hidden="false" customHeight="true" outlineLevel="0" collapsed="false">
      <c r="A1787" s="16"/>
      <c r="B1787" s="10"/>
      <c r="C1787" s="17" t="str">
        <f aca="false">IF($B1787="","",IFERROR(INDEX(품목마스터!$B$3:$B$302,MATCH($B1787,품목마스터!$A$3:$A$302,0)),"미등록품번"))</f>
        <v/>
      </c>
      <c r="D1787" s="17" t="str">
        <f aca="false">IF($B1787="","",IFERROR(INDEX(품목마스터!$D$3:$D$302,MATCH($B1787,품목마스터!$A$3:$A$302,0)),""))</f>
        <v/>
      </c>
      <c r="E1787" s="12"/>
      <c r="F1787" s="10"/>
    </row>
    <row r="1788" customFormat="false" ht="15" hidden="false" customHeight="true" outlineLevel="0" collapsed="false">
      <c r="A1788" s="16"/>
      <c r="B1788" s="10"/>
      <c r="C1788" s="17" t="str">
        <f aca="false">IF($B1788="","",IFERROR(INDEX(품목마스터!$B$3:$B$302,MATCH($B1788,품목마스터!$A$3:$A$302,0)),"미등록품번"))</f>
        <v/>
      </c>
      <c r="D1788" s="17" t="str">
        <f aca="false">IF($B1788="","",IFERROR(INDEX(품목마스터!$D$3:$D$302,MATCH($B1788,품목마스터!$A$3:$A$302,0)),""))</f>
        <v/>
      </c>
      <c r="E1788" s="12"/>
      <c r="F1788" s="10"/>
    </row>
    <row r="1789" customFormat="false" ht="15" hidden="false" customHeight="true" outlineLevel="0" collapsed="false">
      <c r="A1789" s="16"/>
      <c r="B1789" s="10"/>
      <c r="C1789" s="17" t="str">
        <f aca="false">IF($B1789="","",IFERROR(INDEX(품목마스터!$B$3:$B$302,MATCH($B1789,품목마스터!$A$3:$A$302,0)),"미등록품번"))</f>
        <v/>
      </c>
      <c r="D1789" s="17" t="str">
        <f aca="false">IF($B1789="","",IFERROR(INDEX(품목마스터!$D$3:$D$302,MATCH($B1789,품목마스터!$A$3:$A$302,0)),""))</f>
        <v/>
      </c>
      <c r="E1789" s="12"/>
      <c r="F1789" s="10"/>
    </row>
    <row r="1790" customFormat="false" ht="15" hidden="false" customHeight="true" outlineLevel="0" collapsed="false">
      <c r="A1790" s="16"/>
      <c r="B1790" s="10"/>
      <c r="C1790" s="17" t="str">
        <f aca="false">IF($B1790="","",IFERROR(INDEX(품목마스터!$B$3:$B$302,MATCH($B1790,품목마스터!$A$3:$A$302,0)),"미등록품번"))</f>
        <v/>
      </c>
      <c r="D1790" s="17" t="str">
        <f aca="false">IF($B1790="","",IFERROR(INDEX(품목마스터!$D$3:$D$302,MATCH($B1790,품목마스터!$A$3:$A$302,0)),""))</f>
        <v/>
      </c>
      <c r="E1790" s="12"/>
      <c r="F1790" s="10"/>
    </row>
    <row r="1791" customFormat="false" ht="15" hidden="false" customHeight="true" outlineLevel="0" collapsed="false">
      <c r="A1791" s="16"/>
      <c r="B1791" s="10"/>
      <c r="C1791" s="17" t="str">
        <f aca="false">IF($B1791="","",IFERROR(INDEX(품목마스터!$B$3:$B$302,MATCH($B1791,품목마스터!$A$3:$A$302,0)),"미등록품번"))</f>
        <v/>
      </c>
      <c r="D1791" s="17" t="str">
        <f aca="false">IF($B1791="","",IFERROR(INDEX(품목마스터!$D$3:$D$302,MATCH($B1791,품목마스터!$A$3:$A$302,0)),""))</f>
        <v/>
      </c>
      <c r="E1791" s="12"/>
      <c r="F1791" s="10"/>
    </row>
    <row r="1792" customFormat="false" ht="15" hidden="false" customHeight="true" outlineLevel="0" collapsed="false">
      <c r="A1792" s="16"/>
      <c r="B1792" s="10"/>
      <c r="C1792" s="17" t="str">
        <f aca="false">IF($B1792="","",IFERROR(INDEX(품목마스터!$B$3:$B$302,MATCH($B1792,품목마스터!$A$3:$A$302,0)),"미등록품번"))</f>
        <v/>
      </c>
      <c r="D1792" s="17" t="str">
        <f aca="false">IF($B1792="","",IFERROR(INDEX(품목마스터!$D$3:$D$302,MATCH($B1792,품목마스터!$A$3:$A$302,0)),""))</f>
        <v/>
      </c>
      <c r="E1792" s="12"/>
      <c r="F1792" s="10"/>
    </row>
    <row r="1793" customFormat="false" ht="15" hidden="false" customHeight="true" outlineLevel="0" collapsed="false">
      <c r="A1793" s="16"/>
      <c r="B1793" s="10"/>
      <c r="C1793" s="17" t="str">
        <f aca="false">IF($B1793="","",IFERROR(INDEX(품목마스터!$B$3:$B$302,MATCH($B1793,품목마스터!$A$3:$A$302,0)),"미등록품번"))</f>
        <v/>
      </c>
      <c r="D1793" s="17" t="str">
        <f aca="false">IF($B1793="","",IFERROR(INDEX(품목마스터!$D$3:$D$302,MATCH($B1793,품목마스터!$A$3:$A$302,0)),""))</f>
        <v/>
      </c>
      <c r="E1793" s="12"/>
      <c r="F1793" s="10"/>
    </row>
    <row r="1794" customFormat="false" ht="15" hidden="false" customHeight="true" outlineLevel="0" collapsed="false">
      <c r="A1794" s="16"/>
      <c r="B1794" s="10"/>
      <c r="C1794" s="17" t="str">
        <f aca="false">IF($B1794="","",IFERROR(INDEX(품목마스터!$B$3:$B$302,MATCH($B1794,품목마스터!$A$3:$A$302,0)),"미등록품번"))</f>
        <v/>
      </c>
      <c r="D1794" s="17" t="str">
        <f aca="false">IF($B1794="","",IFERROR(INDEX(품목마스터!$D$3:$D$302,MATCH($B1794,품목마스터!$A$3:$A$302,0)),""))</f>
        <v/>
      </c>
      <c r="E1794" s="12"/>
      <c r="F1794" s="10"/>
    </row>
    <row r="1795" customFormat="false" ht="15" hidden="false" customHeight="true" outlineLevel="0" collapsed="false">
      <c r="A1795" s="16"/>
      <c r="B1795" s="10"/>
      <c r="C1795" s="17" t="str">
        <f aca="false">IF($B1795="","",IFERROR(INDEX(품목마스터!$B$3:$B$302,MATCH($B1795,품목마스터!$A$3:$A$302,0)),"미등록품번"))</f>
        <v/>
      </c>
      <c r="D1795" s="17" t="str">
        <f aca="false">IF($B1795="","",IFERROR(INDEX(품목마스터!$D$3:$D$302,MATCH($B1795,품목마스터!$A$3:$A$302,0)),""))</f>
        <v/>
      </c>
      <c r="E1795" s="12"/>
      <c r="F1795" s="10"/>
    </row>
    <row r="1796" customFormat="false" ht="15" hidden="false" customHeight="true" outlineLevel="0" collapsed="false">
      <c r="A1796" s="16"/>
      <c r="B1796" s="10"/>
      <c r="C1796" s="17" t="str">
        <f aca="false">IF($B1796="","",IFERROR(INDEX(품목마스터!$B$3:$B$302,MATCH($B1796,품목마스터!$A$3:$A$302,0)),"미등록품번"))</f>
        <v/>
      </c>
      <c r="D1796" s="17" t="str">
        <f aca="false">IF($B1796="","",IFERROR(INDEX(품목마스터!$D$3:$D$302,MATCH($B1796,품목마스터!$A$3:$A$302,0)),""))</f>
        <v/>
      </c>
      <c r="E1796" s="12"/>
      <c r="F1796" s="10"/>
    </row>
    <row r="1797" customFormat="false" ht="15" hidden="false" customHeight="true" outlineLevel="0" collapsed="false">
      <c r="A1797" s="16"/>
      <c r="B1797" s="10"/>
      <c r="C1797" s="17" t="str">
        <f aca="false">IF($B1797="","",IFERROR(INDEX(품목마스터!$B$3:$B$302,MATCH($B1797,품목마스터!$A$3:$A$302,0)),"미등록품번"))</f>
        <v/>
      </c>
      <c r="D1797" s="17" t="str">
        <f aca="false">IF($B1797="","",IFERROR(INDEX(품목마스터!$D$3:$D$302,MATCH($B1797,품목마스터!$A$3:$A$302,0)),""))</f>
        <v/>
      </c>
      <c r="E1797" s="12"/>
      <c r="F1797" s="10"/>
    </row>
    <row r="1798" customFormat="false" ht="15" hidden="false" customHeight="true" outlineLevel="0" collapsed="false">
      <c r="A1798" s="16"/>
      <c r="B1798" s="10"/>
      <c r="C1798" s="17" t="str">
        <f aca="false">IF($B1798="","",IFERROR(INDEX(품목마스터!$B$3:$B$302,MATCH($B1798,품목마스터!$A$3:$A$302,0)),"미등록품번"))</f>
        <v/>
      </c>
      <c r="D1798" s="17" t="str">
        <f aca="false">IF($B1798="","",IFERROR(INDEX(품목마스터!$D$3:$D$302,MATCH($B1798,품목마스터!$A$3:$A$302,0)),""))</f>
        <v/>
      </c>
      <c r="E1798" s="12"/>
      <c r="F1798" s="10"/>
    </row>
    <row r="1799" customFormat="false" ht="15" hidden="false" customHeight="true" outlineLevel="0" collapsed="false">
      <c r="A1799" s="16"/>
      <c r="B1799" s="10"/>
      <c r="C1799" s="17" t="str">
        <f aca="false">IF($B1799="","",IFERROR(INDEX(품목마스터!$B$3:$B$302,MATCH($B1799,품목마스터!$A$3:$A$302,0)),"미등록품번"))</f>
        <v/>
      </c>
      <c r="D1799" s="17" t="str">
        <f aca="false">IF($B1799="","",IFERROR(INDEX(품목마스터!$D$3:$D$302,MATCH($B1799,품목마스터!$A$3:$A$302,0)),""))</f>
        <v/>
      </c>
      <c r="E1799" s="12"/>
      <c r="F1799" s="10"/>
    </row>
    <row r="1800" customFormat="false" ht="15" hidden="false" customHeight="true" outlineLevel="0" collapsed="false">
      <c r="A1800" s="16"/>
      <c r="B1800" s="10"/>
      <c r="C1800" s="17" t="str">
        <f aca="false">IF($B1800="","",IFERROR(INDEX(품목마스터!$B$3:$B$302,MATCH($B1800,품목마스터!$A$3:$A$302,0)),"미등록품번"))</f>
        <v/>
      </c>
      <c r="D1800" s="17" t="str">
        <f aca="false">IF($B1800="","",IFERROR(INDEX(품목마스터!$D$3:$D$302,MATCH($B1800,품목마스터!$A$3:$A$302,0)),""))</f>
        <v/>
      </c>
      <c r="E1800" s="12"/>
      <c r="F1800" s="10"/>
    </row>
    <row r="1801" customFormat="false" ht="15" hidden="false" customHeight="true" outlineLevel="0" collapsed="false">
      <c r="A1801" s="16"/>
      <c r="B1801" s="10"/>
      <c r="C1801" s="17" t="str">
        <f aca="false">IF($B1801="","",IFERROR(INDEX(품목마스터!$B$3:$B$302,MATCH($B1801,품목마스터!$A$3:$A$302,0)),"미등록품번"))</f>
        <v/>
      </c>
      <c r="D1801" s="17" t="str">
        <f aca="false">IF($B1801="","",IFERROR(INDEX(품목마스터!$D$3:$D$302,MATCH($B1801,품목마스터!$A$3:$A$302,0)),""))</f>
        <v/>
      </c>
      <c r="E1801" s="12"/>
      <c r="F1801" s="10"/>
    </row>
    <row r="1802" customFormat="false" ht="15" hidden="false" customHeight="true" outlineLevel="0" collapsed="false">
      <c r="A1802" s="16"/>
      <c r="B1802" s="10"/>
      <c r="C1802" s="17" t="str">
        <f aca="false">IF($B1802="","",IFERROR(INDEX(품목마스터!$B$3:$B$302,MATCH($B1802,품목마스터!$A$3:$A$302,0)),"미등록품번"))</f>
        <v/>
      </c>
      <c r="D1802" s="17" t="str">
        <f aca="false">IF($B1802="","",IFERROR(INDEX(품목마스터!$D$3:$D$302,MATCH($B1802,품목마스터!$A$3:$A$302,0)),""))</f>
        <v/>
      </c>
      <c r="E1802" s="12"/>
      <c r="F1802" s="10"/>
    </row>
    <row r="1803" customFormat="false" ht="15" hidden="false" customHeight="true" outlineLevel="0" collapsed="false">
      <c r="A1803" s="16"/>
      <c r="B1803" s="10"/>
      <c r="C1803" s="17" t="str">
        <f aca="false">IF($B1803="","",IFERROR(INDEX(품목마스터!$B$3:$B$302,MATCH($B1803,품목마스터!$A$3:$A$302,0)),"미등록품번"))</f>
        <v/>
      </c>
      <c r="D1803" s="17" t="str">
        <f aca="false">IF($B1803="","",IFERROR(INDEX(품목마스터!$D$3:$D$302,MATCH($B1803,품목마스터!$A$3:$A$302,0)),""))</f>
        <v/>
      </c>
      <c r="E1803" s="12"/>
      <c r="F1803" s="10"/>
    </row>
    <row r="1804" customFormat="false" ht="15" hidden="false" customHeight="true" outlineLevel="0" collapsed="false">
      <c r="A1804" s="16"/>
      <c r="B1804" s="10"/>
      <c r="C1804" s="17" t="str">
        <f aca="false">IF($B1804="","",IFERROR(INDEX(품목마스터!$B$3:$B$302,MATCH($B1804,품목마스터!$A$3:$A$302,0)),"미등록품번"))</f>
        <v/>
      </c>
      <c r="D1804" s="17" t="str">
        <f aca="false">IF($B1804="","",IFERROR(INDEX(품목마스터!$D$3:$D$302,MATCH($B1804,품목마스터!$A$3:$A$302,0)),""))</f>
        <v/>
      </c>
      <c r="E1804" s="12"/>
      <c r="F1804" s="10"/>
    </row>
    <row r="1805" customFormat="false" ht="15" hidden="false" customHeight="true" outlineLevel="0" collapsed="false">
      <c r="A1805" s="16"/>
      <c r="B1805" s="10"/>
      <c r="C1805" s="17" t="str">
        <f aca="false">IF($B1805="","",IFERROR(INDEX(품목마스터!$B$3:$B$302,MATCH($B1805,품목마스터!$A$3:$A$302,0)),"미등록품번"))</f>
        <v/>
      </c>
      <c r="D1805" s="17" t="str">
        <f aca="false">IF($B1805="","",IFERROR(INDEX(품목마스터!$D$3:$D$302,MATCH($B1805,품목마스터!$A$3:$A$302,0)),""))</f>
        <v/>
      </c>
      <c r="E1805" s="12"/>
      <c r="F1805" s="10"/>
    </row>
    <row r="1806" customFormat="false" ht="15" hidden="false" customHeight="true" outlineLevel="0" collapsed="false">
      <c r="A1806" s="16"/>
      <c r="B1806" s="10"/>
      <c r="C1806" s="17" t="str">
        <f aca="false">IF($B1806="","",IFERROR(INDEX(품목마스터!$B$3:$B$302,MATCH($B1806,품목마스터!$A$3:$A$302,0)),"미등록품번"))</f>
        <v/>
      </c>
      <c r="D1806" s="17" t="str">
        <f aca="false">IF($B1806="","",IFERROR(INDEX(품목마스터!$D$3:$D$302,MATCH($B1806,품목마스터!$A$3:$A$302,0)),""))</f>
        <v/>
      </c>
      <c r="E1806" s="12"/>
      <c r="F1806" s="10"/>
    </row>
    <row r="1807" customFormat="false" ht="15" hidden="false" customHeight="true" outlineLevel="0" collapsed="false">
      <c r="A1807" s="16"/>
      <c r="B1807" s="10"/>
      <c r="C1807" s="17" t="str">
        <f aca="false">IF($B1807="","",IFERROR(INDEX(품목마스터!$B$3:$B$302,MATCH($B1807,품목마스터!$A$3:$A$302,0)),"미등록품번"))</f>
        <v/>
      </c>
      <c r="D1807" s="17" t="str">
        <f aca="false">IF($B1807="","",IFERROR(INDEX(품목마스터!$D$3:$D$302,MATCH($B1807,품목마스터!$A$3:$A$302,0)),""))</f>
        <v/>
      </c>
      <c r="E1807" s="12"/>
      <c r="F1807" s="10"/>
    </row>
    <row r="1808" customFormat="false" ht="15" hidden="false" customHeight="true" outlineLevel="0" collapsed="false">
      <c r="A1808" s="16"/>
      <c r="B1808" s="10"/>
      <c r="C1808" s="17" t="str">
        <f aca="false">IF($B1808="","",IFERROR(INDEX(품목마스터!$B$3:$B$302,MATCH($B1808,품목마스터!$A$3:$A$302,0)),"미등록품번"))</f>
        <v/>
      </c>
      <c r="D1808" s="17" t="str">
        <f aca="false">IF($B1808="","",IFERROR(INDEX(품목마스터!$D$3:$D$302,MATCH($B1808,품목마스터!$A$3:$A$302,0)),""))</f>
        <v/>
      </c>
      <c r="E1808" s="12"/>
      <c r="F1808" s="10"/>
    </row>
    <row r="1809" customFormat="false" ht="15" hidden="false" customHeight="true" outlineLevel="0" collapsed="false">
      <c r="A1809" s="16"/>
      <c r="B1809" s="10"/>
      <c r="C1809" s="17" t="str">
        <f aca="false">IF($B1809="","",IFERROR(INDEX(품목마스터!$B$3:$B$302,MATCH($B1809,품목마스터!$A$3:$A$302,0)),"미등록품번"))</f>
        <v/>
      </c>
      <c r="D1809" s="17" t="str">
        <f aca="false">IF($B1809="","",IFERROR(INDEX(품목마스터!$D$3:$D$302,MATCH($B1809,품목마스터!$A$3:$A$302,0)),""))</f>
        <v/>
      </c>
      <c r="E1809" s="12"/>
      <c r="F1809" s="10"/>
    </row>
    <row r="1810" customFormat="false" ht="15" hidden="false" customHeight="true" outlineLevel="0" collapsed="false">
      <c r="A1810" s="16"/>
      <c r="B1810" s="10"/>
      <c r="C1810" s="17" t="str">
        <f aca="false">IF($B1810="","",IFERROR(INDEX(품목마스터!$B$3:$B$302,MATCH($B1810,품목마스터!$A$3:$A$302,0)),"미등록품번"))</f>
        <v/>
      </c>
      <c r="D1810" s="17" t="str">
        <f aca="false">IF($B1810="","",IFERROR(INDEX(품목마스터!$D$3:$D$302,MATCH($B1810,품목마스터!$A$3:$A$302,0)),""))</f>
        <v/>
      </c>
      <c r="E1810" s="12"/>
      <c r="F1810" s="10"/>
    </row>
    <row r="1811" customFormat="false" ht="15" hidden="false" customHeight="true" outlineLevel="0" collapsed="false">
      <c r="A1811" s="16"/>
      <c r="B1811" s="10"/>
      <c r="C1811" s="17" t="str">
        <f aca="false">IF($B1811="","",IFERROR(INDEX(품목마스터!$B$3:$B$302,MATCH($B1811,품목마스터!$A$3:$A$302,0)),"미등록품번"))</f>
        <v/>
      </c>
      <c r="D1811" s="17" t="str">
        <f aca="false">IF($B1811="","",IFERROR(INDEX(품목마스터!$D$3:$D$302,MATCH($B1811,품목마스터!$A$3:$A$302,0)),""))</f>
        <v/>
      </c>
      <c r="E1811" s="12"/>
      <c r="F1811" s="10"/>
    </row>
    <row r="1812" customFormat="false" ht="15" hidden="false" customHeight="true" outlineLevel="0" collapsed="false">
      <c r="A1812" s="16"/>
      <c r="B1812" s="10"/>
      <c r="C1812" s="17" t="str">
        <f aca="false">IF($B1812="","",IFERROR(INDEX(품목마스터!$B$3:$B$302,MATCH($B1812,품목마스터!$A$3:$A$302,0)),"미등록품번"))</f>
        <v/>
      </c>
      <c r="D1812" s="17" t="str">
        <f aca="false">IF($B1812="","",IFERROR(INDEX(품목마스터!$D$3:$D$302,MATCH($B1812,품목마스터!$A$3:$A$302,0)),""))</f>
        <v/>
      </c>
      <c r="E1812" s="12"/>
      <c r="F1812" s="10"/>
    </row>
    <row r="1813" customFormat="false" ht="15" hidden="false" customHeight="true" outlineLevel="0" collapsed="false">
      <c r="A1813" s="16"/>
      <c r="B1813" s="10"/>
      <c r="C1813" s="17" t="str">
        <f aca="false">IF($B1813="","",IFERROR(INDEX(품목마스터!$B$3:$B$302,MATCH($B1813,품목마스터!$A$3:$A$302,0)),"미등록품번"))</f>
        <v/>
      </c>
      <c r="D1813" s="17" t="str">
        <f aca="false">IF($B1813="","",IFERROR(INDEX(품목마스터!$D$3:$D$302,MATCH($B1813,품목마스터!$A$3:$A$302,0)),""))</f>
        <v/>
      </c>
      <c r="E1813" s="12"/>
      <c r="F1813" s="10"/>
    </row>
    <row r="1814" customFormat="false" ht="15" hidden="false" customHeight="true" outlineLevel="0" collapsed="false">
      <c r="A1814" s="16"/>
      <c r="B1814" s="10"/>
      <c r="C1814" s="17" t="str">
        <f aca="false">IF($B1814="","",IFERROR(INDEX(품목마스터!$B$3:$B$302,MATCH($B1814,품목마스터!$A$3:$A$302,0)),"미등록품번"))</f>
        <v/>
      </c>
      <c r="D1814" s="17" t="str">
        <f aca="false">IF($B1814="","",IFERROR(INDEX(품목마스터!$D$3:$D$302,MATCH($B1814,품목마스터!$A$3:$A$302,0)),""))</f>
        <v/>
      </c>
      <c r="E1814" s="12"/>
      <c r="F1814" s="10"/>
    </row>
    <row r="1815" customFormat="false" ht="15" hidden="false" customHeight="true" outlineLevel="0" collapsed="false">
      <c r="A1815" s="16"/>
      <c r="B1815" s="10"/>
      <c r="C1815" s="17" t="str">
        <f aca="false">IF($B1815="","",IFERROR(INDEX(품목마스터!$B$3:$B$302,MATCH($B1815,품목마스터!$A$3:$A$302,0)),"미등록품번"))</f>
        <v/>
      </c>
      <c r="D1815" s="17" t="str">
        <f aca="false">IF($B1815="","",IFERROR(INDEX(품목마스터!$D$3:$D$302,MATCH($B1815,품목마스터!$A$3:$A$302,0)),""))</f>
        <v/>
      </c>
      <c r="E1815" s="12"/>
      <c r="F1815" s="10"/>
    </row>
    <row r="1816" customFormat="false" ht="15" hidden="false" customHeight="true" outlineLevel="0" collapsed="false">
      <c r="A1816" s="16"/>
      <c r="B1816" s="10"/>
      <c r="C1816" s="17" t="str">
        <f aca="false">IF($B1816="","",IFERROR(INDEX(품목마스터!$B$3:$B$302,MATCH($B1816,품목마스터!$A$3:$A$302,0)),"미등록품번"))</f>
        <v/>
      </c>
      <c r="D1816" s="17" t="str">
        <f aca="false">IF($B1816="","",IFERROR(INDEX(품목마스터!$D$3:$D$302,MATCH($B1816,품목마스터!$A$3:$A$302,0)),""))</f>
        <v/>
      </c>
      <c r="E1816" s="12"/>
      <c r="F1816" s="10"/>
    </row>
    <row r="1817" customFormat="false" ht="15" hidden="false" customHeight="true" outlineLevel="0" collapsed="false">
      <c r="A1817" s="16"/>
      <c r="B1817" s="10"/>
      <c r="C1817" s="17" t="str">
        <f aca="false">IF($B1817="","",IFERROR(INDEX(품목마스터!$B$3:$B$302,MATCH($B1817,품목마스터!$A$3:$A$302,0)),"미등록품번"))</f>
        <v/>
      </c>
      <c r="D1817" s="17" t="str">
        <f aca="false">IF($B1817="","",IFERROR(INDEX(품목마스터!$D$3:$D$302,MATCH($B1817,품목마스터!$A$3:$A$302,0)),""))</f>
        <v/>
      </c>
      <c r="E1817" s="12"/>
      <c r="F1817" s="10"/>
    </row>
    <row r="1818" customFormat="false" ht="15" hidden="false" customHeight="true" outlineLevel="0" collapsed="false">
      <c r="A1818" s="16"/>
      <c r="B1818" s="10"/>
      <c r="C1818" s="17" t="str">
        <f aca="false">IF($B1818="","",IFERROR(INDEX(품목마스터!$B$3:$B$302,MATCH($B1818,품목마스터!$A$3:$A$302,0)),"미등록품번"))</f>
        <v/>
      </c>
      <c r="D1818" s="17" t="str">
        <f aca="false">IF($B1818="","",IFERROR(INDEX(품목마스터!$D$3:$D$302,MATCH($B1818,품목마스터!$A$3:$A$302,0)),""))</f>
        <v/>
      </c>
      <c r="E1818" s="12"/>
      <c r="F1818" s="10"/>
    </row>
    <row r="1819" customFormat="false" ht="15" hidden="false" customHeight="true" outlineLevel="0" collapsed="false">
      <c r="A1819" s="16"/>
      <c r="B1819" s="10"/>
      <c r="C1819" s="17" t="str">
        <f aca="false">IF($B1819="","",IFERROR(INDEX(품목마스터!$B$3:$B$302,MATCH($B1819,품목마스터!$A$3:$A$302,0)),"미등록품번"))</f>
        <v/>
      </c>
      <c r="D1819" s="17" t="str">
        <f aca="false">IF($B1819="","",IFERROR(INDEX(품목마스터!$D$3:$D$302,MATCH($B1819,품목마스터!$A$3:$A$302,0)),""))</f>
        <v/>
      </c>
      <c r="E1819" s="12"/>
      <c r="F1819" s="10"/>
    </row>
    <row r="1820" customFormat="false" ht="15" hidden="false" customHeight="true" outlineLevel="0" collapsed="false">
      <c r="A1820" s="16"/>
      <c r="B1820" s="10"/>
      <c r="C1820" s="17" t="str">
        <f aca="false">IF($B1820="","",IFERROR(INDEX(품목마스터!$B$3:$B$302,MATCH($B1820,품목마스터!$A$3:$A$302,0)),"미등록품번"))</f>
        <v/>
      </c>
      <c r="D1820" s="17" t="str">
        <f aca="false">IF($B1820="","",IFERROR(INDEX(품목마스터!$D$3:$D$302,MATCH($B1820,품목마스터!$A$3:$A$302,0)),""))</f>
        <v/>
      </c>
      <c r="E1820" s="12"/>
      <c r="F1820" s="10"/>
    </row>
    <row r="1821" customFormat="false" ht="15" hidden="false" customHeight="true" outlineLevel="0" collapsed="false">
      <c r="A1821" s="16"/>
      <c r="B1821" s="10"/>
      <c r="C1821" s="17" t="str">
        <f aca="false">IF($B1821="","",IFERROR(INDEX(품목마스터!$B$3:$B$302,MATCH($B1821,품목마스터!$A$3:$A$302,0)),"미등록품번"))</f>
        <v/>
      </c>
      <c r="D1821" s="17" t="str">
        <f aca="false">IF($B1821="","",IFERROR(INDEX(품목마스터!$D$3:$D$302,MATCH($B1821,품목마스터!$A$3:$A$302,0)),""))</f>
        <v/>
      </c>
      <c r="E1821" s="12"/>
      <c r="F1821" s="10"/>
    </row>
    <row r="1822" customFormat="false" ht="15" hidden="false" customHeight="true" outlineLevel="0" collapsed="false">
      <c r="A1822" s="16"/>
      <c r="B1822" s="10"/>
      <c r="C1822" s="17" t="str">
        <f aca="false">IF($B1822="","",IFERROR(INDEX(품목마스터!$B$3:$B$302,MATCH($B1822,품목마스터!$A$3:$A$302,0)),"미등록품번"))</f>
        <v/>
      </c>
      <c r="D1822" s="17" t="str">
        <f aca="false">IF($B1822="","",IFERROR(INDEX(품목마스터!$D$3:$D$302,MATCH($B1822,품목마스터!$A$3:$A$302,0)),""))</f>
        <v/>
      </c>
      <c r="E1822" s="12"/>
      <c r="F1822" s="10"/>
    </row>
    <row r="1823" customFormat="false" ht="15" hidden="false" customHeight="true" outlineLevel="0" collapsed="false">
      <c r="A1823" s="16"/>
      <c r="B1823" s="10"/>
      <c r="C1823" s="17" t="str">
        <f aca="false">IF($B1823="","",IFERROR(INDEX(품목마스터!$B$3:$B$302,MATCH($B1823,품목마스터!$A$3:$A$302,0)),"미등록품번"))</f>
        <v/>
      </c>
      <c r="D1823" s="17" t="str">
        <f aca="false">IF($B1823="","",IFERROR(INDEX(품목마스터!$D$3:$D$302,MATCH($B1823,품목마스터!$A$3:$A$302,0)),""))</f>
        <v/>
      </c>
      <c r="E1823" s="12"/>
      <c r="F1823" s="10"/>
    </row>
    <row r="1824" customFormat="false" ht="15" hidden="false" customHeight="true" outlineLevel="0" collapsed="false">
      <c r="A1824" s="16"/>
      <c r="B1824" s="10"/>
      <c r="C1824" s="17" t="str">
        <f aca="false">IF($B1824="","",IFERROR(INDEX(품목마스터!$B$3:$B$302,MATCH($B1824,품목마스터!$A$3:$A$302,0)),"미등록품번"))</f>
        <v/>
      </c>
      <c r="D1824" s="17" t="str">
        <f aca="false">IF($B1824="","",IFERROR(INDEX(품목마스터!$D$3:$D$302,MATCH($B1824,품목마스터!$A$3:$A$302,0)),""))</f>
        <v/>
      </c>
      <c r="E1824" s="12"/>
      <c r="F1824" s="10"/>
    </row>
    <row r="1825" customFormat="false" ht="15" hidden="false" customHeight="true" outlineLevel="0" collapsed="false">
      <c r="A1825" s="16"/>
      <c r="B1825" s="10"/>
      <c r="C1825" s="17" t="str">
        <f aca="false">IF($B1825="","",IFERROR(INDEX(품목마스터!$B$3:$B$302,MATCH($B1825,품목마스터!$A$3:$A$302,0)),"미등록품번"))</f>
        <v/>
      </c>
      <c r="D1825" s="17" t="str">
        <f aca="false">IF($B1825="","",IFERROR(INDEX(품목마스터!$D$3:$D$302,MATCH($B1825,품목마스터!$A$3:$A$302,0)),""))</f>
        <v/>
      </c>
      <c r="E1825" s="12"/>
      <c r="F1825" s="10"/>
    </row>
    <row r="1826" customFormat="false" ht="15" hidden="false" customHeight="true" outlineLevel="0" collapsed="false">
      <c r="A1826" s="16"/>
      <c r="B1826" s="10"/>
      <c r="C1826" s="17" t="str">
        <f aca="false">IF($B1826="","",IFERROR(INDEX(품목마스터!$B$3:$B$302,MATCH($B1826,품목마스터!$A$3:$A$302,0)),"미등록품번"))</f>
        <v/>
      </c>
      <c r="D1826" s="17" t="str">
        <f aca="false">IF($B1826="","",IFERROR(INDEX(품목마스터!$D$3:$D$302,MATCH($B1826,품목마스터!$A$3:$A$302,0)),""))</f>
        <v/>
      </c>
      <c r="E1826" s="12"/>
      <c r="F1826" s="10"/>
    </row>
    <row r="1827" customFormat="false" ht="15" hidden="false" customHeight="true" outlineLevel="0" collapsed="false">
      <c r="A1827" s="16"/>
      <c r="B1827" s="10"/>
      <c r="C1827" s="17" t="str">
        <f aca="false">IF($B1827="","",IFERROR(INDEX(품목마스터!$B$3:$B$302,MATCH($B1827,품목마스터!$A$3:$A$302,0)),"미등록품번"))</f>
        <v/>
      </c>
      <c r="D1827" s="17" t="str">
        <f aca="false">IF($B1827="","",IFERROR(INDEX(품목마스터!$D$3:$D$302,MATCH($B1827,품목마스터!$A$3:$A$302,0)),""))</f>
        <v/>
      </c>
      <c r="E1827" s="12"/>
      <c r="F1827" s="10"/>
    </row>
    <row r="1828" customFormat="false" ht="15" hidden="false" customHeight="true" outlineLevel="0" collapsed="false">
      <c r="A1828" s="16"/>
      <c r="B1828" s="10"/>
      <c r="C1828" s="17" t="str">
        <f aca="false">IF($B1828="","",IFERROR(INDEX(품목마스터!$B$3:$B$302,MATCH($B1828,품목마스터!$A$3:$A$302,0)),"미등록품번"))</f>
        <v/>
      </c>
      <c r="D1828" s="17" t="str">
        <f aca="false">IF($B1828="","",IFERROR(INDEX(품목마스터!$D$3:$D$302,MATCH($B1828,품목마스터!$A$3:$A$302,0)),""))</f>
        <v/>
      </c>
      <c r="E1828" s="12"/>
      <c r="F1828" s="10"/>
    </row>
    <row r="1829" customFormat="false" ht="15" hidden="false" customHeight="true" outlineLevel="0" collapsed="false">
      <c r="A1829" s="16"/>
      <c r="B1829" s="10"/>
      <c r="C1829" s="17" t="str">
        <f aca="false">IF($B1829="","",IFERROR(INDEX(품목마스터!$B$3:$B$302,MATCH($B1829,품목마스터!$A$3:$A$302,0)),"미등록품번"))</f>
        <v/>
      </c>
      <c r="D1829" s="17" t="str">
        <f aca="false">IF($B1829="","",IFERROR(INDEX(품목마스터!$D$3:$D$302,MATCH($B1829,품목마스터!$A$3:$A$302,0)),""))</f>
        <v/>
      </c>
      <c r="E1829" s="12"/>
      <c r="F1829" s="10"/>
    </row>
    <row r="1830" customFormat="false" ht="15" hidden="false" customHeight="true" outlineLevel="0" collapsed="false">
      <c r="A1830" s="16"/>
      <c r="B1830" s="10"/>
      <c r="C1830" s="17" t="str">
        <f aca="false">IF($B1830="","",IFERROR(INDEX(품목마스터!$B$3:$B$302,MATCH($B1830,품목마스터!$A$3:$A$302,0)),"미등록품번"))</f>
        <v/>
      </c>
      <c r="D1830" s="17" t="str">
        <f aca="false">IF($B1830="","",IFERROR(INDEX(품목마스터!$D$3:$D$302,MATCH($B1830,품목마스터!$A$3:$A$302,0)),""))</f>
        <v/>
      </c>
      <c r="E1830" s="12"/>
      <c r="F1830" s="10"/>
    </row>
    <row r="1831" customFormat="false" ht="15" hidden="false" customHeight="true" outlineLevel="0" collapsed="false">
      <c r="A1831" s="16"/>
      <c r="B1831" s="10"/>
      <c r="C1831" s="17" t="str">
        <f aca="false">IF($B1831="","",IFERROR(INDEX(품목마스터!$B$3:$B$302,MATCH($B1831,품목마스터!$A$3:$A$302,0)),"미등록품번"))</f>
        <v/>
      </c>
      <c r="D1831" s="17" t="str">
        <f aca="false">IF($B1831="","",IFERROR(INDEX(품목마스터!$D$3:$D$302,MATCH($B1831,품목마스터!$A$3:$A$302,0)),""))</f>
        <v/>
      </c>
      <c r="E1831" s="12"/>
      <c r="F1831" s="10"/>
    </row>
    <row r="1832" customFormat="false" ht="15" hidden="false" customHeight="true" outlineLevel="0" collapsed="false">
      <c r="A1832" s="16"/>
      <c r="B1832" s="10"/>
      <c r="C1832" s="17" t="str">
        <f aca="false">IF($B1832="","",IFERROR(INDEX(품목마스터!$B$3:$B$302,MATCH($B1832,품목마스터!$A$3:$A$302,0)),"미등록품번"))</f>
        <v/>
      </c>
      <c r="D1832" s="17" t="str">
        <f aca="false">IF($B1832="","",IFERROR(INDEX(품목마스터!$D$3:$D$302,MATCH($B1832,품목마스터!$A$3:$A$302,0)),""))</f>
        <v/>
      </c>
      <c r="E1832" s="12"/>
      <c r="F1832" s="10"/>
    </row>
    <row r="1833" customFormat="false" ht="15" hidden="false" customHeight="true" outlineLevel="0" collapsed="false">
      <c r="A1833" s="16"/>
      <c r="B1833" s="10"/>
      <c r="C1833" s="17" t="str">
        <f aca="false">IF($B1833="","",IFERROR(INDEX(품목마스터!$B$3:$B$302,MATCH($B1833,품목마스터!$A$3:$A$302,0)),"미등록품번"))</f>
        <v/>
      </c>
      <c r="D1833" s="17" t="str">
        <f aca="false">IF($B1833="","",IFERROR(INDEX(품목마스터!$D$3:$D$302,MATCH($B1833,품목마스터!$A$3:$A$302,0)),""))</f>
        <v/>
      </c>
      <c r="E1833" s="12"/>
      <c r="F1833" s="10"/>
    </row>
    <row r="1834" customFormat="false" ht="15" hidden="false" customHeight="true" outlineLevel="0" collapsed="false">
      <c r="A1834" s="16"/>
      <c r="B1834" s="10"/>
      <c r="C1834" s="17" t="str">
        <f aca="false">IF($B1834="","",IFERROR(INDEX(품목마스터!$B$3:$B$302,MATCH($B1834,품목마스터!$A$3:$A$302,0)),"미등록품번"))</f>
        <v/>
      </c>
      <c r="D1834" s="17" t="str">
        <f aca="false">IF($B1834="","",IFERROR(INDEX(품목마스터!$D$3:$D$302,MATCH($B1834,품목마스터!$A$3:$A$302,0)),""))</f>
        <v/>
      </c>
      <c r="E1834" s="12"/>
      <c r="F1834" s="10"/>
    </row>
    <row r="1835" customFormat="false" ht="15" hidden="false" customHeight="true" outlineLevel="0" collapsed="false">
      <c r="A1835" s="16"/>
      <c r="B1835" s="10"/>
      <c r="C1835" s="17" t="str">
        <f aca="false">IF($B1835="","",IFERROR(INDEX(품목마스터!$B$3:$B$302,MATCH($B1835,품목마스터!$A$3:$A$302,0)),"미등록품번"))</f>
        <v/>
      </c>
      <c r="D1835" s="17" t="str">
        <f aca="false">IF($B1835="","",IFERROR(INDEX(품목마스터!$D$3:$D$302,MATCH($B1835,품목마스터!$A$3:$A$302,0)),""))</f>
        <v/>
      </c>
      <c r="E1835" s="12"/>
      <c r="F1835" s="10"/>
    </row>
    <row r="1836" customFormat="false" ht="15" hidden="false" customHeight="true" outlineLevel="0" collapsed="false">
      <c r="A1836" s="16"/>
      <c r="B1836" s="10"/>
      <c r="C1836" s="17" t="str">
        <f aca="false">IF($B1836="","",IFERROR(INDEX(품목마스터!$B$3:$B$302,MATCH($B1836,품목마스터!$A$3:$A$302,0)),"미등록품번"))</f>
        <v/>
      </c>
      <c r="D1836" s="17" t="str">
        <f aca="false">IF($B1836="","",IFERROR(INDEX(품목마스터!$D$3:$D$302,MATCH($B1836,품목마스터!$A$3:$A$302,0)),""))</f>
        <v/>
      </c>
      <c r="E1836" s="12"/>
      <c r="F1836" s="10"/>
    </row>
    <row r="1837" customFormat="false" ht="15" hidden="false" customHeight="true" outlineLevel="0" collapsed="false">
      <c r="A1837" s="16"/>
      <c r="B1837" s="10"/>
      <c r="C1837" s="17" t="str">
        <f aca="false">IF($B1837="","",IFERROR(INDEX(품목마스터!$B$3:$B$302,MATCH($B1837,품목마스터!$A$3:$A$302,0)),"미등록품번"))</f>
        <v/>
      </c>
      <c r="D1837" s="17" t="str">
        <f aca="false">IF($B1837="","",IFERROR(INDEX(품목마스터!$D$3:$D$302,MATCH($B1837,품목마스터!$A$3:$A$302,0)),""))</f>
        <v/>
      </c>
      <c r="E1837" s="12"/>
      <c r="F1837" s="10"/>
    </row>
    <row r="1838" customFormat="false" ht="15" hidden="false" customHeight="true" outlineLevel="0" collapsed="false">
      <c r="A1838" s="16"/>
      <c r="B1838" s="10"/>
      <c r="C1838" s="17" t="str">
        <f aca="false">IF($B1838="","",IFERROR(INDEX(품목마스터!$B$3:$B$302,MATCH($B1838,품목마스터!$A$3:$A$302,0)),"미등록품번"))</f>
        <v/>
      </c>
      <c r="D1838" s="17" t="str">
        <f aca="false">IF($B1838="","",IFERROR(INDEX(품목마스터!$D$3:$D$302,MATCH($B1838,품목마스터!$A$3:$A$302,0)),""))</f>
        <v/>
      </c>
      <c r="E1838" s="12"/>
      <c r="F1838" s="10"/>
    </row>
    <row r="1839" customFormat="false" ht="15" hidden="false" customHeight="true" outlineLevel="0" collapsed="false">
      <c r="A1839" s="16"/>
      <c r="B1839" s="10"/>
      <c r="C1839" s="17" t="str">
        <f aca="false">IF($B1839="","",IFERROR(INDEX(품목마스터!$B$3:$B$302,MATCH($B1839,품목마스터!$A$3:$A$302,0)),"미등록품번"))</f>
        <v/>
      </c>
      <c r="D1839" s="17" t="str">
        <f aca="false">IF($B1839="","",IFERROR(INDEX(품목마스터!$D$3:$D$302,MATCH($B1839,품목마스터!$A$3:$A$302,0)),""))</f>
        <v/>
      </c>
      <c r="E1839" s="12"/>
      <c r="F1839" s="10"/>
    </row>
    <row r="1840" customFormat="false" ht="15" hidden="false" customHeight="true" outlineLevel="0" collapsed="false">
      <c r="A1840" s="16"/>
      <c r="B1840" s="10"/>
      <c r="C1840" s="17" t="str">
        <f aca="false">IF($B1840="","",IFERROR(INDEX(품목마스터!$B$3:$B$302,MATCH($B1840,품목마스터!$A$3:$A$302,0)),"미등록품번"))</f>
        <v/>
      </c>
      <c r="D1840" s="17" t="str">
        <f aca="false">IF($B1840="","",IFERROR(INDEX(품목마스터!$D$3:$D$302,MATCH($B1840,품목마스터!$A$3:$A$302,0)),""))</f>
        <v/>
      </c>
      <c r="E1840" s="12"/>
      <c r="F1840" s="10"/>
    </row>
    <row r="1841" customFormat="false" ht="15" hidden="false" customHeight="true" outlineLevel="0" collapsed="false">
      <c r="A1841" s="16"/>
      <c r="B1841" s="10"/>
      <c r="C1841" s="17" t="str">
        <f aca="false">IF($B1841="","",IFERROR(INDEX(품목마스터!$B$3:$B$302,MATCH($B1841,품목마스터!$A$3:$A$302,0)),"미등록품번"))</f>
        <v/>
      </c>
      <c r="D1841" s="17" t="str">
        <f aca="false">IF($B1841="","",IFERROR(INDEX(품목마스터!$D$3:$D$302,MATCH($B1841,품목마스터!$A$3:$A$302,0)),""))</f>
        <v/>
      </c>
      <c r="E1841" s="12"/>
      <c r="F1841" s="10"/>
    </row>
    <row r="1842" customFormat="false" ht="15" hidden="false" customHeight="true" outlineLevel="0" collapsed="false">
      <c r="A1842" s="16"/>
      <c r="B1842" s="10"/>
      <c r="C1842" s="17" t="str">
        <f aca="false">IF($B1842="","",IFERROR(INDEX(품목마스터!$B$3:$B$302,MATCH($B1842,품목마스터!$A$3:$A$302,0)),"미등록품번"))</f>
        <v/>
      </c>
      <c r="D1842" s="17" t="str">
        <f aca="false">IF($B1842="","",IFERROR(INDEX(품목마스터!$D$3:$D$302,MATCH($B1842,품목마스터!$A$3:$A$302,0)),""))</f>
        <v/>
      </c>
      <c r="E1842" s="12"/>
      <c r="F1842" s="10"/>
    </row>
    <row r="1843" customFormat="false" ht="15" hidden="false" customHeight="true" outlineLevel="0" collapsed="false">
      <c r="A1843" s="16"/>
      <c r="B1843" s="10"/>
      <c r="C1843" s="17" t="str">
        <f aca="false">IF($B1843="","",IFERROR(INDEX(품목마스터!$B$3:$B$302,MATCH($B1843,품목마스터!$A$3:$A$302,0)),"미등록품번"))</f>
        <v/>
      </c>
      <c r="D1843" s="17" t="str">
        <f aca="false">IF($B1843="","",IFERROR(INDEX(품목마스터!$D$3:$D$302,MATCH($B1843,품목마스터!$A$3:$A$302,0)),""))</f>
        <v/>
      </c>
      <c r="E1843" s="12"/>
      <c r="F1843" s="10"/>
    </row>
    <row r="1844" customFormat="false" ht="15" hidden="false" customHeight="true" outlineLevel="0" collapsed="false">
      <c r="A1844" s="16"/>
      <c r="B1844" s="10"/>
      <c r="C1844" s="17" t="str">
        <f aca="false">IF($B1844="","",IFERROR(INDEX(품목마스터!$B$3:$B$302,MATCH($B1844,품목마스터!$A$3:$A$302,0)),"미등록품번"))</f>
        <v/>
      </c>
      <c r="D1844" s="17" t="str">
        <f aca="false">IF($B1844="","",IFERROR(INDEX(품목마스터!$D$3:$D$302,MATCH($B1844,품목마스터!$A$3:$A$302,0)),""))</f>
        <v/>
      </c>
      <c r="E1844" s="12"/>
      <c r="F1844" s="10"/>
    </row>
    <row r="1845" customFormat="false" ht="15" hidden="false" customHeight="true" outlineLevel="0" collapsed="false">
      <c r="A1845" s="16"/>
      <c r="B1845" s="10"/>
      <c r="C1845" s="17" t="str">
        <f aca="false">IF($B1845="","",IFERROR(INDEX(품목마스터!$B$3:$B$302,MATCH($B1845,품목마스터!$A$3:$A$302,0)),"미등록품번"))</f>
        <v/>
      </c>
      <c r="D1845" s="17" t="str">
        <f aca="false">IF($B1845="","",IFERROR(INDEX(품목마스터!$D$3:$D$302,MATCH($B1845,품목마스터!$A$3:$A$302,0)),""))</f>
        <v/>
      </c>
      <c r="E1845" s="12"/>
      <c r="F1845" s="10"/>
    </row>
    <row r="1846" customFormat="false" ht="15" hidden="false" customHeight="true" outlineLevel="0" collapsed="false">
      <c r="A1846" s="16"/>
      <c r="B1846" s="10"/>
      <c r="C1846" s="17" t="str">
        <f aca="false">IF($B1846="","",IFERROR(INDEX(품목마스터!$B$3:$B$302,MATCH($B1846,품목마스터!$A$3:$A$302,0)),"미등록품번"))</f>
        <v/>
      </c>
      <c r="D1846" s="17" t="str">
        <f aca="false">IF($B1846="","",IFERROR(INDEX(품목마스터!$D$3:$D$302,MATCH($B1846,품목마스터!$A$3:$A$302,0)),""))</f>
        <v/>
      </c>
      <c r="E1846" s="12"/>
      <c r="F1846" s="10"/>
    </row>
    <row r="1847" customFormat="false" ht="15" hidden="false" customHeight="true" outlineLevel="0" collapsed="false">
      <c r="A1847" s="16"/>
      <c r="B1847" s="10"/>
      <c r="C1847" s="17" t="str">
        <f aca="false">IF($B1847="","",IFERROR(INDEX(품목마스터!$B$3:$B$302,MATCH($B1847,품목마스터!$A$3:$A$302,0)),"미등록품번"))</f>
        <v/>
      </c>
      <c r="D1847" s="17" t="str">
        <f aca="false">IF($B1847="","",IFERROR(INDEX(품목마스터!$D$3:$D$302,MATCH($B1847,품목마스터!$A$3:$A$302,0)),""))</f>
        <v/>
      </c>
      <c r="E1847" s="12"/>
      <c r="F1847" s="10"/>
    </row>
    <row r="1848" customFormat="false" ht="15" hidden="false" customHeight="true" outlineLevel="0" collapsed="false">
      <c r="A1848" s="16"/>
      <c r="B1848" s="10"/>
      <c r="C1848" s="17" t="str">
        <f aca="false">IF($B1848="","",IFERROR(INDEX(품목마스터!$B$3:$B$302,MATCH($B1848,품목마스터!$A$3:$A$302,0)),"미등록품번"))</f>
        <v/>
      </c>
      <c r="D1848" s="17" t="str">
        <f aca="false">IF($B1848="","",IFERROR(INDEX(품목마스터!$D$3:$D$302,MATCH($B1848,품목마스터!$A$3:$A$302,0)),""))</f>
        <v/>
      </c>
      <c r="E1848" s="12"/>
      <c r="F1848" s="10"/>
    </row>
    <row r="1849" customFormat="false" ht="15" hidden="false" customHeight="true" outlineLevel="0" collapsed="false">
      <c r="A1849" s="16"/>
      <c r="B1849" s="10"/>
      <c r="C1849" s="17" t="str">
        <f aca="false">IF($B1849="","",IFERROR(INDEX(품목마스터!$B$3:$B$302,MATCH($B1849,품목마스터!$A$3:$A$302,0)),"미등록품번"))</f>
        <v/>
      </c>
      <c r="D1849" s="17" t="str">
        <f aca="false">IF($B1849="","",IFERROR(INDEX(품목마스터!$D$3:$D$302,MATCH($B1849,품목마스터!$A$3:$A$302,0)),""))</f>
        <v/>
      </c>
      <c r="E1849" s="12"/>
      <c r="F1849" s="10"/>
    </row>
    <row r="1850" customFormat="false" ht="15" hidden="false" customHeight="true" outlineLevel="0" collapsed="false">
      <c r="A1850" s="16"/>
      <c r="B1850" s="10"/>
      <c r="C1850" s="17" t="str">
        <f aca="false">IF($B1850="","",IFERROR(INDEX(품목마스터!$B$3:$B$302,MATCH($B1850,품목마스터!$A$3:$A$302,0)),"미등록품번"))</f>
        <v/>
      </c>
      <c r="D1850" s="17" t="str">
        <f aca="false">IF($B1850="","",IFERROR(INDEX(품목마스터!$D$3:$D$302,MATCH($B1850,품목마스터!$A$3:$A$302,0)),""))</f>
        <v/>
      </c>
      <c r="E1850" s="12"/>
      <c r="F1850" s="10"/>
    </row>
    <row r="1851" customFormat="false" ht="15" hidden="false" customHeight="true" outlineLevel="0" collapsed="false">
      <c r="A1851" s="16"/>
      <c r="B1851" s="10"/>
      <c r="C1851" s="17" t="str">
        <f aca="false">IF($B1851="","",IFERROR(INDEX(품목마스터!$B$3:$B$302,MATCH($B1851,품목마스터!$A$3:$A$302,0)),"미등록품번"))</f>
        <v/>
      </c>
      <c r="D1851" s="17" t="str">
        <f aca="false">IF($B1851="","",IFERROR(INDEX(품목마스터!$D$3:$D$302,MATCH($B1851,품목마스터!$A$3:$A$302,0)),""))</f>
        <v/>
      </c>
      <c r="E1851" s="12"/>
      <c r="F1851" s="10"/>
    </row>
    <row r="1852" customFormat="false" ht="15" hidden="false" customHeight="true" outlineLevel="0" collapsed="false">
      <c r="A1852" s="16"/>
      <c r="B1852" s="10"/>
      <c r="C1852" s="17" t="str">
        <f aca="false">IF($B1852="","",IFERROR(INDEX(품목마스터!$B$3:$B$302,MATCH($B1852,품목마스터!$A$3:$A$302,0)),"미등록품번"))</f>
        <v/>
      </c>
      <c r="D1852" s="17" t="str">
        <f aca="false">IF($B1852="","",IFERROR(INDEX(품목마스터!$D$3:$D$302,MATCH($B1852,품목마스터!$A$3:$A$302,0)),""))</f>
        <v/>
      </c>
      <c r="E1852" s="12"/>
      <c r="F1852" s="10"/>
    </row>
    <row r="1853" customFormat="false" ht="15" hidden="false" customHeight="true" outlineLevel="0" collapsed="false">
      <c r="A1853" s="16"/>
      <c r="B1853" s="10"/>
      <c r="C1853" s="17" t="str">
        <f aca="false">IF($B1853="","",IFERROR(INDEX(품목마스터!$B$3:$B$302,MATCH($B1853,품목마스터!$A$3:$A$302,0)),"미등록품번"))</f>
        <v/>
      </c>
      <c r="D1853" s="17" t="str">
        <f aca="false">IF($B1853="","",IFERROR(INDEX(품목마스터!$D$3:$D$302,MATCH($B1853,품목마스터!$A$3:$A$302,0)),""))</f>
        <v/>
      </c>
      <c r="E1853" s="12"/>
      <c r="F1853" s="10"/>
    </row>
    <row r="1854" customFormat="false" ht="15" hidden="false" customHeight="true" outlineLevel="0" collapsed="false">
      <c r="A1854" s="16"/>
      <c r="B1854" s="10"/>
      <c r="C1854" s="17" t="str">
        <f aca="false">IF($B1854="","",IFERROR(INDEX(품목마스터!$B$3:$B$302,MATCH($B1854,품목마스터!$A$3:$A$302,0)),"미등록품번"))</f>
        <v/>
      </c>
      <c r="D1854" s="17" t="str">
        <f aca="false">IF($B1854="","",IFERROR(INDEX(품목마스터!$D$3:$D$302,MATCH($B1854,품목마스터!$A$3:$A$302,0)),""))</f>
        <v/>
      </c>
      <c r="E1854" s="12"/>
      <c r="F1854" s="10"/>
    </row>
    <row r="1855" customFormat="false" ht="15" hidden="false" customHeight="true" outlineLevel="0" collapsed="false">
      <c r="A1855" s="16"/>
      <c r="B1855" s="10"/>
      <c r="C1855" s="17" t="str">
        <f aca="false">IF($B1855="","",IFERROR(INDEX(품목마스터!$B$3:$B$302,MATCH($B1855,품목마스터!$A$3:$A$302,0)),"미등록품번"))</f>
        <v/>
      </c>
      <c r="D1855" s="17" t="str">
        <f aca="false">IF($B1855="","",IFERROR(INDEX(품목마스터!$D$3:$D$302,MATCH($B1855,품목마스터!$A$3:$A$302,0)),""))</f>
        <v/>
      </c>
      <c r="E1855" s="12"/>
      <c r="F1855" s="10"/>
    </row>
    <row r="1856" customFormat="false" ht="15" hidden="false" customHeight="true" outlineLevel="0" collapsed="false">
      <c r="A1856" s="16"/>
      <c r="B1856" s="10"/>
      <c r="C1856" s="17" t="str">
        <f aca="false">IF($B1856="","",IFERROR(INDEX(품목마스터!$B$3:$B$302,MATCH($B1856,품목마스터!$A$3:$A$302,0)),"미등록품번"))</f>
        <v/>
      </c>
      <c r="D1856" s="17" t="str">
        <f aca="false">IF($B1856="","",IFERROR(INDEX(품목마스터!$D$3:$D$302,MATCH($B1856,품목마스터!$A$3:$A$302,0)),""))</f>
        <v/>
      </c>
      <c r="E1856" s="12"/>
      <c r="F1856" s="10"/>
    </row>
    <row r="1857" customFormat="false" ht="15" hidden="false" customHeight="true" outlineLevel="0" collapsed="false">
      <c r="A1857" s="16"/>
      <c r="B1857" s="10"/>
      <c r="C1857" s="17" t="str">
        <f aca="false">IF($B1857="","",IFERROR(INDEX(품목마스터!$B$3:$B$302,MATCH($B1857,품목마스터!$A$3:$A$302,0)),"미등록품번"))</f>
        <v/>
      </c>
      <c r="D1857" s="17" t="str">
        <f aca="false">IF($B1857="","",IFERROR(INDEX(품목마스터!$D$3:$D$302,MATCH($B1857,품목마스터!$A$3:$A$302,0)),""))</f>
        <v/>
      </c>
      <c r="E1857" s="12"/>
      <c r="F1857" s="10"/>
    </row>
    <row r="1858" customFormat="false" ht="15" hidden="false" customHeight="true" outlineLevel="0" collapsed="false">
      <c r="A1858" s="16"/>
      <c r="B1858" s="10"/>
      <c r="C1858" s="17" t="str">
        <f aca="false">IF($B1858="","",IFERROR(INDEX(품목마스터!$B$3:$B$302,MATCH($B1858,품목마스터!$A$3:$A$302,0)),"미등록품번"))</f>
        <v/>
      </c>
      <c r="D1858" s="17" t="str">
        <f aca="false">IF($B1858="","",IFERROR(INDEX(품목마스터!$D$3:$D$302,MATCH($B1858,품목마스터!$A$3:$A$302,0)),""))</f>
        <v/>
      </c>
      <c r="E1858" s="12"/>
      <c r="F1858" s="10"/>
    </row>
    <row r="1859" customFormat="false" ht="15" hidden="false" customHeight="true" outlineLevel="0" collapsed="false">
      <c r="A1859" s="16"/>
      <c r="B1859" s="10"/>
      <c r="C1859" s="17" t="str">
        <f aca="false">IF($B1859="","",IFERROR(INDEX(품목마스터!$B$3:$B$302,MATCH($B1859,품목마스터!$A$3:$A$302,0)),"미등록품번"))</f>
        <v/>
      </c>
      <c r="D1859" s="17" t="str">
        <f aca="false">IF($B1859="","",IFERROR(INDEX(품목마스터!$D$3:$D$302,MATCH($B1859,품목마스터!$A$3:$A$302,0)),""))</f>
        <v/>
      </c>
      <c r="E1859" s="12"/>
      <c r="F1859" s="10"/>
    </row>
    <row r="1860" customFormat="false" ht="15" hidden="false" customHeight="true" outlineLevel="0" collapsed="false">
      <c r="A1860" s="16"/>
      <c r="B1860" s="10"/>
      <c r="C1860" s="17" t="str">
        <f aca="false">IF($B1860="","",IFERROR(INDEX(품목마스터!$B$3:$B$302,MATCH($B1860,품목마스터!$A$3:$A$302,0)),"미등록품번"))</f>
        <v/>
      </c>
      <c r="D1860" s="17" t="str">
        <f aca="false">IF($B1860="","",IFERROR(INDEX(품목마스터!$D$3:$D$302,MATCH($B1860,품목마스터!$A$3:$A$302,0)),""))</f>
        <v/>
      </c>
      <c r="E1860" s="12"/>
      <c r="F1860" s="10"/>
    </row>
    <row r="1861" customFormat="false" ht="15" hidden="false" customHeight="true" outlineLevel="0" collapsed="false">
      <c r="A1861" s="16"/>
      <c r="B1861" s="10"/>
      <c r="C1861" s="17" t="str">
        <f aca="false">IF($B1861="","",IFERROR(INDEX(품목마스터!$B$3:$B$302,MATCH($B1861,품목마스터!$A$3:$A$302,0)),"미등록품번"))</f>
        <v/>
      </c>
      <c r="D1861" s="17" t="str">
        <f aca="false">IF($B1861="","",IFERROR(INDEX(품목마스터!$D$3:$D$302,MATCH($B1861,품목마스터!$A$3:$A$302,0)),""))</f>
        <v/>
      </c>
      <c r="E1861" s="12"/>
      <c r="F1861" s="10"/>
    </row>
    <row r="1862" customFormat="false" ht="15" hidden="false" customHeight="true" outlineLevel="0" collapsed="false">
      <c r="A1862" s="16"/>
      <c r="B1862" s="10"/>
      <c r="C1862" s="17" t="str">
        <f aca="false">IF($B1862="","",IFERROR(INDEX(품목마스터!$B$3:$B$302,MATCH($B1862,품목마스터!$A$3:$A$302,0)),"미등록품번"))</f>
        <v/>
      </c>
      <c r="D1862" s="17" t="str">
        <f aca="false">IF($B1862="","",IFERROR(INDEX(품목마스터!$D$3:$D$302,MATCH($B1862,품목마스터!$A$3:$A$302,0)),""))</f>
        <v/>
      </c>
      <c r="E1862" s="12"/>
      <c r="F1862" s="10"/>
    </row>
    <row r="1863" customFormat="false" ht="15" hidden="false" customHeight="true" outlineLevel="0" collapsed="false">
      <c r="A1863" s="16"/>
      <c r="B1863" s="10"/>
      <c r="C1863" s="17" t="str">
        <f aca="false">IF($B1863="","",IFERROR(INDEX(품목마스터!$B$3:$B$302,MATCH($B1863,품목마스터!$A$3:$A$302,0)),"미등록품번"))</f>
        <v/>
      </c>
      <c r="D1863" s="17" t="str">
        <f aca="false">IF($B1863="","",IFERROR(INDEX(품목마스터!$D$3:$D$302,MATCH($B1863,품목마스터!$A$3:$A$302,0)),""))</f>
        <v/>
      </c>
      <c r="E1863" s="12"/>
      <c r="F1863" s="10"/>
    </row>
    <row r="1864" customFormat="false" ht="15" hidden="false" customHeight="true" outlineLevel="0" collapsed="false">
      <c r="A1864" s="16"/>
      <c r="B1864" s="10"/>
      <c r="C1864" s="17" t="str">
        <f aca="false">IF($B1864="","",IFERROR(INDEX(품목마스터!$B$3:$B$302,MATCH($B1864,품목마스터!$A$3:$A$302,0)),"미등록품번"))</f>
        <v/>
      </c>
      <c r="D1864" s="17" t="str">
        <f aca="false">IF($B1864="","",IFERROR(INDEX(품목마스터!$D$3:$D$302,MATCH($B1864,품목마스터!$A$3:$A$302,0)),""))</f>
        <v/>
      </c>
      <c r="E1864" s="12"/>
      <c r="F1864" s="10"/>
    </row>
    <row r="1865" customFormat="false" ht="15" hidden="false" customHeight="true" outlineLevel="0" collapsed="false">
      <c r="A1865" s="16"/>
      <c r="B1865" s="10"/>
      <c r="C1865" s="17" t="str">
        <f aca="false">IF($B1865="","",IFERROR(INDEX(품목마스터!$B$3:$B$302,MATCH($B1865,품목마스터!$A$3:$A$302,0)),"미등록품번"))</f>
        <v/>
      </c>
      <c r="D1865" s="17" t="str">
        <f aca="false">IF($B1865="","",IFERROR(INDEX(품목마스터!$D$3:$D$302,MATCH($B1865,품목마스터!$A$3:$A$302,0)),""))</f>
        <v/>
      </c>
      <c r="E1865" s="12"/>
      <c r="F1865" s="10"/>
    </row>
    <row r="1866" customFormat="false" ht="15" hidden="false" customHeight="true" outlineLevel="0" collapsed="false">
      <c r="A1866" s="16"/>
      <c r="B1866" s="10"/>
      <c r="C1866" s="17" t="str">
        <f aca="false">IF($B1866="","",IFERROR(INDEX(품목마스터!$B$3:$B$302,MATCH($B1866,품목마스터!$A$3:$A$302,0)),"미등록품번"))</f>
        <v/>
      </c>
      <c r="D1866" s="17" t="str">
        <f aca="false">IF($B1866="","",IFERROR(INDEX(품목마스터!$D$3:$D$302,MATCH($B1866,품목마스터!$A$3:$A$302,0)),""))</f>
        <v/>
      </c>
      <c r="E1866" s="12"/>
      <c r="F1866" s="10"/>
    </row>
    <row r="1867" customFormat="false" ht="15" hidden="false" customHeight="true" outlineLevel="0" collapsed="false">
      <c r="A1867" s="16"/>
      <c r="B1867" s="10"/>
      <c r="C1867" s="17" t="str">
        <f aca="false">IF($B1867="","",IFERROR(INDEX(품목마스터!$B$3:$B$302,MATCH($B1867,품목마스터!$A$3:$A$302,0)),"미등록품번"))</f>
        <v/>
      </c>
      <c r="D1867" s="17" t="str">
        <f aca="false">IF($B1867="","",IFERROR(INDEX(품목마스터!$D$3:$D$302,MATCH($B1867,품목마스터!$A$3:$A$302,0)),""))</f>
        <v/>
      </c>
      <c r="E1867" s="12"/>
      <c r="F1867" s="10"/>
    </row>
    <row r="1868" customFormat="false" ht="15" hidden="false" customHeight="true" outlineLevel="0" collapsed="false">
      <c r="A1868" s="16"/>
      <c r="B1868" s="10"/>
      <c r="C1868" s="17" t="str">
        <f aca="false">IF($B1868="","",IFERROR(INDEX(품목마스터!$B$3:$B$302,MATCH($B1868,품목마스터!$A$3:$A$302,0)),"미등록품번"))</f>
        <v/>
      </c>
      <c r="D1868" s="17" t="str">
        <f aca="false">IF($B1868="","",IFERROR(INDEX(품목마스터!$D$3:$D$302,MATCH($B1868,품목마스터!$A$3:$A$302,0)),""))</f>
        <v/>
      </c>
      <c r="E1868" s="12"/>
      <c r="F1868" s="10"/>
    </row>
    <row r="1869" customFormat="false" ht="15" hidden="false" customHeight="true" outlineLevel="0" collapsed="false">
      <c r="A1869" s="16"/>
      <c r="B1869" s="10"/>
      <c r="C1869" s="17" t="str">
        <f aca="false">IF($B1869="","",IFERROR(INDEX(품목마스터!$B$3:$B$302,MATCH($B1869,품목마스터!$A$3:$A$302,0)),"미등록품번"))</f>
        <v/>
      </c>
      <c r="D1869" s="17" t="str">
        <f aca="false">IF($B1869="","",IFERROR(INDEX(품목마스터!$D$3:$D$302,MATCH($B1869,품목마스터!$A$3:$A$302,0)),""))</f>
        <v/>
      </c>
      <c r="E1869" s="12"/>
      <c r="F1869" s="10"/>
    </row>
    <row r="1870" customFormat="false" ht="15" hidden="false" customHeight="true" outlineLevel="0" collapsed="false">
      <c r="A1870" s="16"/>
      <c r="B1870" s="10"/>
      <c r="C1870" s="17" t="str">
        <f aca="false">IF($B1870="","",IFERROR(INDEX(품목마스터!$B$3:$B$302,MATCH($B1870,품목마스터!$A$3:$A$302,0)),"미등록품번"))</f>
        <v/>
      </c>
      <c r="D1870" s="17" t="str">
        <f aca="false">IF($B1870="","",IFERROR(INDEX(품목마스터!$D$3:$D$302,MATCH($B1870,품목마스터!$A$3:$A$302,0)),""))</f>
        <v/>
      </c>
      <c r="E1870" s="12"/>
      <c r="F1870" s="10"/>
    </row>
    <row r="1871" customFormat="false" ht="15" hidden="false" customHeight="true" outlineLevel="0" collapsed="false">
      <c r="A1871" s="16"/>
      <c r="B1871" s="10"/>
      <c r="C1871" s="17" t="str">
        <f aca="false">IF($B1871="","",IFERROR(INDEX(품목마스터!$B$3:$B$302,MATCH($B1871,품목마스터!$A$3:$A$302,0)),"미등록품번"))</f>
        <v/>
      </c>
      <c r="D1871" s="17" t="str">
        <f aca="false">IF($B1871="","",IFERROR(INDEX(품목마스터!$D$3:$D$302,MATCH($B1871,품목마스터!$A$3:$A$302,0)),""))</f>
        <v/>
      </c>
      <c r="E1871" s="12"/>
      <c r="F1871" s="10"/>
    </row>
    <row r="1872" customFormat="false" ht="15" hidden="false" customHeight="true" outlineLevel="0" collapsed="false">
      <c r="A1872" s="16"/>
      <c r="B1872" s="10"/>
      <c r="C1872" s="17" t="str">
        <f aca="false">IF($B1872="","",IFERROR(INDEX(품목마스터!$B$3:$B$302,MATCH($B1872,품목마스터!$A$3:$A$302,0)),"미등록품번"))</f>
        <v/>
      </c>
      <c r="D1872" s="17" t="str">
        <f aca="false">IF($B1872="","",IFERROR(INDEX(품목마스터!$D$3:$D$302,MATCH($B1872,품목마스터!$A$3:$A$302,0)),""))</f>
        <v/>
      </c>
      <c r="E1872" s="12"/>
      <c r="F1872" s="10"/>
    </row>
    <row r="1873" customFormat="false" ht="15" hidden="false" customHeight="true" outlineLevel="0" collapsed="false">
      <c r="A1873" s="16"/>
      <c r="B1873" s="10"/>
      <c r="C1873" s="17" t="str">
        <f aca="false">IF($B1873="","",IFERROR(INDEX(품목마스터!$B$3:$B$302,MATCH($B1873,품목마스터!$A$3:$A$302,0)),"미등록품번"))</f>
        <v/>
      </c>
      <c r="D1873" s="17" t="str">
        <f aca="false">IF($B1873="","",IFERROR(INDEX(품목마스터!$D$3:$D$302,MATCH($B1873,품목마스터!$A$3:$A$302,0)),""))</f>
        <v/>
      </c>
      <c r="E1873" s="12"/>
      <c r="F1873" s="10"/>
    </row>
    <row r="1874" customFormat="false" ht="15" hidden="false" customHeight="true" outlineLevel="0" collapsed="false">
      <c r="A1874" s="16"/>
      <c r="B1874" s="10"/>
      <c r="C1874" s="17" t="str">
        <f aca="false">IF($B1874="","",IFERROR(INDEX(품목마스터!$B$3:$B$302,MATCH($B1874,품목마스터!$A$3:$A$302,0)),"미등록품번"))</f>
        <v/>
      </c>
      <c r="D1874" s="17" t="str">
        <f aca="false">IF($B1874="","",IFERROR(INDEX(품목마스터!$D$3:$D$302,MATCH($B1874,품목마스터!$A$3:$A$302,0)),""))</f>
        <v/>
      </c>
      <c r="E1874" s="12"/>
      <c r="F1874" s="10"/>
    </row>
    <row r="1875" customFormat="false" ht="15" hidden="false" customHeight="true" outlineLevel="0" collapsed="false">
      <c r="A1875" s="16"/>
      <c r="B1875" s="10"/>
      <c r="C1875" s="17" t="str">
        <f aca="false">IF($B1875="","",IFERROR(INDEX(품목마스터!$B$3:$B$302,MATCH($B1875,품목마스터!$A$3:$A$302,0)),"미등록품번"))</f>
        <v/>
      </c>
      <c r="D1875" s="17" t="str">
        <f aca="false">IF($B1875="","",IFERROR(INDEX(품목마스터!$D$3:$D$302,MATCH($B1875,품목마스터!$A$3:$A$302,0)),""))</f>
        <v/>
      </c>
      <c r="E1875" s="12"/>
      <c r="F1875" s="10"/>
    </row>
    <row r="1876" customFormat="false" ht="15" hidden="false" customHeight="true" outlineLevel="0" collapsed="false">
      <c r="A1876" s="16"/>
      <c r="B1876" s="10"/>
      <c r="C1876" s="17" t="str">
        <f aca="false">IF($B1876="","",IFERROR(INDEX(품목마스터!$B$3:$B$302,MATCH($B1876,품목마스터!$A$3:$A$302,0)),"미등록품번"))</f>
        <v/>
      </c>
      <c r="D1876" s="17" t="str">
        <f aca="false">IF($B1876="","",IFERROR(INDEX(품목마스터!$D$3:$D$302,MATCH($B1876,품목마스터!$A$3:$A$302,0)),""))</f>
        <v/>
      </c>
      <c r="E1876" s="12"/>
      <c r="F1876" s="10"/>
    </row>
    <row r="1877" customFormat="false" ht="15" hidden="false" customHeight="true" outlineLevel="0" collapsed="false">
      <c r="A1877" s="16"/>
      <c r="B1877" s="10"/>
      <c r="C1877" s="17" t="str">
        <f aca="false">IF($B1877="","",IFERROR(INDEX(품목마스터!$B$3:$B$302,MATCH($B1877,품목마스터!$A$3:$A$302,0)),"미등록품번"))</f>
        <v/>
      </c>
      <c r="D1877" s="17" t="str">
        <f aca="false">IF($B1877="","",IFERROR(INDEX(품목마스터!$D$3:$D$302,MATCH($B1877,품목마스터!$A$3:$A$302,0)),""))</f>
        <v/>
      </c>
      <c r="E1877" s="12"/>
      <c r="F1877" s="10"/>
    </row>
    <row r="1878" customFormat="false" ht="15" hidden="false" customHeight="true" outlineLevel="0" collapsed="false">
      <c r="A1878" s="16"/>
      <c r="B1878" s="10"/>
      <c r="C1878" s="17" t="str">
        <f aca="false">IF($B1878="","",IFERROR(INDEX(품목마스터!$B$3:$B$302,MATCH($B1878,품목마스터!$A$3:$A$302,0)),"미등록품번"))</f>
        <v/>
      </c>
      <c r="D1878" s="17" t="str">
        <f aca="false">IF($B1878="","",IFERROR(INDEX(품목마스터!$D$3:$D$302,MATCH($B1878,품목마스터!$A$3:$A$302,0)),""))</f>
        <v/>
      </c>
      <c r="E1878" s="12"/>
      <c r="F1878" s="10"/>
    </row>
    <row r="1879" customFormat="false" ht="15" hidden="false" customHeight="true" outlineLevel="0" collapsed="false">
      <c r="A1879" s="16"/>
      <c r="B1879" s="10"/>
      <c r="C1879" s="17" t="str">
        <f aca="false">IF($B1879="","",IFERROR(INDEX(품목마스터!$B$3:$B$302,MATCH($B1879,품목마스터!$A$3:$A$302,0)),"미등록품번"))</f>
        <v/>
      </c>
      <c r="D1879" s="17" t="str">
        <f aca="false">IF($B1879="","",IFERROR(INDEX(품목마스터!$D$3:$D$302,MATCH($B1879,품목마스터!$A$3:$A$302,0)),""))</f>
        <v/>
      </c>
      <c r="E1879" s="12"/>
      <c r="F1879" s="10"/>
    </row>
    <row r="1880" customFormat="false" ht="15" hidden="false" customHeight="true" outlineLevel="0" collapsed="false">
      <c r="A1880" s="16"/>
      <c r="B1880" s="10"/>
      <c r="C1880" s="17" t="str">
        <f aca="false">IF($B1880="","",IFERROR(INDEX(품목마스터!$B$3:$B$302,MATCH($B1880,품목마스터!$A$3:$A$302,0)),"미등록품번"))</f>
        <v/>
      </c>
      <c r="D1880" s="17" t="str">
        <f aca="false">IF($B1880="","",IFERROR(INDEX(품목마스터!$D$3:$D$302,MATCH($B1880,품목마스터!$A$3:$A$302,0)),""))</f>
        <v/>
      </c>
      <c r="E1880" s="12"/>
      <c r="F1880" s="10"/>
    </row>
    <row r="1881" customFormat="false" ht="15" hidden="false" customHeight="true" outlineLevel="0" collapsed="false">
      <c r="A1881" s="16"/>
      <c r="B1881" s="10"/>
      <c r="C1881" s="17" t="str">
        <f aca="false">IF($B1881="","",IFERROR(INDEX(품목마스터!$B$3:$B$302,MATCH($B1881,품목마스터!$A$3:$A$302,0)),"미등록품번"))</f>
        <v/>
      </c>
      <c r="D1881" s="17" t="str">
        <f aca="false">IF($B1881="","",IFERROR(INDEX(품목마스터!$D$3:$D$302,MATCH($B1881,품목마스터!$A$3:$A$302,0)),""))</f>
        <v/>
      </c>
      <c r="E1881" s="12"/>
      <c r="F1881" s="10"/>
    </row>
    <row r="1882" customFormat="false" ht="15" hidden="false" customHeight="true" outlineLevel="0" collapsed="false">
      <c r="A1882" s="16"/>
      <c r="B1882" s="10"/>
      <c r="C1882" s="17" t="str">
        <f aca="false">IF($B1882="","",IFERROR(INDEX(품목마스터!$B$3:$B$302,MATCH($B1882,품목마스터!$A$3:$A$302,0)),"미등록품번"))</f>
        <v/>
      </c>
      <c r="D1882" s="17" t="str">
        <f aca="false">IF($B1882="","",IFERROR(INDEX(품목마스터!$D$3:$D$302,MATCH($B1882,품목마스터!$A$3:$A$302,0)),""))</f>
        <v/>
      </c>
      <c r="E1882" s="12"/>
      <c r="F1882" s="10"/>
    </row>
    <row r="1883" customFormat="false" ht="15" hidden="false" customHeight="true" outlineLevel="0" collapsed="false">
      <c r="A1883" s="16"/>
      <c r="B1883" s="10"/>
      <c r="C1883" s="17" t="str">
        <f aca="false">IF($B1883="","",IFERROR(INDEX(품목마스터!$B$3:$B$302,MATCH($B1883,품목마스터!$A$3:$A$302,0)),"미등록품번"))</f>
        <v/>
      </c>
      <c r="D1883" s="17" t="str">
        <f aca="false">IF($B1883="","",IFERROR(INDEX(품목마스터!$D$3:$D$302,MATCH($B1883,품목마스터!$A$3:$A$302,0)),""))</f>
        <v/>
      </c>
      <c r="E1883" s="12"/>
      <c r="F1883" s="10"/>
    </row>
    <row r="1884" customFormat="false" ht="15" hidden="false" customHeight="true" outlineLevel="0" collapsed="false">
      <c r="A1884" s="16"/>
      <c r="B1884" s="10"/>
      <c r="C1884" s="17" t="str">
        <f aca="false">IF($B1884="","",IFERROR(INDEX(품목마스터!$B$3:$B$302,MATCH($B1884,품목마스터!$A$3:$A$302,0)),"미등록품번"))</f>
        <v/>
      </c>
      <c r="D1884" s="17" t="str">
        <f aca="false">IF($B1884="","",IFERROR(INDEX(품목마스터!$D$3:$D$302,MATCH($B1884,품목마스터!$A$3:$A$302,0)),""))</f>
        <v/>
      </c>
      <c r="E1884" s="12"/>
      <c r="F1884" s="10"/>
    </row>
    <row r="1885" customFormat="false" ht="15" hidden="false" customHeight="true" outlineLevel="0" collapsed="false">
      <c r="A1885" s="16"/>
      <c r="B1885" s="10"/>
      <c r="C1885" s="17" t="str">
        <f aca="false">IF($B1885="","",IFERROR(INDEX(품목마스터!$B$3:$B$302,MATCH($B1885,품목마스터!$A$3:$A$302,0)),"미등록품번"))</f>
        <v/>
      </c>
      <c r="D1885" s="17" t="str">
        <f aca="false">IF($B1885="","",IFERROR(INDEX(품목마스터!$D$3:$D$302,MATCH($B1885,품목마스터!$A$3:$A$302,0)),""))</f>
        <v/>
      </c>
      <c r="E1885" s="12"/>
      <c r="F1885" s="10"/>
    </row>
    <row r="1886" customFormat="false" ht="15" hidden="false" customHeight="true" outlineLevel="0" collapsed="false">
      <c r="A1886" s="16"/>
      <c r="B1886" s="10"/>
      <c r="C1886" s="17" t="str">
        <f aca="false">IF($B1886="","",IFERROR(INDEX(품목마스터!$B$3:$B$302,MATCH($B1886,품목마스터!$A$3:$A$302,0)),"미등록품번"))</f>
        <v/>
      </c>
      <c r="D1886" s="17" t="str">
        <f aca="false">IF($B1886="","",IFERROR(INDEX(품목마스터!$D$3:$D$302,MATCH($B1886,품목마스터!$A$3:$A$302,0)),""))</f>
        <v/>
      </c>
      <c r="E1886" s="12"/>
      <c r="F1886" s="10"/>
    </row>
    <row r="1887" customFormat="false" ht="15" hidden="false" customHeight="true" outlineLevel="0" collapsed="false">
      <c r="A1887" s="16"/>
      <c r="B1887" s="10"/>
      <c r="C1887" s="17" t="str">
        <f aca="false">IF($B1887="","",IFERROR(INDEX(품목마스터!$B$3:$B$302,MATCH($B1887,품목마스터!$A$3:$A$302,0)),"미등록품번"))</f>
        <v/>
      </c>
      <c r="D1887" s="17" t="str">
        <f aca="false">IF($B1887="","",IFERROR(INDEX(품목마스터!$D$3:$D$302,MATCH($B1887,품목마스터!$A$3:$A$302,0)),""))</f>
        <v/>
      </c>
      <c r="E1887" s="12"/>
      <c r="F1887" s="10"/>
    </row>
    <row r="1888" customFormat="false" ht="15" hidden="false" customHeight="true" outlineLevel="0" collapsed="false">
      <c r="A1888" s="16"/>
      <c r="B1888" s="10"/>
      <c r="C1888" s="17" t="str">
        <f aca="false">IF($B1888="","",IFERROR(INDEX(품목마스터!$B$3:$B$302,MATCH($B1888,품목마스터!$A$3:$A$302,0)),"미등록품번"))</f>
        <v/>
      </c>
      <c r="D1888" s="17" t="str">
        <f aca="false">IF($B1888="","",IFERROR(INDEX(품목마스터!$D$3:$D$302,MATCH($B1888,품목마스터!$A$3:$A$302,0)),""))</f>
        <v/>
      </c>
      <c r="E1888" s="12"/>
      <c r="F1888" s="10"/>
    </row>
    <row r="1889" customFormat="false" ht="15" hidden="false" customHeight="true" outlineLevel="0" collapsed="false">
      <c r="A1889" s="16"/>
      <c r="B1889" s="10"/>
      <c r="C1889" s="17" t="str">
        <f aca="false">IF($B1889="","",IFERROR(INDEX(품목마스터!$B$3:$B$302,MATCH($B1889,품목마스터!$A$3:$A$302,0)),"미등록품번"))</f>
        <v/>
      </c>
      <c r="D1889" s="17" t="str">
        <f aca="false">IF($B1889="","",IFERROR(INDEX(품목마스터!$D$3:$D$302,MATCH($B1889,품목마스터!$A$3:$A$302,0)),""))</f>
        <v/>
      </c>
      <c r="E1889" s="12"/>
      <c r="F1889" s="10"/>
    </row>
    <row r="1890" customFormat="false" ht="15" hidden="false" customHeight="true" outlineLevel="0" collapsed="false">
      <c r="A1890" s="16"/>
      <c r="B1890" s="10"/>
      <c r="C1890" s="17" t="str">
        <f aca="false">IF($B1890="","",IFERROR(INDEX(품목마스터!$B$3:$B$302,MATCH($B1890,품목마스터!$A$3:$A$302,0)),"미등록품번"))</f>
        <v/>
      </c>
      <c r="D1890" s="17" t="str">
        <f aca="false">IF($B1890="","",IFERROR(INDEX(품목마스터!$D$3:$D$302,MATCH($B1890,품목마스터!$A$3:$A$302,0)),""))</f>
        <v/>
      </c>
      <c r="E1890" s="12"/>
      <c r="F1890" s="10"/>
    </row>
    <row r="1891" customFormat="false" ht="15" hidden="false" customHeight="true" outlineLevel="0" collapsed="false">
      <c r="A1891" s="16"/>
      <c r="B1891" s="10"/>
      <c r="C1891" s="17" t="str">
        <f aca="false">IF($B1891="","",IFERROR(INDEX(품목마스터!$B$3:$B$302,MATCH($B1891,품목마스터!$A$3:$A$302,0)),"미등록품번"))</f>
        <v/>
      </c>
      <c r="D1891" s="17" t="str">
        <f aca="false">IF($B1891="","",IFERROR(INDEX(품목마스터!$D$3:$D$302,MATCH($B1891,품목마스터!$A$3:$A$302,0)),""))</f>
        <v/>
      </c>
      <c r="E1891" s="12"/>
      <c r="F1891" s="10"/>
    </row>
    <row r="1892" customFormat="false" ht="15" hidden="false" customHeight="true" outlineLevel="0" collapsed="false">
      <c r="A1892" s="16"/>
      <c r="B1892" s="10"/>
      <c r="C1892" s="17" t="str">
        <f aca="false">IF($B1892="","",IFERROR(INDEX(품목마스터!$B$3:$B$302,MATCH($B1892,품목마스터!$A$3:$A$302,0)),"미등록품번"))</f>
        <v/>
      </c>
      <c r="D1892" s="17" t="str">
        <f aca="false">IF($B1892="","",IFERROR(INDEX(품목마스터!$D$3:$D$302,MATCH($B1892,품목마스터!$A$3:$A$302,0)),""))</f>
        <v/>
      </c>
      <c r="E1892" s="12"/>
      <c r="F1892" s="10"/>
    </row>
    <row r="1893" customFormat="false" ht="15" hidden="false" customHeight="true" outlineLevel="0" collapsed="false">
      <c r="A1893" s="16"/>
      <c r="B1893" s="10"/>
      <c r="C1893" s="17" t="str">
        <f aca="false">IF($B1893="","",IFERROR(INDEX(품목마스터!$B$3:$B$302,MATCH($B1893,품목마스터!$A$3:$A$302,0)),"미등록품번"))</f>
        <v/>
      </c>
      <c r="D1893" s="17" t="str">
        <f aca="false">IF($B1893="","",IFERROR(INDEX(품목마스터!$D$3:$D$302,MATCH($B1893,품목마스터!$A$3:$A$302,0)),""))</f>
        <v/>
      </c>
      <c r="E1893" s="12"/>
      <c r="F1893" s="10"/>
    </row>
    <row r="1894" customFormat="false" ht="15" hidden="false" customHeight="true" outlineLevel="0" collapsed="false">
      <c r="A1894" s="16"/>
      <c r="B1894" s="10"/>
      <c r="C1894" s="17" t="str">
        <f aca="false">IF($B1894="","",IFERROR(INDEX(품목마스터!$B$3:$B$302,MATCH($B1894,품목마스터!$A$3:$A$302,0)),"미등록품번"))</f>
        <v/>
      </c>
      <c r="D1894" s="17" t="str">
        <f aca="false">IF($B1894="","",IFERROR(INDEX(품목마스터!$D$3:$D$302,MATCH($B1894,품목마스터!$A$3:$A$302,0)),""))</f>
        <v/>
      </c>
      <c r="E1894" s="12"/>
      <c r="F1894" s="10"/>
    </row>
    <row r="1895" customFormat="false" ht="15" hidden="false" customHeight="true" outlineLevel="0" collapsed="false">
      <c r="A1895" s="16"/>
      <c r="B1895" s="10"/>
      <c r="C1895" s="17" t="str">
        <f aca="false">IF($B1895="","",IFERROR(INDEX(품목마스터!$B$3:$B$302,MATCH($B1895,품목마스터!$A$3:$A$302,0)),"미등록품번"))</f>
        <v/>
      </c>
      <c r="D1895" s="17" t="str">
        <f aca="false">IF($B1895="","",IFERROR(INDEX(품목마스터!$D$3:$D$302,MATCH($B1895,품목마스터!$A$3:$A$302,0)),""))</f>
        <v/>
      </c>
      <c r="E1895" s="12"/>
      <c r="F1895" s="10"/>
    </row>
    <row r="1896" customFormat="false" ht="15" hidden="false" customHeight="true" outlineLevel="0" collapsed="false">
      <c r="A1896" s="16"/>
      <c r="B1896" s="10"/>
      <c r="C1896" s="17" t="str">
        <f aca="false">IF($B1896="","",IFERROR(INDEX(품목마스터!$B$3:$B$302,MATCH($B1896,품목마스터!$A$3:$A$302,0)),"미등록품번"))</f>
        <v/>
      </c>
      <c r="D1896" s="17" t="str">
        <f aca="false">IF($B1896="","",IFERROR(INDEX(품목마스터!$D$3:$D$302,MATCH($B1896,품목마스터!$A$3:$A$302,0)),""))</f>
        <v/>
      </c>
      <c r="E1896" s="12"/>
      <c r="F1896" s="10"/>
    </row>
    <row r="1897" customFormat="false" ht="15" hidden="false" customHeight="true" outlineLevel="0" collapsed="false">
      <c r="A1897" s="16"/>
      <c r="B1897" s="10"/>
      <c r="C1897" s="17" t="str">
        <f aca="false">IF($B1897="","",IFERROR(INDEX(품목마스터!$B$3:$B$302,MATCH($B1897,품목마스터!$A$3:$A$302,0)),"미등록품번"))</f>
        <v/>
      </c>
      <c r="D1897" s="17" t="str">
        <f aca="false">IF($B1897="","",IFERROR(INDEX(품목마스터!$D$3:$D$302,MATCH($B1897,품목마스터!$A$3:$A$302,0)),""))</f>
        <v/>
      </c>
      <c r="E1897" s="12"/>
      <c r="F1897" s="10"/>
    </row>
    <row r="1898" customFormat="false" ht="15" hidden="false" customHeight="true" outlineLevel="0" collapsed="false">
      <c r="A1898" s="16"/>
      <c r="B1898" s="10"/>
      <c r="C1898" s="17" t="str">
        <f aca="false">IF($B1898="","",IFERROR(INDEX(품목마스터!$B$3:$B$302,MATCH($B1898,품목마스터!$A$3:$A$302,0)),"미등록품번"))</f>
        <v/>
      </c>
      <c r="D1898" s="17" t="str">
        <f aca="false">IF($B1898="","",IFERROR(INDEX(품목마스터!$D$3:$D$302,MATCH($B1898,품목마스터!$A$3:$A$302,0)),""))</f>
        <v/>
      </c>
      <c r="E1898" s="12"/>
      <c r="F1898" s="10"/>
    </row>
    <row r="1899" customFormat="false" ht="15" hidden="false" customHeight="true" outlineLevel="0" collapsed="false">
      <c r="A1899" s="16"/>
      <c r="B1899" s="10"/>
      <c r="C1899" s="17" t="str">
        <f aca="false">IF($B1899="","",IFERROR(INDEX(품목마스터!$B$3:$B$302,MATCH($B1899,품목마스터!$A$3:$A$302,0)),"미등록품번"))</f>
        <v/>
      </c>
      <c r="D1899" s="17" t="str">
        <f aca="false">IF($B1899="","",IFERROR(INDEX(품목마스터!$D$3:$D$302,MATCH($B1899,품목마스터!$A$3:$A$302,0)),""))</f>
        <v/>
      </c>
      <c r="E1899" s="12"/>
      <c r="F1899" s="10"/>
    </row>
    <row r="1900" customFormat="false" ht="15" hidden="false" customHeight="true" outlineLevel="0" collapsed="false">
      <c r="A1900" s="16"/>
      <c r="B1900" s="10"/>
      <c r="C1900" s="17" t="str">
        <f aca="false">IF($B1900="","",IFERROR(INDEX(품목마스터!$B$3:$B$302,MATCH($B1900,품목마스터!$A$3:$A$302,0)),"미등록품번"))</f>
        <v/>
      </c>
      <c r="D1900" s="17" t="str">
        <f aca="false">IF($B1900="","",IFERROR(INDEX(품목마스터!$D$3:$D$302,MATCH($B1900,품목마스터!$A$3:$A$302,0)),""))</f>
        <v/>
      </c>
      <c r="E1900" s="12"/>
      <c r="F1900" s="10"/>
    </row>
    <row r="1901" customFormat="false" ht="15" hidden="false" customHeight="true" outlineLevel="0" collapsed="false">
      <c r="A1901" s="16"/>
      <c r="B1901" s="10"/>
      <c r="C1901" s="17" t="str">
        <f aca="false">IF($B1901="","",IFERROR(INDEX(품목마스터!$B$3:$B$302,MATCH($B1901,품목마스터!$A$3:$A$302,0)),"미등록품번"))</f>
        <v/>
      </c>
      <c r="D1901" s="17" t="str">
        <f aca="false">IF($B1901="","",IFERROR(INDEX(품목마스터!$D$3:$D$302,MATCH($B1901,품목마스터!$A$3:$A$302,0)),""))</f>
        <v/>
      </c>
      <c r="E1901" s="12"/>
      <c r="F1901" s="10"/>
    </row>
    <row r="1902" customFormat="false" ht="15" hidden="false" customHeight="true" outlineLevel="0" collapsed="false">
      <c r="A1902" s="16"/>
      <c r="B1902" s="10"/>
      <c r="C1902" s="17" t="str">
        <f aca="false">IF($B1902="","",IFERROR(INDEX(품목마스터!$B$3:$B$302,MATCH($B1902,품목마스터!$A$3:$A$302,0)),"미등록품번"))</f>
        <v/>
      </c>
      <c r="D1902" s="17" t="str">
        <f aca="false">IF($B1902="","",IFERROR(INDEX(품목마스터!$D$3:$D$302,MATCH($B1902,품목마스터!$A$3:$A$302,0)),""))</f>
        <v/>
      </c>
      <c r="E1902" s="12"/>
      <c r="F1902" s="10"/>
    </row>
    <row r="1903" customFormat="false" ht="15" hidden="false" customHeight="true" outlineLevel="0" collapsed="false">
      <c r="A1903" s="16"/>
      <c r="B1903" s="10"/>
      <c r="C1903" s="17" t="str">
        <f aca="false">IF($B1903="","",IFERROR(INDEX(품목마스터!$B$3:$B$302,MATCH($B1903,품목마스터!$A$3:$A$302,0)),"미등록품번"))</f>
        <v/>
      </c>
      <c r="D1903" s="17" t="str">
        <f aca="false">IF($B1903="","",IFERROR(INDEX(품목마스터!$D$3:$D$302,MATCH($B1903,품목마스터!$A$3:$A$302,0)),""))</f>
        <v/>
      </c>
      <c r="E1903" s="12"/>
      <c r="F1903" s="10"/>
    </row>
    <row r="1904" customFormat="false" ht="15" hidden="false" customHeight="true" outlineLevel="0" collapsed="false">
      <c r="A1904" s="16"/>
      <c r="B1904" s="10"/>
      <c r="C1904" s="17" t="str">
        <f aca="false">IF($B1904="","",IFERROR(INDEX(품목마스터!$B$3:$B$302,MATCH($B1904,품목마스터!$A$3:$A$302,0)),"미등록품번"))</f>
        <v/>
      </c>
      <c r="D1904" s="17" t="str">
        <f aca="false">IF($B1904="","",IFERROR(INDEX(품목마스터!$D$3:$D$302,MATCH($B1904,품목마스터!$A$3:$A$302,0)),""))</f>
        <v/>
      </c>
      <c r="E1904" s="12"/>
      <c r="F1904" s="10"/>
    </row>
    <row r="1905" customFormat="false" ht="15" hidden="false" customHeight="true" outlineLevel="0" collapsed="false">
      <c r="A1905" s="16"/>
      <c r="B1905" s="10"/>
      <c r="C1905" s="17" t="str">
        <f aca="false">IF($B1905="","",IFERROR(INDEX(품목마스터!$B$3:$B$302,MATCH($B1905,품목마스터!$A$3:$A$302,0)),"미등록품번"))</f>
        <v/>
      </c>
      <c r="D1905" s="17" t="str">
        <f aca="false">IF($B1905="","",IFERROR(INDEX(품목마스터!$D$3:$D$302,MATCH($B1905,품목마스터!$A$3:$A$302,0)),""))</f>
        <v/>
      </c>
      <c r="E1905" s="12"/>
      <c r="F1905" s="10"/>
    </row>
    <row r="1906" customFormat="false" ht="15" hidden="false" customHeight="true" outlineLevel="0" collapsed="false">
      <c r="A1906" s="16"/>
      <c r="B1906" s="10"/>
      <c r="C1906" s="17" t="str">
        <f aca="false">IF($B1906="","",IFERROR(INDEX(품목마스터!$B$3:$B$302,MATCH($B1906,품목마스터!$A$3:$A$302,0)),"미등록품번"))</f>
        <v/>
      </c>
      <c r="D1906" s="17" t="str">
        <f aca="false">IF($B1906="","",IFERROR(INDEX(품목마스터!$D$3:$D$302,MATCH($B1906,품목마스터!$A$3:$A$302,0)),""))</f>
        <v/>
      </c>
      <c r="E1906" s="12"/>
      <c r="F1906" s="10"/>
    </row>
    <row r="1907" customFormat="false" ht="15" hidden="false" customHeight="true" outlineLevel="0" collapsed="false">
      <c r="A1907" s="16"/>
      <c r="B1907" s="10"/>
      <c r="C1907" s="17" t="str">
        <f aca="false">IF($B1907="","",IFERROR(INDEX(품목마스터!$B$3:$B$302,MATCH($B1907,품목마스터!$A$3:$A$302,0)),"미등록품번"))</f>
        <v/>
      </c>
      <c r="D1907" s="17" t="str">
        <f aca="false">IF($B1907="","",IFERROR(INDEX(품목마스터!$D$3:$D$302,MATCH($B1907,품목마스터!$A$3:$A$302,0)),""))</f>
        <v/>
      </c>
      <c r="E1907" s="12"/>
      <c r="F1907" s="10"/>
    </row>
    <row r="1908" customFormat="false" ht="15" hidden="false" customHeight="true" outlineLevel="0" collapsed="false">
      <c r="A1908" s="16"/>
      <c r="B1908" s="10"/>
      <c r="C1908" s="17" t="str">
        <f aca="false">IF($B1908="","",IFERROR(INDEX(품목마스터!$B$3:$B$302,MATCH($B1908,품목마스터!$A$3:$A$302,0)),"미등록품번"))</f>
        <v/>
      </c>
      <c r="D1908" s="17" t="str">
        <f aca="false">IF($B1908="","",IFERROR(INDEX(품목마스터!$D$3:$D$302,MATCH($B1908,품목마스터!$A$3:$A$302,0)),""))</f>
        <v/>
      </c>
      <c r="E1908" s="12"/>
      <c r="F1908" s="10"/>
    </row>
    <row r="1909" customFormat="false" ht="15" hidden="false" customHeight="true" outlineLevel="0" collapsed="false">
      <c r="A1909" s="16"/>
      <c r="B1909" s="10"/>
      <c r="C1909" s="17" t="str">
        <f aca="false">IF($B1909="","",IFERROR(INDEX(품목마스터!$B$3:$B$302,MATCH($B1909,품목마스터!$A$3:$A$302,0)),"미등록품번"))</f>
        <v/>
      </c>
      <c r="D1909" s="17" t="str">
        <f aca="false">IF($B1909="","",IFERROR(INDEX(품목마스터!$D$3:$D$302,MATCH($B1909,품목마스터!$A$3:$A$302,0)),""))</f>
        <v/>
      </c>
      <c r="E1909" s="12"/>
      <c r="F1909" s="10"/>
    </row>
    <row r="1910" customFormat="false" ht="15" hidden="false" customHeight="true" outlineLevel="0" collapsed="false">
      <c r="A1910" s="16"/>
      <c r="B1910" s="10"/>
      <c r="C1910" s="17" t="str">
        <f aca="false">IF($B1910="","",IFERROR(INDEX(품목마스터!$B$3:$B$302,MATCH($B1910,품목마스터!$A$3:$A$302,0)),"미등록품번"))</f>
        <v/>
      </c>
      <c r="D1910" s="17" t="str">
        <f aca="false">IF($B1910="","",IFERROR(INDEX(품목마스터!$D$3:$D$302,MATCH($B1910,품목마스터!$A$3:$A$302,0)),""))</f>
        <v/>
      </c>
      <c r="E1910" s="12"/>
      <c r="F1910" s="10"/>
    </row>
    <row r="1911" customFormat="false" ht="15" hidden="false" customHeight="true" outlineLevel="0" collapsed="false">
      <c r="A1911" s="16"/>
      <c r="B1911" s="10"/>
      <c r="C1911" s="17" t="str">
        <f aca="false">IF($B1911="","",IFERROR(INDEX(품목마스터!$B$3:$B$302,MATCH($B1911,품목마스터!$A$3:$A$302,0)),"미등록품번"))</f>
        <v/>
      </c>
      <c r="D1911" s="17" t="str">
        <f aca="false">IF($B1911="","",IFERROR(INDEX(품목마스터!$D$3:$D$302,MATCH($B1911,품목마스터!$A$3:$A$302,0)),""))</f>
        <v/>
      </c>
      <c r="E1911" s="12"/>
      <c r="F1911" s="10"/>
    </row>
    <row r="1912" customFormat="false" ht="15" hidden="false" customHeight="true" outlineLevel="0" collapsed="false">
      <c r="A1912" s="16"/>
      <c r="B1912" s="10"/>
      <c r="C1912" s="17" t="str">
        <f aca="false">IF($B1912="","",IFERROR(INDEX(품목마스터!$B$3:$B$302,MATCH($B1912,품목마스터!$A$3:$A$302,0)),"미등록품번"))</f>
        <v/>
      </c>
      <c r="D1912" s="17" t="str">
        <f aca="false">IF($B1912="","",IFERROR(INDEX(품목마스터!$D$3:$D$302,MATCH($B1912,품목마스터!$A$3:$A$302,0)),""))</f>
        <v/>
      </c>
      <c r="E1912" s="12"/>
      <c r="F1912" s="10"/>
    </row>
    <row r="1913" customFormat="false" ht="15" hidden="false" customHeight="true" outlineLevel="0" collapsed="false">
      <c r="A1913" s="16"/>
      <c r="B1913" s="10"/>
      <c r="C1913" s="17" t="str">
        <f aca="false">IF($B1913="","",IFERROR(INDEX(품목마스터!$B$3:$B$302,MATCH($B1913,품목마스터!$A$3:$A$302,0)),"미등록품번"))</f>
        <v/>
      </c>
      <c r="D1913" s="17" t="str">
        <f aca="false">IF($B1913="","",IFERROR(INDEX(품목마스터!$D$3:$D$302,MATCH($B1913,품목마스터!$A$3:$A$302,0)),""))</f>
        <v/>
      </c>
      <c r="E1913" s="12"/>
      <c r="F1913" s="10"/>
    </row>
    <row r="1914" customFormat="false" ht="15" hidden="false" customHeight="true" outlineLevel="0" collapsed="false">
      <c r="A1914" s="16"/>
      <c r="B1914" s="10"/>
      <c r="C1914" s="17" t="str">
        <f aca="false">IF($B1914="","",IFERROR(INDEX(품목마스터!$B$3:$B$302,MATCH($B1914,품목마스터!$A$3:$A$302,0)),"미등록품번"))</f>
        <v/>
      </c>
      <c r="D1914" s="17" t="str">
        <f aca="false">IF($B1914="","",IFERROR(INDEX(품목마스터!$D$3:$D$302,MATCH($B1914,품목마스터!$A$3:$A$302,0)),""))</f>
        <v/>
      </c>
      <c r="E1914" s="12"/>
      <c r="F1914" s="10"/>
    </row>
    <row r="1915" customFormat="false" ht="15" hidden="false" customHeight="true" outlineLevel="0" collapsed="false">
      <c r="A1915" s="16"/>
      <c r="B1915" s="10"/>
      <c r="C1915" s="17" t="str">
        <f aca="false">IF($B1915="","",IFERROR(INDEX(품목마스터!$B$3:$B$302,MATCH($B1915,품목마스터!$A$3:$A$302,0)),"미등록품번"))</f>
        <v/>
      </c>
      <c r="D1915" s="17" t="str">
        <f aca="false">IF($B1915="","",IFERROR(INDEX(품목마스터!$D$3:$D$302,MATCH($B1915,품목마스터!$A$3:$A$302,0)),""))</f>
        <v/>
      </c>
      <c r="E1915" s="12"/>
      <c r="F1915" s="10"/>
    </row>
    <row r="1916" customFormat="false" ht="15" hidden="false" customHeight="true" outlineLevel="0" collapsed="false">
      <c r="A1916" s="16"/>
      <c r="B1916" s="10"/>
      <c r="C1916" s="17" t="str">
        <f aca="false">IF($B1916="","",IFERROR(INDEX(품목마스터!$B$3:$B$302,MATCH($B1916,품목마스터!$A$3:$A$302,0)),"미등록품번"))</f>
        <v/>
      </c>
      <c r="D1916" s="17" t="str">
        <f aca="false">IF($B1916="","",IFERROR(INDEX(품목마스터!$D$3:$D$302,MATCH($B1916,품목마스터!$A$3:$A$302,0)),""))</f>
        <v/>
      </c>
      <c r="E1916" s="12"/>
      <c r="F1916" s="10"/>
    </row>
    <row r="1917" customFormat="false" ht="15" hidden="false" customHeight="true" outlineLevel="0" collapsed="false">
      <c r="A1917" s="16"/>
      <c r="B1917" s="10"/>
      <c r="C1917" s="17" t="str">
        <f aca="false">IF($B1917="","",IFERROR(INDEX(품목마스터!$B$3:$B$302,MATCH($B1917,품목마스터!$A$3:$A$302,0)),"미등록품번"))</f>
        <v/>
      </c>
      <c r="D1917" s="17" t="str">
        <f aca="false">IF($B1917="","",IFERROR(INDEX(품목마스터!$D$3:$D$302,MATCH($B1917,품목마스터!$A$3:$A$302,0)),""))</f>
        <v/>
      </c>
      <c r="E1917" s="12"/>
      <c r="F1917" s="10"/>
    </row>
    <row r="1918" customFormat="false" ht="15" hidden="false" customHeight="true" outlineLevel="0" collapsed="false">
      <c r="A1918" s="16"/>
      <c r="B1918" s="10"/>
      <c r="C1918" s="17" t="str">
        <f aca="false">IF($B1918="","",IFERROR(INDEX(품목마스터!$B$3:$B$302,MATCH($B1918,품목마스터!$A$3:$A$302,0)),"미등록품번"))</f>
        <v/>
      </c>
      <c r="D1918" s="17" t="str">
        <f aca="false">IF($B1918="","",IFERROR(INDEX(품목마스터!$D$3:$D$302,MATCH($B1918,품목마스터!$A$3:$A$302,0)),""))</f>
        <v/>
      </c>
      <c r="E1918" s="12"/>
      <c r="F1918" s="10"/>
    </row>
    <row r="1919" customFormat="false" ht="15" hidden="false" customHeight="true" outlineLevel="0" collapsed="false">
      <c r="A1919" s="16"/>
      <c r="B1919" s="10"/>
      <c r="C1919" s="17" t="str">
        <f aca="false">IF($B1919="","",IFERROR(INDEX(품목마스터!$B$3:$B$302,MATCH($B1919,품목마스터!$A$3:$A$302,0)),"미등록품번"))</f>
        <v/>
      </c>
      <c r="D1919" s="17" t="str">
        <f aca="false">IF($B1919="","",IFERROR(INDEX(품목마스터!$D$3:$D$302,MATCH($B1919,품목마스터!$A$3:$A$302,0)),""))</f>
        <v/>
      </c>
      <c r="E1919" s="12"/>
      <c r="F1919" s="10"/>
    </row>
    <row r="1920" customFormat="false" ht="15" hidden="false" customHeight="true" outlineLevel="0" collapsed="false">
      <c r="A1920" s="16"/>
      <c r="B1920" s="10"/>
      <c r="C1920" s="17" t="str">
        <f aca="false">IF($B1920="","",IFERROR(INDEX(품목마스터!$B$3:$B$302,MATCH($B1920,품목마스터!$A$3:$A$302,0)),"미등록품번"))</f>
        <v/>
      </c>
      <c r="D1920" s="17" t="str">
        <f aca="false">IF($B1920="","",IFERROR(INDEX(품목마스터!$D$3:$D$302,MATCH($B1920,품목마스터!$A$3:$A$302,0)),""))</f>
        <v/>
      </c>
      <c r="E1920" s="12"/>
      <c r="F1920" s="10"/>
    </row>
    <row r="1921" customFormat="false" ht="15" hidden="false" customHeight="true" outlineLevel="0" collapsed="false">
      <c r="A1921" s="16"/>
      <c r="B1921" s="10"/>
      <c r="C1921" s="17" t="str">
        <f aca="false">IF($B1921="","",IFERROR(INDEX(품목마스터!$B$3:$B$302,MATCH($B1921,품목마스터!$A$3:$A$302,0)),"미등록품번"))</f>
        <v/>
      </c>
      <c r="D1921" s="17" t="str">
        <f aca="false">IF($B1921="","",IFERROR(INDEX(품목마스터!$D$3:$D$302,MATCH($B1921,품목마스터!$A$3:$A$302,0)),""))</f>
        <v/>
      </c>
      <c r="E1921" s="12"/>
      <c r="F1921" s="10"/>
    </row>
    <row r="1922" customFormat="false" ht="15" hidden="false" customHeight="true" outlineLevel="0" collapsed="false">
      <c r="A1922" s="16"/>
      <c r="B1922" s="10"/>
      <c r="C1922" s="17" t="str">
        <f aca="false">IF($B1922="","",IFERROR(INDEX(품목마스터!$B$3:$B$302,MATCH($B1922,품목마스터!$A$3:$A$302,0)),"미등록품번"))</f>
        <v/>
      </c>
      <c r="D1922" s="17" t="str">
        <f aca="false">IF($B1922="","",IFERROR(INDEX(품목마스터!$D$3:$D$302,MATCH($B1922,품목마스터!$A$3:$A$302,0)),""))</f>
        <v/>
      </c>
      <c r="E1922" s="12"/>
      <c r="F1922" s="10"/>
    </row>
    <row r="1923" customFormat="false" ht="15" hidden="false" customHeight="true" outlineLevel="0" collapsed="false">
      <c r="A1923" s="16"/>
      <c r="B1923" s="10"/>
      <c r="C1923" s="17" t="str">
        <f aca="false">IF($B1923="","",IFERROR(INDEX(품목마스터!$B$3:$B$302,MATCH($B1923,품목마스터!$A$3:$A$302,0)),"미등록품번"))</f>
        <v/>
      </c>
      <c r="D1923" s="17" t="str">
        <f aca="false">IF($B1923="","",IFERROR(INDEX(품목마스터!$D$3:$D$302,MATCH($B1923,품목마스터!$A$3:$A$302,0)),""))</f>
        <v/>
      </c>
      <c r="E1923" s="12"/>
      <c r="F1923" s="10"/>
    </row>
    <row r="1924" customFormat="false" ht="15" hidden="false" customHeight="true" outlineLevel="0" collapsed="false">
      <c r="A1924" s="16"/>
      <c r="B1924" s="10"/>
      <c r="C1924" s="17" t="str">
        <f aca="false">IF($B1924="","",IFERROR(INDEX(품목마스터!$B$3:$B$302,MATCH($B1924,품목마스터!$A$3:$A$302,0)),"미등록품번"))</f>
        <v/>
      </c>
      <c r="D1924" s="17" t="str">
        <f aca="false">IF($B1924="","",IFERROR(INDEX(품목마스터!$D$3:$D$302,MATCH($B1924,품목마스터!$A$3:$A$302,0)),""))</f>
        <v/>
      </c>
      <c r="E1924" s="12"/>
      <c r="F1924" s="10"/>
    </row>
    <row r="1925" customFormat="false" ht="15" hidden="false" customHeight="true" outlineLevel="0" collapsed="false">
      <c r="A1925" s="16"/>
      <c r="B1925" s="10"/>
      <c r="C1925" s="17" t="str">
        <f aca="false">IF($B1925="","",IFERROR(INDEX(품목마스터!$B$3:$B$302,MATCH($B1925,품목마스터!$A$3:$A$302,0)),"미등록품번"))</f>
        <v/>
      </c>
      <c r="D1925" s="17" t="str">
        <f aca="false">IF($B1925="","",IFERROR(INDEX(품목마스터!$D$3:$D$302,MATCH($B1925,품목마스터!$A$3:$A$302,0)),""))</f>
        <v/>
      </c>
      <c r="E1925" s="12"/>
      <c r="F1925" s="10"/>
    </row>
    <row r="1926" customFormat="false" ht="15" hidden="false" customHeight="true" outlineLevel="0" collapsed="false">
      <c r="A1926" s="16"/>
      <c r="B1926" s="10"/>
      <c r="C1926" s="17" t="str">
        <f aca="false">IF($B1926="","",IFERROR(INDEX(품목마스터!$B$3:$B$302,MATCH($B1926,품목마스터!$A$3:$A$302,0)),"미등록품번"))</f>
        <v/>
      </c>
      <c r="D1926" s="17" t="str">
        <f aca="false">IF($B1926="","",IFERROR(INDEX(품목마스터!$D$3:$D$302,MATCH($B1926,품목마스터!$A$3:$A$302,0)),""))</f>
        <v/>
      </c>
      <c r="E1926" s="12"/>
      <c r="F1926" s="10"/>
    </row>
    <row r="1927" customFormat="false" ht="15" hidden="false" customHeight="true" outlineLevel="0" collapsed="false">
      <c r="A1927" s="16"/>
      <c r="B1927" s="10"/>
      <c r="C1927" s="17" t="str">
        <f aca="false">IF($B1927="","",IFERROR(INDEX(품목마스터!$B$3:$B$302,MATCH($B1927,품목마스터!$A$3:$A$302,0)),"미등록품번"))</f>
        <v/>
      </c>
      <c r="D1927" s="17" t="str">
        <f aca="false">IF($B1927="","",IFERROR(INDEX(품목마스터!$D$3:$D$302,MATCH($B1927,품목마스터!$A$3:$A$302,0)),""))</f>
        <v/>
      </c>
      <c r="E1927" s="12"/>
      <c r="F1927" s="10"/>
    </row>
    <row r="1928" customFormat="false" ht="15" hidden="false" customHeight="true" outlineLevel="0" collapsed="false">
      <c r="A1928" s="16"/>
      <c r="B1928" s="10"/>
      <c r="C1928" s="17" t="str">
        <f aca="false">IF($B1928="","",IFERROR(INDEX(품목마스터!$B$3:$B$302,MATCH($B1928,품목마스터!$A$3:$A$302,0)),"미등록품번"))</f>
        <v/>
      </c>
      <c r="D1928" s="17" t="str">
        <f aca="false">IF($B1928="","",IFERROR(INDEX(품목마스터!$D$3:$D$302,MATCH($B1928,품목마스터!$A$3:$A$302,0)),""))</f>
        <v/>
      </c>
      <c r="E1928" s="12"/>
      <c r="F1928" s="10"/>
    </row>
    <row r="1929" customFormat="false" ht="15" hidden="false" customHeight="true" outlineLevel="0" collapsed="false">
      <c r="A1929" s="16"/>
      <c r="B1929" s="10"/>
      <c r="C1929" s="17" t="str">
        <f aca="false">IF($B1929="","",IFERROR(INDEX(품목마스터!$B$3:$B$302,MATCH($B1929,품목마스터!$A$3:$A$302,0)),"미등록품번"))</f>
        <v/>
      </c>
      <c r="D1929" s="17" t="str">
        <f aca="false">IF($B1929="","",IFERROR(INDEX(품목마스터!$D$3:$D$302,MATCH($B1929,품목마스터!$A$3:$A$302,0)),""))</f>
        <v/>
      </c>
      <c r="E1929" s="12"/>
      <c r="F1929" s="10"/>
    </row>
    <row r="1930" customFormat="false" ht="15" hidden="false" customHeight="true" outlineLevel="0" collapsed="false">
      <c r="A1930" s="16"/>
      <c r="B1930" s="10"/>
      <c r="C1930" s="17" t="str">
        <f aca="false">IF($B1930="","",IFERROR(INDEX(품목마스터!$B$3:$B$302,MATCH($B1930,품목마스터!$A$3:$A$302,0)),"미등록품번"))</f>
        <v/>
      </c>
      <c r="D1930" s="17" t="str">
        <f aca="false">IF($B1930="","",IFERROR(INDEX(품목마스터!$D$3:$D$302,MATCH($B1930,품목마스터!$A$3:$A$302,0)),""))</f>
        <v/>
      </c>
      <c r="E1930" s="12"/>
      <c r="F1930" s="10"/>
    </row>
    <row r="1931" customFormat="false" ht="15" hidden="false" customHeight="true" outlineLevel="0" collapsed="false">
      <c r="A1931" s="16"/>
      <c r="B1931" s="10"/>
      <c r="C1931" s="17" t="str">
        <f aca="false">IF($B1931="","",IFERROR(INDEX(품목마스터!$B$3:$B$302,MATCH($B1931,품목마스터!$A$3:$A$302,0)),"미등록품번"))</f>
        <v/>
      </c>
      <c r="D1931" s="17" t="str">
        <f aca="false">IF($B1931="","",IFERROR(INDEX(품목마스터!$D$3:$D$302,MATCH($B1931,품목마스터!$A$3:$A$302,0)),""))</f>
        <v/>
      </c>
      <c r="E1931" s="12"/>
      <c r="F1931" s="10"/>
    </row>
    <row r="1932" customFormat="false" ht="15" hidden="false" customHeight="true" outlineLevel="0" collapsed="false">
      <c r="A1932" s="16"/>
      <c r="B1932" s="10"/>
      <c r="C1932" s="17" t="str">
        <f aca="false">IF($B1932="","",IFERROR(INDEX(품목마스터!$B$3:$B$302,MATCH($B1932,품목마스터!$A$3:$A$302,0)),"미등록품번"))</f>
        <v/>
      </c>
      <c r="D1932" s="17" t="str">
        <f aca="false">IF($B1932="","",IFERROR(INDEX(품목마스터!$D$3:$D$302,MATCH($B1932,품목마스터!$A$3:$A$302,0)),""))</f>
        <v/>
      </c>
      <c r="E1932" s="12"/>
      <c r="F1932" s="10"/>
    </row>
    <row r="1933" customFormat="false" ht="15" hidden="false" customHeight="true" outlineLevel="0" collapsed="false">
      <c r="A1933" s="16"/>
      <c r="B1933" s="10"/>
      <c r="C1933" s="17" t="str">
        <f aca="false">IF($B1933="","",IFERROR(INDEX(품목마스터!$B$3:$B$302,MATCH($B1933,품목마스터!$A$3:$A$302,0)),"미등록품번"))</f>
        <v/>
      </c>
      <c r="D1933" s="17" t="str">
        <f aca="false">IF($B1933="","",IFERROR(INDEX(품목마스터!$D$3:$D$302,MATCH($B1933,품목마스터!$A$3:$A$302,0)),""))</f>
        <v/>
      </c>
      <c r="E1933" s="12"/>
      <c r="F1933" s="10"/>
    </row>
    <row r="1934" customFormat="false" ht="15" hidden="false" customHeight="true" outlineLevel="0" collapsed="false">
      <c r="A1934" s="16"/>
      <c r="B1934" s="10"/>
      <c r="C1934" s="17" t="str">
        <f aca="false">IF($B1934="","",IFERROR(INDEX(품목마스터!$B$3:$B$302,MATCH($B1934,품목마스터!$A$3:$A$302,0)),"미등록품번"))</f>
        <v/>
      </c>
      <c r="D1934" s="17" t="str">
        <f aca="false">IF($B1934="","",IFERROR(INDEX(품목마스터!$D$3:$D$302,MATCH($B1934,품목마스터!$A$3:$A$302,0)),""))</f>
        <v/>
      </c>
      <c r="E1934" s="12"/>
      <c r="F1934" s="10"/>
    </row>
    <row r="1935" customFormat="false" ht="15" hidden="false" customHeight="true" outlineLevel="0" collapsed="false">
      <c r="A1935" s="16"/>
      <c r="B1935" s="10"/>
      <c r="C1935" s="17" t="str">
        <f aca="false">IF($B1935="","",IFERROR(INDEX(품목마스터!$B$3:$B$302,MATCH($B1935,품목마스터!$A$3:$A$302,0)),"미등록품번"))</f>
        <v/>
      </c>
      <c r="D1935" s="17" t="str">
        <f aca="false">IF($B1935="","",IFERROR(INDEX(품목마스터!$D$3:$D$302,MATCH($B1935,품목마스터!$A$3:$A$302,0)),""))</f>
        <v/>
      </c>
      <c r="E1935" s="12"/>
      <c r="F1935" s="10"/>
    </row>
    <row r="1936" customFormat="false" ht="15" hidden="false" customHeight="true" outlineLevel="0" collapsed="false">
      <c r="A1936" s="16"/>
      <c r="B1936" s="10"/>
      <c r="C1936" s="17" t="str">
        <f aca="false">IF($B1936="","",IFERROR(INDEX(품목마스터!$B$3:$B$302,MATCH($B1936,품목마스터!$A$3:$A$302,0)),"미등록품번"))</f>
        <v/>
      </c>
      <c r="D1936" s="17" t="str">
        <f aca="false">IF($B1936="","",IFERROR(INDEX(품목마스터!$D$3:$D$302,MATCH($B1936,품목마스터!$A$3:$A$302,0)),""))</f>
        <v/>
      </c>
      <c r="E1936" s="12"/>
      <c r="F1936" s="10"/>
    </row>
    <row r="1937" customFormat="false" ht="15" hidden="false" customHeight="true" outlineLevel="0" collapsed="false">
      <c r="A1937" s="16"/>
      <c r="B1937" s="10"/>
      <c r="C1937" s="17" t="str">
        <f aca="false">IF($B1937="","",IFERROR(INDEX(품목마스터!$B$3:$B$302,MATCH($B1937,품목마스터!$A$3:$A$302,0)),"미등록품번"))</f>
        <v/>
      </c>
      <c r="D1937" s="17" t="str">
        <f aca="false">IF($B1937="","",IFERROR(INDEX(품목마스터!$D$3:$D$302,MATCH($B1937,품목마스터!$A$3:$A$302,0)),""))</f>
        <v/>
      </c>
      <c r="E1937" s="12"/>
      <c r="F1937" s="10"/>
    </row>
    <row r="1938" customFormat="false" ht="15" hidden="false" customHeight="true" outlineLevel="0" collapsed="false">
      <c r="A1938" s="16"/>
      <c r="B1938" s="10"/>
      <c r="C1938" s="17" t="str">
        <f aca="false">IF($B1938="","",IFERROR(INDEX(품목마스터!$B$3:$B$302,MATCH($B1938,품목마스터!$A$3:$A$302,0)),"미등록품번"))</f>
        <v/>
      </c>
      <c r="D1938" s="17" t="str">
        <f aca="false">IF($B1938="","",IFERROR(INDEX(품목마스터!$D$3:$D$302,MATCH($B1938,품목마스터!$A$3:$A$302,0)),""))</f>
        <v/>
      </c>
      <c r="E1938" s="12"/>
      <c r="F1938" s="10"/>
    </row>
    <row r="1939" customFormat="false" ht="15" hidden="false" customHeight="true" outlineLevel="0" collapsed="false">
      <c r="A1939" s="16"/>
      <c r="B1939" s="10"/>
      <c r="C1939" s="17" t="str">
        <f aca="false">IF($B1939="","",IFERROR(INDEX(품목마스터!$B$3:$B$302,MATCH($B1939,품목마스터!$A$3:$A$302,0)),"미등록품번"))</f>
        <v/>
      </c>
      <c r="D1939" s="17" t="str">
        <f aca="false">IF($B1939="","",IFERROR(INDEX(품목마스터!$D$3:$D$302,MATCH($B1939,품목마스터!$A$3:$A$302,0)),""))</f>
        <v/>
      </c>
      <c r="E1939" s="12"/>
      <c r="F1939" s="10"/>
    </row>
    <row r="1940" customFormat="false" ht="15" hidden="false" customHeight="true" outlineLevel="0" collapsed="false">
      <c r="A1940" s="16"/>
      <c r="B1940" s="10"/>
      <c r="C1940" s="17" t="str">
        <f aca="false">IF($B1940="","",IFERROR(INDEX(품목마스터!$B$3:$B$302,MATCH($B1940,품목마스터!$A$3:$A$302,0)),"미등록품번"))</f>
        <v/>
      </c>
      <c r="D1940" s="17" t="str">
        <f aca="false">IF($B1940="","",IFERROR(INDEX(품목마스터!$D$3:$D$302,MATCH($B1940,품목마스터!$A$3:$A$302,0)),""))</f>
        <v/>
      </c>
      <c r="E1940" s="12"/>
      <c r="F1940" s="10"/>
    </row>
    <row r="1941" customFormat="false" ht="15" hidden="false" customHeight="true" outlineLevel="0" collapsed="false">
      <c r="A1941" s="16"/>
      <c r="B1941" s="10"/>
      <c r="C1941" s="17" t="str">
        <f aca="false">IF($B1941="","",IFERROR(INDEX(품목마스터!$B$3:$B$302,MATCH($B1941,품목마스터!$A$3:$A$302,0)),"미등록품번"))</f>
        <v/>
      </c>
      <c r="D1941" s="17" t="str">
        <f aca="false">IF($B1941="","",IFERROR(INDEX(품목마스터!$D$3:$D$302,MATCH($B1941,품목마스터!$A$3:$A$302,0)),""))</f>
        <v/>
      </c>
      <c r="E1941" s="12"/>
      <c r="F1941" s="10"/>
    </row>
    <row r="1942" customFormat="false" ht="15" hidden="false" customHeight="true" outlineLevel="0" collapsed="false">
      <c r="A1942" s="16"/>
      <c r="B1942" s="10"/>
      <c r="C1942" s="17" t="str">
        <f aca="false">IF($B1942="","",IFERROR(INDEX(품목마스터!$B$3:$B$302,MATCH($B1942,품목마스터!$A$3:$A$302,0)),"미등록품번"))</f>
        <v/>
      </c>
      <c r="D1942" s="17" t="str">
        <f aca="false">IF($B1942="","",IFERROR(INDEX(품목마스터!$D$3:$D$302,MATCH($B1942,품목마스터!$A$3:$A$302,0)),""))</f>
        <v/>
      </c>
      <c r="E1942" s="12"/>
      <c r="F1942" s="10"/>
    </row>
    <row r="1943" customFormat="false" ht="15" hidden="false" customHeight="true" outlineLevel="0" collapsed="false">
      <c r="A1943" s="16"/>
      <c r="B1943" s="10"/>
      <c r="C1943" s="17" t="str">
        <f aca="false">IF($B1943="","",IFERROR(INDEX(품목마스터!$B$3:$B$302,MATCH($B1943,품목마스터!$A$3:$A$302,0)),"미등록품번"))</f>
        <v/>
      </c>
      <c r="D1943" s="17" t="str">
        <f aca="false">IF($B1943="","",IFERROR(INDEX(품목마스터!$D$3:$D$302,MATCH($B1943,품목마스터!$A$3:$A$302,0)),""))</f>
        <v/>
      </c>
      <c r="E1943" s="12"/>
      <c r="F1943" s="10"/>
    </row>
    <row r="1944" customFormat="false" ht="15" hidden="false" customHeight="true" outlineLevel="0" collapsed="false">
      <c r="A1944" s="16"/>
      <c r="B1944" s="10"/>
      <c r="C1944" s="17" t="str">
        <f aca="false">IF($B1944="","",IFERROR(INDEX(품목마스터!$B$3:$B$302,MATCH($B1944,품목마스터!$A$3:$A$302,0)),"미등록품번"))</f>
        <v/>
      </c>
      <c r="D1944" s="17" t="str">
        <f aca="false">IF($B1944="","",IFERROR(INDEX(품목마스터!$D$3:$D$302,MATCH($B1944,품목마스터!$A$3:$A$302,0)),""))</f>
        <v/>
      </c>
      <c r="E1944" s="12"/>
      <c r="F1944" s="10"/>
    </row>
    <row r="1945" customFormat="false" ht="15" hidden="false" customHeight="true" outlineLevel="0" collapsed="false">
      <c r="A1945" s="16"/>
      <c r="B1945" s="10"/>
      <c r="C1945" s="17" t="str">
        <f aca="false">IF($B1945="","",IFERROR(INDEX(품목마스터!$B$3:$B$302,MATCH($B1945,품목마스터!$A$3:$A$302,0)),"미등록품번"))</f>
        <v/>
      </c>
      <c r="D1945" s="17" t="str">
        <f aca="false">IF($B1945="","",IFERROR(INDEX(품목마스터!$D$3:$D$302,MATCH($B1945,품목마스터!$A$3:$A$302,0)),""))</f>
        <v/>
      </c>
      <c r="E1945" s="12"/>
      <c r="F1945" s="10"/>
    </row>
    <row r="1946" customFormat="false" ht="15" hidden="false" customHeight="true" outlineLevel="0" collapsed="false">
      <c r="A1946" s="16"/>
      <c r="B1946" s="10"/>
      <c r="C1946" s="17" t="str">
        <f aca="false">IF($B1946="","",IFERROR(INDEX(품목마스터!$B$3:$B$302,MATCH($B1946,품목마스터!$A$3:$A$302,0)),"미등록품번"))</f>
        <v/>
      </c>
      <c r="D1946" s="17" t="str">
        <f aca="false">IF($B1946="","",IFERROR(INDEX(품목마스터!$D$3:$D$302,MATCH($B1946,품목마스터!$A$3:$A$302,0)),""))</f>
        <v/>
      </c>
      <c r="E1946" s="12"/>
      <c r="F1946" s="10"/>
    </row>
    <row r="1947" customFormat="false" ht="15" hidden="false" customHeight="true" outlineLevel="0" collapsed="false">
      <c r="A1947" s="16"/>
      <c r="B1947" s="10"/>
      <c r="C1947" s="17" t="str">
        <f aca="false">IF($B1947="","",IFERROR(INDEX(품목마스터!$B$3:$B$302,MATCH($B1947,품목마스터!$A$3:$A$302,0)),"미등록품번"))</f>
        <v/>
      </c>
      <c r="D1947" s="17" t="str">
        <f aca="false">IF($B1947="","",IFERROR(INDEX(품목마스터!$D$3:$D$302,MATCH($B1947,품목마스터!$A$3:$A$302,0)),""))</f>
        <v/>
      </c>
      <c r="E1947" s="12"/>
      <c r="F1947" s="10"/>
    </row>
    <row r="1948" customFormat="false" ht="15" hidden="false" customHeight="true" outlineLevel="0" collapsed="false">
      <c r="A1948" s="16"/>
      <c r="B1948" s="10"/>
      <c r="C1948" s="17" t="str">
        <f aca="false">IF($B1948="","",IFERROR(INDEX(품목마스터!$B$3:$B$302,MATCH($B1948,품목마스터!$A$3:$A$302,0)),"미등록품번"))</f>
        <v/>
      </c>
      <c r="D1948" s="17" t="str">
        <f aca="false">IF($B1948="","",IFERROR(INDEX(품목마스터!$D$3:$D$302,MATCH($B1948,품목마스터!$A$3:$A$302,0)),""))</f>
        <v/>
      </c>
      <c r="E1948" s="12"/>
      <c r="F1948" s="10"/>
    </row>
    <row r="1949" customFormat="false" ht="15" hidden="false" customHeight="true" outlineLevel="0" collapsed="false">
      <c r="A1949" s="16"/>
      <c r="B1949" s="10"/>
      <c r="C1949" s="17" t="str">
        <f aca="false">IF($B1949="","",IFERROR(INDEX(품목마스터!$B$3:$B$302,MATCH($B1949,품목마스터!$A$3:$A$302,0)),"미등록품번"))</f>
        <v/>
      </c>
      <c r="D1949" s="17" t="str">
        <f aca="false">IF($B1949="","",IFERROR(INDEX(품목마스터!$D$3:$D$302,MATCH($B1949,품목마스터!$A$3:$A$302,0)),""))</f>
        <v/>
      </c>
      <c r="E1949" s="12"/>
      <c r="F1949" s="10"/>
    </row>
    <row r="1950" customFormat="false" ht="15" hidden="false" customHeight="true" outlineLevel="0" collapsed="false">
      <c r="A1950" s="16"/>
      <c r="B1950" s="10"/>
      <c r="C1950" s="17" t="str">
        <f aca="false">IF($B1950="","",IFERROR(INDEX(품목마스터!$B$3:$B$302,MATCH($B1950,품목마스터!$A$3:$A$302,0)),"미등록품번"))</f>
        <v/>
      </c>
      <c r="D1950" s="17" t="str">
        <f aca="false">IF($B1950="","",IFERROR(INDEX(품목마스터!$D$3:$D$302,MATCH($B1950,품목마스터!$A$3:$A$302,0)),""))</f>
        <v/>
      </c>
      <c r="E1950" s="12"/>
      <c r="F1950" s="10"/>
    </row>
    <row r="1951" customFormat="false" ht="15" hidden="false" customHeight="true" outlineLevel="0" collapsed="false">
      <c r="A1951" s="16"/>
      <c r="B1951" s="10"/>
      <c r="C1951" s="17" t="str">
        <f aca="false">IF($B1951="","",IFERROR(INDEX(품목마스터!$B$3:$B$302,MATCH($B1951,품목마스터!$A$3:$A$302,0)),"미등록품번"))</f>
        <v/>
      </c>
      <c r="D1951" s="17" t="str">
        <f aca="false">IF($B1951="","",IFERROR(INDEX(품목마스터!$D$3:$D$302,MATCH($B1951,품목마스터!$A$3:$A$302,0)),""))</f>
        <v/>
      </c>
      <c r="E1951" s="12"/>
      <c r="F1951" s="10"/>
    </row>
    <row r="1952" customFormat="false" ht="15" hidden="false" customHeight="true" outlineLevel="0" collapsed="false">
      <c r="A1952" s="16"/>
      <c r="B1952" s="10"/>
      <c r="C1952" s="17" t="str">
        <f aca="false">IF($B1952="","",IFERROR(INDEX(품목마스터!$B$3:$B$302,MATCH($B1952,품목마스터!$A$3:$A$302,0)),"미등록품번"))</f>
        <v/>
      </c>
      <c r="D1952" s="17" t="str">
        <f aca="false">IF($B1952="","",IFERROR(INDEX(품목마스터!$D$3:$D$302,MATCH($B1952,품목마스터!$A$3:$A$302,0)),""))</f>
        <v/>
      </c>
      <c r="E1952" s="12"/>
      <c r="F1952" s="10"/>
    </row>
    <row r="1953" customFormat="false" ht="15" hidden="false" customHeight="true" outlineLevel="0" collapsed="false">
      <c r="A1953" s="16"/>
      <c r="B1953" s="10"/>
      <c r="C1953" s="17" t="str">
        <f aca="false">IF($B1953="","",IFERROR(INDEX(품목마스터!$B$3:$B$302,MATCH($B1953,품목마스터!$A$3:$A$302,0)),"미등록품번"))</f>
        <v/>
      </c>
      <c r="D1953" s="17" t="str">
        <f aca="false">IF($B1953="","",IFERROR(INDEX(품목마스터!$D$3:$D$302,MATCH($B1953,품목마스터!$A$3:$A$302,0)),""))</f>
        <v/>
      </c>
      <c r="E1953" s="12"/>
      <c r="F1953" s="10"/>
    </row>
    <row r="1954" customFormat="false" ht="15" hidden="false" customHeight="true" outlineLevel="0" collapsed="false">
      <c r="A1954" s="16"/>
      <c r="B1954" s="10"/>
      <c r="C1954" s="17" t="str">
        <f aca="false">IF($B1954="","",IFERROR(INDEX(품목마스터!$B$3:$B$302,MATCH($B1954,품목마스터!$A$3:$A$302,0)),"미등록품번"))</f>
        <v/>
      </c>
      <c r="D1954" s="17" t="str">
        <f aca="false">IF($B1954="","",IFERROR(INDEX(품목마스터!$D$3:$D$302,MATCH($B1954,품목마스터!$A$3:$A$302,0)),""))</f>
        <v/>
      </c>
      <c r="E1954" s="12"/>
      <c r="F1954" s="10"/>
    </row>
    <row r="1955" customFormat="false" ht="15" hidden="false" customHeight="true" outlineLevel="0" collapsed="false">
      <c r="A1955" s="16"/>
      <c r="B1955" s="10"/>
      <c r="C1955" s="17" t="str">
        <f aca="false">IF($B1955="","",IFERROR(INDEX(품목마스터!$B$3:$B$302,MATCH($B1955,품목마스터!$A$3:$A$302,0)),"미등록품번"))</f>
        <v/>
      </c>
      <c r="D1955" s="17" t="str">
        <f aca="false">IF($B1955="","",IFERROR(INDEX(품목마스터!$D$3:$D$302,MATCH($B1955,품목마스터!$A$3:$A$302,0)),""))</f>
        <v/>
      </c>
      <c r="E1955" s="12"/>
      <c r="F1955" s="10"/>
    </row>
    <row r="1956" customFormat="false" ht="15" hidden="false" customHeight="true" outlineLevel="0" collapsed="false">
      <c r="A1956" s="16"/>
      <c r="B1956" s="10"/>
      <c r="C1956" s="17" t="str">
        <f aca="false">IF($B1956="","",IFERROR(INDEX(품목마스터!$B$3:$B$302,MATCH($B1956,품목마스터!$A$3:$A$302,0)),"미등록품번"))</f>
        <v/>
      </c>
      <c r="D1956" s="17" t="str">
        <f aca="false">IF($B1956="","",IFERROR(INDEX(품목마스터!$D$3:$D$302,MATCH($B1956,품목마스터!$A$3:$A$302,0)),""))</f>
        <v/>
      </c>
      <c r="E1956" s="12"/>
      <c r="F1956" s="10"/>
    </row>
    <row r="1957" customFormat="false" ht="15" hidden="false" customHeight="true" outlineLevel="0" collapsed="false">
      <c r="A1957" s="16"/>
      <c r="B1957" s="10"/>
      <c r="C1957" s="17" t="str">
        <f aca="false">IF($B1957="","",IFERROR(INDEX(품목마스터!$B$3:$B$302,MATCH($B1957,품목마스터!$A$3:$A$302,0)),"미등록품번"))</f>
        <v/>
      </c>
      <c r="D1957" s="17" t="str">
        <f aca="false">IF($B1957="","",IFERROR(INDEX(품목마스터!$D$3:$D$302,MATCH($B1957,품목마스터!$A$3:$A$302,0)),""))</f>
        <v/>
      </c>
      <c r="E1957" s="12"/>
      <c r="F1957" s="10"/>
    </row>
    <row r="1958" customFormat="false" ht="15" hidden="false" customHeight="true" outlineLevel="0" collapsed="false">
      <c r="A1958" s="16"/>
      <c r="B1958" s="10"/>
      <c r="C1958" s="17" t="str">
        <f aca="false">IF($B1958="","",IFERROR(INDEX(품목마스터!$B$3:$B$302,MATCH($B1958,품목마스터!$A$3:$A$302,0)),"미등록품번"))</f>
        <v/>
      </c>
      <c r="D1958" s="17" t="str">
        <f aca="false">IF($B1958="","",IFERROR(INDEX(품목마스터!$D$3:$D$302,MATCH($B1958,품목마스터!$A$3:$A$302,0)),""))</f>
        <v/>
      </c>
      <c r="E1958" s="12"/>
      <c r="F1958" s="10"/>
    </row>
    <row r="1959" customFormat="false" ht="15" hidden="false" customHeight="true" outlineLevel="0" collapsed="false">
      <c r="A1959" s="16"/>
      <c r="B1959" s="10"/>
      <c r="C1959" s="17" t="str">
        <f aca="false">IF($B1959="","",IFERROR(INDEX(품목마스터!$B$3:$B$302,MATCH($B1959,품목마스터!$A$3:$A$302,0)),"미등록품번"))</f>
        <v/>
      </c>
      <c r="D1959" s="17" t="str">
        <f aca="false">IF($B1959="","",IFERROR(INDEX(품목마스터!$D$3:$D$302,MATCH($B1959,품목마스터!$A$3:$A$302,0)),""))</f>
        <v/>
      </c>
      <c r="E1959" s="12"/>
      <c r="F1959" s="10"/>
    </row>
    <row r="1960" customFormat="false" ht="15" hidden="false" customHeight="true" outlineLevel="0" collapsed="false">
      <c r="A1960" s="16"/>
      <c r="B1960" s="10"/>
      <c r="C1960" s="17" t="str">
        <f aca="false">IF($B1960="","",IFERROR(INDEX(품목마스터!$B$3:$B$302,MATCH($B1960,품목마스터!$A$3:$A$302,0)),"미등록품번"))</f>
        <v/>
      </c>
      <c r="D1960" s="17" t="str">
        <f aca="false">IF($B1960="","",IFERROR(INDEX(품목마스터!$D$3:$D$302,MATCH($B1960,품목마스터!$A$3:$A$302,0)),""))</f>
        <v/>
      </c>
      <c r="E1960" s="12"/>
      <c r="F1960" s="10"/>
    </row>
    <row r="1961" customFormat="false" ht="15" hidden="false" customHeight="true" outlineLevel="0" collapsed="false">
      <c r="A1961" s="16"/>
      <c r="B1961" s="10"/>
      <c r="C1961" s="17" t="str">
        <f aca="false">IF($B1961="","",IFERROR(INDEX(품목마스터!$B$3:$B$302,MATCH($B1961,품목마스터!$A$3:$A$302,0)),"미등록품번"))</f>
        <v/>
      </c>
      <c r="D1961" s="17" t="str">
        <f aca="false">IF($B1961="","",IFERROR(INDEX(품목마스터!$D$3:$D$302,MATCH($B1961,품목마스터!$A$3:$A$302,0)),""))</f>
        <v/>
      </c>
      <c r="E1961" s="12"/>
      <c r="F1961" s="10"/>
    </row>
    <row r="1962" customFormat="false" ht="15" hidden="false" customHeight="true" outlineLevel="0" collapsed="false">
      <c r="A1962" s="16"/>
      <c r="B1962" s="10"/>
      <c r="C1962" s="17" t="str">
        <f aca="false">IF($B1962="","",IFERROR(INDEX(품목마스터!$B$3:$B$302,MATCH($B1962,품목마스터!$A$3:$A$302,0)),"미등록품번"))</f>
        <v/>
      </c>
      <c r="D1962" s="17" t="str">
        <f aca="false">IF($B1962="","",IFERROR(INDEX(품목마스터!$D$3:$D$302,MATCH($B1962,품목마스터!$A$3:$A$302,0)),""))</f>
        <v/>
      </c>
      <c r="E1962" s="12"/>
      <c r="F1962" s="10"/>
    </row>
    <row r="1963" customFormat="false" ht="15" hidden="false" customHeight="true" outlineLevel="0" collapsed="false">
      <c r="A1963" s="16"/>
      <c r="B1963" s="10"/>
      <c r="C1963" s="17" t="str">
        <f aca="false">IF($B1963="","",IFERROR(INDEX(품목마스터!$B$3:$B$302,MATCH($B1963,품목마스터!$A$3:$A$302,0)),"미등록품번"))</f>
        <v/>
      </c>
      <c r="D1963" s="17" t="str">
        <f aca="false">IF($B1963="","",IFERROR(INDEX(품목마스터!$D$3:$D$302,MATCH($B1963,품목마스터!$A$3:$A$302,0)),""))</f>
        <v/>
      </c>
      <c r="E1963" s="12"/>
      <c r="F1963" s="10"/>
    </row>
    <row r="1964" customFormat="false" ht="15" hidden="false" customHeight="true" outlineLevel="0" collapsed="false">
      <c r="A1964" s="16"/>
      <c r="B1964" s="10"/>
      <c r="C1964" s="17" t="str">
        <f aca="false">IF($B1964="","",IFERROR(INDEX(품목마스터!$B$3:$B$302,MATCH($B1964,품목마스터!$A$3:$A$302,0)),"미등록품번"))</f>
        <v/>
      </c>
      <c r="D1964" s="17" t="str">
        <f aca="false">IF($B1964="","",IFERROR(INDEX(품목마스터!$D$3:$D$302,MATCH($B1964,품목마스터!$A$3:$A$302,0)),""))</f>
        <v/>
      </c>
      <c r="E1964" s="12"/>
      <c r="F1964" s="10"/>
    </row>
    <row r="1965" customFormat="false" ht="15" hidden="false" customHeight="true" outlineLevel="0" collapsed="false">
      <c r="A1965" s="16"/>
      <c r="B1965" s="10"/>
      <c r="C1965" s="17" t="str">
        <f aca="false">IF($B1965="","",IFERROR(INDEX(품목마스터!$B$3:$B$302,MATCH($B1965,품목마스터!$A$3:$A$302,0)),"미등록품번"))</f>
        <v/>
      </c>
      <c r="D1965" s="17" t="str">
        <f aca="false">IF($B1965="","",IFERROR(INDEX(품목마스터!$D$3:$D$302,MATCH($B1965,품목마스터!$A$3:$A$302,0)),""))</f>
        <v/>
      </c>
      <c r="E1965" s="12"/>
      <c r="F1965" s="10"/>
    </row>
    <row r="1966" customFormat="false" ht="15" hidden="false" customHeight="true" outlineLevel="0" collapsed="false">
      <c r="A1966" s="16"/>
      <c r="B1966" s="10"/>
      <c r="C1966" s="17" t="str">
        <f aca="false">IF($B1966="","",IFERROR(INDEX(품목마스터!$B$3:$B$302,MATCH($B1966,품목마스터!$A$3:$A$302,0)),"미등록품번"))</f>
        <v/>
      </c>
      <c r="D1966" s="17" t="str">
        <f aca="false">IF($B1966="","",IFERROR(INDEX(품목마스터!$D$3:$D$302,MATCH($B1966,품목마스터!$A$3:$A$302,0)),""))</f>
        <v/>
      </c>
      <c r="E1966" s="12"/>
      <c r="F1966" s="10"/>
    </row>
    <row r="1967" customFormat="false" ht="15" hidden="false" customHeight="true" outlineLevel="0" collapsed="false">
      <c r="A1967" s="16"/>
      <c r="B1967" s="10"/>
      <c r="C1967" s="17" t="str">
        <f aca="false">IF($B1967="","",IFERROR(INDEX(품목마스터!$B$3:$B$302,MATCH($B1967,품목마스터!$A$3:$A$302,0)),"미등록품번"))</f>
        <v/>
      </c>
      <c r="D1967" s="17" t="str">
        <f aca="false">IF($B1967="","",IFERROR(INDEX(품목마스터!$D$3:$D$302,MATCH($B1967,품목마스터!$A$3:$A$302,0)),""))</f>
        <v/>
      </c>
      <c r="E1967" s="12"/>
      <c r="F1967" s="10"/>
    </row>
    <row r="1968" customFormat="false" ht="15" hidden="false" customHeight="true" outlineLevel="0" collapsed="false">
      <c r="A1968" s="16"/>
      <c r="B1968" s="10"/>
      <c r="C1968" s="17" t="str">
        <f aca="false">IF($B1968="","",IFERROR(INDEX(품목마스터!$B$3:$B$302,MATCH($B1968,품목마스터!$A$3:$A$302,0)),"미등록품번"))</f>
        <v/>
      </c>
      <c r="D1968" s="17" t="str">
        <f aca="false">IF($B1968="","",IFERROR(INDEX(품목마스터!$D$3:$D$302,MATCH($B1968,품목마스터!$A$3:$A$302,0)),""))</f>
        <v/>
      </c>
      <c r="E1968" s="12"/>
      <c r="F1968" s="10"/>
    </row>
    <row r="1969" customFormat="false" ht="15" hidden="false" customHeight="true" outlineLevel="0" collapsed="false">
      <c r="A1969" s="16"/>
      <c r="B1969" s="10"/>
      <c r="C1969" s="17" t="str">
        <f aca="false">IF($B1969="","",IFERROR(INDEX(품목마스터!$B$3:$B$302,MATCH($B1969,품목마스터!$A$3:$A$302,0)),"미등록품번"))</f>
        <v/>
      </c>
      <c r="D1969" s="17" t="str">
        <f aca="false">IF($B1969="","",IFERROR(INDEX(품목마스터!$D$3:$D$302,MATCH($B1969,품목마스터!$A$3:$A$302,0)),""))</f>
        <v/>
      </c>
      <c r="E1969" s="12"/>
      <c r="F1969" s="10"/>
    </row>
    <row r="1970" customFormat="false" ht="15" hidden="false" customHeight="true" outlineLevel="0" collapsed="false">
      <c r="A1970" s="16"/>
      <c r="B1970" s="10"/>
      <c r="C1970" s="17" t="str">
        <f aca="false">IF($B1970="","",IFERROR(INDEX(품목마스터!$B$3:$B$302,MATCH($B1970,품목마스터!$A$3:$A$302,0)),"미등록품번"))</f>
        <v/>
      </c>
      <c r="D1970" s="17" t="str">
        <f aca="false">IF($B1970="","",IFERROR(INDEX(품목마스터!$D$3:$D$302,MATCH($B1970,품목마스터!$A$3:$A$302,0)),""))</f>
        <v/>
      </c>
      <c r="E1970" s="12"/>
      <c r="F1970" s="10"/>
    </row>
    <row r="1971" customFormat="false" ht="15" hidden="false" customHeight="true" outlineLevel="0" collapsed="false">
      <c r="A1971" s="16"/>
      <c r="B1971" s="10"/>
      <c r="C1971" s="17" t="str">
        <f aca="false">IF($B1971="","",IFERROR(INDEX(품목마스터!$B$3:$B$302,MATCH($B1971,품목마스터!$A$3:$A$302,0)),"미등록품번"))</f>
        <v/>
      </c>
      <c r="D1971" s="17" t="str">
        <f aca="false">IF($B1971="","",IFERROR(INDEX(품목마스터!$D$3:$D$302,MATCH($B1971,품목마스터!$A$3:$A$302,0)),""))</f>
        <v/>
      </c>
      <c r="E1971" s="12"/>
      <c r="F1971" s="10"/>
    </row>
    <row r="1972" customFormat="false" ht="15" hidden="false" customHeight="true" outlineLevel="0" collapsed="false">
      <c r="A1972" s="16"/>
      <c r="B1972" s="10"/>
      <c r="C1972" s="17" t="str">
        <f aca="false">IF($B1972="","",IFERROR(INDEX(품목마스터!$B$3:$B$302,MATCH($B1972,품목마스터!$A$3:$A$302,0)),"미등록품번"))</f>
        <v/>
      </c>
      <c r="D1972" s="17" t="str">
        <f aca="false">IF($B1972="","",IFERROR(INDEX(품목마스터!$D$3:$D$302,MATCH($B1972,품목마스터!$A$3:$A$302,0)),""))</f>
        <v/>
      </c>
      <c r="E1972" s="12"/>
      <c r="F1972" s="10"/>
    </row>
    <row r="1973" customFormat="false" ht="15" hidden="false" customHeight="true" outlineLevel="0" collapsed="false">
      <c r="A1973" s="16"/>
      <c r="B1973" s="10"/>
      <c r="C1973" s="17" t="str">
        <f aca="false">IF($B1973="","",IFERROR(INDEX(품목마스터!$B$3:$B$302,MATCH($B1973,품목마스터!$A$3:$A$302,0)),"미등록품번"))</f>
        <v/>
      </c>
      <c r="D1973" s="17" t="str">
        <f aca="false">IF($B1973="","",IFERROR(INDEX(품목마스터!$D$3:$D$302,MATCH($B1973,품목마스터!$A$3:$A$302,0)),""))</f>
        <v/>
      </c>
      <c r="E1973" s="12"/>
      <c r="F1973" s="10"/>
    </row>
    <row r="1974" customFormat="false" ht="15" hidden="false" customHeight="true" outlineLevel="0" collapsed="false">
      <c r="A1974" s="16"/>
      <c r="B1974" s="10"/>
      <c r="C1974" s="17" t="str">
        <f aca="false">IF($B1974="","",IFERROR(INDEX(품목마스터!$B$3:$B$302,MATCH($B1974,품목마스터!$A$3:$A$302,0)),"미등록품번"))</f>
        <v/>
      </c>
      <c r="D1974" s="17" t="str">
        <f aca="false">IF($B1974="","",IFERROR(INDEX(품목마스터!$D$3:$D$302,MATCH($B1974,품목마스터!$A$3:$A$302,0)),""))</f>
        <v/>
      </c>
      <c r="E1974" s="12"/>
      <c r="F1974" s="10"/>
    </row>
    <row r="1975" customFormat="false" ht="15" hidden="false" customHeight="true" outlineLevel="0" collapsed="false">
      <c r="A1975" s="16"/>
      <c r="B1975" s="10"/>
      <c r="C1975" s="17" t="str">
        <f aca="false">IF($B1975="","",IFERROR(INDEX(품목마스터!$B$3:$B$302,MATCH($B1975,품목마스터!$A$3:$A$302,0)),"미등록품번"))</f>
        <v/>
      </c>
      <c r="D1975" s="17" t="str">
        <f aca="false">IF($B1975="","",IFERROR(INDEX(품목마스터!$D$3:$D$302,MATCH($B1975,품목마스터!$A$3:$A$302,0)),""))</f>
        <v/>
      </c>
      <c r="E1975" s="12"/>
      <c r="F1975" s="10"/>
    </row>
    <row r="1976" customFormat="false" ht="15" hidden="false" customHeight="true" outlineLevel="0" collapsed="false">
      <c r="A1976" s="16"/>
      <c r="B1976" s="10"/>
      <c r="C1976" s="17" t="str">
        <f aca="false">IF($B1976="","",IFERROR(INDEX(품목마스터!$B$3:$B$302,MATCH($B1976,품목마스터!$A$3:$A$302,0)),"미등록품번"))</f>
        <v/>
      </c>
      <c r="D1976" s="17" t="str">
        <f aca="false">IF($B1976="","",IFERROR(INDEX(품목마스터!$D$3:$D$302,MATCH($B1976,품목마스터!$A$3:$A$302,0)),""))</f>
        <v/>
      </c>
      <c r="E1976" s="12"/>
      <c r="F1976" s="10"/>
    </row>
    <row r="1977" customFormat="false" ht="15" hidden="false" customHeight="true" outlineLevel="0" collapsed="false">
      <c r="A1977" s="16"/>
      <c r="B1977" s="10"/>
      <c r="C1977" s="17" t="str">
        <f aca="false">IF($B1977="","",IFERROR(INDEX(품목마스터!$B$3:$B$302,MATCH($B1977,품목마스터!$A$3:$A$302,0)),"미등록품번"))</f>
        <v/>
      </c>
      <c r="D1977" s="17" t="str">
        <f aca="false">IF($B1977="","",IFERROR(INDEX(품목마스터!$D$3:$D$302,MATCH($B1977,품목마스터!$A$3:$A$302,0)),""))</f>
        <v/>
      </c>
      <c r="E1977" s="12"/>
      <c r="F1977" s="10"/>
    </row>
    <row r="1978" customFormat="false" ht="15" hidden="false" customHeight="true" outlineLevel="0" collapsed="false">
      <c r="A1978" s="16"/>
      <c r="B1978" s="10"/>
      <c r="C1978" s="17" t="str">
        <f aca="false">IF($B1978="","",IFERROR(INDEX(품목마스터!$B$3:$B$302,MATCH($B1978,품목마스터!$A$3:$A$302,0)),"미등록품번"))</f>
        <v/>
      </c>
      <c r="D1978" s="17" t="str">
        <f aca="false">IF($B1978="","",IFERROR(INDEX(품목마스터!$D$3:$D$302,MATCH($B1978,품목마스터!$A$3:$A$302,0)),""))</f>
        <v/>
      </c>
      <c r="E1978" s="12"/>
      <c r="F1978" s="10"/>
    </row>
    <row r="1979" customFormat="false" ht="15" hidden="false" customHeight="true" outlineLevel="0" collapsed="false">
      <c r="A1979" s="16"/>
      <c r="B1979" s="10"/>
      <c r="C1979" s="17" t="str">
        <f aca="false">IF($B1979="","",IFERROR(INDEX(품목마스터!$B$3:$B$302,MATCH($B1979,품목마스터!$A$3:$A$302,0)),"미등록품번"))</f>
        <v/>
      </c>
      <c r="D1979" s="17" t="str">
        <f aca="false">IF($B1979="","",IFERROR(INDEX(품목마스터!$D$3:$D$302,MATCH($B1979,품목마스터!$A$3:$A$302,0)),""))</f>
        <v/>
      </c>
      <c r="E1979" s="12"/>
      <c r="F1979" s="10"/>
    </row>
    <row r="1980" customFormat="false" ht="15" hidden="false" customHeight="true" outlineLevel="0" collapsed="false">
      <c r="A1980" s="16"/>
      <c r="B1980" s="10"/>
      <c r="C1980" s="17" t="str">
        <f aca="false">IF($B1980="","",IFERROR(INDEX(품목마스터!$B$3:$B$302,MATCH($B1980,품목마스터!$A$3:$A$302,0)),"미등록품번"))</f>
        <v/>
      </c>
      <c r="D1980" s="17" t="str">
        <f aca="false">IF($B1980="","",IFERROR(INDEX(품목마스터!$D$3:$D$302,MATCH($B1980,품목마스터!$A$3:$A$302,0)),""))</f>
        <v/>
      </c>
      <c r="E1980" s="12"/>
      <c r="F1980" s="10"/>
    </row>
    <row r="1981" customFormat="false" ht="15" hidden="false" customHeight="true" outlineLevel="0" collapsed="false">
      <c r="A1981" s="16"/>
      <c r="B1981" s="10"/>
      <c r="C1981" s="17" t="str">
        <f aca="false">IF($B1981="","",IFERROR(INDEX(품목마스터!$B$3:$B$302,MATCH($B1981,품목마스터!$A$3:$A$302,0)),"미등록품번"))</f>
        <v/>
      </c>
      <c r="D1981" s="17" t="str">
        <f aca="false">IF($B1981="","",IFERROR(INDEX(품목마스터!$D$3:$D$302,MATCH($B1981,품목마스터!$A$3:$A$302,0)),""))</f>
        <v/>
      </c>
      <c r="E1981" s="12"/>
      <c r="F1981" s="10"/>
    </row>
    <row r="1982" customFormat="false" ht="15" hidden="false" customHeight="true" outlineLevel="0" collapsed="false">
      <c r="A1982" s="16"/>
      <c r="B1982" s="10"/>
      <c r="C1982" s="17" t="str">
        <f aca="false">IF($B1982="","",IFERROR(INDEX(품목마스터!$B$3:$B$302,MATCH($B1982,품목마스터!$A$3:$A$302,0)),"미등록품번"))</f>
        <v/>
      </c>
      <c r="D1982" s="17" t="str">
        <f aca="false">IF($B1982="","",IFERROR(INDEX(품목마스터!$D$3:$D$302,MATCH($B1982,품목마스터!$A$3:$A$302,0)),""))</f>
        <v/>
      </c>
      <c r="E1982" s="12"/>
      <c r="F1982" s="10"/>
    </row>
    <row r="1983" customFormat="false" ht="15" hidden="false" customHeight="true" outlineLevel="0" collapsed="false">
      <c r="A1983" s="16"/>
      <c r="B1983" s="10"/>
      <c r="C1983" s="17" t="str">
        <f aca="false">IF($B1983="","",IFERROR(INDEX(품목마스터!$B$3:$B$302,MATCH($B1983,품목마스터!$A$3:$A$302,0)),"미등록품번"))</f>
        <v/>
      </c>
      <c r="D1983" s="17" t="str">
        <f aca="false">IF($B1983="","",IFERROR(INDEX(품목마스터!$D$3:$D$302,MATCH($B1983,품목마스터!$A$3:$A$302,0)),""))</f>
        <v/>
      </c>
      <c r="E1983" s="12"/>
      <c r="F1983" s="10"/>
    </row>
    <row r="1984" customFormat="false" ht="15" hidden="false" customHeight="true" outlineLevel="0" collapsed="false">
      <c r="A1984" s="16"/>
      <c r="B1984" s="10"/>
      <c r="C1984" s="17" t="str">
        <f aca="false">IF($B1984="","",IFERROR(INDEX(품목마스터!$B$3:$B$302,MATCH($B1984,품목마스터!$A$3:$A$302,0)),"미등록품번"))</f>
        <v/>
      </c>
      <c r="D1984" s="17" t="str">
        <f aca="false">IF($B1984="","",IFERROR(INDEX(품목마스터!$D$3:$D$302,MATCH($B1984,품목마스터!$A$3:$A$302,0)),""))</f>
        <v/>
      </c>
      <c r="E1984" s="12"/>
      <c r="F1984" s="10"/>
    </row>
    <row r="1985" customFormat="false" ht="15" hidden="false" customHeight="true" outlineLevel="0" collapsed="false">
      <c r="A1985" s="16"/>
      <c r="B1985" s="10"/>
      <c r="C1985" s="17" t="str">
        <f aca="false">IF($B1985="","",IFERROR(INDEX(품목마스터!$B$3:$B$302,MATCH($B1985,품목마스터!$A$3:$A$302,0)),"미등록품번"))</f>
        <v/>
      </c>
      <c r="D1985" s="17" t="str">
        <f aca="false">IF($B1985="","",IFERROR(INDEX(품목마스터!$D$3:$D$302,MATCH($B1985,품목마스터!$A$3:$A$302,0)),""))</f>
        <v/>
      </c>
      <c r="E1985" s="12"/>
      <c r="F1985" s="10"/>
    </row>
    <row r="1986" customFormat="false" ht="15" hidden="false" customHeight="true" outlineLevel="0" collapsed="false">
      <c r="A1986" s="16"/>
      <c r="B1986" s="10"/>
      <c r="C1986" s="17" t="str">
        <f aca="false">IF($B1986="","",IFERROR(INDEX(품목마스터!$B$3:$B$302,MATCH($B1986,품목마스터!$A$3:$A$302,0)),"미등록품번"))</f>
        <v/>
      </c>
      <c r="D1986" s="17" t="str">
        <f aca="false">IF($B1986="","",IFERROR(INDEX(품목마스터!$D$3:$D$302,MATCH($B1986,품목마스터!$A$3:$A$302,0)),""))</f>
        <v/>
      </c>
      <c r="E1986" s="12"/>
      <c r="F1986" s="10"/>
    </row>
    <row r="1987" customFormat="false" ht="15" hidden="false" customHeight="true" outlineLevel="0" collapsed="false">
      <c r="A1987" s="16"/>
      <c r="B1987" s="10"/>
      <c r="C1987" s="17" t="str">
        <f aca="false">IF($B1987="","",IFERROR(INDEX(품목마스터!$B$3:$B$302,MATCH($B1987,품목마스터!$A$3:$A$302,0)),"미등록품번"))</f>
        <v/>
      </c>
      <c r="D1987" s="17" t="str">
        <f aca="false">IF($B1987="","",IFERROR(INDEX(품목마스터!$D$3:$D$302,MATCH($B1987,품목마스터!$A$3:$A$302,0)),""))</f>
        <v/>
      </c>
      <c r="E1987" s="12"/>
      <c r="F1987" s="10"/>
    </row>
    <row r="1988" customFormat="false" ht="15" hidden="false" customHeight="true" outlineLevel="0" collapsed="false">
      <c r="A1988" s="16"/>
      <c r="B1988" s="10"/>
      <c r="C1988" s="17" t="str">
        <f aca="false">IF($B1988="","",IFERROR(INDEX(품목마스터!$B$3:$B$302,MATCH($B1988,품목마스터!$A$3:$A$302,0)),"미등록품번"))</f>
        <v/>
      </c>
      <c r="D1988" s="17" t="str">
        <f aca="false">IF($B1988="","",IFERROR(INDEX(품목마스터!$D$3:$D$302,MATCH($B1988,품목마스터!$A$3:$A$302,0)),""))</f>
        <v/>
      </c>
      <c r="E1988" s="12"/>
      <c r="F1988" s="10"/>
    </row>
    <row r="1989" customFormat="false" ht="15" hidden="false" customHeight="true" outlineLevel="0" collapsed="false">
      <c r="A1989" s="16"/>
      <c r="B1989" s="10"/>
      <c r="C1989" s="17" t="str">
        <f aca="false">IF($B1989="","",IFERROR(INDEX(품목마스터!$B$3:$B$302,MATCH($B1989,품목마스터!$A$3:$A$302,0)),"미등록품번"))</f>
        <v/>
      </c>
      <c r="D1989" s="17" t="str">
        <f aca="false">IF($B1989="","",IFERROR(INDEX(품목마스터!$D$3:$D$302,MATCH($B1989,품목마스터!$A$3:$A$302,0)),""))</f>
        <v/>
      </c>
      <c r="E1989" s="12"/>
      <c r="F1989" s="10"/>
    </row>
    <row r="1990" customFormat="false" ht="15" hidden="false" customHeight="true" outlineLevel="0" collapsed="false">
      <c r="A1990" s="16"/>
      <c r="B1990" s="10"/>
      <c r="C1990" s="17" t="str">
        <f aca="false">IF($B1990="","",IFERROR(INDEX(품목마스터!$B$3:$B$302,MATCH($B1990,품목마스터!$A$3:$A$302,0)),"미등록품번"))</f>
        <v/>
      </c>
      <c r="D1990" s="17" t="str">
        <f aca="false">IF($B1990="","",IFERROR(INDEX(품목마스터!$D$3:$D$302,MATCH($B1990,품목마스터!$A$3:$A$302,0)),""))</f>
        <v/>
      </c>
      <c r="E1990" s="12"/>
      <c r="F1990" s="10"/>
    </row>
    <row r="1991" customFormat="false" ht="15" hidden="false" customHeight="true" outlineLevel="0" collapsed="false">
      <c r="A1991" s="16"/>
      <c r="B1991" s="10"/>
      <c r="C1991" s="17" t="str">
        <f aca="false">IF($B1991="","",IFERROR(INDEX(품목마스터!$B$3:$B$302,MATCH($B1991,품목마스터!$A$3:$A$302,0)),"미등록품번"))</f>
        <v/>
      </c>
      <c r="D1991" s="17" t="str">
        <f aca="false">IF($B1991="","",IFERROR(INDEX(품목마스터!$D$3:$D$302,MATCH($B1991,품목마스터!$A$3:$A$302,0)),""))</f>
        <v/>
      </c>
      <c r="E1991" s="12"/>
      <c r="F1991" s="10"/>
    </row>
    <row r="1992" customFormat="false" ht="15" hidden="false" customHeight="true" outlineLevel="0" collapsed="false">
      <c r="A1992" s="16"/>
      <c r="B1992" s="10"/>
      <c r="C1992" s="17" t="str">
        <f aca="false">IF($B1992="","",IFERROR(INDEX(품목마스터!$B$3:$B$302,MATCH($B1992,품목마스터!$A$3:$A$302,0)),"미등록품번"))</f>
        <v/>
      </c>
      <c r="D1992" s="17" t="str">
        <f aca="false">IF($B1992="","",IFERROR(INDEX(품목마스터!$D$3:$D$302,MATCH($B1992,품목마스터!$A$3:$A$302,0)),""))</f>
        <v/>
      </c>
      <c r="E1992" s="12"/>
      <c r="F1992" s="10"/>
    </row>
    <row r="1993" customFormat="false" ht="15" hidden="false" customHeight="true" outlineLevel="0" collapsed="false">
      <c r="A1993" s="16"/>
      <c r="B1993" s="10"/>
      <c r="C1993" s="17" t="str">
        <f aca="false">IF($B1993="","",IFERROR(INDEX(품목마스터!$B$3:$B$302,MATCH($B1993,품목마스터!$A$3:$A$302,0)),"미등록품번"))</f>
        <v/>
      </c>
      <c r="D1993" s="17" t="str">
        <f aca="false">IF($B1993="","",IFERROR(INDEX(품목마스터!$D$3:$D$302,MATCH($B1993,품목마스터!$A$3:$A$302,0)),""))</f>
        <v/>
      </c>
      <c r="E1993" s="12"/>
      <c r="F1993" s="10"/>
    </row>
    <row r="1994" customFormat="false" ht="15" hidden="false" customHeight="true" outlineLevel="0" collapsed="false">
      <c r="A1994" s="16"/>
      <c r="B1994" s="10"/>
      <c r="C1994" s="17" t="str">
        <f aca="false">IF($B1994="","",IFERROR(INDEX(품목마스터!$B$3:$B$302,MATCH($B1994,품목마스터!$A$3:$A$302,0)),"미등록품번"))</f>
        <v/>
      </c>
      <c r="D1994" s="17" t="str">
        <f aca="false">IF($B1994="","",IFERROR(INDEX(품목마스터!$D$3:$D$302,MATCH($B1994,품목마스터!$A$3:$A$302,0)),""))</f>
        <v/>
      </c>
      <c r="E1994" s="12"/>
      <c r="F1994" s="10"/>
    </row>
    <row r="1995" customFormat="false" ht="15" hidden="false" customHeight="true" outlineLevel="0" collapsed="false">
      <c r="A1995" s="16"/>
      <c r="B1995" s="10"/>
      <c r="C1995" s="17" t="str">
        <f aca="false">IF($B1995="","",IFERROR(INDEX(품목마스터!$B$3:$B$302,MATCH($B1995,품목마스터!$A$3:$A$302,0)),"미등록품번"))</f>
        <v/>
      </c>
      <c r="D1995" s="17" t="str">
        <f aca="false">IF($B1995="","",IFERROR(INDEX(품목마스터!$D$3:$D$302,MATCH($B1995,품목마스터!$A$3:$A$302,0)),""))</f>
        <v/>
      </c>
      <c r="E1995" s="12"/>
      <c r="F1995" s="10"/>
    </row>
    <row r="1996" customFormat="false" ht="15" hidden="false" customHeight="true" outlineLevel="0" collapsed="false">
      <c r="A1996" s="16"/>
      <c r="B1996" s="10"/>
      <c r="C1996" s="17" t="str">
        <f aca="false">IF($B1996="","",IFERROR(INDEX(품목마스터!$B$3:$B$302,MATCH($B1996,품목마스터!$A$3:$A$302,0)),"미등록품번"))</f>
        <v/>
      </c>
      <c r="D1996" s="17" t="str">
        <f aca="false">IF($B1996="","",IFERROR(INDEX(품목마스터!$D$3:$D$302,MATCH($B1996,품목마스터!$A$3:$A$302,0)),""))</f>
        <v/>
      </c>
      <c r="E1996" s="12"/>
      <c r="F1996" s="10"/>
    </row>
    <row r="1997" customFormat="false" ht="15" hidden="false" customHeight="true" outlineLevel="0" collapsed="false">
      <c r="A1997" s="16"/>
      <c r="B1997" s="10"/>
      <c r="C1997" s="17" t="str">
        <f aca="false">IF($B1997="","",IFERROR(INDEX(품목마스터!$B$3:$B$302,MATCH($B1997,품목마스터!$A$3:$A$302,0)),"미등록품번"))</f>
        <v/>
      </c>
      <c r="D1997" s="17" t="str">
        <f aca="false">IF($B1997="","",IFERROR(INDEX(품목마스터!$D$3:$D$302,MATCH($B1997,품목마스터!$A$3:$A$302,0)),""))</f>
        <v/>
      </c>
      <c r="E1997" s="12"/>
      <c r="F1997" s="10"/>
    </row>
    <row r="1998" customFormat="false" ht="15" hidden="false" customHeight="true" outlineLevel="0" collapsed="false">
      <c r="A1998" s="16"/>
      <c r="B1998" s="10"/>
      <c r="C1998" s="17" t="str">
        <f aca="false">IF($B1998="","",IFERROR(INDEX(품목마스터!$B$3:$B$302,MATCH($B1998,품목마스터!$A$3:$A$302,0)),"미등록품번"))</f>
        <v/>
      </c>
      <c r="D1998" s="17" t="str">
        <f aca="false">IF($B1998="","",IFERROR(INDEX(품목마스터!$D$3:$D$302,MATCH($B1998,품목마스터!$A$3:$A$302,0)),""))</f>
        <v/>
      </c>
      <c r="E1998" s="12"/>
      <c r="F1998" s="10"/>
    </row>
    <row r="1999" customFormat="false" ht="15" hidden="false" customHeight="true" outlineLevel="0" collapsed="false">
      <c r="A1999" s="16"/>
      <c r="B1999" s="10"/>
      <c r="C1999" s="17" t="str">
        <f aca="false">IF($B1999="","",IFERROR(INDEX(품목마스터!$B$3:$B$302,MATCH($B1999,품목마스터!$A$3:$A$302,0)),"미등록품번"))</f>
        <v/>
      </c>
      <c r="D1999" s="17" t="str">
        <f aca="false">IF($B1999="","",IFERROR(INDEX(품목마스터!$D$3:$D$302,MATCH($B1999,품목마스터!$A$3:$A$302,0)),""))</f>
        <v/>
      </c>
      <c r="E1999" s="12"/>
      <c r="F1999" s="10"/>
    </row>
    <row r="2000" customFormat="false" ht="15" hidden="false" customHeight="true" outlineLevel="0" collapsed="false">
      <c r="A2000" s="16"/>
      <c r="B2000" s="10"/>
      <c r="C2000" s="17" t="str">
        <f aca="false">IF($B2000="","",IFERROR(INDEX(품목마스터!$B$3:$B$302,MATCH($B2000,품목마스터!$A$3:$A$302,0)),"미등록품번"))</f>
        <v/>
      </c>
      <c r="D2000" s="17" t="str">
        <f aca="false">IF($B2000="","",IFERROR(INDEX(품목마스터!$D$3:$D$302,MATCH($B2000,품목마스터!$A$3:$A$302,0)),""))</f>
        <v/>
      </c>
      <c r="E2000" s="12"/>
      <c r="F2000" s="10"/>
    </row>
    <row r="2001" customFormat="false" ht="15" hidden="false" customHeight="true" outlineLevel="0" collapsed="false">
      <c r="A2001" s="16"/>
      <c r="B2001" s="10"/>
      <c r="C2001" s="17" t="str">
        <f aca="false">IF($B2001="","",IFERROR(INDEX(품목마스터!$B$3:$B$302,MATCH($B2001,품목마스터!$A$3:$A$302,0)),"미등록품번"))</f>
        <v/>
      </c>
      <c r="D2001" s="17" t="str">
        <f aca="false">IF($B2001="","",IFERROR(INDEX(품목마스터!$D$3:$D$302,MATCH($B2001,품목마스터!$A$3:$A$302,0)),""))</f>
        <v/>
      </c>
      <c r="E2001" s="12"/>
      <c r="F2001" s="10"/>
    </row>
    <row r="2002" customFormat="false" ht="15" hidden="false" customHeight="true" outlineLevel="0" collapsed="false">
      <c r="A2002" s="16"/>
      <c r="B2002" s="10"/>
      <c r="C2002" s="17" t="str">
        <f aca="false">IF($B2002="","",IFERROR(INDEX(품목마스터!$B$3:$B$302,MATCH($B2002,품목마스터!$A$3:$A$302,0)),"미등록품번"))</f>
        <v/>
      </c>
      <c r="D2002" s="17" t="str">
        <f aca="false">IF($B2002="","",IFERROR(INDEX(품목마스터!$D$3:$D$302,MATCH($B2002,품목마스터!$A$3:$A$302,0)),""))</f>
        <v/>
      </c>
      <c r="E2002" s="12"/>
      <c r="F2002" s="10"/>
    </row>
    <row r="2003" customFormat="false" ht="15" hidden="false" customHeight="true" outlineLevel="0" collapsed="false">
      <c r="A2003" s="16"/>
      <c r="B2003" s="10"/>
      <c r="C2003" s="17" t="str">
        <f aca="false">IF($B2003="","",IFERROR(INDEX(품목마스터!$B$3:$B$302,MATCH($B2003,품목마스터!$A$3:$A$302,0)),"미등록품번"))</f>
        <v/>
      </c>
      <c r="D2003" s="17" t="str">
        <f aca="false">IF($B2003="","",IFERROR(INDEX(품목마스터!$D$3:$D$302,MATCH($B2003,품목마스터!$A$3:$A$302,0)),""))</f>
        <v/>
      </c>
      <c r="E2003" s="12"/>
      <c r="F2003" s="10"/>
    </row>
    <row r="2004" customFormat="false" ht="15" hidden="false" customHeight="true" outlineLevel="0" collapsed="false">
      <c r="A2004" s="16"/>
      <c r="B2004" s="10"/>
      <c r="C2004" s="17" t="str">
        <f aca="false">IF($B2004="","",IFERROR(INDEX(품목마스터!$B$3:$B$302,MATCH($B2004,품목마스터!$A$3:$A$302,0)),"미등록품번"))</f>
        <v/>
      </c>
      <c r="D2004" s="17" t="str">
        <f aca="false">IF($B2004="","",IFERROR(INDEX(품목마스터!$D$3:$D$302,MATCH($B2004,품목마스터!$A$3:$A$302,0)),""))</f>
        <v/>
      </c>
      <c r="E2004" s="12"/>
      <c r="F2004" s="10"/>
    </row>
    <row r="2005" customFormat="false" ht="15" hidden="false" customHeight="true" outlineLevel="0" collapsed="false">
      <c r="A2005" s="16"/>
      <c r="B2005" s="10"/>
      <c r="C2005" s="17" t="str">
        <f aca="false">IF($B2005="","",IFERROR(INDEX(품목마스터!$B$3:$B$302,MATCH($B2005,품목마스터!$A$3:$A$302,0)),"미등록품번"))</f>
        <v/>
      </c>
      <c r="D2005" s="17" t="str">
        <f aca="false">IF($B2005="","",IFERROR(INDEX(품목마스터!$D$3:$D$302,MATCH($B2005,품목마스터!$A$3:$A$302,0)),""))</f>
        <v/>
      </c>
      <c r="E2005" s="12"/>
      <c r="F2005" s="10"/>
    </row>
    <row r="2006" customFormat="false" ht="15" hidden="false" customHeight="true" outlineLevel="0" collapsed="false">
      <c r="A2006" s="16"/>
      <c r="B2006" s="10"/>
      <c r="C2006" s="17" t="str">
        <f aca="false">IF($B2006="","",IFERROR(INDEX(품목마스터!$B$3:$B$302,MATCH($B2006,품목마스터!$A$3:$A$302,0)),"미등록품번"))</f>
        <v/>
      </c>
      <c r="D2006" s="17" t="str">
        <f aca="false">IF($B2006="","",IFERROR(INDEX(품목마스터!$D$3:$D$302,MATCH($B2006,품목마스터!$A$3:$A$302,0)),""))</f>
        <v/>
      </c>
      <c r="E2006" s="12"/>
      <c r="F2006" s="10"/>
    </row>
    <row r="2007" customFormat="false" ht="15" hidden="false" customHeight="true" outlineLevel="0" collapsed="false">
      <c r="A2007" s="16"/>
      <c r="B2007" s="10"/>
      <c r="C2007" s="17" t="str">
        <f aca="false">IF($B2007="","",IFERROR(INDEX(품목마스터!$B$3:$B$302,MATCH($B2007,품목마스터!$A$3:$A$302,0)),"미등록품번"))</f>
        <v/>
      </c>
      <c r="D2007" s="17" t="str">
        <f aca="false">IF($B2007="","",IFERROR(INDEX(품목마스터!$D$3:$D$302,MATCH($B2007,품목마스터!$A$3:$A$302,0)),""))</f>
        <v/>
      </c>
      <c r="E2007" s="12"/>
      <c r="F2007" s="10"/>
    </row>
    <row r="2008" customFormat="false" ht="15" hidden="false" customHeight="true" outlineLevel="0" collapsed="false">
      <c r="A2008" s="16"/>
      <c r="B2008" s="10"/>
      <c r="C2008" s="17" t="str">
        <f aca="false">IF($B2008="","",IFERROR(INDEX(품목마스터!$B$3:$B$302,MATCH($B2008,품목마스터!$A$3:$A$302,0)),"미등록품번"))</f>
        <v/>
      </c>
      <c r="D2008" s="17" t="str">
        <f aca="false">IF($B2008="","",IFERROR(INDEX(품목마스터!$D$3:$D$302,MATCH($B2008,품목마스터!$A$3:$A$302,0)),""))</f>
        <v/>
      </c>
      <c r="E2008" s="12"/>
      <c r="F2008" s="10"/>
    </row>
    <row r="2009" customFormat="false" ht="15" hidden="false" customHeight="true" outlineLevel="0" collapsed="false">
      <c r="A2009" s="16"/>
      <c r="B2009" s="10"/>
      <c r="C2009" s="17" t="str">
        <f aca="false">IF($B2009="","",IFERROR(INDEX(품목마스터!$B$3:$B$302,MATCH($B2009,품목마스터!$A$3:$A$302,0)),"미등록품번"))</f>
        <v/>
      </c>
      <c r="D2009" s="17" t="str">
        <f aca="false">IF($B2009="","",IFERROR(INDEX(품목마스터!$D$3:$D$302,MATCH($B2009,품목마스터!$A$3:$A$302,0)),""))</f>
        <v/>
      </c>
      <c r="E2009" s="12"/>
      <c r="F2009" s="10"/>
    </row>
    <row r="2010" customFormat="false" ht="15" hidden="false" customHeight="true" outlineLevel="0" collapsed="false">
      <c r="A2010" s="16"/>
      <c r="B2010" s="10"/>
      <c r="C2010" s="17" t="str">
        <f aca="false">IF($B2010="","",IFERROR(INDEX(품목마스터!$B$3:$B$302,MATCH($B2010,품목마스터!$A$3:$A$302,0)),"미등록품번"))</f>
        <v/>
      </c>
      <c r="D2010" s="17" t="str">
        <f aca="false">IF($B2010="","",IFERROR(INDEX(품목마스터!$D$3:$D$302,MATCH($B2010,품목마스터!$A$3:$A$302,0)),""))</f>
        <v/>
      </c>
      <c r="E2010" s="12"/>
      <c r="F2010" s="10"/>
    </row>
    <row r="2011" customFormat="false" ht="15" hidden="false" customHeight="true" outlineLevel="0" collapsed="false">
      <c r="A2011" s="16"/>
      <c r="B2011" s="10"/>
      <c r="C2011" s="17" t="str">
        <f aca="false">IF($B2011="","",IFERROR(INDEX(품목마스터!$B$3:$B$302,MATCH($B2011,품목마스터!$A$3:$A$302,0)),"미등록품번"))</f>
        <v/>
      </c>
      <c r="D2011" s="17" t="str">
        <f aca="false">IF($B2011="","",IFERROR(INDEX(품목마스터!$D$3:$D$302,MATCH($B2011,품목마스터!$A$3:$A$302,0)),""))</f>
        <v/>
      </c>
      <c r="E2011" s="12"/>
      <c r="F2011" s="10"/>
    </row>
    <row r="2012" customFormat="false" ht="15" hidden="false" customHeight="true" outlineLevel="0" collapsed="false">
      <c r="A2012" s="16"/>
      <c r="B2012" s="10"/>
      <c r="C2012" s="17" t="str">
        <f aca="false">IF($B2012="","",IFERROR(INDEX(품목마스터!$B$3:$B$302,MATCH($B2012,품목마스터!$A$3:$A$302,0)),"미등록품번"))</f>
        <v/>
      </c>
      <c r="D2012" s="17" t="str">
        <f aca="false">IF($B2012="","",IFERROR(INDEX(품목마스터!$D$3:$D$302,MATCH($B2012,품목마스터!$A$3:$A$302,0)),""))</f>
        <v/>
      </c>
      <c r="E2012" s="12"/>
      <c r="F2012" s="10"/>
    </row>
    <row r="2013" customFormat="false" ht="15" hidden="false" customHeight="true" outlineLevel="0" collapsed="false">
      <c r="A2013" s="16"/>
      <c r="B2013" s="10"/>
      <c r="C2013" s="17" t="str">
        <f aca="false">IF($B2013="","",IFERROR(INDEX(품목마스터!$B$3:$B$302,MATCH($B2013,품목마스터!$A$3:$A$302,0)),"미등록품번"))</f>
        <v/>
      </c>
      <c r="D2013" s="17" t="str">
        <f aca="false">IF($B2013="","",IFERROR(INDEX(품목마스터!$D$3:$D$302,MATCH($B2013,품목마스터!$A$3:$A$302,0)),""))</f>
        <v/>
      </c>
      <c r="E2013" s="12"/>
      <c r="F2013" s="10"/>
    </row>
    <row r="2014" customFormat="false" ht="15" hidden="false" customHeight="true" outlineLevel="0" collapsed="false">
      <c r="A2014" s="16"/>
      <c r="B2014" s="10"/>
      <c r="C2014" s="17" t="str">
        <f aca="false">IF($B2014="","",IFERROR(INDEX(품목마스터!$B$3:$B$302,MATCH($B2014,품목마스터!$A$3:$A$302,0)),"미등록품번"))</f>
        <v/>
      </c>
      <c r="D2014" s="17" t="str">
        <f aca="false">IF($B2014="","",IFERROR(INDEX(품목마스터!$D$3:$D$302,MATCH($B2014,품목마스터!$A$3:$A$302,0)),""))</f>
        <v/>
      </c>
      <c r="E2014" s="12"/>
      <c r="F2014" s="10"/>
    </row>
    <row r="2015" customFormat="false" ht="15" hidden="false" customHeight="true" outlineLevel="0" collapsed="false">
      <c r="A2015" s="16"/>
      <c r="B2015" s="10"/>
      <c r="C2015" s="17" t="str">
        <f aca="false">IF($B2015="","",IFERROR(INDEX(품목마스터!$B$3:$B$302,MATCH($B2015,품목마스터!$A$3:$A$302,0)),"미등록품번"))</f>
        <v/>
      </c>
      <c r="D2015" s="17" t="str">
        <f aca="false">IF($B2015="","",IFERROR(INDEX(품목마스터!$D$3:$D$302,MATCH($B2015,품목마스터!$A$3:$A$302,0)),""))</f>
        <v/>
      </c>
      <c r="E2015" s="12"/>
      <c r="F2015" s="10"/>
    </row>
    <row r="2016" customFormat="false" ht="15" hidden="false" customHeight="true" outlineLevel="0" collapsed="false">
      <c r="A2016" s="16"/>
      <c r="B2016" s="10"/>
      <c r="C2016" s="17" t="str">
        <f aca="false">IF($B2016="","",IFERROR(INDEX(품목마스터!$B$3:$B$302,MATCH($B2016,품목마스터!$A$3:$A$302,0)),"미등록품번"))</f>
        <v/>
      </c>
      <c r="D2016" s="17" t="str">
        <f aca="false">IF($B2016="","",IFERROR(INDEX(품목마스터!$D$3:$D$302,MATCH($B2016,품목마스터!$A$3:$A$302,0)),""))</f>
        <v/>
      </c>
      <c r="E2016" s="12"/>
      <c r="F2016" s="10"/>
    </row>
    <row r="2017" customFormat="false" ht="15" hidden="false" customHeight="true" outlineLevel="0" collapsed="false">
      <c r="A2017" s="16"/>
      <c r="B2017" s="10"/>
      <c r="C2017" s="17" t="str">
        <f aca="false">IF($B2017="","",IFERROR(INDEX(품목마스터!$B$3:$B$302,MATCH($B2017,품목마스터!$A$3:$A$302,0)),"미등록품번"))</f>
        <v/>
      </c>
      <c r="D2017" s="17" t="str">
        <f aca="false">IF($B2017="","",IFERROR(INDEX(품목마스터!$D$3:$D$302,MATCH($B2017,품목마스터!$A$3:$A$302,0)),""))</f>
        <v/>
      </c>
      <c r="E2017" s="12"/>
      <c r="F2017" s="10"/>
    </row>
    <row r="2018" customFormat="false" ht="15" hidden="false" customHeight="true" outlineLevel="0" collapsed="false">
      <c r="A2018" s="16"/>
      <c r="B2018" s="10"/>
      <c r="C2018" s="17" t="str">
        <f aca="false">IF($B2018="","",IFERROR(INDEX(품목마스터!$B$3:$B$302,MATCH($B2018,품목마스터!$A$3:$A$302,0)),"미등록품번"))</f>
        <v/>
      </c>
      <c r="D2018" s="17" t="str">
        <f aca="false">IF($B2018="","",IFERROR(INDEX(품목마스터!$D$3:$D$302,MATCH($B2018,품목마스터!$A$3:$A$302,0)),""))</f>
        <v/>
      </c>
      <c r="E2018" s="12"/>
      <c r="F2018" s="10"/>
    </row>
    <row r="2019" customFormat="false" ht="15" hidden="false" customHeight="true" outlineLevel="0" collapsed="false">
      <c r="A2019" s="16"/>
      <c r="B2019" s="10"/>
      <c r="C2019" s="17" t="str">
        <f aca="false">IF($B2019="","",IFERROR(INDEX(품목마스터!$B$3:$B$302,MATCH($B2019,품목마스터!$A$3:$A$302,0)),"미등록품번"))</f>
        <v/>
      </c>
      <c r="D2019" s="17" t="str">
        <f aca="false">IF($B2019="","",IFERROR(INDEX(품목마스터!$D$3:$D$302,MATCH($B2019,품목마스터!$A$3:$A$302,0)),""))</f>
        <v/>
      </c>
      <c r="E2019" s="12"/>
      <c r="F2019" s="10"/>
    </row>
    <row r="2020" customFormat="false" ht="15" hidden="false" customHeight="true" outlineLevel="0" collapsed="false">
      <c r="A2020" s="16"/>
      <c r="B2020" s="10"/>
      <c r="C2020" s="17" t="str">
        <f aca="false">IF($B2020="","",IFERROR(INDEX(품목마스터!$B$3:$B$302,MATCH($B2020,품목마스터!$A$3:$A$302,0)),"미등록품번"))</f>
        <v/>
      </c>
      <c r="D2020" s="17" t="str">
        <f aca="false">IF($B2020="","",IFERROR(INDEX(품목마스터!$D$3:$D$302,MATCH($B2020,품목마스터!$A$3:$A$302,0)),""))</f>
        <v/>
      </c>
      <c r="E2020" s="12"/>
      <c r="F2020" s="10"/>
    </row>
    <row r="2021" customFormat="false" ht="15" hidden="false" customHeight="true" outlineLevel="0" collapsed="false">
      <c r="A2021" s="16"/>
      <c r="B2021" s="10"/>
      <c r="C2021" s="17" t="str">
        <f aca="false">IF($B2021="","",IFERROR(INDEX(품목마스터!$B$3:$B$302,MATCH($B2021,품목마스터!$A$3:$A$302,0)),"미등록품번"))</f>
        <v/>
      </c>
      <c r="D2021" s="17" t="str">
        <f aca="false">IF($B2021="","",IFERROR(INDEX(품목마스터!$D$3:$D$302,MATCH($B2021,품목마스터!$A$3:$A$302,0)),""))</f>
        <v/>
      </c>
      <c r="E2021" s="12"/>
      <c r="F2021" s="10"/>
    </row>
    <row r="2022" customFormat="false" ht="15" hidden="false" customHeight="true" outlineLevel="0" collapsed="false">
      <c r="A2022" s="16"/>
      <c r="B2022" s="10"/>
      <c r="C2022" s="17" t="str">
        <f aca="false">IF($B2022="","",IFERROR(INDEX(품목마스터!$B$3:$B$302,MATCH($B2022,품목마스터!$A$3:$A$302,0)),"미등록품번"))</f>
        <v/>
      </c>
      <c r="D2022" s="17" t="str">
        <f aca="false">IF($B2022="","",IFERROR(INDEX(품목마스터!$D$3:$D$302,MATCH($B2022,품목마스터!$A$3:$A$302,0)),""))</f>
        <v/>
      </c>
      <c r="E2022" s="12"/>
      <c r="F2022" s="10"/>
    </row>
    <row r="2023" customFormat="false" ht="15" hidden="false" customHeight="true" outlineLevel="0" collapsed="false">
      <c r="A2023" s="16"/>
      <c r="B2023" s="10"/>
      <c r="C2023" s="17" t="str">
        <f aca="false">IF($B2023="","",IFERROR(INDEX(품목마스터!$B$3:$B$302,MATCH($B2023,품목마스터!$A$3:$A$302,0)),"미등록품번"))</f>
        <v/>
      </c>
      <c r="D2023" s="17" t="str">
        <f aca="false">IF($B2023="","",IFERROR(INDEX(품목마스터!$D$3:$D$302,MATCH($B2023,품목마스터!$A$3:$A$302,0)),""))</f>
        <v/>
      </c>
      <c r="E2023" s="12"/>
      <c r="F2023" s="10"/>
    </row>
    <row r="2024" customFormat="false" ht="15" hidden="false" customHeight="true" outlineLevel="0" collapsed="false">
      <c r="A2024" s="16"/>
      <c r="B2024" s="10"/>
      <c r="C2024" s="17" t="str">
        <f aca="false">IF($B2024="","",IFERROR(INDEX(품목마스터!$B$3:$B$302,MATCH($B2024,품목마스터!$A$3:$A$302,0)),"미등록품번"))</f>
        <v/>
      </c>
      <c r="D2024" s="17" t="str">
        <f aca="false">IF($B2024="","",IFERROR(INDEX(품목마스터!$D$3:$D$302,MATCH($B2024,품목마스터!$A$3:$A$302,0)),""))</f>
        <v/>
      </c>
      <c r="E2024" s="12"/>
      <c r="F2024" s="10"/>
    </row>
    <row r="2025" customFormat="false" ht="15" hidden="false" customHeight="true" outlineLevel="0" collapsed="false">
      <c r="A2025" s="16"/>
      <c r="B2025" s="10"/>
      <c r="C2025" s="17" t="str">
        <f aca="false">IF($B2025="","",IFERROR(INDEX(품목마스터!$B$3:$B$302,MATCH($B2025,품목마스터!$A$3:$A$302,0)),"미등록품번"))</f>
        <v/>
      </c>
      <c r="D2025" s="17" t="str">
        <f aca="false">IF($B2025="","",IFERROR(INDEX(품목마스터!$D$3:$D$302,MATCH($B2025,품목마스터!$A$3:$A$302,0)),""))</f>
        <v/>
      </c>
      <c r="E2025" s="12"/>
      <c r="F2025" s="10"/>
    </row>
    <row r="2026" customFormat="false" ht="15" hidden="false" customHeight="true" outlineLevel="0" collapsed="false">
      <c r="A2026" s="16"/>
      <c r="B2026" s="10"/>
      <c r="C2026" s="17" t="str">
        <f aca="false">IF($B2026="","",IFERROR(INDEX(품목마스터!$B$3:$B$302,MATCH($B2026,품목마스터!$A$3:$A$302,0)),"미등록품번"))</f>
        <v/>
      </c>
      <c r="D2026" s="17" t="str">
        <f aca="false">IF($B2026="","",IFERROR(INDEX(품목마스터!$D$3:$D$302,MATCH($B2026,품목마스터!$A$3:$A$302,0)),""))</f>
        <v/>
      </c>
      <c r="E2026" s="12"/>
      <c r="F2026" s="10"/>
    </row>
    <row r="2027" customFormat="false" ht="15" hidden="false" customHeight="true" outlineLevel="0" collapsed="false">
      <c r="A2027" s="16"/>
      <c r="B2027" s="10"/>
      <c r="C2027" s="17" t="str">
        <f aca="false">IF($B2027="","",IFERROR(INDEX(품목마스터!$B$3:$B$302,MATCH($B2027,품목마스터!$A$3:$A$302,0)),"미등록품번"))</f>
        <v/>
      </c>
      <c r="D2027" s="17" t="str">
        <f aca="false">IF($B2027="","",IFERROR(INDEX(품목마스터!$D$3:$D$302,MATCH($B2027,품목마스터!$A$3:$A$302,0)),""))</f>
        <v/>
      </c>
      <c r="E2027" s="12"/>
      <c r="F2027" s="10"/>
    </row>
    <row r="2028" customFormat="false" ht="15" hidden="false" customHeight="true" outlineLevel="0" collapsed="false">
      <c r="A2028" s="16"/>
      <c r="B2028" s="10"/>
      <c r="C2028" s="17" t="str">
        <f aca="false">IF($B2028="","",IFERROR(INDEX(품목마스터!$B$3:$B$302,MATCH($B2028,품목마스터!$A$3:$A$302,0)),"미등록품번"))</f>
        <v/>
      </c>
      <c r="D2028" s="17" t="str">
        <f aca="false">IF($B2028="","",IFERROR(INDEX(품목마스터!$D$3:$D$302,MATCH($B2028,품목마스터!$A$3:$A$302,0)),""))</f>
        <v/>
      </c>
      <c r="E2028" s="12"/>
      <c r="F2028" s="10"/>
    </row>
    <row r="2029" customFormat="false" ht="15" hidden="false" customHeight="true" outlineLevel="0" collapsed="false">
      <c r="A2029" s="16"/>
      <c r="B2029" s="10"/>
      <c r="C2029" s="17" t="str">
        <f aca="false">IF($B2029="","",IFERROR(INDEX(품목마스터!$B$3:$B$302,MATCH($B2029,품목마스터!$A$3:$A$302,0)),"미등록품번"))</f>
        <v/>
      </c>
      <c r="D2029" s="17" t="str">
        <f aca="false">IF($B2029="","",IFERROR(INDEX(품목마스터!$D$3:$D$302,MATCH($B2029,품목마스터!$A$3:$A$302,0)),""))</f>
        <v/>
      </c>
      <c r="E2029" s="12"/>
      <c r="F2029" s="10"/>
    </row>
    <row r="2030" customFormat="false" ht="15" hidden="false" customHeight="true" outlineLevel="0" collapsed="false">
      <c r="A2030" s="16"/>
      <c r="B2030" s="10"/>
      <c r="C2030" s="17" t="str">
        <f aca="false">IF($B2030="","",IFERROR(INDEX(품목마스터!$B$3:$B$302,MATCH($B2030,품목마스터!$A$3:$A$302,0)),"미등록품번"))</f>
        <v/>
      </c>
      <c r="D2030" s="17" t="str">
        <f aca="false">IF($B2030="","",IFERROR(INDEX(품목마스터!$D$3:$D$302,MATCH($B2030,품목마스터!$A$3:$A$302,0)),""))</f>
        <v/>
      </c>
      <c r="E2030" s="12"/>
      <c r="F2030" s="10"/>
    </row>
    <row r="2031" customFormat="false" ht="15" hidden="false" customHeight="true" outlineLevel="0" collapsed="false">
      <c r="A2031" s="16"/>
      <c r="B2031" s="10"/>
      <c r="C2031" s="17" t="str">
        <f aca="false">IF($B2031="","",IFERROR(INDEX(품목마스터!$B$3:$B$302,MATCH($B2031,품목마스터!$A$3:$A$302,0)),"미등록품번"))</f>
        <v/>
      </c>
      <c r="D2031" s="17" t="str">
        <f aca="false">IF($B2031="","",IFERROR(INDEX(품목마스터!$D$3:$D$302,MATCH($B2031,품목마스터!$A$3:$A$302,0)),""))</f>
        <v/>
      </c>
      <c r="E2031" s="12"/>
      <c r="F2031" s="10"/>
    </row>
    <row r="2032" customFormat="false" ht="15" hidden="false" customHeight="true" outlineLevel="0" collapsed="false">
      <c r="A2032" s="16"/>
      <c r="B2032" s="10"/>
      <c r="C2032" s="17" t="str">
        <f aca="false">IF($B2032="","",IFERROR(INDEX(품목마스터!$B$3:$B$302,MATCH($B2032,품목마스터!$A$3:$A$302,0)),"미등록품번"))</f>
        <v/>
      </c>
      <c r="D2032" s="17" t="str">
        <f aca="false">IF($B2032="","",IFERROR(INDEX(품목마스터!$D$3:$D$302,MATCH($B2032,품목마스터!$A$3:$A$302,0)),""))</f>
        <v/>
      </c>
      <c r="E2032" s="12"/>
      <c r="F2032" s="10"/>
    </row>
    <row r="2033" customFormat="false" ht="15" hidden="false" customHeight="true" outlineLevel="0" collapsed="false">
      <c r="A2033" s="16"/>
      <c r="B2033" s="10"/>
      <c r="C2033" s="17" t="str">
        <f aca="false">IF($B2033="","",IFERROR(INDEX(품목마스터!$B$3:$B$302,MATCH($B2033,품목마스터!$A$3:$A$302,0)),"미등록품번"))</f>
        <v/>
      </c>
      <c r="D2033" s="17" t="str">
        <f aca="false">IF($B2033="","",IFERROR(INDEX(품목마스터!$D$3:$D$302,MATCH($B2033,품목마스터!$A$3:$A$302,0)),""))</f>
        <v/>
      </c>
      <c r="E2033" s="12"/>
      <c r="F2033" s="10"/>
    </row>
    <row r="2034" customFormat="false" ht="15" hidden="false" customHeight="true" outlineLevel="0" collapsed="false">
      <c r="A2034" s="16"/>
      <c r="B2034" s="10"/>
      <c r="C2034" s="17" t="str">
        <f aca="false">IF($B2034="","",IFERROR(INDEX(품목마스터!$B$3:$B$302,MATCH($B2034,품목마스터!$A$3:$A$302,0)),"미등록품번"))</f>
        <v/>
      </c>
      <c r="D2034" s="17" t="str">
        <f aca="false">IF($B2034="","",IFERROR(INDEX(품목마스터!$D$3:$D$302,MATCH($B2034,품목마스터!$A$3:$A$302,0)),""))</f>
        <v/>
      </c>
      <c r="E2034" s="12"/>
      <c r="F2034" s="10"/>
    </row>
    <row r="2035" customFormat="false" ht="15" hidden="false" customHeight="true" outlineLevel="0" collapsed="false">
      <c r="A2035" s="16"/>
      <c r="B2035" s="10"/>
      <c r="C2035" s="17" t="str">
        <f aca="false">IF($B2035="","",IFERROR(INDEX(품목마스터!$B$3:$B$302,MATCH($B2035,품목마스터!$A$3:$A$302,0)),"미등록품번"))</f>
        <v/>
      </c>
      <c r="D2035" s="17" t="str">
        <f aca="false">IF($B2035="","",IFERROR(INDEX(품목마스터!$D$3:$D$302,MATCH($B2035,품목마스터!$A$3:$A$302,0)),""))</f>
        <v/>
      </c>
      <c r="E2035" s="12"/>
      <c r="F2035" s="10"/>
    </row>
    <row r="2036" customFormat="false" ht="15" hidden="false" customHeight="true" outlineLevel="0" collapsed="false">
      <c r="A2036" s="16"/>
      <c r="B2036" s="10"/>
      <c r="C2036" s="17" t="str">
        <f aca="false">IF($B2036="","",IFERROR(INDEX(품목마스터!$B$3:$B$302,MATCH($B2036,품목마스터!$A$3:$A$302,0)),"미등록품번"))</f>
        <v/>
      </c>
      <c r="D2036" s="17" t="str">
        <f aca="false">IF($B2036="","",IFERROR(INDEX(품목마스터!$D$3:$D$302,MATCH($B2036,품목마스터!$A$3:$A$302,0)),""))</f>
        <v/>
      </c>
      <c r="E2036" s="12"/>
      <c r="F2036" s="10"/>
    </row>
    <row r="2037" customFormat="false" ht="15" hidden="false" customHeight="true" outlineLevel="0" collapsed="false">
      <c r="A2037" s="16"/>
      <c r="B2037" s="10"/>
      <c r="C2037" s="17" t="str">
        <f aca="false">IF($B2037="","",IFERROR(INDEX(품목마스터!$B$3:$B$302,MATCH($B2037,품목마스터!$A$3:$A$302,0)),"미등록품번"))</f>
        <v/>
      </c>
      <c r="D2037" s="17" t="str">
        <f aca="false">IF($B2037="","",IFERROR(INDEX(품목마스터!$D$3:$D$302,MATCH($B2037,품목마스터!$A$3:$A$302,0)),""))</f>
        <v/>
      </c>
      <c r="E2037" s="12"/>
      <c r="F2037" s="10"/>
    </row>
    <row r="2038" customFormat="false" ht="15" hidden="false" customHeight="true" outlineLevel="0" collapsed="false">
      <c r="A2038" s="16"/>
      <c r="B2038" s="10"/>
      <c r="C2038" s="17" t="str">
        <f aca="false">IF($B2038="","",IFERROR(INDEX(품목마스터!$B$3:$B$302,MATCH($B2038,품목마스터!$A$3:$A$302,0)),"미등록품번"))</f>
        <v/>
      </c>
      <c r="D2038" s="17" t="str">
        <f aca="false">IF($B2038="","",IFERROR(INDEX(품목마스터!$D$3:$D$302,MATCH($B2038,품목마스터!$A$3:$A$302,0)),""))</f>
        <v/>
      </c>
      <c r="E2038" s="12"/>
      <c r="F2038" s="10"/>
    </row>
    <row r="2039" customFormat="false" ht="15" hidden="false" customHeight="true" outlineLevel="0" collapsed="false">
      <c r="A2039" s="16"/>
      <c r="B2039" s="10"/>
      <c r="C2039" s="17" t="str">
        <f aca="false">IF($B2039="","",IFERROR(INDEX(품목마스터!$B$3:$B$302,MATCH($B2039,품목마스터!$A$3:$A$302,0)),"미등록품번"))</f>
        <v/>
      </c>
      <c r="D2039" s="17" t="str">
        <f aca="false">IF($B2039="","",IFERROR(INDEX(품목마스터!$D$3:$D$302,MATCH($B2039,품목마스터!$A$3:$A$302,0)),""))</f>
        <v/>
      </c>
      <c r="E2039" s="12"/>
      <c r="F2039" s="10"/>
    </row>
    <row r="2040" customFormat="false" ht="15" hidden="false" customHeight="true" outlineLevel="0" collapsed="false">
      <c r="A2040" s="16"/>
      <c r="B2040" s="10"/>
      <c r="C2040" s="17" t="str">
        <f aca="false">IF($B2040="","",IFERROR(INDEX(품목마스터!$B$3:$B$302,MATCH($B2040,품목마스터!$A$3:$A$302,0)),"미등록품번"))</f>
        <v/>
      </c>
      <c r="D2040" s="17" t="str">
        <f aca="false">IF($B2040="","",IFERROR(INDEX(품목마스터!$D$3:$D$302,MATCH($B2040,품목마스터!$A$3:$A$302,0)),""))</f>
        <v/>
      </c>
      <c r="E2040" s="12"/>
      <c r="F2040" s="10"/>
    </row>
    <row r="2041" customFormat="false" ht="15" hidden="false" customHeight="true" outlineLevel="0" collapsed="false">
      <c r="A2041" s="16"/>
      <c r="B2041" s="10"/>
      <c r="C2041" s="17" t="str">
        <f aca="false">IF($B2041="","",IFERROR(INDEX(품목마스터!$B$3:$B$302,MATCH($B2041,품목마스터!$A$3:$A$302,0)),"미등록품번"))</f>
        <v/>
      </c>
      <c r="D2041" s="17" t="str">
        <f aca="false">IF($B2041="","",IFERROR(INDEX(품목마스터!$D$3:$D$302,MATCH($B2041,품목마스터!$A$3:$A$302,0)),""))</f>
        <v/>
      </c>
      <c r="E2041" s="12"/>
      <c r="F2041" s="10"/>
    </row>
    <row r="2042" customFormat="false" ht="15" hidden="false" customHeight="true" outlineLevel="0" collapsed="false">
      <c r="A2042" s="16"/>
      <c r="B2042" s="10"/>
      <c r="C2042" s="17" t="str">
        <f aca="false">IF($B2042="","",IFERROR(INDEX(품목마스터!$B$3:$B$302,MATCH($B2042,품목마스터!$A$3:$A$302,0)),"미등록품번"))</f>
        <v/>
      </c>
      <c r="D2042" s="17" t="str">
        <f aca="false">IF($B2042="","",IFERROR(INDEX(품목마스터!$D$3:$D$302,MATCH($B2042,품목마스터!$A$3:$A$302,0)),""))</f>
        <v/>
      </c>
      <c r="E2042" s="12"/>
      <c r="F2042" s="10"/>
    </row>
    <row r="2043" customFormat="false" ht="15" hidden="false" customHeight="true" outlineLevel="0" collapsed="false">
      <c r="A2043" s="16"/>
      <c r="B2043" s="10"/>
      <c r="C2043" s="17" t="str">
        <f aca="false">IF($B2043="","",IFERROR(INDEX(품목마스터!$B$3:$B$302,MATCH($B2043,품목마스터!$A$3:$A$302,0)),"미등록품번"))</f>
        <v/>
      </c>
      <c r="D2043" s="17" t="str">
        <f aca="false">IF($B2043="","",IFERROR(INDEX(품목마스터!$D$3:$D$302,MATCH($B2043,품목마스터!$A$3:$A$302,0)),""))</f>
        <v/>
      </c>
      <c r="E2043" s="12"/>
      <c r="F2043" s="10"/>
    </row>
    <row r="2044" customFormat="false" ht="15" hidden="false" customHeight="true" outlineLevel="0" collapsed="false">
      <c r="A2044" s="16"/>
      <c r="B2044" s="10"/>
      <c r="C2044" s="17" t="str">
        <f aca="false">IF($B2044="","",IFERROR(INDEX(품목마스터!$B$3:$B$302,MATCH($B2044,품목마스터!$A$3:$A$302,0)),"미등록품번"))</f>
        <v/>
      </c>
      <c r="D2044" s="17" t="str">
        <f aca="false">IF($B2044="","",IFERROR(INDEX(품목마스터!$D$3:$D$302,MATCH($B2044,품목마스터!$A$3:$A$302,0)),""))</f>
        <v/>
      </c>
      <c r="E2044" s="12"/>
      <c r="F2044" s="10"/>
    </row>
    <row r="2045" customFormat="false" ht="15" hidden="false" customHeight="true" outlineLevel="0" collapsed="false">
      <c r="A2045" s="16"/>
      <c r="B2045" s="10"/>
      <c r="C2045" s="17" t="str">
        <f aca="false">IF($B2045="","",IFERROR(INDEX(품목마스터!$B$3:$B$302,MATCH($B2045,품목마스터!$A$3:$A$302,0)),"미등록품번"))</f>
        <v/>
      </c>
      <c r="D2045" s="17" t="str">
        <f aca="false">IF($B2045="","",IFERROR(INDEX(품목마스터!$D$3:$D$302,MATCH($B2045,품목마스터!$A$3:$A$302,0)),""))</f>
        <v/>
      </c>
      <c r="E2045" s="12"/>
      <c r="F2045" s="10"/>
    </row>
    <row r="2046" customFormat="false" ht="15" hidden="false" customHeight="true" outlineLevel="0" collapsed="false">
      <c r="A2046" s="16"/>
      <c r="B2046" s="10"/>
      <c r="C2046" s="17" t="str">
        <f aca="false">IF($B2046="","",IFERROR(INDEX(품목마스터!$B$3:$B$302,MATCH($B2046,품목마스터!$A$3:$A$302,0)),"미등록품번"))</f>
        <v/>
      </c>
      <c r="D2046" s="17" t="str">
        <f aca="false">IF($B2046="","",IFERROR(INDEX(품목마스터!$D$3:$D$302,MATCH($B2046,품목마스터!$A$3:$A$302,0)),""))</f>
        <v/>
      </c>
      <c r="E2046" s="12"/>
      <c r="F2046" s="10"/>
    </row>
    <row r="2047" customFormat="false" ht="15" hidden="false" customHeight="true" outlineLevel="0" collapsed="false">
      <c r="A2047" s="16"/>
      <c r="B2047" s="10"/>
      <c r="C2047" s="17" t="str">
        <f aca="false">IF($B2047="","",IFERROR(INDEX(품목마스터!$B$3:$B$302,MATCH($B2047,품목마스터!$A$3:$A$302,0)),"미등록품번"))</f>
        <v/>
      </c>
      <c r="D2047" s="17" t="str">
        <f aca="false">IF($B2047="","",IFERROR(INDEX(품목마스터!$D$3:$D$302,MATCH($B2047,품목마스터!$A$3:$A$302,0)),""))</f>
        <v/>
      </c>
      <c r="E2047" s="12"/>
      <c r="F2047" s="10"/>
    </row>
    <row r="2048" customFormat="false" ht="15" hidden="false" customHeight="true" outlineLevel="0" collapsed="false">
      <c r="A2048" s="16"/>
      <c r="B2048" s="10"/>
      <c r="C2048" s="17" t="str">
        <f aca="false">IF($B2048="","",IFERROR(INDEX(품목마스터!$B$3:$B$302,MATCH($B2048,품목마스터!$A$3:$A$302,0)),"미등록품번"))</f>
        <v/>
      </c>
      <c r="D2048" s="17" t="str">
        <f aca="false">IF($B2048="","",IFERROR(INDEX(품목마스터!$D$3:$D$302,MATCH($B2048,품목마스터!$A$3:$A$302,0)),""))</f>
        <v/>
      </c>
      <c r="E2048" s="12"/>
      <c r="F2048" s="10"/>
    </row>
    <row r="2049" customFormat="false" ht="15" hidden="false" customHeight="true" outlineLevel="0" collapsed="false">
      <c r="A2049" s="16"/>
      <c r="B2049" s="10"/>
      <c r="C2049" s="17" t="str">
        <f aca="false">IF($B2049="","",IFERROR(INDEX(품목마스터!$B$3:$B$302,MATCH($B2049,품목마스터!$A$3:$A$302,0)),"미등록품번"))</f>
        <v/>
      </c>
      <c r="D2049" s="17" t="str">
        <f aca="false">IF($B2049="","",IFERROR(INDEX(품목마스터!$D$3:$D$302,MATCH($B2049,품목마스터!$A$3:$A$302,0)),""))</f>
        <v/>
      </c>
      <c r="E2049" s="12"/>
      <c r="F2049" s="10"/>
    </row>
    <row r="2050" customFormat="false" ht="15" hidden="false" customHeight="true" outlineLevel="0" collapsed="false">
      <c r="A2050" s="16"/>
      <c r="B2050" s="10"/>
      <c r="C2050" s="17" t="str">
        <f aca="false">IF($B2050="","",IFERROR(INDEX(품목마스터!$B$3:$B$302,MATCH($B2050,품목마스터!$A$3:$A$302,0)),"미등록품번"))</f>
        <v/>
      </c>
      <c r="D2050" s="17" t="str">
        <f aca="false">IF($B2050="","",IFERROR(INDEX(품목마스터!$D$3:$D$302,MATCH($B2050,품목마스터!$A$3:$A$302,0)),""))</f>
        <v/>
      </c>
      <c r="E2050" s="12"/>
      <c r="F2050" s="10"/>
    </row>
    <row r="2051" customFormat="false" ht="15" hidden="false" customHeight="true" outlineLevel="0" collapsed="false">
      <c r="A2051" s="16"/>
      <c r="B2051" s="10"/>
      <c r="C2051" s="17" t="str">
        <f aca="false">IF($B2051="","",IFERROR(INDEX(품목마스터!$B$3:$B$302,MATCH($B2051,품목마스터!$A$3:$A$302,0)),"미등록품번"))</f>
        <v/>
      </c>
      <c r="D2051" s="17" t="str">
        <f aca="false">IF($B2051="","",IFERROR(INDEX(품목마스터!$D$3:$D$302,MATCH($B2051,품목마스터!$A$3:$A$302,0)),""))</f>
        <v/>
      </c>
      <c r="E2051" s="12"/>
      <c r="F2051" s="10"/>
    </row>
    <row r="2052" customFormat="false" ht="15" hidden="false" customHeight="true" outlineLevel="0" collapsed="false">
      <c r="A2052" s="16"/>
      <c r="B2052" s="10"/>
      <c r="C2052" s="17" t="str">
        <f aca="false">IF($B2052="","",IFERROR(INDEX(품목마스터!$B$3:$B$302,MATCH($B2052,품목마스터!$A$3:$A$302,0)),"미등록품번"))</f>
        <v/>
      </c>
      <c r="D2052" s="17" t="str">
        <f aca="false">IF($B2052="","",IFERROR(INDEX(품목마스터!$D$3:$D$302,MATCH($B2052,품목마스터!$A$3:$A$302,0)),""))</f>
        <v/>
      </c>
      <c r="E2052" s="12"/>
      <c r="F2052" s="10"/>
    </row>
    <row r="2053" customFormat="false" ht="15" hidden="false" customHeight="true" outlineLevel="0" collapsed="false">
      <c r="A2053" s="16"/>
      <c r="B2053" s="10"/>
      <c r="C2053" s="17" t="str">
        <f aca="false">IF($B2053="","",IFERROR(INDEX(품목마스터!$B$3:$B$302,MATCH($B2053,품목마스터!$A$3:$A$302,0)),"미등록품번"))</f>
        <v/>
      </c>
      <c r="D2053" s="17" t="str">
        <f aca="false">IF($B2053="","",IFERROR(INDEX(품목마스터!$D$3:$D$302,MATCH($B2053,품목마스터!$A$3:$A$302,0)),""))</f>
        <v/>
      </c>
      <c r="E2053" s="12"/>
      <c r="F2053" s="10"/>
    </row>
    <row r="2054" customFormat="false" ht="15" hidden="false" customHeight="true" outlineLevel="0" collapsed="false">
      <c r="A2054" s="16"/>
      <c r="B2054" s="10"/>
      <c r="C2054" s="17" t="str">
        <f aca="false">IF($B2054="","",IFERROR(INDEX(품목마스터!$B$3:$B$302,MATCH($B2054,품목마스터!$A$3:$A$302,0)),"미등록품번"))</f>
        <v/>
      </c>
      <c r="D2054" s="17" t="str">
        <f aca="false">IF($B2054="","",IFERROR(INDEX(품목마스터!$D$3:$D$302,MATCH($B2054,품목마스터!$A$3:$A$302,0)),""))</f>
        <v/>
      </c>
      <c r="E2054" s="12"/>
      <c r="F2054" s="10"/>
    </row>
    <row r="2055" customFormat="false" ht="15" hidden="false" customHeight="true" outlineLevel="0" collapsed="false">
      <c r="A2055" s="16"/>
      <c r="B2055" s="10"/>
      <c r="C2055" s="17" t="str">
        <f aca="false">IF($B2055="","",IFERROR(INDEX(품목마스터!$B$3:$B$302,MATCH($B2055,품목마스터!$A$3:$A$302,0)),"미등록품번"))</f>
        <v/>
      </c>
      <c r="D2055" s="17" t="str">
        <f aca="false">IF($B2055="","",IFERROR(INDEX(품목마스터!$D$3:$D$302,MATCH($B2055,품목마스터!$A$3:$A$302,0)),""))</f>
        <v/>
      </c>
      <c r="E2055" s="12"/>
      <c r="F2055" s="10"/>
    </row>
    <row r="2056" customFormat="false" ht="15" hidden="false" customHeight="true" outlineLevel="0" collapsed="false">
      <c r="A2056" s="16"/>
      <c r="B2056" s="10"/>
      <c r="C2056" s="17" t="str">
        <f aca="false">IF($B2056="","",IFERROR(INDEX(품목마스터!$B$3:$B$302,MATCH($B2056,품목마스터!$A$3:$A$302,0)),"미등록품번"))</f>
        <v/>
      </c>
      <c r="D2056" s="17" t="str">
        <f aca="false">IF($B2056="","",IFERROR(INDEX(품목마스터!$D$3:$D$302,MATCH($B2056,품목마스터!$A$3:$A$302,0)),""))</f>
        <v/>
      </c>
      <c r="E2056" s="12"/>
      <c r="F2056" s="10"/>
    </row>
    <row r="2057" customFormat="false" ht="15" hidden="false" customHeight="true" outlineLevel="0" collapsed="false">
      <c r="A2057" s="16"/>
      <c r="B2057" s="10"/>
      <c r="C2057" s="17" t="str">
        <f aca="false">IF($B2057="","",IFERROR(INDEX(품목마스터!$B$3:$B$302,MATCH($B2057,품목마스터!$A$3:$A$302,0)),"미등록품번"))</f>
        <v/>
      </c>
      <c r="D2057" s="17" t="str">
        <f aca="false">IF($B2057="","",IFERROR(INDEX(품목마스터!$D$3:$D$302,MATCH($B2057,품목마스터!$A$3:$A$302,0)),""))</f>
        <v/>
      </c>
      <c r="E2057" s="12"/>
      <c r="F2057" s="10"/>
    </row>
    <row r="2058" customFormat="false" ht="15" hidden="false" customHeight="true" outlineLevel="0" collapsed="false">
      <c r="A2058" s="16"/>
      <c r="B2058" s="10"/>
      <c r="C2058" s="17" t="str">
        <f aca="false">IF($B2058="","",IFERROR(INDEX(품목마스터!$B$3:$B$302,MATCH($B2058,품목마스터!$A$3:$A$302,0)),"미등록품번"))</f>
        <v/>
      </c>
      <c r="D2058" s="17" t="str">
        <f aca="false">IF($B2058="","",IFERROR(INDEX(품목마스터!$D$3:$D$302,MATCH($B2058,품목마스터!$A$3:$A$302,0)),""))</f>
        <v/>
      </c>
      <c r="E2058" s="12"/>
      <c r="F2058" s="10"/>
    </row>
    <row r="2059" customFormat="false" ht="15" hidden="false" customHeight="true" outlineLevel="0" collapsed="false">
      <c r="A2059" s="16"/>
      <c r="B2059" s="10"/>
      <c r="C2059" s="17" t="str">
        <f aca="false">IF($B2059="","",IFERROR(INDEX(품목마스터!$B$3:$B$302,MATCH($B2059,품목마스터!$A$3:$A$302,0)),"미등록품번"))</f>
        <v/>
      </c>
      <c r="D2059" s="17" t="str">
        <f aca="false">IF($B2059="","",IFERROR(INDEX(품목마스터!$D$3:$D$302,MATCH($B2059,품목마스터!$A$3:$A$302,0)),""))</f>
        <v/>
      </c>
      <c r="E2059" s="12"/>
      <c r="F2059" s="10"/>
    </row>
    <row r="2060" customFormat="false" ht="15" hidden="false" customHeight="true" outlineLevel="0" collapsed="false">
      <c r="A2060" s="16"/>
      <c r="B2060" s="10"/>
      <c r="C2060" s="17" t="str">
        <f aca="false">IF($B2060="","",IFERROR(INDEX(품목마스터!$B$3:$B$302,MATCH($B2060,품목마스터!$A$3:$A$302,0)),"미등록품번"))</f>
        <v/>
      </c>
      <c r="D2060" s="17" t="str">
        <f aca="false">IF($B2060="","",IFERROR(INDEX(품목마스터!$D$3:$D$302,MATCH($B2060,품목마스터!$A$3:$A$302,0)),""))</f>
        <v/>
      </c>
      <c r="E2060" s="12"/>
      <c r="F2060" s="10"/>
    </row>
    <row r="2061" customFormat="false" ht="15" hidden="false" customHeight="true" outlineLevel="0" collapsed="false">
      <c r="A2061" s="16"/>
      <c r="B2061" s="10"/>
      <c r="C2061" s="17" t="str">
        <f aca="false">IF($B2061="","",IFERROR(INDEX(품목마스터!$B$3:$B$302,MATCH($B2061,품목마스터!$A$3:$A$302,0)),"미등록품번"))</f>
        <v/>
      </c>
      <c r="D2061" s="17" t="str">
        <f aca="false">IF($B2061="","",IFERROR(INDEX(품목마스터!$D$3:$D$302,MATCH($B2061,품목마스터!$A$3:$A$302,0)),""))</f>
        <v/>
      </c>
      <c r="E2061" s="12"/>
      <c r="F2061" s="10"/>
    </row>
    <row r="2062" customFormat="false" ht="15" hidden="false" customHeight="true" outlineLevel="0" collapsed="false">
      <c r="A2062" s="16"/>
      <c r="B2062" s="10"/>
      <c r="C2062" s="17" t="str">
        <f aca="false">IF($B2062="","",IFERROR(INDEX(품목마스터!$B$3:$B$302,MATCH($B2062,품목마스터!$A$3:$A$302,0)),"미등록품번"))</f>
        <v/>
      </c>
      <c r="D2062" s="17" t="str">
        <f aca="false">IF($B2062="","",IFERROR(INDEX(품목마스터!$D$3:$D$302,MATCH($B2062,품목마스터!$A$3:$A$302,0)),""))</f>
        <v/>
      </c>
      <c r="E2062" s="12"/>
      <c r="F2062" s="10"/>
    </row>
    <row r="2063" customFormat="false" ht="15" hidden="false" customHeight="true" outlineLevel="0" collapsed="false">
      <c r="A2063" s="16"/>
      <c r="B2063" s="10"/>
      <c r="C2063" s="17" t="str">
        <f aca="false">IF($B2063="","",IFERROR(INDEX(품목마스터!$B$3:$B$302,MATCH($B2063,품목마스터!$A$3:$A$302,0)),"미등록품번"))</f>
        <v/>
      </c>
      <c r="D2063" s="17" t="str">
        <f aca="false">IF($B2063="","",IFERROR(INDEX(품목마스터!$D$3:$D$302,MATCH($B2063,품목마스터!$A$3:$A$302,0)),""))</f>
        <v/>
      </c>
      <c r="E2063" s="12"/>
      <c r="F2063" s="10"/>
    </row>
    <row r="2064" customFormat="false" ht="15" hidden="false" customHeight="true" outlineLevel="0" collapsed="false">
      <c r="A2064" s="16"/>
      <c r="B2064" s="10"/>
      <c r="C2064" s="17" t="str">
        <f aca="false">IF($B2064="","",IFERROR(INDEX(품목마스터!$B$3:$B$302,MATCH($B2064,품목마스터!$A$3:$A$302,0)),"미등록품번"))</f>
        <v/>
      </c>
      <c r="D2064" s="17" t="str">
        <f aca="false">IF($B2064="","",IFERROR(INDEX(품목마스터!$D$3:$D$302,MATCH($B2064,품목마스터!$A$3:$A$302,0)),""))</f>
        <v/>
      </c>
      <c r="E2064" s="12"/>
      <c r="F2064" s="10"/>
    </row>
    <row r="2065" customFormat="false" ht="15" hidden="false" customHeight="true" outlineLevel="0" collapsed="false">
      <c r="A2065" s="16"/>
      <c r="B2065" s="10"/>
      <c r="C2065" s="17" t="str">
        <f aca="false">IF($B2065="","",IFERROR(INDEX(품목마스터!$B$3:$B$302,MATCH($B2065,품목마스터!$A$3:$A$302,0)),"미등록품번"))</f>
        <v/>
      </c>
      <c r="D2065" s="17" t="str">
        <f aca="false">IF($B2065="","",IFERROR(INDEX(품목마스터!$D$3:$D$302,MATCH($B2065,품목마스터!$A$3:$A$302,0)),""))</f>
        <v/>
      </c>
      <c r="E2065" s="12"/>
      <c r="F2065" s="10"/>
    </row>
    <row r="2066" customFormat="false" ht="15" hidden="false" customHeight="true" outlineLevel="0" collapsed="false">
      <c r="A2066" s="16"/>
      <c r="B2066" s="10"/>
      <c r="C2066" s="17" t="str">
        <f aca="false">IF($B2066="","",IFERROR(INDEX(품목마스터!$B$3:$B$302,MATCH($B2066,품목마스터!$A$3:$A$302,0)),"미등록품번"))</f>
        <v/>
      </c>
      <c r="D2066" s="17" t="str">
        <f aca="false">IF($B2066="","",IFERROR(INDEX(품목마스터!$D$3:$D$302,MATCH($B2066,품목마스터!$A$3:$A$302,0)),""))</f>
        <v/>
      </c>
      <c r="E2066" s="12"/>
      <c r="F2066" s="10"/>
    </row>
    <row r="2067" customFormat="false" ht="15" hidden="false" customHeight="true" outlineLevel="0" collapsed="false">
      <c r="A2067" s="16"/>
      <c r="B2067" s="10"/>
      <c r="C2067" s="17" t="str">
        <f aca="false">IF($B2067="","",IFERROR(INDEX(품목마스터!$B$3:$B$302,MATCH($B2067,품목마스터!$A$3:$A$302,0)),"미등록품번"))</f>
        <v/>
      </c>
      <c r="D2067" s="17" t="str">
        <f aca="false">IF($B2067="","",IFERROR(INDEX(품목마스터!$D$3:$D$302,MATCH($B2067,품목마스터!$A$3:$A$302,0)),""))</f>
        <v/>
      </c>
      <c r="E2067" s="12"/>
      <c r="F2067" s="10"/>
    </row>
    <row r="2068" customFormat="false" ht="15" hidden="false" customHeight="true" outlineLevel="0" collapsed="false">
      <c r="A2068" s="16"/>
      <c r="B2068" s="10"/>
      <c r="C2068" s="17" t="str">
        <f aca="false">IF($B2068="","",IFERROR(INDEX(품목마스터!$B$3:$B$302,MATCH($B2068,품목마스터!$A$3:$A$302,0)),"미등록품번"))</f>
        <v/>
      </c>
      <c r="D2068" s="17" t="str">
        <f aca="false">IF($B2068="","",IFERROR(INDEX(품목마스터!$D$3:$D$302,MATCH($B2068,품목마스터!$A$3:$A$302,0)),""))</f>
        <v/>
      </c>
      <c r="E2068" s="12"/>
      <c r="F2068" s="10"/>
    </row>
    <row r="2069" customFormat="false" ht="15" hidden="false" customHeight="true" outlineLevel="0" collapsed="false">
      <c r="A2069" s="16"/>
      <c r="B2069" s="10"/>
      <c r="C2069" s="17" t="str">
        <f aca="false">IF($B2069="","",IFERROR(INDEX(품목마스터!$B$3:$B$302,MATCH($B2069,품목마스터!$A$3:$A$302,0)),"미등록품번"))</f>
        <v/>
      </c>
      <c r="D2069" s="17" t="str">
        <f aca="false">IF($B2069="","",IFERROR(INDEX(품목마스터!$D$3:$D$302,MATCH($B2069,품목마스터!$A$3:$A$302,0)),""))</f>
        <v/>
      </c>
      <c r="E2069" s="12"/>
      <c r="F2069" s="10"/>
    </row>
    <row r="2070" customFormat="false" ht="15" hidden="false" customHeight="true" outlineLevel="0" collapsed="false">
      <c r="A2070" s="16"/>
      <c r="B2070" s="10"/>
      <c r="C2070" s="17" t="str">
        <f aca="false">IF($B2070="","",IFERROR(INDEX(품목마스터!$B$3:$B$302,MATCH($B2070,품목마스터!$A$3:$A$302,0)),"미등록품번"))</f>
        <v/>
      </c>
      <c r="D2070" s="17" t="str">
        <f aca="false">IF($B2070="","",IFERROR(INDEX(품목마스터!$D$3:$D$302,MATCH($B2070,품목마스터!$A$3:$A$302,0)),""))</f>
        <v/>
      </c>
      <c r="E2070" s="12"/>
      <c r="F2070" s="10"/>
    </row>
    <row r="2071" customFormat="false" ht="15" hidden="false" customHeight="true" outlineLevel="0" collapsed="false">
      <c r="A2071" s="16"/>
      <c r="B2071" s="10"/>
      <c r="C2071" s="17" t="str">
        <f aca="false">IF($B2071="","",IFERROR(INDEX(품목마스터!$B$3:$B$302,MATCH($B2071,품목마스터!$A$3:$A$302,0)),"미등록품번"))</f>
        <v/>
      </c>
      <c r="D2071" s="17" t="str">
        <f aca="false">IF($B2071="","",IFERROR(INDEX(품목마스터!$D$3:$D$302,MATCH($B2071,품목마스터!$A$3:$A$302,0)),""))</f>
        <v/>
      </c>
      <c r="E2071" s="12"/>
      <c r="F2071" s="10"/>
    </row>
    <row r="2072" customFormat="false" ht="15" hidden="false" customHeight="true" outlineLevel="0" collapsed="false">
      <c r="A2072" s="16"/>
      <c r="B2072" s="10"/>
      <c r="C2072" s="17" t="str">
        <f aca="false">IF($B2072="","",IFERROR(INDEX(품목마스터!$B$3:$B$302,MATCH($B2072,품목마스터!$A$3:$A$302,0)),"미등록품번"))</f>
        <v/>
      </c>
      <c r="D2072" s="17" t="str">
        <f aca="false">IF($B2072="","",IFERROR(INDEX(품목마스터!$D$3:$D$302,MATCH($B2072,품목마스터!$A$3:$A$302,0)),""))</f>
        <v/>
      </c>
      <c r="E2072" s="12"/>
      <c r="F2072" s="10"/>
    </row>
    <row r="2073" customFormat="false" ht="15" hidden="false" customHeight="true" outlineLevel="0" collapsed="false">
      <c r="A2073" s="16"/>
      <c r="B2073" s="10"/>
      <c r="C2073" s="17" t="str">
        <f aca="false">IF($B2073="","",IFERROR(INDEX(품목마스터!$B$3:$B$302,MATCH($B2073,품목마스터!$A$3:$A$302,0)),"미등록품번"))</f>
        <v/>
      </c>
      <c r="D2073" s="17" t="str">
        <f aca="false">IF($B2073="","",IFERROR(INDEX(품목마스터!$D$3:$D$302,MATCH($B2073,품목마스터!$A$3:$A$302,0)),""))</f>
        <v/>
      </c>
      <c r="E2073" s="12"/>
      <c r="F2073" s="10"/>
    </row>
    <row r="2074" customFormat="false" ht="15" hidden="false" customHeight="true" outlineLevel="0" collapsed="false">
      <c r="A2074" s="16"/>
      <c r="B2074" s="10"/>
      <c r="C2074" s="17" t="str">
        <f aca="false">IF($B2074="","",IFERROR(INDEX(품목마스터!$B$3:$B$302,MATCH($B2074,품목마스터!$A$3:$A$302,0)),"미등록품번"))</f>
        <v/>
      </c>
      <c r="D2074" s="17" t="str">
        <f aca="false">IF($B2074="","",IFERROR(INDEX(품목마스터!$D$3:$D$302,MATCH($B2074,품목마스터!$A$3:$A$302,0)),""))</f>
        <v/>
      </c>
      <c r="E2074" s="12"/>
      <c r="F2074" s="10"/>
    </row>
    <row r="2075" customFormat="false" ht="15" hidden="false" customHeight="true" outlineLevel="0" collapsed="false">
      <c r="A2075" s="16"/>
      <c r="B2075" s="10"/>
      <c r="C2075" s="17" t="str">
        <f aca="false">IF($B2075="","",IFERROR(INDEX(품목마스터!$B$3:$B$302,MATCH($B2075,품목마스터!$A$3:$A$302,0)),"미등록품번"))</f>
        <v/>
      </c>
      <c r="D2075" s="17" t="str">
        <f aca="false">IF($B2075="","",IFERROR(INDEX(품목마스터!$D$3:$D$302,MATCH($B2075,품목마스터!$A$3:$A$302,0)),""))</f>
        <v/>
      </c>
      <c r="E2075" s="12"/>
      <c r="F2075" s="10"/>
    </row>
    <row r="2076" customFormat="false" ht="15" hidden="false" customHeight="true" outlineLevel="0" collapsed="false">
      <c r="A2076" s="16"/>
      <c r="B2076" s="10"/>
      <c r="C2076" s="17" t="str">
        <f aca="false">IF($B2076="","",IFERROR(INDEX(품목마스터!$B$3:$B$302,MATCH($B2076,품목마스터!$A$3:$A$302,0)),"미등록품번"))</f>
        <v/>
      </c>
      <c r="D2076" s="17" t="str">
        <f aca="false">IF($B2076="","",IFERROR(INDEX(품목마스터!$D$3:$D$302,MATCH($B2076,품목마스터!$A$3:$A$302,0)),""))</f>
        <v/>
      </c>
      <c r="E2076" s="12"/>
      <c r="F2076" s="10"/>
    </row>
    <row r="2077" customFormat="false" ht="15" hidden="false" customHeight="true" outlineLevel="0" collapsed="false">
      <c r="A2077" s="16"/>
      <c r="B2077" s="10"/>
      <c r="C2077" s="17" t="str">
        <f aca="false">IF($B2077="","",IFERROR(INDEX(품목마스터!$B$3:$B$302,MATCH($B2077,품목마스터!$A$3:$A$302,0)),"미등록품번"))</f>
        <v/>
      </c>
      <c r="D2077" s="17" t="str">
        <f aca="false">IF($B2077="","",IFERROR(INDEX(품목마스터!$D$3:$D$302,MATCH($B2077,품목마스터!$A$3:$A$302,0)),""))</f>
        <v/>
      </c>
      <c r="E2077" s="12"/>
      <c r="F2077" s="10"/>
    </row>
    <row r="2078" customFormat="false" ht="15" hidden="false" customHeight="true" outlineLevel="0" collapsed="false">
      <c r="A2078" s="16"/>
      <c r="B2078" s="10"/>
      <c r="C2078" s="17" t="str">
        <f aca="false">IF($B2078="","",IFERROR(INDEX(품목마스터!$B$3:$B$302,MATCH($B2078,품목마스터!$A$3:$A$302,0)),"미등록품번"))</f>
        <v/>
      </c>
      <c r="D2078" s="17" t="str">
        <f aca="false">IF($B2078="","",IFERROR(INDEX(품목마스터!$D$3:$D$302,MATCH($B2078,품목마스터!$A$3:$A$302,0)),""))</f>
        <v/>
      </c>
      <c r="E2078" s="12"/>
      <c r="F2078" s="10"/>
    </row>
    <row r="2079" customFormat="false" ht="15" hidden="false" customHeight="true" outlineLevel="0" collapsed="false">
      <c r="A2079" s="16"/>
      <c r="B2079" s="10"/>
      <c r="C2079" s="17" t="str">
        <f aca="false">IF($B2079="","",IFERROR(INDEX(품목마스터!$B$3:$B$302,MATCH($B2079,품목마스터!$A$3:$A$302,0)),"미등록품번"))</f>
        <v/>
      </c>
      <c r="D2079" s="17" t="str">
        <f aca="false">IF($B2079="","",IFERROR(INDEX(품목마스터!$D$3:$D$302,MATCH($B2079,품목마스터!$A$3:$A$302,0)),""))</f>
        <v/>
      </c>
      <c r="E2079" s="12"/>
      <c r="F2079" s="10"/>
    </row>
    <row r="2080" customFormat="false" ht="15" hidden="false" customHeight="true" outlineLevel="0" collapsed="false">
      <c r="A2080" s="16"/>
      <c r="B2080" s="10"/>
      <c r="C2080" s="17" t="str">
        <f aca="false">IF($B2080="","",IFERROR(INDEX(품목마스터!$B$3:$B$302,MATCH($B2080,품목마스터!$A$3:$A$302,0)),"미등록품번"))</f>
        <v/>
      </c>
      <c r="D2080" s="17" t="str">
        <f aca="false">IF($B2080="","",IFERROR(INDEX(품목마스터!$D$3:$D$302,MATCH($B2080,품목마스터!$A$3:$A$302,0)),""))</f>
        <v/>
      </c>
      <c r="E2080" s="12"/>
      <c r="F2080" s="10"/>
    </row>
    <row r="2081" customFormat="false" ht="15" hidden="false" customHeight="true" outlineLevel="0" collapsed="false">
      <c r="A2081" s="16"/>
      <c r="B2081" s="10"/>
      <c r="C2081" s="17" t="str">
        <f aca="false">IF($B2081="","",IFERROR(INDEX(품목마스터!$B$3:$B$302,MATCH($B2081,품목마스터!$A$3:$A$302,0)),"미등록품번"))</f>
        <v/>
      </c>
      <c r="D2081" s="17" t="str">
        <f aca="false">IF($B2081="","",IFERROR(INDEX(품목마스터!$D$3:$D$302,MATCH($B2081,품목마스터!$A$3:$A$302,0)),""))</f>
        <v/>
      </c>
      <c r="E2081" s="12"/>
      <c r="F2081" s="10"/>
    </row>
    <row r="2082" customFormat="false" ht="15" hidden="false" customHeight="true" outlineLevel="0" collapsed="false">
      <c r="A2082" s="16"/>
      <c r="B2082" s="10"/>
      <c r="C2082" s="17" t="str">
        <f aca="false">IF($B2082="","",IFERROR(INDEX(품목마스터!$B$3:$B$302,MATCH($B2082,품목마스터!$A$3:$A$302,0)),"미등록품번"))</f>
        <v/>
      </c>
      <c r="D2082" s="17" t="str">
        <f aca="false">IF($B2082="","",IFERROR(INDEX(품목마스터!$D$3:$D$302,MATCH($B2082,품목마스터!$A$3:$A$302,0)),""))</f>
        <v/>
      </c>
      <c r="E2082" s="12"/>
      <c r="F2082" s="10"/>
    </row>
    <row r="2083" customFormat="false" ht="15" hidden="false" customHeight="true" outlineLevel="0" collapsed="false">
      <c r="A2083" s="16"/>
      <c r="B2083" s="10"/>
      <c r="C2083" s="17" t="str">
        <f aca="false">IF($B2083="","",IFERROR(INDEX(품목마스터!$B$3:$B$302,MATCH($B2083,품목마스터!$A$3:$A$302,0)),"미등록품번"))</f>
        <v/>
      </c>
      <c r="D2083" s="17" t="str">
        <f aca="false">IF($B2083="","",IFERROR(INDEX(품목마스터!$D$3:$D$302,MATCH($B2083,품목마스터!$A$3:$A$302,0)),""))</f>
        <v/>
      </c>
      <c r="E2083" s="12"/>
      <c r="F2083" s="10"/>
    </row>
    <row r="2084" customFormat="false" ht="15" hidden="false" customHeight="true" outlineLevel="0" collapsed="false">
      <c r="A2084" s="16"/>
      <c r="B2084" s="10"/>
      <c r="C2084" s="17" t="str">
        <f aca="false">IF($B2084="","",IFERROR(INDEX(품목마스터!$B$3:$B$302,MATCH($B2084,품목마스터!$A$3:$A$302,0)),"미등록품번"))</f>
        <v/>
      </c>
      <c r="D2084" s="17" t="str">
        <f aca="false">IF($B2084="","",IFERROR(INDEX(품목마스터!$D$3:$D$302,MATCH($B2084,품목마스터!$A$3:$A$302,0)),""))</f>
        <v/>
      </c>
      <c r="E2084" s="12"/>
      <c r="F2084" s="10"/>
    </row>
    <row r="2085" customFormat="false" ht="15" hidden="false" customHeight="true" outlineLevel="0" collapsed="false">
      <c r="A2085" s="16"/>
      <c r="B2085" s="10"/>
      <c r="C2085" s="17" t="str">
        <f aca="false">IF($B2085="","",IFERROR(INDEX(품목마스터!$B$3:$B$302,MATCH($B2085,품목마스터!$A$3:$A$302,0)),"미등록품번"))</f>
        <v/>
      </c>
      <c r="D2085" s="17" t="str">
        <f aca="false">IF($B2085="","",IFERROR(INDEX(품목마스터!$D$3:$D$302,MATCH($B2085,품목마스터!$A$3:$A$302,0)),""))</f>
        <v/>
      </c>
      <c r="E2085" s="12"/>
      <c r="F2085" s="10"/>
    </row>
    <row r="2086" customFormat="false" ht="15" hidden="false" customHeight="true" outlineLevel="0" collapsed="false">
      <c r="A2086" s="16"/>
      <c r="B2086" s="10"/>
      <c r="C2086" s="17" t="str">
        <f aca="false">IF($B2086="","",IFERROR(INDEX(품목마스터!$B$3:$B$302,MATCH($B2086,품목마스터!$A$3:$A$302,0)),"미등록품번"))</f>
        <v/>
      </c>
      <c r="D2086" s="17" t="str">
        <f aca="false">IF($B2086="","",IFERROR(INDEX(품목마스터!$D$3:$D$302,MATCH($B2086,품목마스터!$A$3:$A$302,0)),""))</f>
        <v/>
      </c>
      <c r="E2086" s="12"/>
      <c r="F2086" s="10"/>
    </row>
    <row r="2087" customFormat="false" ht="15" hidden="false" customHeight="true" outlineLevel="0" collapsed="false">
      <c r="A2087" s="16"/>
      <c r="B2087" s="10"/>
      <c r="C2087" s="17" t="str">
        <f aca="false">IF($B2087="","",IFERROR(INDEX(품목마스터!$B$3:$B$302,MATCH($B2087,품목마스터!$A$3:$A$302,0)),"미등록품번"))</f>
        <v/>
      </c>
      <c r="D2087" s="17" t="str">
        <f aca="false">IF($B2087="","",IFERROR(INDEX(품목마스터!$D$3:$D$302,MATCH($B2087,품목마스터!$A$3:$A$302,0)),""))</f>
        <v/>
      </c>
      <c r="E2087" s="12"/>
      <c r="F2087" s="10"/>
    </row>
    <row r="2088" customFormat="false" ht="15" hidden="false" customHeight="true" outlineLevel="0" collapsed="false">
      <c r="A2088" s="16"/>
      <c r="B2088" s="10"/>
      <c r="C2088" s="17" t="str">
        <f aca="false">IF($B2088="","",IFERROR(INDEX(품목마스터!$B$3:$B$302,MATCH($B2088,품목마스터!$A$3:$A$302,0)),"미등록품번"))</f>
        <v/>
      </c>
      <c r="D2088" s="17" t="str">
        <f aca="false">IF($B2088="","",IFERROR(INDEX(품목마스터!$D$3:$D$302,MATCH($B2088,품목마스터!$A$3:$A$302,0)),""))</f>
        <v/>
      </c>
      <c r="E2088" s="12"/>
      <c r="F2088" s="10"/>
    </row>
    <row r="2089" customFormat="false" ht="15" hidden="false" customHeight="true" outlineLevel="0" collapsed="false">
      <c r="A2089" s="16"/>
      <c r="B2089" s="10"/>
      <c r="C2089" s="17" t="str">
        <f aca="false">IF($B2089="","",IFERROR(INDEX(품목마스터!$B$3:$B$302,MATCH($B2089,품목마스터!$A$3:$A$302,0)),"미등록품번"))</f>
        <v/>
      </c>
      <c r="D2089" s="17" t="str">
        <f aca="false">IF($B2089="","",IFERROR(INDEX(품목마스터!$D$3:$D$302,MATCH($B2089,품목마스터!$A$3:$A$302,0)),""))</f>
        <v/>
      </c>
      <c r="E2089" s="12"/>
      <c r="F2089" s="10"/>
    </row>
    <row r="2090" customFormat="false" ht="15" hidden="false" customHeight="true" outlineLevel="0" collapsed="false">
      <c r="A2090" s="16"/>
      <c r="B2090" s="10"/>
      <c r="C2090" s="17" t="str">
        <f aca="false">IF($B2090="","",IFERROR(INDEX(품목마스터!$B$3:$B$302,MATCH($B2090,품목마스터!$A$3:$A$302,0)),"미등록품번"))</f>
        <v/>
      </c>
      <c r="D2090" s="17" t="str">
        <f aca="false">IF($B2090="","",IFERROR(INDEX(품목마스터!$D$3:$D$302,MATCH($B2090,품목마스터!$A$3:$A$302,0)),""))</f>
        <v/>
      </c>
      <c r="E2090" s="12"/>
      <c r="F2090" s="10"/>
    </row>
    <row r="2091" customFormat="false" ht="15" hidden="false" customHeight="true" outlineLevel="0" collapsed="false">
      <c r="A2091" s="16"/>
      <c r="B2091" s="10"/>
      <c r="C2091" s="17" t="str">
        <f aca="false">IF($B2091="","",IFERROR(INDEX(품목마스터!$B$3:$B$302,MATCH($B2091,품목마스터!$A$3:$A$302,0)),"미등록품번"))</f>
        <v/>
      </c>
      <c r="D2091" s="17" t="str">
        <f aca="false">IF($B2091="","",IFERROR(INDEX(품목마스터!$D$3:$D$302,MATCH($B2091,품목마스터!$A$3:$A$302,0)),""))</f>
        <v/>
      </c>
      <c r="E2091" s="12"/>
      <c r="F2091" s="10"/>
    </row>
    <row r="2092" customFormat="false" ht="15" hidden="false" customHeight="true" outlineLevel="0" collapsed="false">
      <c r="A2092" s="16"/>
      <c r="B2092" s="10"/>
      <c r="C2092" s="17" t="str">
        <f aca="false">IF($B2092="","",IFERROR(INDEX(품목마스터!$B$3:$B$302,MATCH($B2092,품목마스터!$A$3:$A$302,0)),"미등록품번"))</f>
        <v/>
      </c>
      <c r="D2092" s="17" t="str">
        <f aca="false">IF($B2092="","",IFERROR(INDEX(품목마스터!$D$3:$D$302,MATCH($B2092,품목마스터!$A$3:$A$302,0)),""))</f>
        <v/>
      </c>
      <c r="E2092" s="12"/>
      <c r="F2092" s="10"/>
    </row>
    <row r="2093" customFormat="false" ht="15" hidden="false" customHeight="true" outlineLevel="0" collapsed="false">
      <c r="A2093" s="16"/>
      <c r="B2093" s="10"/>
      <c r="C2093" s="17" t="str">
        <f aca="false">IF($B2093="","",IFERROR(INDEX(품목마스터!$B$3:$B$302,MATCH($B2093,품목마스터!$A$3:$A$302,0)),"미등록품번"))</f>
        <v/>
      </c>
      <c r="D2093" s="17" t="str">
        <f aca="false">IF($B2093="","",IFERROR(INDEX(품목마스터!$D$3:$D$302,MATCH($B2093,품목마스터!$A$3:$A$302,0)),""))</f>
        <v/>
      </c>
      <c r="E2093" s="12"/>
      <c r="F2093" s="10"/>
    </row>
    <row r="2094" customFormat="false" ht="15" hidden="false" customHeight="true" outlineLevel="0" collapsed="false">
      <c r="A2094" s="16"/>
      <c r="B2094" s="10"/>
      <c r="C2094" s="17" t="str">
        <f aca="false">IF($B2094="","",IFERROR(INDEX(품목마스터!$B$3:$B$302,MATCH($B2094,품목마스터!$A$3:$A$302,0)),"미등록품번"))</f>
        <v/>
      </c>
      <c r="D2094" s="17" t="str">
        <f aca="false">IF($B2094="","",IFERROR(INDEX(품목마스터!$D$3:$D$302,MATCH($B2094,품목마스터!$A$3:$A$302,0)),""))</f>
        <v/>
      </c>
      <c r="E2094" s="12"/>
      <c r="F2094" s="10"/>
    </row>
    <row r="2095" customFormat="false" ht="15" hidden="false" customHeight="true" outlineLevel="0" collapsed="false">
      <c r="A2095" s="16"/>
      <c r="B2095" s="10"/>
      <c r="C2095" s="17" t="str">
        <f aca="false">IF($B2095="","",IFERROR(INDEX(품목마스터!$B$3:$B$302,MATCH($B2095,품목마스터!$A$3:$A$302,0)),"미등록품번"))</f>
        <v/>
      </c>
      <c r="D2095" s="17" t="str">
        <f aca="false">IF($B2095="","",IFERROR(INDEX(품목마스터!$D$3:$D$302,MATCH($B2095,품목마스터!$A$3:$A$302,0)),""))</f>
        <v/>
      </c>
      <c r="E2095" s="12"/>
      <c r="F2095" s="10"/>
    </row>
    <row r="2096" customFormat="false" ht="15" hidden="false" customHeight="true" outlineLevel="0" collapsed="false">
      <c r="A2096" s="16"/>
      <c r="B2096" s="10"/>
      <c r="C2096" s="17" t="str">
        <f aca="false">IF($B2096="","",IFERROR(INDEX(품목마스터!$B$3:$B$302,MATCH($B2096,품목마스터!$A$3:$A$302,0)),"미등록품번"))</f>
        <v/>
      </c>
      <c r="D2096" s="17" t="str">
        <f aca="false">IF($B2096="","",IFERROR(INDEX(품목마스터!$D$3:$D$302,MATCH($B2096,품목마스터!$A$3:$A$302,0)),""))</f>
        <v/>
      </c>
      <c r="E2096" s="12"/>
      <c r="F2096" s="10"/>
    </row>
    <row r="2097" customFormat="false" ht="15" hidden="false" customHeight="true" outlineLevel="0" collapsed="false">
      <c r="A2097" s="16"/>
      <c r="B2097" s="10"/>
      <c r="C2097" s="17" t="str">
        <f aca="false">IF($B2097="","",IFERROR(INDEX(품목마스터!$B$3:$B$302,MATCH($B2097,품목마스터!$A$3:$A$302,0)),"미등록품번"))</f>
        <v/>
      </c>
      <c r="D2097" s="17" t="str">
        <f aca="false">IF($B2097="","",IFERROR(INDEX(품목마스터!$D$3:$D$302,MATCH($B2097,품목마스터!$A$3:$A$302,0)),""))</f>
        <v/>
      </c>
      <c r="E2097" s="12"/>
      <c r="F2097" s="10"/>
    </row>
    <row r="2098" customFormat="false" ht="15" hidden="false" customHeight="true" outlineLevel="0" collapsed="false">
      <c r="A2098" s="16"/>
      <c r="B2098" s="10"/>
      <c r="C2098" s="17" t="str">
        <f aca="false">IF($B2098="","",IFERROR(INDEX(품목마스터!$B$3:$B$302,MATCH($B2098,품목마스터!$A$3:$A$302,0)),"미등록품번"))</f>
        <v/>
      </c>
      <c r="D2098" s="17" t="str">
        <f aca="false">IF($B2098="","",IFERROR(INDEX(품목마스터!$D$3:$D$302,MATCH($B2098,품목마스터!$A$3:$A$302,0)),""))</f>
        <v/>
      </c>
      <c r="E2098" s="12"/>
      <c r="F2098" s="10"/>
    </row>
    <row r="2099" customFormat="false" ht="15" hidden="false" customHeight="true" outlineLevel="0" collapsed="false">
      <c r="A2099" s="16"/>
      <c r="B2099" s="10"/>
      <c r="C2099" s="17" t="str">
        <f aca="false">IF($B2099="","",IFERROR(INDEX(품목마스터!$B$3:$B$302,MATCH($B2099,품목마스터!$A$3:$A$302,0)),"미등록품번"))</f>
        <v/>
      </c>
      <c r="D2099" s="17" t="str">
        <f aca="false">IF($B2099="","",IFERROR(INDEX(품목마스터!$D$3:$D$302,MATCH($B2099,품목마스터!$A$3:$A$302,0)),""))</f>
        <v/>
      </c>
      <c r="E2099" s="12"/>
      <c r="F2099" s="10"/>
    </row>
    <row r="2100" customFormat="false" ht="15" hidden="false" customHeight="true" outlineLevel="0" collapsed="false">
      <c r="A2100" s="16"/>
      <c r="B2100" s="10"/>
      <c r="C2100" s="17" t="str">
        <f aca="false">IF($B2100="","",IFERROR(INDEX(품목마스터!$B$3:$B$302,MATCH($B2100,품목마스터!$A$3:$A$302,0)),"미등록품번"))</f>
        <v/>
      </c>
      <c r="D2100" s="17" t="str">
        <f aca="false">IF($B2100="","",IFERROR(INDEX(품목마스터!$D$3:$D$302,MATCH($B2100,품목마스터!$A$3:$A$302,0)),""))</f>
        <v/>
      </c>
      <c r="E2100" s="12"/>
      <c r="F2100" s="10"/>
    </row>
    <row r="2101" customFormat="false" ht="15" hidden="false" customHeight="true" outlineLevel="0" collapsed="false">
      <c r="A2101" s="16"/>
      <c r="B2101" s="10"/>
      <c r="C2101" s="17" t="str">
        <f aca="false">IF($B2101="","",IFERROR(INDEX(품목마스터!$B$3:$B$302,MATCH($B2101,품목마스터!$A$3:$A$302,0)),"미등록품번"))</f>
        <v/>
      </c>
      <c r="D2101" s="17" t="str">
        <f aca="false">IF($B2101="","",IFERROR(INDEX(품목마스터!$D$3:$D$302,MATCH($B2101,품목마스터!$A$3:$A$302,0)),""))</f>
        <v/>
      </c>
      <c r="E2101" s="12"/>
      <c r="F2101" s="10"/>
    </row>
    <row r="2102" customFormat="false" ht="15" hidden="false" customHeight="true" outlineLevel="0" collapsed="false">
      <c r="A2102" s="16"/>
      <c r="B2102" s="10"/>
      <c r="C2102" s="17" t="str">
        <f aca="false">IF($B2102="","",IFERROR(INDEX(품목마스터!$B$3:$B$302,MATCH($B2102,품목마스터!$A$3:$A$302,0)),"미등록품번"))</f>
        <v/>
      </c>
      <c r="D2102" s="17" t="str">
        <f aca="false">IF($B2102="","",IFERROR(INDEX(품목마스터!$D$3:$D$302,MATCH($B2102,품목마스터!$A$3:$A$302,0)),""))</f>
        <v/>
      </c>
      <c r="E2102" s="12"/>
      <c r="F2102" s="10"/>
    </row>
    <row r="2103" customFormat="false" ht="15" hidden="false" customHeight="true" outlineLevel="0" collapsed="false">
      <c r="A2103" s="16"/>
      <c r="B2103" s="10"/>
      <c r="C2103" s="17" t="str">
        <f aca="false">IF($B2103="","",IFERROR(INDEX(품목마스터!$B$3:$B$302,MATCH($B2103,품목마스터!$A$3:$A$302,0)),"미등록품번"))</f>
        <v/>
      </c>
      <c r="D2103" s="17" t="str">
        <f aca="false">IF($B2103="","",IFERROR(INDEX(품목마스터!$D$3:$D$302,MATCH($B2103,품목마스터!$A$3:$A$302,0)),""))</f>
        <v/>
      </c>
      <c r="E2103" s="12"/>
      <c r="F2103" s="10"/>
    </row>
    <row r="2104" customFormat="false" ht="15" hidden="false" customHeight="true" outlineLevel="0" collapsed="false">
      <c r="A2104" s="16"/>
      <c r="B2104" s="10"/>
      <c r="C2104" s="17" t="str">
        <f aca="false">IF($B2104="","",IFERROR(INDEX(품목마스터!$B$3:$B$302,MATCH($B2104,품목마스터!$A$3:$A$302,0)),"미등록품번"))</f>
        <v/>
      </c>
      <c r="D2104" s="17" t="str">
        <f aca="false">IF($B2104="","",IFERROR(INDEX(품목마스터!$D$3:$D$302,MATCH($B2104,품목마스터!$A$3:$A$302,0)),""))</f>
        <v/>
      </c>
      <c r="E2104" s="12"/>
      <c r="F2104" s="10"/>
    </row>
    <row r="2105" customFormat="false" ht="15" hidden="false" customHeight="true" outlineLevel="0" collapsed="false">
      <c r="A2105" s="16"/>
      <c r="B2105" s="10"/>
      <c r="C2105" s="17" t="str">
        <f aca="false">IF($B2105="","",IFERROR(INDEX(품목마스터!$B$3:$B$302,MATCH($B2105,품목마스터!$A$3:$A$302,0)),"미등록품번"))</f>
        <v/>
      </c>
      <c r="D2105" s="17" t="str">
        <f aca="false">IF($B2105="","",IFERROR(INDEX(품목마스터!$D$3:$D$302,MATCH($B2105,품목마스터!$A$3:$A$302,0)),""))</f>
        <v/>
      </c>
      <c r="E2105" s="12"/>
      <c r="F2105" s="10"/>
    </row>
    <row r="2106" customFormat="false" ht="15" hidden="false" customHeight="true" outlineLevel="0" collapsed="false">
      <c r="A2106" s="16"/>
      <c r="B2106" s="10"/>
      <c r="C2106" s="17" t="str">
        <f aca="false">IF($B2106="","",IFERROR(INDEX(품목마스터!$B$3:$B$302,MATCH($B2106,품목마스터!$A$3:$A$302,0)),"미등록품번"))</f>
        <v/>
      </c>
      <c r="D2106" s="17" t="str">
        <f aca="false">IF($B2106="","",IFERROR(INDEX(품목마스터!$D$3:$D$302,MATCH($B2106,품목마스터!$A$3:$A$302,0)),""))</f>
        <v/>
      </c>
      <c r="E2106" s="12"/>
      <c r="F2106" s="10"/>
    </row>
    <row r="2107" customFormat="false" ht="15" hidden="false" customHeight="true" outlineLevel="0" collapsed="false">
      <c r="A2107" s="16"/>
      <c r="B2107" s="10"/>
      <c r="C2107" s="17" t="str">
        <f aca="false">IF($B2107="","",IFERROR(INDEX(품목마스터!$B$3:$B$302,MATCH($B2107,품목마스터!$A$3:$A$302,0)),"미등록품번"))</f>
        <v/>
      </c>
      <c r="D2107" s="17" t="str">
        <f aca="false">IF($B2107="","",IFERROR(INDEX(품목마스터!$D$3:$D$302,MATCH($B2107,품목마스터!$A$3:$A$302,0)),""))</f>
        <v/>
      </c>
      <c r="E2107" s="12"/>
      <c r="F2107" s="10"/>
    </row>
    <row r="2108" customFormat="false" ht="15" hidden="false" customHeight="true" outlineLevel="0" collapsed="false">
      <c r="A2108" s="16"/>
      <c r="B2108" s="10"/>
      <c r="C2108" s="17" t="str">
        <f aca="false">IF($B2108="","",IFERROR(INDEX(품목마스터!$B$3:$B$302,MATCH($B2108,품목마스터!$A$3:$A$302,0)),"미등록품번"))</f>
        <v/>
      </c>
      <c r="D2108" s="17" t="str">
        <f aca="false">IF($B2108="","",IFERROR(INDEX(품목마스터!$D$3:$D$302,MATCH($B2108,품목마스터!$A$3:$A$302,0)),""))</f>
        <v/>
      </c>
      <c r="E2108" s="12"/>
      <c r="F2108" s="10"/>
    </row>
    <row r="2109" customFormat="false" ht="15" hidden="false" customHeight="true" outlineLevel="0" collapsed="false">
      <c r="A2109" s="16"/>
      <c r="B2109" s="10"/>
      <c r="C2109" s="17" t="str">
        <f aca="false">IF($B2109="","",IFERROR(INDEX(품목마스터!$B$3:$B$302,MATCH($B2109,품목마스터!$A$3:$A$302,0)),"미등록품번"))</f>
        <v/>
      </c>
      <c r="D2109" s="17" t="str">
        <f aca="false">IF($B2109="","",IFERROR(INDEX(품목마스터!$D$3:$D$302,MATCH($B2109,품목마스터!$A$3:$A$302,0)),""))</f>
        <v/>
      </c>
      <c r="E2109" s="12"/>
      <c r="F2109" s="10"/>
    </row>
    <row r="2110" customFormat="false" ht="15" hidden="false" customHeight="true" outlineLevel="0" collapsed="false">
      <c r="A2110" s="16"/>
      <c r="B2110" s="10"/>
      <c r="C2110" s="17" t="str">
        <f aca="false">IF($B2110="","",IFERROR(INDEX(품목마스터!$B$3:$B$302,MATCH($B2110,품목마스터!$A$3:$A$302,0)),"미등록품번"))</f>
        <v/>
      </c>
      <c r="D2110" s="17" t="str">
        <f aca="false">IF($B2110="","",IFERROR(INDEX(품목마스터!$D$3:$D$302,MATCH($B2110,품목마스터!$A$3:$A$302,0)),""))</f>
        <v/>
      </c>
      <c r="E2110" s="12"/>
      <c r="F2110" s="10"/>
    </row>
    <row r="2111" customFormat="false" ht="15" hidden="false" customHeight="true" outlineLevel="0" collapsed="false">
      <c r="A2111" s="16"/>
      <c r="B2111" s="10"/>
      <c r="C2111" s="17" t="str">
        <f aca="false">IF($B2111="","",IFERROR(INDEX(품목마스터!$B$3:$B$302,MATCH($B2111,품목마스터!$A$3:$A$302,0)),"미등록품번"))</f>
        <v/>
      </c>
      <c r="D2111" s="17" t="str">
        <f aca="false">IF($B2111="","",IFERROR(INDEX(품목마스터!$D$3:$D$302,MATCH($B2111,품목마스터!$A$3:$A$302,0)),""))</f>
        <v/>
      </c>
      <c r="E2111" s="12"/>
      <c r="F2111" s="10"/>
    </row>
    <row r="2112" customFormat="false" ht="15" hidden="false" customHeight="true" outlineLevel="0" collapsed="false">
      <c r="A2112" s="16"/>
      <c r="B2112" s="10"/>
      <c r="C2112" s="17" t="str">
        <f aca="false">IF($B2112="","",IFERROR(INDEX(품목마스터!$B$3:$B$302,MATCH($B2112,품목마스터!$A$3:$A$302,0)),"미등록품번"))</f>
        <v/>
      </c>
      <c r="D2112" s="17" t="str">
        <f aca="false">IF($B2112="","",IFERROR(INDEX(품목마스터!$D$3:$D$302,MATCH($B2112,품목마스터!$A$3:$A$302,0)),""))</f>
        <v/>
      </c>
      <c r="E2112" s="12"/>
      <c r="F2112" s="10"/>
    </row>
    <row r="2113" customFormat="false" ht="15" hidden="false" customHeight="true" outlineLevel="0" collapsed="false">
      <c r="A2113" s="16"/>
      <c r="B2113" s="10"/>
      <c r="C2113" s="17" t="str">
        <f aca="false">IF($B2113="","",IFERROR(INDEX(품목마스터!$B$3:$B$302,MATCH($B2113,품목마스터!$A$3:$A$302,0)),"미등록품번"))</f>
        <v/>
      </c>
      <c r="D2113" s="17" t="str">
        <f aca="false">IF($B2113="","",IFERROR(INDEX(품목마스터!$D$3:$D$302,MATCH($B2113,품목마스터!$A$3:$A$302,0)),""))</f>
        <v/>
      </c>
      <c r="E2113" s="12"/>
      <c r="F2113" s="10"/>
    </row>
    <row r="2114" customFormat="false" ht="15" hidden="false" customHeight="true" outlineLevel="0" collapsed="false">
      <c r="A2114" s="16"/>
      <c r="B2114" s="10"/>
      <c r="C2114" s="17" t="str">
        <f aca="false">IF($B2114="","",IFERROR(INDEX(품목마스터!$B$3:$B$302,MATCH($B2114,품목마스터!$A$3:$A$302,0)),"미등록품번"))</f>
        <v/>
      </c>
      <c r="D2114" s="17" t="str">
        <f aca="false">IF($B2114="","",IFERROR(INDEX(품목마스터!$D$3:$D$302,MATCH($B2114,품목마스터!$A$3:$A$302,0)),""))</f>
        <v/>
      </c>
      <c r="E2114" s="12"/>
      <c r="F2114" s="10"/>
    </row>
    <row r="2115" customFormat="false" ht="15" hidden="false" customHeight="true" outlineLevel="0" collapsed="false">
      <c r="A2115" s="16"/>
      <c r="B2115" s="10"/>
      <c r="C2115" s="17" t="str">
        <f aca="false">IF($B2115="","",IFERROR(INDEX(품목마스터!$B$3:$B$302,MATCH($B2115,품목마스터!$A$3:$A$302,0)),"미등록품번"))</f>
        <v/>
      </c>
      <c r="D2115" s="17" t="str">
        <f aca="false">IF($B2115="","",IFERROR(INDEX(품목마스터!$D$3:$D$302,MATCH($B2115,품목마스터!$A$3:$A$302,0)),""))</f>
        <v/>
      </c>
      <c r="E2115" s="12"/>
      <c r="F2115" s="10"/>
    </row>
    <row r="2116" customFormat="false" ht="15" hidden="false" customHeight="true" outlineLevel="0" collapsed="false">
      <c r="A2116" s="16"/>
      <c r="B2116" s="10"/>
      <c r="C2116" s="17" t="str">
        <f aca="false">IF($B2116="","",IFERROR(INDEX(품목마스터!$B$3:$B$302,MATCH($B2116,품목마스터!$A$3:$A$302,0)),"미등록품번"))</f>
        <v/>
      </c>
      <c r="D2116" s="17" t="str">
        <f aca="false">IF($B2116="","",IFERROR(INDEX(품목마스터!$D$3:$D$302,MATCH($B2116,품목마스터!$A$3:$A$302,0)),""))</f>
        <v/>
      </c>
      <c r="E2116" s="12"/>
      <c r="F2116" s="10"/>
    </row>
    <row r="2117" customFormat="false" ht="15" hidden="false" customHeight="true" outlineLevel="0" collapsed="false">
      <c r="A2117" s="16"/>
      <c r="B2117" s="10"/>
      <c r="C2117" s="17" t="str">
        <f aca="false">IF($B2117="","",IFERROR(INDEX(품목마스터!$B$3:$B$302,MATCH($B2117,품목마스터!$A$3:$A$302,0)),"미등록품번"))</f>
        <v/>
      </c>
      <c r="D2117" s="17" t="str">
        <f aca="false">IF($B2117="","",IFERROR(INDEX(품목마스터!$D$3:$D$302,MATCH($B2117,품목마스터!$A$3:$A$302,0)),""))</f>
        <v/>
      </c>
      <c r="E2117" s="12"/>
      <c r="F2117" s="10"/>
    </row>
    <row r="2118" customFormat="false" ht="15" hidden="false" customHeight="true" outlineLevel="0" collapsed="false">
      <c r="A2118" s="16"/>
      <c r="B2118" s="10"/>
      <c r="C2118" s="17" t="str">
        <f aca="false">IF($B2118="","",IFERROR(INDEX(품목마스터!$B$3:$B$302,MATCH($B2118,품목마스터!$A$3:$A$302,0)),"미등록품번"))</f>
        <v/>
      </c>
      <c r="D2118" s="17" t="str">
        <f aca="false">IF($B2118="","",IFERROR(INDEX(품목마스터!$D$3:$D$302,MATCH($B2118,품목마스터!$A$3:$A$302,0)),""))</f>
        <v/>
      </c>
      <c r="E2118" s="12"/>
      <c r="F2118" s="10"/>
    </row>
    <row r="2119" customFormat="false" ht="15" hidden="false" customHeight="true" outlineLevel="0" collapsed="false">
      <c r="A2119" s="16"/>
      <c r="B2119" s="10"/>
      <c r="C2119" s="17" t="str">
        <f aca="false">IF($B2119="","",IFERROR(INDEX(품목마스터!$B$3:$B$302,MATCH($B2119,품목마스터!$A$3:$A$302,0)),"미등록품번"))</f>
        <v/>
      </c>
      <c r="D2119" s="17" t="str">
        <f aca="false">IF($B2119="","",IFERROR(INDEX(품목마스터!$D$3:$D$302,MATCH($B2119,품목마스터!$A$3:$A$302,0)),""))</f>
        <v/>
      </c>
      <c r="E2119" s="12"/>
      <c r="F2119" s="10"/>
    </row>
    <row r="2120" customFormat="false" ht="15" hidden="false" customHeight="true" outlineLevel="0" collapsed="false">
      <c r="A2120" s="16"/>
      <c r="B2120" s="10"/>
      <c r="C2120" s="17" t="str">
        <f aca="false">IF($B2120="","",IFERROR(INDEX(품목마스터!$B$3:$B$302,MATCH($B2120,품목마스터!$A$3:$A$302,0)),"미등록품번"))</f>
        <v/>
      </c>
      <c r="D2120" s="17" t="str">
        <f aca="false">IF($B2120="","",IFERROR(INDEX(품목마스터!$D$3:$D$302,MATCH($B2120,품목마스터!$A$3:$A$302,0)),""))</f>
        <v/>
      </c>
      <c r="E2120" s="12"/>
      <c r="F2120" s="10"/>
    </row>
    <row r="2121" customFormat="false" ht="15" hidden="false" customHeight="true" outlineLevel="0" collapsed="false">
      <c r="A2121" s="16"/>
      <c r="B2121" s="10"/>
      <c r="C2121" s="17" t="str">
        <f aca="false">IF($B2121="","",IFERROR(INDEX(품목마스터!$B$3:$B$302,MATCH($B2121,품목마스터!$A$3:$A$302,0)),"미등록품번"))</f>
        <v/>
      </c>
      <c r="D2121" s="17" t="str">
        <f aca="false">IF($B2121="","",IFERROR(INDEX(품목마스터!$D$3:$D$302,MATCH($B2121,품목마스터!$A$3:$A$302,0)),""))</f>
        <v/>
      </c>
      <c r="E2121" s="12"/>
      <c r="F2121" s="10"/>
    </row>
    <row r="2122" customFormat="false" ht="15" hidden="false" customHeight="true" outlineLevel="0" collapsed="false">
      <c r="A2122" s="16"/>
      <c r="B2122" s="10"/>
      <c r="C2122" s="17" t="str">
        <f aca="false">IF($B2122="","",IFERROR(INDEX(품목마스터!$B$3:$B$302,MATCH($B2122,품목마스터!$A$3:$A$302,0)),"미등록품번"))</f>
        <v/>
      </c>
      <c r="D2122" s="17" t="str">
        <f aca="false">IF($B2122="","",IFERROR(INDEX(품목마스터!$D$3:$D$302,MATCH($B2122,품목마스터!$A$3:$A$302,0)),""))</f>
        <v/>
      </c>
      <c r="E2122" s="12"/>
      <c r="F2122" s="10"/>
    </row>
    <row r="2123" customFormat="false" ht="15" hidden="false" customHeight="true" outlineLevel="0" collapsed="false">
      <c r="A2123" s="16"/>
      <c r="B2123" s="10"/>
      <c r="C2123" s="17" t="str">
        <f aca="false">IF($B2123="","",IFERROR(INDEX(품목마스터!$B$3:$B$302,MATCH($B2123,품목마스터!$A$3:$A$302,0)),"미등록품번"))</f>
        <v/>
      </c>
      <c r="D2123" s="17" t="str">
        <f aca="false">IF($B2123="","",IFERROR(INDEX(품목마스터!$D$3:$D$302,MATCH($B2123,품목마스터!$A$3:$A$302,0)),""))</f>
        <v/>
      </c>
      <c r="E2123" s="12"/>
      <c r="F2123" s="10"/>
    </row>
    <row r="2124" customFormat="false" ht="15" hidden="false" customHeight="true" outlineLevel="0" collapsed="false">
      <c r="A2124" s="16"/>
      <c r="B2124" s="10"/>
      <c r="C2124" s="17" t="str">
        <f aca="false">IF($B2124="","",IFERROR(INDEX(품목마스터!$B$3:$B$302,MATCH($B2124,품목마스터!$A$3:$A$302,0)),"미등록품번"))</f>
        <v/>
      </c>
      <c r="D2124" s="17" t="str">
        <f aca="false">IF($B2124="","",IFERROR(INDEX(품목마스터!$D$3:$D$302,MATCH($B2124,품목마스터!$A$3:$A$302,0)),""))</f>
        <v/>
      </c>
      <c r="E2124" s="12"/>
      <c r="F2124" s="10"/>
    </row>
    <row r="2125" customFormat="false" ht="15" hidden="false" customHeight="true" outlineLevel="0" collapsed="false">
      <c r="A2125" s="16"/>
      <c r="B2125" s="10"/>
      <c r="C2125" s="17" t="str">
        <f aca="false">IF($B2125="","",IFERROR(INDEX(품목마스터!$B$3:$B$302,MATCH($B2125,품목마스터!$A$3:$A$302,0)),"미등록품번"))</f>
        <v/>
      </c>
      <c r="D2125" s="17" t="str">
        <f aca="false">IF($B2125="","",IFERROR(INDEX(품목마스터!$D$3:$D$302,MATCH($B2125,품목마스터!$A$3:$A$302,0)),""))</f>
        <v/>
      </c>
      <c r="E2125" s="12"/>
      <c r="F2125" s="10"/>
    </row>
    <row r="2126" customFormat="false" ht="15" hidden="false" customHeight="true" outlineLevel="0" collapsed="false">
      <c r="A2126" s="16"/>
      <c r="B2126" s="10"/>
      <c r="C2126" s="17" t="str">
        <f aca="false">IF($B2126="","",IFERROR(INDEX(품목마스터!$B$3:$B$302,MATCH($B2126,품목마스터!$A$3:$A$302,0)),"미등록품번"))</f>
        <v/>
      </c>
      <c r="D2126" s="17" t="str">
        <f aca="false">IF($B2126="","",IFERROR(INDEX(품목마스터!$D$3:$D$302,MATCH($B2126,품목마스터!$A$3:$A$302,0)),""))</f>
        <v/>
      </c>
      <c r="E2126" s="12"/>
      <c r="F2126" s="10"/>
    </row>
    <row r="2127" customFormat="false" ht="15" hidden="false" customHeight="true" outlineLevel="0" collapsed="false">
      <c r="A2127" s="16"/>
      <c r="B2127" s="10"/>
      <c r="C2127" s="17" t="str">
        <f aca="false">IF($B2127="","",IFERROR(INDEX(품목마스터!$B$3:$B$302,MATCH($B2127,품목마스터!$A$3:$A$302,0)),"미등록품번"))</f>
        <v/>
      </c>
      <c r="D2127" s="17" t="str">
        <f aca="false">IF($B2127="","",IFERROR(INDEX(품목마스터!$D$3:$D$302,MATCH($B2127,품목마스터!$A$3:$A$302,0)),""))</f>
        <v/>
      </c>
      <c r="E2127" s="12"/>
      <c r="F2127" s="10"/>
    </row>
    <row r="2128" customFormat="false" ht="15" hidden="false" customHeight="true" outlineLevel="0" collapsed="false">
      <c r="A2128" s="16"/>
      <c r="B2128" s="10"/>
      <c r="C2128" s="17" t="str">
        <f aca="false">IF($B2128="","",IFERROR(INDEX(품목마스터!$B$3:$B$302,MATCH($B2128,품목마스터!$A$3:$A$302,0)),"미등록품번"))</f>
        <v/>
      </c>
      <c r="D2128" s="17" t="str">
        <f aca="false">IF($B2128="","",IFERROR(INDEX(품목마스터!$D$3:$D$302,MATCH($B2128,품목마스터!$A$3:$A$302,0)),""))</f>
        <v/>
      </c>
      <c r="E2128" s="12"/>
      <c r="F2128" s="10"/>
    </row>
    <row r="2129" customFormat="false" ht="15" hidden="false" customHeight="true" outlineLevel="0" collapsed="false">
      <c r="A2129" s="16"/>
      <c r="B2129" s="10"/>
      <c r="C2129" s="17" t="str">
        <f aca="false">IF($B2129="","",IFERROR(INDEX(품목마스터!$B$3:$B$302,MATCH($B2129,품목마스터!$A$3:$A$302,0)),"미등록품번"))</f>
        <v/>
      </c>
      <c r="D2129" s="17" t="str">
        <f aca="false">IF($B2129="","",IFERROR(INDEX(품목마스터!$D$3:$D$302,MATCH($B2129,품목마스터!$A$3:$A$302,0)),""))</f>
        <v/>
      </c>
      <c r="E2129" s="12"/>
      <c r="F2129" s="10"/>
    </row>
    <row r="2130" customFormat="false" ht="15" hidden="false" customHeight="true" outlineLevel="0" collapsed="false">
      <c r="A2130" s="16"/>
      <c r="B2130" s="10"/>
      <c r="C2130" s="17" t="str">
        <f aca="false">IF($B2130="","",IFERROR(INDEX(품목마스터!$B$3:$B$302,MATCH($B2130,품목마스터!$A$3:$A$302,0)),"미등록품번"))</f>
        <v/>
      </c>
      <c r="D2130" s="17" t="str">
        <f aca="false">IF($B2130="","",IFERROR(INDEX(품목마스터!$D$3:$D$302,MATCH($B2130,품목마스터!$A$3:$A$302,0)),""))</f>
        <v/>
      </c>
      <c r="E2130" s="12"/>
      <c r="F2130" s="10"/>
    </row>
    <row r="2131" customFormat="false" ht="15" hidden="false" customHeight="true" outlineLevel="0" collapsed="false">
      <c r="A2131" s="16"/>
      <c r="B2131" s="10"/>
      <c r="C2131" s="17" t="str">
        <f aca="false">IF($B2131="","",IFERROR(INDEX(품목마스터!$B$3:$B$302,MATCH($B2131,품목마스터!$A$3:$A$302,0)),"미등록품번"))</f>
        <v/>
      </c>
      <c r="D2131" s="17" t="str">
        <f aca="false">IF($B2131="","",IFERROR(INDEX(품목마스터!$D$3:$D$302,MATCH($B2131,품목마스터!$A$3:$A$302,0)),""))</f>
        <v/>
      </c>
      <c r="E2131" s="12"/>
      <c r="F2131" s="10"/>
    </row>
    <row r="2132" customFormat="false" ht="15" hidden="false" customHeight="true" outlineLevel="0" collapsed="false">
      <c r="A2132" s="16"/>
      <c r="B2132" s="10"/>
      <c r="C2132" s="17" t="str">
        <f aca="false">IF($B2132="","",IFERROR(INDEX(품목마스터!$B$3:$B$302,MATCH($B2132,품목마스터!$A$3:$A$302,0)),"미등록품번"))</f>
        <v/>
      </c>
      <c r="D2132" s="17" t="str">
        <f aca="false">IF($B2132="","",IFERROR(INDEX(품목마스터!$D$3:$D$302,MATCH($B2132,품목마스터!$A$3:$A$302,0)),""))</f>
        <v/>
      </c>
      <c r="E2132" s="12"/>
      <c r="F2132" s="10"/>
    </row>
    <row r="2133" customFormat="false" ht="15" hidden="false" customHeight="true" outlineLevel="0" collapsed="false">
      <c r="A2133" s="16"/>
      <c r="B2133" s="10"/>
      <c r="C2133" s="17" t="str">
        <f aca="false">IF($B2133="","",IFERROR(INDEX(품목마스터!$B$3:$B$302,MATCH($B2133,품목마스터!$A$3:$A$302,0)),"미등록품번"))</f>
        <v/>
      </c>
      <c r="D2133" s="17" t="str">
        <f aca="false">IF($B2133="","",IFERROR(INDEX(품목마스터!$D$3:$D$302,MATCH($B2133,품목마스터!$A$3:$A$302,0)),""))</f>
        <v/>
      </c>
      <c r="E2133" s="12"/>
      <c r="F2133" s="10"/>
    </row>
    <row r="2134" customFormat="false" ht="15" hidden="false" customHeight="true" outlineLevel="0" collapsed="false">
      <c r="A2134" s="16"/>
      <c r="B2134" s="10"/>
      <c r="C2134" s="17" t="str">
        <f aca="false">IF($B2134="","",IFERROR(INDEX(품목마스터!$B$3:$B$302,MATCH($B2134,품목마스터!$A$3:$A$302,0)),"미등록품번"))</f>
        <v/>
      </c>
      <c r="D2134" s="17" t="str">
        <f aca="false">IF($B2134="","",IFERROR(INDEX(품목마스터!$D$3:$D$302,MATCH($B2134,품목마스터!$A$3:$A$302,0)),""))</f>
        <v/>
      </c>
      <c r="E2134" s="12"/>
      <c r="F2134" s="10"/>
    </row>
    <row r="2135" customFormat="false" ht="15" hidden="false" customHeight="true" outlineLevel="0" collapsed="false">
      <c r="A2135" s="16"/>
      <c r="B2135" s="10"/>
      <c r="C2135" s="17" t="str">
        <f aca="false">IF($B2135="","",IFERROR(INDEX(품목마스터!$B$3:$B$302,MATCH($B2135,품목마스터!$A$3:$A$302,0)),"미등록품번"))</f>
        <v/>
      </c>
      <c r="D2135" s="17" t="str">
        <f aca="false">IF($B2135="","",IFERROR(INDEX(품목마스터!$D$3:$D$302,MATCH($B2135,품목마스터!$A$3:$A$302,0)),""))</f>
        <v/>
      </c>
      <c r="E2135" s="12"/>
      <c r="F2135" s="10"/>
    </row>
    <row r="2136" customFormat="false" ht="15" hidden="false" customHeight="true" outlineLevel="0" collapsed="false">
      <c r="A2136" s="16"/>
      <c r="B2136" s="10"/>
      <c r="C2136" s="17" t="str">
        <f aca="false">IF($B2136="","",IFERROR(INDEX(품목마스터!$B$3:$B$302,MATCH($B2136,품목마스터!$A$3:$A$302,0)),"미등록품번"))</f>
        <v/>
      </c>
      <c r="D2136" s="17" t="str">
        <f aca="false">IF($B2136="","",IFERROR(INDEX(품목마스터!$D$3:$D$302,MATCH($B2136,품목마스터!$A$3:$A$302,0)),""))</f>
        <v/>
      </c>
      <c r="E2136" s="12"/>
      <c r="F2136" s="10"/>
    </row>
    <row r="2137" customFormat="false" ht="15" hidden="false" customHeight="true" outlineLevel="0" collapsed="false">
      <c r="A2137" s="16"/>
      <c r="B2137" s="10"/>
      <c r="C2137" s="17" t="str">
        <f aca="false">IF($B2137="","",IFERROR(INDEX(품목마스터!$B$3:$B$302,MATCH($B2137,품목마스터!$A$3:$A$302,0)),"미등록품번"))</f>
        <v/>
      </c>
      <c r="D2137" s="17" t="str">
        <f aca="false">IF($B2137="","",IFERROR(INDEX(품목마스터!$D$3:$D$302,MATCH($B2137,품목마스터!$A$3:$A$302,0)),""))</f>
        <v/>
      </c>
      <c r="E2137" s="12"/>
      <c r="F2137" s="10"/>
    </row>
    <row r="2138" customFormat="false" ht="15" hidden="false" customHeight="true" outlineLevel="0" collapsed="false">
      <c r="A2138" s="16"/>
      <c r="B2138" s="10"/>
      <c r="C2138" s="17" t="str">
        <f aca="false">IF($B2138="","",IFERROR(INDEX(품목마스터!$B$3:$B$302,MATCH($B2138,품목마스터!$A$3:$A$302,0)),"미등록품번"))</f>
        <v/>
      </c>
      <c r="D2138" s="17" t="str">
        <f aca="false">IF($B2138="","",IFERROR(INDEX(품목마스터!$D$3:$D$302,MATCH($B2138,품목마스터!$A$3:$A$302,0)),""))</f>
        <v/>
      </c>
      <c r="E2138" s="12"/>
      <c r="F2138" s="10"/>
    </row>
    <row r="2139" customFormat="false" ht="15" hidden="false" customHeight="true" outlineLevel="0" collapsed="false">
      <c r="A2139" s="16"/>
      <c r="B2139" s="10"/>
      <c r="C2139" s="17" t="str">
        <f aca="false">IF($B2139="","",IFERROR(INDEX(품목마스터!$B$3:$B$302,MATCH($B2139,품목마스터!$A$3:$A$302,0)),"미등록품번"))</f>
        <v/>
      </c>
      <c r="D2139" s="17" t="str">
        <f aca="false">IF($B2139="","",IFERROR(INDEX(품목마스터!$D$3:$D$302,MATCH($B2139,품목마스터!$A$3:$A$302,0)),""))</f>
        <v/>
      </c>
      <c r="E2139" s="12"/>
      <c r="F2139" s="10"/>
    </row>
    <row r="2140" customFormat="false" ht="15" hidden="false" customHeight="true" outlineLevel="0" collapsed="false">
      <c r="A2140" s="16"/>
      <c r="B2140" s="10"/>
      <c r="C2140" s="17" t="str">
        <f aca="false">IF($B2140="","",IFERROR(INDEX(품목마스터!$B$3:$B$302,MATCH($B2140,품목마스터!$A$3:$A$302,0)),"미등록품번"))</f>
        <v/>
      </c>
      <c r="D2140" s="17" t="str">
        <f aca="false">IF($B2140="","",IFERROR(INDEX(품목마스터!$D$3:$D$302,MATCH($B2140,품목마스터!$A$3:$A$302,0)),""))</f>
        <v/>
      </c>
      <c r="E2140" s="12"/>
      <c r="F2140" s="10"/>
    </row>
    <row r="2141" customFormat="false" ht="15" hidden="false" customHeight="true" outlineLevel="0" collapsed="false">
      <c r="A2141" s="16"/>
      <c r="B2141" s="10"/>
      <c r="C2141" s="17" t="str">
        <f aca="false">IF($B2141="","",IFERROR(INDEX(품목마스터!$B$3:$B$302,MATCH($B2141,품목마스터!$A$3:$A$302,0)),"미등록품번"))</f>
        <v/>
      </c>
      <c r="D2141" s="17" t="str">
        <f aca="false">IF($B2141="","",IFERROR(INDEX(품목마스터!$D$3:$D$302,MATCH($B2141,품목마스터!$A$3:$A$302,0)),""))</f>
        <v/>
      </c>
      <c r="E2141" s="12"/>
      <c r="F2141" s="10"/>
    </row>
    <row r="2142" customFormat="false" ht="15" hidden="false" customHeight="true" outlineLevel="0" collapsed="false">
      <c r="A2142" s="16"/>
      <c r="B2142" s="10"/>
      <c r="C2142" s="17" t="str">
        <f aca="false">IF($B2142="","",IFERROR(INDEX(품목마스터!$B$3:$B$302,MATCH($B2142,품목마스터!$A$3:$A$302,0)),"미등록품번"))</f>
        <v/>
      </c>
      <c r="D2142" s="17" t="str">
        <f aca="false">IF($B2142="","",IFERROR(INDEX(품목마스터!$D$3:$D$302,MATCH($B2142,품목마스터!$A$3:$A$302,0)),""))</f>
        <v/>
      </c>
      <c r="E2142" s="12"/>
      <c r="F2142" s="10"/>
    </row>
    <row r="2143" customFormat="false" ht="15" hidden="false" customHeight="true" outlineLevel="0" collapsed="false">
      <c r="A2143" s="16"/>
      <c r="B2143" s="10"/>
      <c r="C2143" s="17" t="str">
        <f aca="false">IF($B2143="","",IFERROR(INDEX(품목마스터!$B$3:$B$302,MATCH($B2143,품목마스터!$A$3:$A$302,0)),"미등록품번"))</f>
        <v/>
      </c>
      <c r="D2143" s="17" t="str">
        <f aca="false">IF($B2143="","",IFERROR(INDEX(품목마스터!$D$3:$D$302,MATCH($B2143,품목마스터!$A$3:$A$302,0)),""))</f>
        <v/>
      </c>
      <c r="E2143" s="12"/>
      <c r="F2143" s="10"/>
    </row>
    <row r="2144" customFormat="false" ht="15" hidden="false" customHeight="true" outlineLevel="0" collapsed="false">
      <c r="A2144" s="16"/>
      <c r="B2144" s="10"/>
      <c r="C2144" s="17" t="str">
        <f aca="false">IF($B2144="","",IFERROR(INDEX(품목마스터!$B$3:$B$302,MATCH($B2144,품목마스터!$A$3:$A$302,0)),"미등록품번"))</f>
        <v/>
      </c>
      <c r="D2144" s="17" t="str">
        <f aca="false">IF($B2144="","",IFERROR(INDEX(품목마스터!$D$3:$D$302,MATCH($B2144,품목마스터!$A$3:$A$302,0)),""))</f>
        <v/>
      </c>
      <c r="E2144" s="12"/>
      <c r="F2144" s="10"/>
    </row>
    <row r="2145" customFormat="false" ht="15" hidden="false" customHeight="true" outlineLevel="0" collapsed="false">
      <c r="A2145" s="16"/>
      <c r="B2145" s="10"/>
      <c r="C2145" s="17" t="str">
        <f aca="false">IF($B2145="","",IFERROR(INDEX(품목마스터!$B$3:$B$302,MATCH($B2145,품목마스터!$A$3:$A$302,0)),"미등록품번"))</f>
        <v/>
      </c>
      <c r="D2145" s="17" t="str">
        <f aca="false">IF($B2145="","",IFERROR(INDEX(품목마스터!$D$3:$D$302,MATCH($B2145,품목마스터!$A$3:$A$302,0)),""))</f>
        <v/>
      </c>
      <c r="E2145" s="12"/>
      <c r="F2145" s="10"/>
    </row>
    <row r="2146" customFormat="false" ht="15" hidden="false" customHeight="true" outlineLevel="0" collapsed="false">
      <c r="A2146" s="16"/>
      <c r="B2146" s="10"/>
      <c r="C2146" s="17" t="str">
        <f aca="false">IF($B2146="","",IFERROR(INDEX(품목마스터!$B$3:$B$302,MATCH($B2146,품목마스터!$A$3:$A$302,0)),"미등록품번"))</f>
        <v/>
      </c>
      <c r="D2146" s="17" t="str">
        <f aca="false">IF($B2146="","",IFERROR(INDEX(품목마스터!$D$3:$D$302,MATCH($B2146,품목마스터!$A$3:$A$302,0)),""))</f>
        <v/>
      </c>
      <c r="E2146" s="12"/>
      <c r="F2146" s="10"/>
    </row>
    <row r="2147" customFormat="false" ht="15" hidden="false" customHeight="true" outlineLevel="0" collapsed="false">
      <c r="A2147" s="16"/>
      <c r="B2147" s="10"/>
      <c r="C2147" s="17" t="str">
        <f aca="false">IF($B2147="","",IFERROR(INDEX(품목마스터!$B$3:$B$302,MATCH($B2147,품목마스터!$A$3:$A$302,0)),"미등록품번"))</f>
        <v/>
      </c>
      <c r="D2147" s="17" t="str">
        <f aca="false">IF($B2147="","",IFERROR(INDEX(품목마스터!$D$3:$D$302,MATCH($B2147,품목마스터!$A$3:$A$302,0)),""))</f>
        <v/>
      </c>
      <c r="E2147" s="12"/>
      <c r="F2147" s="10"/>
    </row>
    <row r="2148" customFormat="false" ht="15" hidden="false" customHeight="true" outlineLevel="0" collapsed="false">
      <c r="A2148" s="16"/>
      <c r="B2148" s="10"/>
      <c r="C2148" s="17" t="str">
        <f aca="false">IF($B2148="","",IFERROR(INDEX(품목마스터!$B$3:$B$302,MATCH($B2148,품목마스터!$A$3:$A$302,0)),"미등록품번"))</f>
        <v/>
      </c>
      <c r="D2148" s="17" t="str">
        <f aca="false">IF($B2148="","",IFERROR(INDEX(품목마스터!$D$3:$D$302,MATCH($B2148,품목마스터!$A$3:$A$302,0)),""))</f>
        <v/>
      </c>
      <c r="E2148" s="12"/>
      <c r="F2148" s="10"/>
    </row>
    <row r="2149" customFormat="false" ht="15" hidden="false" customHeight="true" outlineLevel="0" collapsed="false">
      <c r="A2149" s="16"/>
      <c r="B2149" s="10"/>
      <c r="C2149" s="17" t="str">
        <f aca="false">IF($B2149="","",IFERROR(INDEX(품목마스터!$B$3:$B$302,MATCH($B2149,품목마스터!$A$3:$A$302,0)),"미등록품번"))</f>
        <v/>
      </c>
      <c r="D2149" s="17" t="str">
        <f aca="false">IF($B2149="","",IFERROR(INDEX(품목마스터!$D$3:$D$302,MATCH($B2149,품목마스터!$A$3:$A$302,0)),""))</f>
        <v/>
      </c>
      <c r="E2149" s="12"/>
      <c r="F2149" s="10"/>
    </row>
    <row r="2150" customFormat="false" ht="15" hidden="false" customHeight="true" outlineLevel="0" collapsed="false">
      <c r="A2150" s="16"/>
      <c r="B2150" s="10"/>
      <c r="C2150" s="17" t="str">
        <f aca="false">IF($B2150="","",IFERROR(INDEX(품목마스터!$B$3:$B$302,MATCH($B2150,품목마스터!$A$3:$A$302,0)),"미등록품번"))</f>
        <v/>
      </c>
      <c r="D2150" s="17" t="str">
        <f aca="false">IF($B2150="","",IFERROR(INDEX(품목마스터!$D$3:$D$302,MATCH($B2150,품목마스터!$A$3:$A$302,0)),""))</f>
        <v/>
      </c>
      <c r="E2150" s="12"/>
      <c r="F2150" s="10"/>
    </row>
    <row r="2151" customFormat="false" ht="15" hidden="false" customHeight="true" outlineLevel="0" collapsed="false">
      <c r="A2151" s="16"/>
      <c r="B2151" s="10"/>
      <c r="C2151" s="17" t="str">
        <f aca="false">IF($B2151="","",IFERROR(INDEX(품목마스터!$B$3:$B$302,MATCH($B2151,품목마스터!$A$3:$A$302,0)),"미등록품번"))</f>
        <v/>
      </c>
      <c r="D2151" s="17" t="str">
        <f aca="false">IF($B2151="","",IFERROR(INDEX(품목마스터!$D$3:$D$302,MATCH($B2151,품목마스터!$A$3:$A$302,0)),""))</f>
        <v/>
      </c>
      <c r="E2151" s="12"/>
      <c r="F2151" s="10"/>
    </row>
    <row r="2152" customFormat="false" ht="15" hidden="false" customHeight="true" outlineLevel="0" collapsed="false">
      <c r="A2152" s="16"/>
      <c r="B2152" s="10"/>
      <c r="C2152" s="17" t="str">
        <f aca="false">IF($B2152="","",IFERROR(INDEX(품목마스터!$B$3:$B$302,MATCH($B2152,품목마스터!$A$3:$A$302,0)),"미등록품번"))</f>
        <v/>
      </c>
      <c r="D2152" s="17" t="str">
        <f aca="false">IF($B2152="","",IFERROR(INDEX(품목마스터!$D$3:$D$302,MATCH($B2152,품목마스터!$A$3:$A$302,0)),""))</f>
        <v/>
      </c>
      <c r="E2152" s="12"/>
      <c r="F2152" s="10"/>
    </row>
    <row r="2153" customFormat="false" ht="15" hidden="false" customHeight="true" outlineLevel="0" collapsed="false">
      <c r="A2153" s="16"/>
      <c r="B2153" s="10"/>
      <c r="C2153" s="17" t="str">
        <f aca="false">IF($B2153="","",IFERROR(INDEX(품목마스터!$B$3:$B$302,MATCH($B2153,품목마스터!$A$3:$A$302,0)),"미등록품번"))</f>
        <v/>
      </c>
      <c r="D2153" s="17" t="str">
        <f aca="false">IF($B2153="","",IFERROR(INDEX(품목마스터!$D$3:$D$302,MATCH($B2153,품목마스터!$A$3:$A$302,0)),""))</f>
        <v/>
      </c>
      <c r="E2153" s="12"/>
      <c r="F2153" s="10"/>
    </row>
    <row r="2154" customFormat="false" ht="15" hidden="false" customHeight="true" outlineLevel="0" collapsed="false">
      <c r="A2154" s="16"/>
      <c r="B2154" s="10"/>
      <c r="C2154" s="17" t="str">
        <f aca="false">IF($B2154="","",IFERROR(INDEX(품목마스터!$B$3:$B$302,MATCH($B2154,품목마스터!$A$3:$A$302,0)),"미등록품번"))</f>
        <v/>
      </c>
      <c r="D2154" s="17" t="str">
        <f aca="false">IF($B2154="","",IFERROR(INDEX(품목마스터!$D$3:$D$302,MATCH($B2154,품목마스터!$A$3:$A$302,0)),""))</f>
        <v/>
      </c>
      <c r="E2154" s="12"/>
      <c r="F2154" s="10"/>
    </row>
    <row r="2155" customFormat="false" ht="15" hidden="false" customHeight="true" outlineLevel="0" collapsed="false">
      <c r="A2155" s="16"/>
      <c r="B2155" s="10"/>
      <c r="C2155" s="17" t="str">
        <f aca="false">IF($B2155="","",IFERROR(INDEX(품목마스터!$B$3:$B$302,MATCH($B2155,품목마스터!$A$3:$A$302,0)),"미등록품번"))</f>
        <v/>
      </c>
      <c r="D2155" s="17" t="str">
        <f aca="false">IF($B2155="","",IFERROR(INDEX(품목마스터!$D$3:$D$302,MATCH($B2155,품목마스터!$A$3:$A$302,0)),""))</f>
        <v/>
      </c>
      <c r="E2155" s="12"/>
      <c r="F2155" s="10"/>
    </row>
    <row r="2156" customFormat="false" ht="15" hidden="false" customHeight="true" outlineLevel="0" collapsed="false">
      <c r="A2156" s="16"/>
      <c r="B2156" s="10"/>
      <c r="C2156" s="17" t="str">
        <f aca="false">IF($B2156="","",IFERROR(INDEX(품목마스터!$B$3:$B$302,MATCH($B2156,품목마스터!$A$3:$A$302,0)),"미등록품번"))</f>
        <v/>
      </c>
      <c r="D2156" s="17" t="str">
        <f aca="false">IF($B2156="","",IFERROR(INDEX(품목마스터!$D$3:$D$302,MATCH($B2156,품목마스터!$A$3:$A$302,0)),""))</f>
        <v/>
      </c>
      <c r="E2156" s="12"/>
      <c r="F2156" s="10"/>
    </row>
    <row r="2157" customFormat="false" ht="15" hidden="false" customHeight="true" outlineLevel="0" collapsed="false">
      <c r="A2157" s="16"/>
      <c r="B2157" s="10"/>
      <c r="C2157" s="17" t="str">
        <f aca="false">IF($B2157="","",IFERROR(INDEX(품목마스터!$B$3:$B$302,MATCH($B2157,품목마스터!$A$3:$A$302,0)),"미등록품번"))</f>
        <v/>
      </c>
      <c r="D2157" s="17" t="str">
        <f aca="false">IF($B2157="","",IFERROR(INDEX(품목마스터!$D$3:$D$302,MATCH($B2157,품목마스터!$A$3:$A$302,0)),""))</f>
        <v/>
      </c>
      <c r="E2157" s="12"/>
      <c r="F2157" s="10"/>
    </row>
    <row r="2158" customFormat="false" ht="15" hidden="false" customHeight="true" outlineLevel="0" collapsed="false">
      <c r="A2158" s="16"/>
      <c r="B2158" s="10"/>
      <c r="C2158" s="17" t="str">
        <f aca="false">IF($B2158="","",IFERROR(INDEX(품목마스터!$B$3:$B$302,MATCH($B2158,품목마스터!$A$3:$A$302,0)),"미등록품번"))</f>
        <v/>
      </c>
      <c r="D2158" s="17" t="str">
        <f aca="false">IF($B2158="","",IFERROR(INDEX(품목마스터!$D$3:$D$302,MATCH($B2158,품목마스터!$A$3:$A$302,0)),""))</f>
        <v/>
      </c>
      <c r="E2158" s="12"/>
      <c r="F2158" s="10"/>
    </row>
    <row r="2159" customFormat="false" ht="15" hidden="false" customHeight="true" outlineLevel="0" collapsed="false">
      <c r="A2159" s="16"/>
      <c r="B2159" s="10"/>
      <c r="C2159" s="17" t="str">
        <f aca="false">IF($B2159="","",IFERROR(INDEX(품목마스터!$B$3:$B$302,MATCH($B2159,품목마스터!$A$3:$A$302,0)),"미등록품번"))</f>
        <v/>
      </c>
      <c r="D2159" s="17" t="str">
        <f aca="false">IF($B2159="","",IFERROR(INDEX(품목마스터!$D$3:$D$302,MATCH($B2159,품목마스터!$A$3:$A$302,0)),""))</f>
        <v/>
      </c>
      <c r="E2159" s="12"/>
      <c r="F2159" s="10"/>
    </row>
    <row r="2160" customFormat="false" ht="15" hidden="false" customHeight="true" outlineLevel="0" collapsed="false">
      <c r="A2160" s="16"/>
      <c r="B2160" s="10"/>
      <c r="C2160" s="17" t="str">
        <f aca="false">IF($B2160="","",IFERROR(INDEX(품목마스터!$B$3:$B$302,MATCH($B2160,품목마스터!$A$3:$A$302,0)),"미등록품번"))</f>
        <v/>
      </c>
      <c r="D2160" s="17" t="str">
        <f aca="false">IF($B2160="","",IFERROR(INDEX(품목마스터!$D$3:$D$302,MATCH($B2160,품목마스터!$A$3:$A$302,0)),""))</f>
        <v/>
      </c>
      <c r="E2160" s="12"/>
      <c r="F2160" s="10"/>
    </row>
    <row r="2161" customFormat="false" ht="15" hidden="false" customHeight="true" outlineLevel="0" collapsed="false">
      <c r="A2161" s="16"/>
      <c r="B2161" s="10"/>
      <c r="C2161" s="17" t="str">
        <f aca="false">IF($B2161="","",IFERROR(INDEX(품목마스터!$B$3:$B$302,MATCH($B2161,품목마스터!$A$3:$A$302,0)),"미등록품번"))</f>
        <v/>
      </c>
      <c r="D2161" s="17" t="str">
        <f aca="false">IF($B2161="","",IFERROR(INDEX(품목마스터!$D$3:$D$302,MATCH($B2161,품목마스터!$A$3:$A$302,0)),""))</f>
        <v/>
      </c>
      <c r="E2161" s="12"/>
      <c r="F2161" s="10"/>
    </row>
    <row r="2162" customFormat="false" ht="15" hidden="false" customHeight="true" outlineLevel="0" collapsed="false">
      <c r="A2162" s="16"/>
      <c r="B2162" s="10"/>
      <c r="C2162" s="17" t="str">
        <f aca="false">IF($B2162="","",IFERROR(INDEX(품목마스터!$B$3:$B$302,MATCH($B2162,품목마스터!$A$3:$A$302,0)),"미등록품번"))</f>
        <v/>
      </c>
      <c r="D2162" s="17" t="str">
        <f aca="false">IF($B2162="","",IFERROR(INDEX(품목마스터!$D$3:$D$302,MATCH($B2162,품목마스터!$A$3:$A$302,0)),""))</f>
        <v/>
      </c>
      <c r="E2162" s="12"/>
      <c r="F2162" s="10"/>
    </row>
    <row r="2163" customFormat="false" ht="15" hidden="false" customHeight="true" outlineLevel="0" collapsed="false">
      <c r="A2163" s="16"/>
      <c r="B2163" s="10"/>
      <c r="C2163" s="17" t="str">
        <f aca="false">IF($B2163="","",IFERROR(INDEX(품목마스터!$B$3:$B$302,MATCH($B2163,품목마스터!$A$3:$A$302,0)),"미등록품번"))</f>
        <v/>
      </c>
      <c r="D2163" s="17" t="str">
        <f aca="false">IF($B2163="","",IFERROR(INDEX(품목마스터!$D$3:$D$302,MATCH($B2163,품목마스터!$A$3:$A$302,0)),""))</f>
        <v/>
      </c>
      <c r="E2163" s="12"/>
      <c r="F2163" s="10"/>
    </row>
    <row r="2164" customFormat="false" ht="15" hidden="false" customHeight="true" outlineLevel="0" collapsed="false">
      <c r="A2164" s="16"/>
      <c r="B2164" s="10"/>
      <c r="C2164" s="17" t="str">
        <f aca="false">IF($B2164="","",IFERROR(INDEX(품목마스터!$B$3:$B$302,MATCH($B2164,품목마스터!$A$3:$A$302,0)),"미등록품번"))</f>
        <v/>
      </c>
      <c r="D2164" s="17" t="str">
        <f aca="false">IF($B2164="","",IFERROR(INDEX(품목마스터!$D$3:$D$302,MATCH($B2164,품목마스터!$A$3:$A$302,0)),""))</f>
        <v/>
      </c>
      <c r="E2164" s="12"/>
      <c r="F2164" s="10"/>
    </row>
    <row r="2165" customFormat="false" ht="15" hidden="false" customHeight="true" outlineLevel="0" collapsed="false">
      <c r="A2165" s="16"/>
      <c r="B2165" s="10"/>
      <c r="C2165" s="17" t="str">
        <f aca="false">IF($B2165="","",IFERROR(INDEX(품목마스터!$B$3:$B$302,MATCH($B2165,품목마스터!$A$3:$A$302,0)),"미등록품번"))</f>
        <v/>
      </c>
      <c r="D2165" s="17" t="str">
        <f aca="false">IF($B2165="","",IFERROR(INDEX(품목마스터!$D$3:$D$302,MATCH($B2165,품목마스터!$A$3:$A$302,0)),""))</f>
        <v/>
      </c>
      <c r="E2165" s="12"/>
      <c r="F2165" s="10"/>
    </row>
    <row r="2166" customFormat="false" ht="15" hidden="false" customHeight="true" outlineLevel="0" collapsed="false">
      <c r="A2166" s="16"/>
      <c r="B2166" s="10"/>
      <c r="C2166" s="17" t="str">
        <f aca="false">IF($B2166="","",IFERROR(INDEX(품목마스터!$B$3:$B$302,MATCH($B2166,품목마스터!$A$3:$A$302,0)),"미등록품번"))</f>
        <v/>
      </c>
      <c r="D2166" s="17" t="str">
        <f aca="false">IF($B2166="","",IFERROR(INDEX(품목마스터!$D$3:$D$302,MATCH($B2166,품목마스터!$A$3:$A$302,0)),""))</f>
        <v/>
      </c>
      <c r="E2166" s="12"/>
      <c r="F2166" s="10"/>
    </row>
    <row r="2167" customFormat="false" ht="15" hidden="false" customHeight="true" outlineLevel="0" collapsed="false">
      <c r="A2167" s="16"/>
      <c r="B2167" s="10"/>
      <c r="C2167" s="17" t="str">
        <f aca="false">IF($B2167="","",IFERROR(INDEX(품목마스터!$B$3:$B$302,MATCH($B2167,품목마스터!$A$3:$A$302,0)),"미등록품번"))</f>
        <v/>
      </c>
      <c r="D2167" s="17" t="str">
        <f aca="false">IF($B2167="","",IFERROR(INDEX(품목마스터!$D$3:$D$302,MATCH($B2167,품목마스터!$A$3:$A$302,0)),""))</f>
        <v/>
      </c>
      <c r="E2167" s="12"/>
      <c r="F2167" s="10"/>
    </row>
    <row r="2168" customFormat="false" ht="15" hidden="false" customHeight="true" outlineLevel="0" collapsed="false">
      <c r="A2168" s="16"/>
      <c r="B2168" s="10"/>
      <c r="C2168" s="17" t="str">
        <f aca="false">IF($B2168="","",IFERROR(INDEX(품목마스터!$B$3:$B$302,MATCH($B2168,품목마스터!$A$3:$A$302,0)),"미등록품번"))</f>
        <v/>
      </c>
      <c r="D2168" s="17" t="str">
        <f aca="false">IF($B2168="","",IFERROR(INDEX(품목마스터!$D$3:$D$302,MATCH($B2168,품목마스터!$A$3:$A$302,0)),""))</f>
        <v/>
      </c>
      <c r="E2168" s="12"/>
      <c r="F2168" s="10"/>
    </row>
    <row r="2169" customFormat="false" ht="15" hidden="false" customHeight="true" outlineLevel="0" collapsed="false">
      <c r="A2169" s="16"/>
      <c r="B2169" s="10"/>
      <c r="C2169" s="17" t="str">
        <f aca="false">IF($B2169="","",IFERROR(INDEX(품목마스터!$B$3:$B$302,MATCH($B2169,품목마스터!$A$3:$A$302,0)),"미등록품번"))</f>
        <v/>
      </c>
      <c r="D2169" s="17" t="str">
        <f aca="false">IF($B2169="","",IFERROR(INDEX(품목마스터!$D$3:$D$302,MATCH($B2169,품목마스터!$A$3:$A$302,0)),""))</f>
        <v/>
      </c>
      <c r="E2169" s="12"/>
      <c r="F2169" s="10"/>
    </row>
    <row r="2170" customFormat="false" ht="15" hidden="false" customHeight="true" outlineLevel="0" collapsed="false">
      <c r="A2170" s="16"/>
      <c r="B2170" s="10"/>
      <c r="C2170" s="17" t="str">
        <f aca="false">IF($B2170="","",IFERROR(INDEX(품목마스터!$B$3:$B$302,MATCH($B2170,품목마스터!$A$3:$A$302,0)),"미등록품번"))</f>
        <v/>
      </c>
      <c r="D2170" s="17" t="str">
        <f aca="false">IF($B2170="","",IFERROR(INDEX(품목마스터!$D$3:$D$302,MATCH($B2170,품목마스터!$A$3:$A$302,0)),""))</f>
        <v/>
      </c>
      <c r="E2170" s="12"/>
      <c r="F2170" s="10"/>
    </row>
    <row r="2171" customFormat="false" ht="15" hidden="false" customHeight="true" outlineLevel="0" collapsed="false">
      <c r="A2171" s="16"/>
      <c r="B2171" s="10"/>
      <c r="C2171" s="17" t="str">
        <f aca="false">IF($B2171="","",IFERROR(INDEX(품목마스터!$B$3:$B$302,MATCH($B2171,품목마스터!$A$3:$A$302,0)),"미등록품번"))</f>
        <v/>
      </c>
      <c r="D2171" s="17" t="str">
        <f aca="false">IF($B2171="","",IFERROR(INDEX(품목마스터!$D$3:$D$302,MATCH($B2171,품목마스터!$A$3:$A$302,0)),""))</f>
        <v/>
      </c>
      <c r="E2171" s="12"/>
      <c r="F2171" s="10"/>
    </row>
    <row r="2172" customFormat="false" ht="15" hidden="false" customHeight="true" outlineLevel="0" collapsed="false">
      <c r="A2172" s="16"/>
      <c r="B2172" s="10"/>
      <c r="C2172" s="17" t="str">
        <f aca="false">IF($B2172="","",IFERROR(INDEX(품목마스터!$B$3:$B$302,MATCH($B2172,품목마스터!$A$3:$A$302,0)),"미등록품번"))</f>
        <v/>
      </c>
      <c r="D2172" s="17" t="str">
        <f aca="false">IF($B2172="","",IFERROR(INDEX(품목마스터!$D$3:$D$302,MATCH($B2172,품목마스터!$A$3:$A$302,0)),""))</f>
        <v/>
      </c>
      <c r="E2172" s="12"/>
      <c r="F2172" s="10"/>
    </row>
    <row r="2173" customFormat="false" ht="15" hidden="false" customHeight="true" outlineLevel="0" collapsed="false">
      <c r="A2173" s="16"/>
      <c r="B2173" s="10"/>
      <c r="C2173" s="17" t="str">
        <f aca="false">IF($B2173="","",IFERROR(INDEX(품목마스터!$B$3:$B$302,MATCH($B2173,품목마스터!$A$3:$A$302,0)),"미등록품번"))</f>
        <v/>
      </c>
      <c r="D2173" s="17" t="str">
        <f aca="false">IF($B2173="","",IFERROR(INDEX(품목마스터!$D$3:$D$302,MATCH($B2173,품목마스터!$A$3:$A$302,0)),""))</f>
        <v/>
      </c>
      <c r="E2173" s="12"/>
      <c r="F2173" s="10"/>
    </row>
    <row r="2174" customFormat="false" ht="15" hidden="false" customHeight="true" outlineLevel="0" collapsed="false">
      <c r="A2174" s="16"/>
      <c r="B2174" s="10"/>
      <c r="C2174" s="17" t="str">
        <f aca="false">IF($B2174="","",IFERROR(INDEX(품목마스터!$B$3:$B$302,MATCH($B2174,품목마스터!$A$3:$A$302,0)),"미등록품번"))</f>
        <v/>
      </c>
      <c r="D2174" s="17" t="str">
        <f aca="false">IF($B2174="","",IFERROR(INDEX(품목마스터!$D$3:$D$302,MATCH($B2174,품목마스터!$A$3:$A$302,0)),""))</f>
        <v/>
      </c>
      <c r="E2174" s="12"/>
      <c r="F2174" s="10"/>
    </row>
    <row r="2175" customFormat="false" ht="15" hidden="false" customHeight="true" outlineLevel="0" collapsed="false">
      <c r="A2175" s="16"/>
      <c r="B2175" s="10"/>
      <c r="C2175" s="17" t="str">
        <f aca="false">IF($B2175="","",IFERROR(INDEX(품목마스터!$B$3:$B$302,MATCH($B2175,품목마스터!$A$3:$A$302,0)),"미등록품번"))</f>
        <v/>
      </c>
      <c r="D2175" s="17" t="str">
        <f aca="false">IF($B2175="","",IFERROR(INDEX(품목마스터!$D$3:$D$302,MATCH($B2175,품목마스터!$A$3:$A$302,0)),""))</f>
        <v/>
      </c>
      <c r="E2175" s="12"/>
      <c r="F2175" s="10"/>
    </row>
    <row r="2176" customFormat="false" ht="15" hidden="false" customHeight="true" outlineLevel="0" collapsed="false">
      <c r="A2176" s="16"/>
      <c r="B2176" s="10"/>
      <c r="C2176" s="17" t="str">
        <f aca="false">IF($B2176="","",IFERROR(INDEX(품목마스터!$B$3:$B$302,MATCH($B2176,품목마스터!$A$3:$A$302,0)),"미등록품번"))</f>
        <v/>
      </c>
      <c r="D2176" s="17" t="str">
        <f aca="false">IF($B2176="","",IFERROR(INDEX(품목마스터!$D$3:$D$302,MATCH($B2176,품목마스터!$A$3:$A$302,0)),""))</f>
        <v/>
      </c>
      <c r="E2176" s="12"/>
      <c r="F2176" s="10"/>
    </row>
    <row r="2177" customFormat="false" ht="15" hidden="false" customHeight="true" outlineLevel="0" collapsed="false">
      <c r="A2177" s="16"/>
      <c r="B2177" s="10"/>
      <c r="C2177" s="17" t="str">
        <f aca="false">IF($B2177="","",IFERROR(INDEX(품목마스터!$B$3:$B$302,MATCH($B2177,품목마스터!$A$3:$A$302,0)),"미등록품번"))</f>
        <v/>
      </c>
      <c r="D2177" s="17" t="str">
        <f aca="false">IF($B2177="","",IFERROR(INDEX(품목마스터!$D$3:$D$302,MATCH($B2177,품목마스터!$A$3:$A$302,0)),""))</f>
        <v/>
      </c>
      <c r="E2177" s="12"/>
      <c r="F2177" s="10"/>
    </row>
    <row r="2178" customFormat="false" ht="15" hidden="false" customHeight="true" outlineLevel="0" collapsed="false">
      <c r="A2178" s="16"/>
      <c r="B2178" s="10"/>
      <c r="C2178" s="17" t="str">
        <f aca="false">IF($B2178="","",IFERROR(INDEX(품목마스터!$B$3:$B$302,MATCH($B2178,품목마스터!$A$3:$A$302,0)),"미등록품번"))</f>
        <v/>
      </c>
      <c r="D2178" s="17" t="str">
        <f aca="false">IF($B2178="","",IFERROR(INDEX(품목마스터!$D$3:$D$302,MATCH($B2178,품목마스터!$A$3:$A$302,0)),""))</f>
        <v/>
      </c>
      <c r="E2178" s="12"/>
      <c r="F2178" s="10"/>
    </row>
    <row r="2179" customFormat="false" ht="15" hidden="false" customHeight="true" outlineLevel="0" collapsed="false">
      <c r="A2179" s="16"/>
      <c r="B2179" s="10"/>
      <c r="C2179" s="17" t="str">
        <f aca="false">IF($B2179="","",IFERROR(INDEX(품목마스터!$B$3:$B$302,MATCH($B2179,품목마스터!$A$3:$A$302,0)),"미등록품번"))</f>
        <v/>
      </c>
      <c r="D2179" s="17" t="str">
        <f aca="false">IF($B2179="","",IFERROR(INDEX(품목마스터!$D$3:$D$302,MATCH($B2179,품목마스터!$A$3:$A$302,0)),""))</f>
        <v/>
      </c>
      <c r="E2179" s="12"/>
      <c r="F2179" s="10"/>
    </row>
    <row r="2180" customFormat="false" ht="15" hidden="false" customHeight="true" outlineLevel="0" collapsed="false">
      <c r="A2180" s="16"/>
      <c r="B2180" s="10"/>
      <c r="C2180" s="17" t="str">
        <f aca="false">IF($B2180="","",IFERROR(INDEX(품목마스터!$B$3:$B$302,MATCH($B2180,품목마스터!$A$3:$A$302,0)),"미등록품번"))</f>
        <v/>
      </c>
      <c r="D2180" s="17" t="str">
        <f aca="false">IF($B2180="","",IFERROR(INDEX(품목마스터!$D$3:$D$302,MATCH($B2180,품목마스터!$A$3:$A$302,0)),""))</f>
        <v/>
      </c>
      <c r="E2180" s="12"/>
      <c r="F2180" s="10"/>
    </row>
    <row r="2181" customFormat="false" ht="15" hidden="false" customHeight="true" outlineLevel="0" collapsed="false">
      <c r="A2181" s="16"/>
      <c r="B2181" s="10"/>
      <c r="C2181" s="17" t="str">
        <f aca="false">IF($B2181="","",IFERROR(INDEX(품목마스터!$B$3:$B$302,MATCH($B2181,품목마스터!$A$3:$A$302,0)),"미등록품번"))</f>
        <v/>
      </c>
      <c r="D2181" s="17" t="str">
        <f aca="false">IF($B2181="","",IFERROR(INDEX(품목마스터!$D$3:$D$302,MATCH($B2181,품목마스터!$A$3:$A$302,0)),""))</f>
        <v/>
      </c>
      <c r="E2181" s="12"/>
      <c r="F2181" s="10"/>
    </row>
    <row r="2182" customFormat="false" ht="15" hidden="false" customHeight="true" outlineLevel="0" collapsed="false">
      <c r="A2182" s="16"/>
      <c r="B2182" s="10"/>
      <c r="C2182" s="17" t="str">
        <f aca="false">IF($B2182="","",IFERROR(INDEX(품목마스터!$B$3:$B$302,MATCH($B2182,품목마스터!$A$3:$A$302,0)),"미등록품번"))</f>
        <v/>
      </c>
      <c r="D2182" s="17" t="str">
        <f aca="false">IF($B2182="","",IFERROR(INDEX(품목마스터!$D$3:$D$302,MATCH($B2182,품목마스터!$A$3:$A$302,0)),""))</f>
        <v/>
      </c>
      <c r="E2182" s="12"/>
      <c r="F2182" s="10"/>
    </row>
    <row r="2183" customFormat="false" ht="15" hidden="false" customHeight="true" outlineLevel="0" collapsed="false">
      <c r="A2183" s="16"/>
      <c r="B2183" s="10"/>
      <c r="C2183" s="17" t="str">
        <f aca="false">IF($B2183="","",IFERROR(INDEX(품목마스터!$B$3:$B$302,MATCH($B2183,품목마스터!$A$3:$A$302,0)),"미등록품번"))</f>
        <v/>
      </c>
      <c r="D2183" s="17" t="str">
        <f aca="false">IF($B2183="","",IFERROR(INDEX(품목마스터!$D$3:$D$302,MATCH($B2183,품목마스터!$A$3:$A$302,0)),""))</f>
        <v/>
      </c>
      <c r="E2183" s="12"/>
      <c r="F2183" s="10"/>
    </row>
    <row r="2184" customFormat="false" ht="15" hidden="false" customHeight="true" outlineLevel="0" collapsed="false">
      <c r="A2184" s="16"/>
      <c r="B2184" s="10"/>
      <c r="C2184" s="17" t="str">
        <f aca="false">IF($B2184="","",IFERROR(INDEX(품목마스터!$B$3:$B$302,MATCH($B2184,품목마스터!$A$3:$A$302,0)),"미등록품번"))</f>
        <v/>
      </c>
      <c r="D2184" s="17" t="str">
        <f aca="false">IF($B2184="","",IFERROR(INDEX(품목마스터!$D$3:$D$302,MATCH($B2184,품목마스터!$A$3:$A$302,0)),""))</f>
        <v/>
      </c>
      <c r="E2184" s="12"/>
      <c r="F2184" s="10"/>
    </row>
    <row r="2185" customFormat="false" ht="15" hidden="false" customHeight="true" outlineLevel="0" collapsed="false">
      <c r="A2185" s="16"/>
      <c r="B2185" s="10"/>
      <c r="C2185" s="17" t="str">
        <f aca="false">IF($B2185="","",IFERROR(INDEX(품목마스터!$B$3:$B$302,MATCH($B2185,품목마스터!$A$3:$A$302,0)),"미등록품번"))</f>
        <v/>
      </c>
      <c r="D2185" s="17" t="str">
        <f aca="false">IF($B2185="","",IFERROR(INDEX(품목마스터!$D$3:$D$302,MATCH($B2185,품목마스터!$A$3:$A$302,0)),""))</f>
        <v/>
      </c>
      <c r="E2185" s="12"/>
      <c r="F2185" s="10"/>
    </row>
    <row r="2186" customFormat="false" ht="15" hidden="false" customHeight="true" outlineLevel="0" collapsed="false">
      <c r="A2186" s="16"/>
      <c r="B2186" s="10"/>
      <c r="C2186" s="17" t="str">
        <f aca="false">IF($B2186="","",IFERROR(INDEX(품목마스터!$B$3:$B$302,MATCH($B2186,품목마스터!$A$3:$A$302,0)),"미등록품번"))</f>
        <v/>
      </c>
      <c r="D2186" s="17" t="str">
        <f aca="false">IF($B2186="","",IFERROR(INDEX(품목마스터!$D$3:$D$302,MATCH($B2186,품목마스터!$A$3:$A$302,0)),""))</f>
        <v/>
      </c>
      <c r="E2186" s="12"/>
      <c r="F2186" s="10"/>
    </row>
    <row r="2187" customFormat="false" ht="15" hidden="false" customHeight="true" outlineLevel="0" collapsed="false">
      <c r="A2187" s="16"/>
      <c r="B2187" s="10"/>
      <c r="C2187" s="17" t="str">
        <f aca="false">IF($B2187="","",IFERROR(INDEX(품목마스터!$B$3:$B$302,MATCH($B2187,품목마스터!$A$3:$A$302,0)),"미등록품번"))</f>
        <v/>
      </c>
      <c r="D2187" s="17" t="str">
        <f aca="false">IF($B2187="","",IFERROR(INDEX(품목마스터!$D$3:$D$302,MATCH($B2187,품목마스터!$A$3:$A$302,0)),""))</f>
        <v/>
      </c>
      <c r="E2187" s="12"/>
      <c r="F2187" s="10"/>
    </row>
    <row r="2188" customFormat="false" ht="15" hidden="false" customHeight="true" outlineLevel="0" collapsed="false">
      <c r="A2188" s="16"/>
      <c r="B2188" s="10"/>
      <c r="C2188" s="17" t="str">
        <f aca="false">IF($B2188="","",IFERROR(INDEX(품목마스터!$B$3:$B$302,MATCH($B2188,품목마스터!$A$3:$A$302,0)),"미등록품번"))</f>
        <v/>
      </c>
      <c r="D2188" s="17" t="str">
        <f aca="false">IF($B2188="","",IFERROR(INDEX(품목마스터!$D$3:$D$302,MATCH($B2188,품목마스터!$A$3:$A$302,0)),""))</f>
        <v/>
      </c>
      <c r="E2188" s="12"/>
      <c r="F2188" s="10"/>
    </row>
    <row r="2189" customFormat="false" ht="15" hidden="false" customHeight="true" outlineLevel="0" collapsed="false">
      <c r="A2189" s="16"/>
      <c r="B2189" s="10"/>
      <c r="C2189" s="17" t="str">
        <f aca="false">IF($B2189="","",IFERROR(INDEX(품목마스터!$B$3:$B$302,MATCH($B2189,품목마스터!$A$3:$A$302,0)),"미등록품번"))</f>
        <v/>
      </c>
      <c r="D2189" s="17" t="str">
        <f aca="false">IF($B2189="","",IFERROR(INDEX(품목마스터!$D$3:$D$302,MATCH($B2189,품목마스터!$A$3:$A$302,0)),""))</f>
        <v/>
      </c>
      <c r="E2189" s="12"/>
      <c r="F2189" s="10"/>
    </row>
    <row r="2190" customFormat="false" ht="15" hidden="false" customHeight="true" outlineLevel="0" collapsed="false">
      <c r="A2190" s="16"/>
      <c r="B2190" s="10"/>
      <c r="C2190" s="17" t="str">
        <f aca="false">IF($B2190="","",IFERROR(INDEX(품목마스터!$B$3:$B$302,MATCH($B2190,품목마스터!$A$3:$A$302,0)),"미등록품번"))</f>
        <v/>
      </c>
      <c r="D2190" s="17" t="str">
        <f aca="false">IF($B2190="","",IFERROR(INDEX(품목마스터!$D$3:$D$302,MATCH($B2190,품목마스터!$A$3:$A$302,0)),""))</f>
        <v/>
      </c>
      <c r="E2190" s="12"/>
      <c r="F2190" s="10"/>
    </row>
    <row r="2191" customFormat="false" ht="15" hidden="false" customHeight="true" outlineLevel="0" collapsed="false">
      <c r="A2191" s="16"/>
      <c r="B2191" s="10"/>
      <c r="C2191" s="17" t="str">
        <f aca="false">IF($B2191="","",IFERROR(INDEX(품목마스터!$B$3:$B$302,MATCH($B2191,품목마스터!$A$3:$A$302,0)),"미등록품번"))</f>
        <v/>
      </c>
      <c r="D2191" s="17" t="str">
        <f aca="false">IF($B2191="","",IFERROR(INDEX(품목마스터!$D$3:$D$302,MATCH($B2191,품목마스터!$A$3:$A$302,0)),""))</f>
        <v/>
      </c>
      <c r="E2191" s="12"/>
      <c r="F2191" s="10"/>
    </row>
    <row r="2192" customFormat="false" ht="15" hidden="false" customHeight="true" outlineLevel="0" collapsed="false">
      <c r="A2192" s="16"/>
      <c r="B2192" s="10"/>
      <c r="C2192" s="17" t="str">
        <f aca="false">IF($B2192="","",IFERROR(INDEX(품목마스터!$B$3:$B$302,MATCH($B2192,품목마스터!$A$3:$A$302,0)),"미등록품번"))</f>
        <v/>
      </c>
      <c r="D2192" s="17" t="str">
        <f aca="false">IF($B2192="","",IFERROR(INDEX(품목마스터!$D$3:$D$302,MATCH($B2192,품목마스터!$A$3:$A$302,0)),""))</f>
        <v/>
      </c>
      <c r="E2192" s="12"/>
      <c r="F2192" s="10"/>
    </row>
    <row r="2193" customFormat="false" ht="15" hidden="false" customHeight="true" outlineLevel="0" collapsed="false">
      <c r="A2193" s="16"/>
      <c r="B2193" s="10"/>
      <c r="C2193" s="17" t="str">
        <f aca="false">IF($B2193="","",IFERROR(INDEX(품목마스터!$B$3:$B$302,MATCH($B2193,품목마스터!$A$3:$A$302,0)),"미등록품번"))</f>
        <v/>
      </c>
      <c r="D2193" s="17" t="str">
        <f aca="false">IF($B2193="","",IFERROR(INDEX(품목마스터!$D$3:$D$302,MATCH($B2193,품목마스터!$A$3:$A$302,0)),""))</f>
        <v/>
      </c>
      <c r="E2193" s="12"/>
      <c r="F2193" s="10"/>
    </row>
    <row r="2194" customFormat="false" ht="15" hidden="false" customHeight="true" outlineLevel="0" collapsed="false">
      <c r="A2194" s="16"/>
      <c r="B2194" s="10"/>
      <c r="C2194" s="17" t="str">
        <f aca="false">IF($B2194="","",IFERROR(INDEX(품목마스터!$B$3:$B$302,MATCH($B2194,품목마스터!$A$3:$A$302,0)),"미등록품번"))</f>
        <v/>
      </c>
      <c r="D2194" s="17" t="str">
        <f aca="false">IF($B2194="","",IFERROR(INDEX(품목마스터!$D$3:$D$302,MATCH($B2194,품목마스터!$A$3:$A$302,0)),""))</f>
        <v/>
      </c>
      <c r="E2194" s="12"/>
      <c r="F2194" s="10"/>
    </row>
    <row r="2195" customFormat="false" ht="15" hidden="false" customHeight="true" outlineLevel="0" collapsed="false">
      <c r="A2195" s="16"/>
      <c r="B2195" s="10"/>
      <c r="C2195" s="17" t="str">
        <f aca="false">IF($B2195="","",IFERROR(INDEX(품목마스터!$B$3:$B$302,MATCH($B2195,품목마스터!$A$3:$A$302,0)),"미등록품번"))</f>
        <v/>
      </c>
      <c r="D2195" s="17" t="str">
        <f aca="false">IF($B2195="","",IFERROR(INDEX(품목마스터!$D$3:$D$302,MATCH($B2195,품목마스터!$A$3:$A$302,0)),""))</f>
        <v/>
      </c>
      <c r="E2195" s="12"/>
      <c r="F2195" s="10"/>
    </row>
    <row r="2196" customFormat="false" ht="15" hidden="false" customHeight="true" outlineLevel="0" collapsed="false">
      <c r="A2196" s="16"/>
      <c r="B2196" s="10"/>
      <c r="C2196" s="17" t="str">
        <f aca="false">IF($B2196="","",IFERROR(INDEX(품목마스터!$B$3:$B$302,MATCH($B2196,품목마스터!$A$3:$A$302,0)),"미등록품번"))</f>
        <v/>
      </c>
      <c r="D2196" s="17" t="str">
        <f aca="false">IF($B2196="","",IFERROR(INDEX(품목마스터!$D$3:$D$302,MATCH($B2196,품목마스터!$A$3:$A$302,0)),""))</f>
        <v/>
      </c>
      <c r="E2196" s="12"/>
      <c r="F2196" s="10"/>
    </row>
    <row r="2197" customFormat="false" ht="15" hidden="false" customHeight="true" outlineLevel="0" collapsed="false">
      <c r="A2197" s="16"/>
      <c r="B2197" s="10"/>
      <c r="C2197" s="17" t="str">
        <f aca="false">IF($B2197="","",IFERROR(INDEX(품목마스터!$B$3:$B$302,MATCH($B2197,품목마스터!$A$3:$A$302,0)),"미등록품번"))</f>
        <v/>
      </c>
      <c r="D2197" s="17" t="str">
        <f aca="false">IF($B2197="","",IFERROR(INDEX(품목마스터!$D$3:$D$302,MATCH($B2197,품목마스터!$A$3:$A$302,0)),""))</f>
        <v/>
      </c>
      <c r="E2197" s="12"/>
      <c r="F2197" s="10"/>
    </row>
    <row r="2198" customFormat="false" ht="15" hidden="false" customHeight="true" outlineLevel="0" collapsed="false">
      <c r="A2198" s="16"/>
      <c r="B2198" s="10"/>
      <c r="C2198" s="17" t="str">
        <f aca="false">IF($B2198="","",IFERROR(INDEX(품목마스터!$B$3:$B$302,MATCH($B2198,품목마스터!$A$3:$A$302,0)),"미등록품번"))</f>
        <v/>
      </c>
      <c r="D2198" s="17" t="str">
        <f aca="false">IF($B2198="","",IFERROR(INDEX(품목마스터!$D$3:$D$302,MATCH($B2198,품목마스터!$A$3:$A$302,0)),""))</f>
        <v/>
      </c>
      <c r="E2198" s="12"/>
      <c r="F2198" s="10"/>
    </row>
    <row r="2199" customFormat="false" ht="15" hidden="false" customHeight="true" outlineLevel="0" collapsed="false">
      <c r="A2199" s="16"/>
      <c r="B2199" s="10"/>
      <c r="C2199" s="17" t="str">
        <f aca="false">IF($B2199="","",IFERROR(INDEX(품목마스터!$B$3:$B$302,MATCH($B2199,품목마스터!$A$3:$A$302,0)),"미등록품번"))</f>
        <v/>
      </c>
      <c r="D2199" s="17" t="str">
        <f aca="false">IF($B2199="","",IFERROR(INDEX(품목마스터!$D$3:$D$302,MATCH($B2199,품목마스터!$A$3:$A$302,0)),""))</f>
        <v/>
      </c>
      <c r="E2199" s="12"/>
      <c r="F2199" s="10"/>
    </row>
    <row r="2200" customFormat="false" ht="15" hidden="false" customHeight="true" outlineLevel="0" collapsed="false">
      <c r="A2200" s="16"/>
      <c r="B2200" s="10"/>
      <c r="C2200" s="17" t="str">
        <f aca="false">IF($B2200="","",IFERROR(INDEX(품목마스터!$B$3:$B$302,MATCH($B2200,품목마스터!$A$3:$A$302,0)),"미등록품번"))</f>
        <v/>
      </c>
      <c r="D2200" s="17" t="str">
        <f aca="false">IF($B2200="","",IFERROR(INDEX(품목마스터!$D$3:$D$302,MATCH($B2200,품목마스터!$A$3:$A$302,0)),""))</f>
        <v/>
      </c>
      <c r="E2200" s="12"/>
      <c r="F2200" s="10"/>
    </row>
    <row r="2201" customFormat="false" ht="15" hidden="false" customHeight="true" outlineLevel="0" collapsed="false">
      <c r="A2201" s="16"/>
      <c r="B2201" s="10"/>
      <c r="C2201" s="17" t="str">
        <f aca="false">IF($B2201="","",IFERROR(INDEX(품목마스터!$B$3:$B$302,MATCH($B2201,품목마스터!$A$3:$A$302,0)),"미등록품번"))</f>
        <v/>
      </c>
      <c r="D2201" s="17" t="str">
        <f aca="false">IF($B2201="","",IFERROR(INDEX(품목마스터!$D$3:$D$302,MATCH($B2201,품목마스터!$A$3:$A$302,0)),""))</f>
        <v/>
      </c>
      <c r="E2201" s="12"/>
      <c r="F2201" s="10"/>
    </row>
    <row r="2202" customFormat="false" ht="15" hidden="false" customHeight="true" outlineLevel="0" collapsed="false">
      <c r="A2202" s="16"/>
      <c r="B2202" s="10"/>
      <c r="C2202" s="17" t="str">
        <f aca="false">IF($B2202="","",IFERROR(INDEX(품목마스터!$B$3:$B$302,MATCH($B2202,품목마스터!$A$3:$A$302,0)),"미등록품번"))</f>
        <v/>
      </c>
      <c r="D2202" s="17" t="str">
        <f aca="false">IF($B2202="","",IFERROR(INDEX(품목마스터!$D$3:$D$302,MATCH($B2202,품목마스터!$A$3:$A$302,0)),""))</f>
        <v/>
      </c>
      <c r="E2202" s="12"/>
      <c r="F2202" s="10"/>
    </row>
    <row r="2203" customFormat="false" ht="15" hidden="false" customHeight="true" outlineLevel="0" collapsed="false">
      <c r="A2203" s="16"/>
      <c r="B2203" s="10"/>
      <c r="C2203" s="17" t="str">
        <f aca="false">IF($B2203="","",IFERROR(INDEX(품목마스터!$B$3:$B$302,MATCH($B2203,품목마스터!$A$3:$A$302,0)),"미등록품번"))</f>
        <v/>
      </c>
      <c r="D2203" s="17" t="str">
        <f aca="false">IF($B2203="","",IFERROR(INDEX(품목마스터!$D$3:$D$302,MATCH($B2203,품목마스터!$A$3:$A$302,0)),""))</f>
        <v/>
      </c>
      <c r="E2203" s="12"/>
      <c r="F2203" s="10"/>
    </row>
    <row r="2204" customFormat="false" ht="15" hidden="false" customHeight="true" outlineLevel="0" collapsed="false">
      <c r="A2204" s="16"/>
      <c r="B2204" s="10"/>
      <c r="C2204" s="17" t="str">
        <f aca="false">IF($B2204="","",IFERROR(INDEX(품목마스터!$B$3:$B$302,MATCH($B2204,품목마스터!$A$3:$A$302,0)),"미등록품번"))</f>
        <v/>
      </c>
      <c r="D2204" s="17" t="str">
        <f aca="false">IF($B2204="","",IFERROR(INDEX(품목마스터!$D$3:$D$302,MATCH($B2204,품목마스터!$A$3:$A$302,0)),""))</f>
        <v/>
      </c>
      <c r="E2204" s="12"/>
      <c r="F2204" s="10"/>
    </row>
    <row r="2205" customFormat="false" ht="15" hidden="false" customHeight="true" outlineLevel="0" collapsed="false">
      <c r="A2205" s="16"/>
      <c r="B2205" s="10"/>
      <c r="C2205" s="17" t="str">
        <f aca="false">IF($B2205="","",IFERROR(INDEX(품목마스터!$B$3:$B$302,MATCH($B2205,품목마스터!$A$3:$A$302,0)),"미등록품번"))</f>
        <v/>
      </c>
      <c r="D2205" s="17" t="str">
        <f aca="false">IF($B2205="","",IFERROR(INDEX(품목마스터!$D$3:$D$302,MATCH($B2205,품목마스터!$A$3:$A$302,0)),""))</f>
        <v/>
      </c>
      <c r="E2205" s="12"/>
      <c r="F2205" s="10"/>
    </row>
    <row r="2206" customFormat="false" ht="15" hidden="false" customHeight="true" outlineLevel="0" collapsed="false">
      <c r="A2206" s="16"/>
      <c r="B2206" s="10"/>
      <c r="C2206" s="17" t="str">
        <f aca="false">IF($B2206="","",IFERROR(INDEX(품목마스터!$B$3:$B$302,MATCH($B2206,품목마스터!$A$3:$A$302,0)),"미등록품번"))</f>
        <v/>
      </c>
      <c r="D2206" s="17" t="str">
        <f aca="false">IF($B2206="","",IFERROR(INDEX(품목마스터!$D$3:$D$302,MATCH($B2206,품목마스터!$A$3:$A$302,0)),""))</f>
        <v/>
      </c>
      <c r="E2206" s="12"/>
      <c r="F2206" s="10"/>
    </row>
    <row r="2207" customFormat="false" ht="15" hidden="false" customHeight="true" outlineLevel="0" collapsed="false">
      <c r="A2207" s="16"/>
      <c r="B2207" s="10"/>
      <c r="C2207" s="17" t="str">
        <f aca="false">IF($B2207="","",IFERROR(INDEX(품목마스터!$B$3:$B$302,MATCH($B2207,품목마스터!$A$3:$A$302,0)),"미등록품번"))</f>
        <v/>
      </c>
      <c r="D2207" s="17" t="str">
        <f aca="false">IF($B2207="","",IFERROR(INDEX(품목마스터!$D$3:$D$302,MATCH($B2207,품목마스터!$A$3:$A$302,0)),""))</f>
        <v/>
      </c>
      <c r="E2207" s="12"/>
      <c r="F2207" s="10"/>
    </row>
    <row r="2208" customFormat="false" ht="15" hidden="false" customHeight="true" outlineLevel="0" collapsed="false">
      <c r="A2208" s="16"/>
      <c r="B2208" s="10"/>
      <c r="C2208" s="17" t="str">
        <f aca="false">IF($B2208="","",IFERROR(INDEX(품목마스터!$B$3:$B$302,MATCH($B2208,품목마스터!$A$3:$A$302,0)),"미등록품번"))</f>
        <v/>
      </c>
      <c r="D2208" s="17" t="str">
        <f aca="false">IF($B2208="","",IFERROR(INDEX(품목마스터!$D$3:$D$302,MATCH($B2208,품목마스터!$A$3:$A$302,0)),""))</f>
        <v/>
      </c>
      <c r="E2208" s="12"/>
      <c r="F2208" s="10"/>
    </row>
    <row r="2209" customFormat="false" ht="15" hidden="false" customHeight="true" outlineLevel="0" collapsed="false">
      <c r="A2209" s="16"/>
      <c r="B2209" s="10"/>
      <c r="C2209" s="17" t="str">
        <f aca="false">IF($B2209="","",IFERROR(INDEX(품목마스터!$B$3:$B$302,MATCH($B2209,품목마스터!$A$3:$A$302,0)),"미등록품번"))</f>
        <v/>
      </c>
      <c r="D2209" s="17" t="str">
        <f aca="false">IF($B2209="","",IFERROR(INDEX(품목마스터!$D$3:$D$302,MATCH($B2209,품목마스터!$A$3:$A$302,0)),""))</f>
        <v/>
      </c>
      <c r="E2209" s="12"/>
      <c r="F2209" s="10"/>
    </row>
    <row r="2210" customFormat="false" ht="15" hidden="false" customHeight="true" outlineLevel="0" collapsed="false">
      <c r="A2210" s="16"/>
      <c r="B2210" s="10"/>
      <c r="C2210" s="17" t="str">
        <f aca="false">IF($B2210="","",IFERROR(INDEX(품목마스터!$B$3:$B$302,MATCH($B2210,품목마스터!$A$3:$A$302,0)),"미등록품번"))</f>
        <v/>
      </c>
      <c r="D2210" s="17" t="str">
        <f aca="false">IF($B2210="","",IFERROR(INDEX(품목마스터!$D$3:$D$302,MATCH($B2210,품목마스터!$A$3:$A$302,0)),""))</f>
        <v/>
      </c>
      <c r="E2210" s="12"/>
      <c r="F2210" s="10"/>
    </row>
    <row r="2211" customFormat="false" ht="15" hidden="false" customHeight="true" outlineLevel="0" collapsed="false">
      <c r="A2211" s="16"/>
      <c r="B2211" s="10"/>
      <c r="C2211" s="17" t="str">
        <f aca="false">IF($B2211="","",IFERROR(INDEX(품목마스터!$B$3:$B$302,MATCH($B2211,품목마스터!$A$3:$A$302,0)),"미등록품번"))</f>
        <v/>
      </c>
      <c r="D2211" s="17" t="str">
        <f aca="false">IF($B2211="","",IFERROR(INDEX(품목마스터!$D$3:$D$302,MATCH($B2211,품목마스터!$A$3:$A$302,0)),""))</f>
        <v/>
      </c>
      <c r="E2211" s="12"/>
      <c r="F2211" s="10"/>
    </row>
    <row r="2212" customFormat="false" ht="15" hidden="false" customHeight="true" outlineLevel="0" collapsed="false">
      <c r="A2212" s="16"/>
      <c r="B2212" s="10"/>
      <c r="C2212" s="17" t="str">
        <f aca="false">IF($B2212="","",IFERROR(INDEX(품목마스터!$B$3:$B$302,MATCH($B2212,품목마스터!$A$3:$A$302,0)),"미등록품번"))</f>
        <v/>
      </c>
      <c r="D2212" s="17" t="str">
        <f aca="false">IF($B2212="","",IFERROR(INDEX(품목마스터!$D$3:$D$302,MATCH($B2212,품목마스터!$A$3:$A$302,0)),""))</f>
        <v/>
      </c>
      <c r="E2212" s="12"/>
      <c r="F2212" s="10"/>
    </row>
    <row r="2213" customFormat="false" ht="15" hidden="false" customHeight="true" outlineLevel="0" collapsed="false">
      <c r="A2213" s="16"/>
      <c r="B2213" s="10"/>
      <c r="C2213" s="17" t="str">
        <f aca="false">IF($B2213="","",IFERROR(INDEX(품목마스터!$B$3:$B$302,MATCH($B2213,품목마스터!$A$3:$A$302,0)),"미등록품번"))</f>
        <v/>
      </c>
      <c r="D2213" s="17" t="str">
        <f aca="false">IF($B2213="","",IFERROR(INDEX(품목마스터!$D$3:$D$302,MATCH($B2213,품목마스터!$A$3:$A$302,0)),""))</f>
        <v/>
      </c>
      <c r="E2213" s="12"/>
      <c r="F2213" s="10"/>
    </row>
    <row r="2214" customFormat="false" ht="15" hidden="false" customHeight="true" outlineLevel="0" collapsed="false">
      <c r="A2214" s="16"/>
      <c r="B2214" s="10"/>
      <c r="C2214" s="17" t="str">
        <f aca="false">IF($B2214="","",IFERROR(INDEX(품목마스터!$B$3:$B$302,MATCH($B2214,품목마스터!$A$3:$A$302,0)),"미등록품번"))</f>
        <v/>
      </c>
      <c r="D2214" s="17" t="str">
        <f aca="false">IF($B2214="","",IFERROR(INDEX(품목마스터!$D$3:$D$302,MATCH($B2214,품목마스터!$A$3:$A$302,0)),""))</f>
        <v/>
      </c>
      <c r="E2214" s="12"/>
      <c r="F2214" s="10"/>
    </row>
    <row r="2215" customFormat="false" ht="15" hidden="false" customHeight="true" outlineLevel="0" collapsed="false">
      <c r="A2215" s="16"/>
      <c r="B2215" s="10"/>
      <c r="C2215" s="17" t="str">
        <f aca="false">IF($B2215="","",IFERROR(INDEX(품목마스터!$B$3:$B$302,MATCH($B2215,품목마스터!$A$3:$A$302,0)),"미등록품번"))</f>
        <v/>
      </c>
      <c r="D2215" s="17" t="str">
        <f aca="false">IF($B2215="","",IFERROR(INDEX(품목마스터!$D$3:$D$302,MATCH($B2215,품목마스터!$A$3:$A$302,0)),""))</f>
        <v/>
      </c>
      <c r="E2215" s="12"/>
      <c r="F2215" s="10"/>
    </row>
    <row r="2216" customFormat="false" ht="15" hidden="false" customHeight="true" outlineLevel="0" collapsed="false">
      <c r="A2216" s="16"/>
      <c r="B2216" s="10"/>
      <c r="C2216" s="17" t="str">
        <f aca="false">IF($B2216="","",IFERROR(INDEX(품목마스터!$B$3:$B$302,MATCH($B2216,품목마스터!$A$3:$A$302,0)),"미등록품번"))</f>
        <v/>
      </c>
      <c r="D2216" s="17" t="str">
        <f aca="false">IF($B2216="","",IFERROR(INDEX(품목마스터!$D$3:$D$302,MATCH($B2216,품목마스터!$A$3:$A$302,0)),""))</f>
        <v/>
      </c>
      <c r="E2216" s="12"/>
      <c r="F2216" s="10"/>
    </row>
    <row r="2217" customFormat="false" ht="15" hidden="false" customHeight="true" outlineLevel="0" collapsed="false">
      <c r="A2217" s="16"/>
      <c r="B2217" s="10"/>
      <c r="C2217" s="17" t="str">
        <f aca="false">IF($B2217="","",IFERROR(INDEX(품목마스터!$B$3:$B$302,MATCH($B2217,품목마스터!$A$3:$A$302,0)),"미등록품번"))</f>
        <v/>
      </c>
      <c r="D2217" s="17" t="str">
        <f aca="false">IF($B2217="","",IFERROR(INDEX(품목마스터!$D$3:$D$302,MATCH($B2217,품목마스터!$A$3:$A$302,0)),""))</f>
        <v/>
      </c>
      <c r="E2217" s="12"/>
      <c r="F2217" s="10"/>
    </row>
    <row r="2218" customFormat="false" ht="15" hidden="false" customHeight="true" outlineLevel="0" collapsed="false">
      <c r="A2218" s="16"/>
      <c r="B2218" s="10"/>
      <c r="C2218" s="17" t="str">
        <f aca="false">IF($B2218="","",IFERROR(INDEX(품목마스터!$B$3:$B$302,MATCH($B2218,품목마스터!$A$3:$A$302,0)),"미등록품번"))</f>
        <v/>
      </c>
      <c r="D2218" s="17" t="str">
        <f aca="false">IF($B2218="","",IFERROR(INDEX(품목마스터!$D$3:$D$302,MATCH($B2218,품목마스터!$A$3:$A$302,0)),""))</f>
        <v/>
      </c>
      <c r="E2218" s="12"/>
      <c r="F2218" s="10"/>
    </row>
    <row r="2219" customFormat="false" ht="15" hidden="false" customHeight="true" outlineLevel="0" collapsed="false">
      <c r="A2219" s="16"/>
      <c r="B2219" s="10"/>
      <c r="C2219" s="17" t="str">
        <f aca="false">IF($B2219="","",IFERROR(INDEX(품목마스터!$B$3:$B$302,MATCH($B2219,품목마스터!$A$3:$A$302,0)),"미등록품번"))</f>
        <v/>
      </c>
      <c r="D2219" s="17" t="str">
        <f aca="false">IF($B2219="","",IFERROR(INDEX(품목마스터!$D$3:$D$302,MATCH($B2219,품목마스터!$A$3:$A$302,0)),""))</f>
        <v/>
      </c>
      <c r="E2219" s="12"/>
      <c r="F2219" s="10"/>
    </row>
    <row r="2220" customFormat="false" ht="15" hidden="false" customHeight="true" outlineLevel="0" collapsed="false">
      <c r="A2220" s="16"/>
      <c r="B2220" s="10"/>
      <c r="C2220" s="17" t="str">
        <f aca="false">IF($B2220="","",IFERROR(INDEX(품목마스터!$B$3:$B$302,MATCH($B2220,품목마스터!$A$3:$A$302,0)),"미등록품번"))</f>
        <v/>
      </c>
      <c r="D2220" s="17" t="str">
        <f aca="false">IF($B2220="","",IFERROR(INDEX(품목마스터!$D$3:$D$302,MATCH($B2220,품목마스터!$A$3:$A$302,0)),""))</f>
        <v/>
      </c>
      <c r="E2220" s="12"/>
      <c r="F2220" s="10"/>
    </row>
    <row r="2221" customFormat="false" ht="15" hidden="false" customHeight="true" outlineLevel="0" collapsed="false">
      <c r="A2221" s="16"/>
      <c r="B2221" s="10"/>
      <c r="C2221" s="17" t="str">
        <f aca="false">IF($B2221="","",IFERROR(INDEX(품목마스터!$B$3:$B$302,MATCH($B2221,품목마스터!$A$3:$A$302,0)),"미등록품번"))</f>
        <v/>
      </c>
      <c r="D2221" s="17" t="str">
        <f aca="false">IF($B2221="","",IFERROR(INDEX(품목마스터!$D$3:$D$302,MATCH($B2221,품목마스터!$A$3:$A$302,0)),""))</f>
        <v/>
      </c>
      <c r="E2221" s="12"/>
      <c r="F2221" s="10"/>
    </row>
    <row r="2222" customFormat="false" ht="15" hidden="false" customHeight="true" outlineLevel="0" collapsed="false">
      <c r="A2222" s="16"/>
      <c r="B2222" s="10"/>
      <c r="C2222" s="17" t="str">
        <f aca="false">IF($B2222="","",IFERROR(INDEX(품목마스터!$B$3:$B$302,MATCH($B2222,품목마스터!$A$3:$A$302,0)),"미등록품번"))</f>
        <v/>
      </c>
      <c r="D2222" s="17" t="str">
        <f aca="false">IF($B2222="","",IFERROR(INDEX(품목마스터!$D$3:$D$302,MATCH($B2222,품목마스터!$A$3:$A$302,0)),""))</f>
        <v/>
      </c>
      <c r="E2222" s="12"/>
      <c r="F2222" s="10"/>
    </row>
    <row r="2223" customFormat="false" ht="15" hidden="false" customHeight="true" outlineLevel="0" collapsed="false">
      <c r="A2223" s="16"/>
      <c r="B2223" s="10"/>
      <c r="C2223" s="17" t="str">
        <f aca="false">IF($B2223="","",IFERROR(INDEX(품목마스터!$B$3:$B$302,MATCH($B2223,품목마스터!$A$3:$A$302,0)),"미등록품번"))</f>
        <v/>
      </c>
      <c r="D2223" s="17" t="str">
        <f aca="false">IF($B2223="","",IFERROR(INDEX(품목마스터!$D$3:$D$302,MATCH($B2223,품목마스터!$A$3:$A$302,0)),""))</f>
        <v/>
      </c>
      <c r="E2223" s="12"/>
      <c r="F2223" s="10"/>
    </row>
    <row r="2224" customFormat="false" ht="15" hidden="false" customHeight="true" outlineLevel="0" collapsed="false">
      <c r="A2224" s="16"/>
      <c r="B2224" s="10"/>
      <c r="C2224" s="17" t="str">
        <f aca="false">IF($B2224="","",IFERROR(INDEX(품목마스터!$B$3:$B$302,MATCH($B2224,품목마스터!$A$3:$A$302,0)),"미등록품번"))</f>
        <v/>
      </c>
      <c r="D2224" s="17" t="str">
        <f aca="false">IF($B2224="","",IFERROR(INDEX(품목마스터!$D$3:$D$302,MATCH($B2224,품목마스터!$A$3:$A$302,0)),""))</f>
        <v/>
      </c>
      <c r="E2224" s="12"/>
      <c r="F2224" s="10"/>
    </row>
    <row r="2225" customFormat="false" ht="15" hidden="false" customHeight="true" outlineLevel="0" collapsed="false">
      <c r="A2225" s="16"/>
      <c r="B2225" s="10"/>
      <c r="C2225" s="17" t="str">
        <f aca="false">IF($B2225="","",IFERROR(INDEX(품목마스터!$B$3:$B$302,MATCH($B2225,품목마스터!$A$3:$A$302,0)),"미등록품번"))</f>
        <v/>
      </c>
      <c r="D2225" s="17" t="str">
        <f aca="false">IF($B2225="","",IFERROR(INDEX(품목마스터!$D$3:$D$302,MATCH($B2225,품목마스터!$A$3:$A$302,0)),""))</f>
        <v/>
      </c>
      <c r="E2225" s="12"/>
      <c r="F2225" s="10"/>
    </row>
    <row r="2226" customFormat="false" ht="15" hidden="false" customHeight="true" outlineLevel="0" collapsed="false">
      <c r="A2226" s="16"/>
      <c r="B2226" s="10"/>
      <c r="C2226" s="17" t="str">
        <f aca="false">IF($B2226="","",IFERROR(INDEX(품목마스터!$B$3:$B$302,MATCH($B2226,품목마스터!$A$3:$A$302,0)),"미등록품번"))</f>
        <v/>
      </c>
      <c r="D2226" s="17" t="str">
        <f aca="false">IF($B2226="","",IFERROR(INDEX(품목마스터!$D$3:$D$302,MATCH($B2226,품목마스터!$A$3:$A$302,0)),""))</f>
        <v/>
      </c>
      <c r="E2226" s="12"/>
      <c r="F2226" s="10"/>
    </row>
    <row r="2227" customFormat="false" ht="15" hidden="false" customHeight="true" outlineLevel="0" collapsed="false">
      <c r="A2227" s="16"/>
      <c r="B2227" s="10"/>
      <c r="C2227" s="17" t="str">
        <f aca="false">IF($B2227="","",IFERROR(INDEX(품목마스터!$B$3:$B$302,MATCH($B2227,품목마스터!$A$3:$A$302,0)),"미등록품번"))</f>
        <v/>
      </c>
      <c r="D2227" s="17" t="str">
        <f aca="false">IF($B2227="","",IFERROR(INDEX(품목마스터!$D$3:$D$302,MATCH($B2227,품목마스터!$A$3:$A$302,0)),""))</f>
        <v/>
      </c>
      <c r="E2227" s="12"/>
      <c r="F2227" s="10"/>
    </row>
    <row r="2228" customFormat="false" ht="15" hidden="false" customHeight="true" outlineLevel="0" collapsed="false">
      <c r="A2228" s="16"/>
      <c r="B2228" s="10"/>
      <c r="C2228" s="17" t="str">
        <f aca="false">IF($B2228="","",IFERROR(INDEX(품목마스터!$B$3:$B$302,MATCH($B2228,품목마스터!$A$3:$A$302,0)),"미등록품번"))</f>
        <v/>
      </c>
      <c r="D2228" s="17" t="str">
        <f aca="false">IF($B2228="","",IFERROR(INDEX(품목마스터!$D$3:$D$302,MATCH($B2228,품목마스터!$A$3:$A$302,0)),""))</f>
        <v/>
      </c>
      <c r="E2228" s="12"/>
      <c r="F2228" s="10"/>
    </row>
    <row r="2229" customFormat="false" ht="15" hidden="false" customHeight="true" outlineLevel="0" collapsed="false">
      <c r="A2229" s="16"/>
      <c r="B2229" s="10"/>
      <c r="C2229" s="17" t="str">
        <f aca="false">IF($B2229="","",IFERROR(INDEX(품목마스터!$B$3:$B$302,MATCH($B2229,품목마스터!$A$3:$A$302,0)),"미등록품번"))</f>
        <v/>
      </c>
      <c r="D2229" s="17" t="str">
        <f aca="false">IF($B2229="","",IFERROR(INDEX(품목마스터!$D$3:$D$302,MATCH($B2229,품목마스터!$A$3:$A$302,0)),""))</f>
        <v/>
      </c>
      <c r="E2229" s="12"/>
      <c r="F2229" s="10"/>
    </row>
    <row r="2230" customFormat="false" ht="15" hidden="false" customHeight="true" outlineLevel="0" collapsed="false">
      <c r="A2230" s="16"/>
      <c r="B2230" s="10"/>
      <c r="C2230" s="17" t="str">
        <f aca="false">IF($B2230="","",IFERROR(INDEX(품목마스터!$B$3:$B$302,MATCH($B2230,품목마스터!$A$3:$A$302,0)),"미등록품번"))</f>
        <v/>
      </c>
      <c r="D2230" s="17" t="str">
        <f aca="false">IF($B2230="","",IFERROR(INDEX(품목마스터!$D$3:$D$302,MATCH($B2230,품목마스터!$A$3:$A$302,0)),""))</f>
        <v/>
      </c>
      <c r="E2230" s="12"/>
      <c r="F2230" s="10"/>
    </row>
    <row r="2231" customFormat="false" ht="15" hidden="false" customHeight="true" outlineLevel="0" collapsed="false">
      <c r="A2231" s="16"/>
      <c r="B2231" s="10"/>
      <c r="C2231" s="17" t="str">
        <f aca="false">IF($B2231="","",IFERROR(INDEX(품목마스터!$B$3:$B$302,MATCH($B2231,품목마스터!$A$3:$A$302,0)),"미등록품번"))</f>
        <v/>
      </c>
      <c r="D2231" s="17" t="str">
        <f aca="false">IF($B2231="","",IFERROR(INDEX(품목마스터!$D$3:$D$302,MATCH($B2231,품목마스터!$A$3:$A$302,0)),""))</f>
        <v/>
      </c>
      <c r="E2231" s="12"/>
      <c r="F2231" s="10"/>
    </row>
    <row r="2232" customFormat="false" ht="15" hidden="false" customHeight="true" outlineLevel="0" collapsed="false">
      <c r="A2232" s="16"/>
      <c r="B2232" s="10"/>
      <c r="C2232" s="17" t="str">
        <f aca="false">IF($B2232="","",IFERROR(INDEX(품목마스터!$B$3:$B$302,MATCH($B2232,품목마스터!$A$3:$A$302,0)),"미등록품번"))</f>
        <v/>
      </c>
      <c r="D2232" s="17" t="str">
        <f aca="false">IF($B2232="","",IFERROR(INDEX(품목마스터!$D$3:$D$302,MATCH($B2232,품목마스터!$A$3:$A$302,0)),""))</f>
        <v/>
      </c>
      <c r="E2232" s="12"/>
      <c r="F2232" s="10"/>
    </row>
    <row r="2233" customFormat="false" ht="15" hidden="false" customHeight="true" outlineLevel="0" collapsed="false">
      <c r="A2233" s="16"/>
      <c r="B2233" s="10"/>
      <c r="C2233" s="17" t="str">
        <f aca="false">IF($B2233="","",IFERROR(INDEX(품목마스터!$B$3:$B$302,MATCH($B2233,품목마스터!$A$3:$A$302,0)),"미등록품번"))</f>
        <v/>
      </c>
      <c r="D2233" s="17" t="str">
        <f aca="false">IF($B2233="","",IFERROR(INDEX(품목마스터!$D$3:$D$302,MATCH($B2233,품목마스터!$A$3:$A$302,0)),""))</f>
        <v/>
      </c>
      <c r="E2233" s="12"/>
      <c r="F2233" s="10"/>
    </row>
    <row r="2234" customFormat="false" ht="15" hidden="false" customHeight="true" outlineLevel="0" collapsed="false">
      <c r="A2234" s="16"/>
      <c r="B2234" s="10"/>
      <c r="C2234" s="17" t="str">
        <f aca="false">IF($B2234="","",IFERROR(INDEX(품목마스터!$B$3:$B$302,MATCH($B2234,품목마스터!$A$3:$A$302,0)),"미등록품번"))</f>
        <v/>
      </c>
      <c r="D2234" s="17" t="str">
        <f aca="false">IF($B2234="","",IFERROR(INDEX(품목마스터!$D$3:$D$302,MATCH($B2234,품목마스터!$A$3:$A$302,0)),""))</f>
        <v/>
      </c>
      <c r="E2234" s="12"/>
      <c r="F2234" s="10"/>
    </row>
    <row r="2235" customFormat="false" ht="15" hidden="false" customHeight="true" outlineLevel="0" collapsed="false">
      <c r="A2235" s="16"/>
      <c r="B2235" s="10"/>
      <c r="C2235" s="17" t="str">
        <f aca="false">IF($B2235="","",IFERROR(INDEX(품목마스터!$B$3:$B$302,MATCH($B2235,품목마스터!$A$3:$A$302,0)),"미등록품번"))</f>
        <v/>
      </c>
      <c r="D2235" s="17" t="str">
        <f aca="false">IF($B2235="","",IFERROR(INDEX(품목마스터!$D$3:$D$302,MATCH($B2235,품목마스터!$A$3:$A$302,0)),""))</f>
        <v/>
      </c>
      <c r="E2235" s="12"/>
      <c r="F2235" s="10"/>
    </row>
    <row r="2236" customFormat="false" ht="15" hidden="false" customHeight="true" outlineLevel="0" collapsed="false">
      <c r="A2236" s="16"/>
      <c r="B2236" s="10"/>
      <c r="C2236" s="17" t="str">
        <f aca="false">IF($B2236="","",IFERROR(INDEX(품목마스터!$B$3:$B$302,MATCH($B2236,품목마스터!$A$3:$A$302,0)),"미등록품번"))</f>
        <v/>
      </c>
      <c r="D2236" s="17" t="str">
        <f aca="false">IF($B2236="","",IFERROR(INDEX(품목마스터!$D$3:$D$302,MATCH($B2236,품목마스터!$A$3:$A$302,0)),""))</f>
        <v/>
      </c>
      <c r="E2236" s="12"/>
      <c r="F2236" s="10"/>
    </row>
    <row r="2237" customFormat="false" ht="15" hidden="false" customHeight="true" outlineLevel="0" collapsed="false">
      <c r="A2237" s="16"/>
      <c r="B2237" s="10"/>
      <c r="C2237" s="17" t="str">
        <f aca="false">IF($B2237="","",IFERROR(INDEX(품목마스터!$B$3:$B$302,MATCH($B2237,품목마스터!$A$3:$A$302,0)),"미등록품번"))</f>
        <v/>
      </c>
      <c r="D2237" s="17" t="str">
        <f aca="false">IF($B2237="","",IFERROR(INDEX(품목마스터!$D$3:$D$302,MATCH($B2237,품목마스터!$A$3:$A$302,0)),""))</f>
        <v/>
      </c>
      <c r="E2237" s="12"/>
      <c r="F2237" s="10"/>
    </row>
    <row r="2238" customFormat="false" ht="15" hidden="false" customHeight="true" outlineLevel="0" collapsed="false">
      <c r="A2238" s="16"/>
      <c r="B2238" s="10"/>
      <c r="C2238" s="17" t="str">
        <f aca="false">IF($B2238="","",IFERROR(INDEX(품목마스터!$B$3:$B$302,MATCH($B2238,품목마스터!$A$3:$A$302,0)),"미등록품번"))</f>
        <v/>
      </c>
      <c r="D2238" s="17" t="str">
        <f aca="false">IF($B2238="","",IFERROR(INDEX(품목마스터!$D$3:$D$302,MATCH($B2238,품목마스터!$A$3:$A$302,0)),""))</f>
        <v/>
      </c>
      <c r="E2238" s="12"/>
      <c r="F2238" s="10"/>
    </row>
    <row r="2239" customFormat="false" ht="15" hidden="false" customHeight="true" outlineLevel="0" collapsed="false">
      <c r="A2239" s="16"/>
      <c r="B2239" s="10"/>
      <c r="C2239" s="17" t="str">
        <f aca="false">IF($B2239="","",IFERROR(INDEX(품목마스터!$B$3:$B$302,MATCH($B2239,품목마스터!$A$3:$A$302,0)),"미등록품번"))</f>
        <v/>
      </c>
      <c r="D2239" s="17" t="str">
        <f aca="false">IF($B2239="","",IFERROR(INDEX(품목마스터!$D$3:$D$302,MATCH($B2239,품목마스터!$A$3:$A$302,0)),""))</f>
        <v/>
      </c>
      <c r="E2239" s="12"/>
      <c r="F2239" s="10"/>
    </row>
    <row r="2240" customFormat="false" ht="15" hidden="false" customHeight="true" outlineLevel="0" collapsed="false">
      <c r="A2240" s="16"/>
      <c r="B2240" s="10"/>
      <c r="C2240" s="17" t="str">
        <f aca="false">IF($B2240="","",IFERROR(INDEX(품목마스터!$B$3:$B$302,MATCH($B2240,품목마스터!$A$3:$A$302,0)),"미등록품번"))</f>
        <v/>
      </c>
      <c r="D2240" s="17" t="str">
        <f aca="false">IF($B2240="","",IFERROR(INDEX(품목마스터!$D$3:$D$302,MATCH($B2240,품목마스터!$A$3:$A$302,0)),""))</f>
        <v/>
      </c>
      <c r="E2240" s="12"/>
      <c r="F2240" s="10"/>
    </row>
    <row r="2241" customFormat="false" ht="15" hidden="false" customHeight="true" outlineLevel="0" collapsed="false">
      <c r="A2241" s="16"/>
      <c r="B2241" s="10"/>
      <c r="C2241" s="17" t="str">
        <f aca="false">IF($B2241="","",IFERROR(INDEX(품목마스터!$B$3:$B$302,MATCH($B2241,품목마스터!$A$3:$A$302,0)),"미등록품번"))</f>
        <v/>
      </c>
      <c r="D2241" s="17" t="str">
        <f aca="false">IF($B2241="","",IFERROR(INDEX(품목마스터!$D$3:$D$302,MATCH($B2241,품목마스터!$A$3:$A$302,0)),""))</f>
        <v/>
      </c>
      <c r="E2241" s="12"/>
      <c r="F2241" s="10"/>
    </row>
    <row r="2242" customFormat="false" ht="15" hidden="false" customHeight="true" outlineLevel="0" collapsed="false">
      <c r="A2242" s="16"/>
      <c r="B2242" s="10"/>
      <c r="C2242" s="17" t="str">
        <f aca="false">IF($B2242="","",IFERROR(INDEX(품목마스터!$B$3:$B$302,MATCH($B2242,품목마스터!$A$3:$A$302,0)),"미등록품번"))</f>
        <v/>
      </c>
      <c r="D2242" s="17" t="str">
        <f aca="false">IF($B2242="","",IFERROR(INDEX(품목마스터!$D$3:$D$302,MATCH($B2242,품목마스터!$A$3:$A$302,0)),""))</f>
        <v/>
      </c>
      <c r="E2242" s="12"/>
      <c r="F2242" s="10"/>
    </row>
    <row r="2243" customFormat="false" ht="15" hidden="false" customHeight="true" outlineLevel="0" collapsed="false">
      <c r="A2243" s="16"/>
      <c r="B2243" s="10"/>
      <c r="C2243" s="17" t="str">
        <f aca="false">IF($B2243="","",IFERROR(INDEX(품목마스터!$B$3:$B$302,MATCH($B2243,품목마스터!$A$3:$A$302,0)),"미등록품번"))</f>
        <v/>
      </c>
      <c r="D2243" s="17" t="str">
        <f aca="false">IF($B2243="","",IFERROR(INDEX(품목마스터!$D$3:$D$302,MATCH($B2243,품목마스터!$A$3:$A$302,0)),""))</f>
        <v/>
      </c>
      <c r="E2243" s="12"/>
      <c r="F2243" s="10"/>
    </row>
    <row r="2244" customFormat="false" ht="15" hidden="false" customHeight="true" outlineLevel="0" collapsed="false">
      <c r="A2244" s="16"/>
      <c r="B2244" s="10"/>
      <c r="C2244" s="17" t="str">
        <f aca="false">IF($B2244="","",IFERROR(INDEX(품목마스터!$B$3:$B$302,MATCH($B2244,품목마스터!$A$3:$A$302,0)),"미등록품번"))</f>
        <v/>
      </c>
      <c r="D2244" s="17" t="str">
        <f aca="false">IF($B2244="","",IFERROR(INDEX(품목마스터!$D$3:$D$302,MATCH($B2244,품목마스터!$A$3:$A$302,0)),""))</f>
        <v/>
      </c>
      <c r="E2244" s="12"/>
      <c r="F2244" s="10"/>
    </row>
    <row r="2245" customFormat="false" ht="15" hidden="false" customHeight="true" outlineLevel="0" collapsed="false">
      <c r="A2245" s="16"/>
      <c r="B2245" s="10"/>
      <c r="C2245" s="17" t="str">
        <f aca="false">IF($B2245="","",IFERROR(INDEX(품목마스터!$B$3:$B$302,MATCH($B2245,품목마스터!$A$3:$A$302,0)),"미등록품번"))</f>
        <v/>
      </c>
      <c r="D2245" s="17" t="str">
        <f aca="false">IF($B2245="","",IFERROR(INDEX(품목마스터!$D$3:$D$302,MATCH($B2245,품목마스터!$A$3:$A$302,0)),""))</f>
        <v/>
      </c>
      <c r="E2245" s="12"/>
      <c r="F2245" s="10"/>
    </row>
    <row r="2246" customFormat="false" ht="15" hidden="false" customHeight="true" outlineLevel="0" collapsed="false">
      <c r="A2246" s="16"/>
      <c r="B2246" s="10"/>
      <c r="C2246" s="17" t="str">
        <f aca="false">IF($B2246="","",IFERROR(INDEX(품목마스터!$B$3:$B$302,MATCH($B2246,품목마스터!$A$3:$A$302,0)),"미등록품번"))</f>
        <v/>
      </c>
      <c r="D2246" s="17" t="str">
        <f aca="false">IF($B2246="","",IFERROR(INDEX(품목마스터!$D$3:$D$302,MATCH($B2246,품목마스터!$A$3:$A$302,0)),""))</f>
        <v/>
      </c>
      <c r="E2246" s="12"/>
      <c r="F2246" s="10"/>
    </row>
    <row r="2247" customFormat="false" ht="15" hidden="false" customHeight="true" outlineLevel="0" collapsed="false">
      <c r="A2247" s="16"/>
      <c r="B2247" s="10"/>
      <c r="C2247" s="17" t="str">
        <f aca="false">IF($B2247="","",IFERROR(INDEX(품목마스터!$B$3:$B$302,MATCH($B2247,품목마스터!$A$3:$A$302,0)),"미등록품번"))</f>
        <v/>
      </c>
      <c r="D2247" s="17" t="str">
        <f aca="false">IF($B2247="","",IFERROR(INDEX(품목마스터!$D$3:$D$302,MATCH($B2247,품목마스터!$A$3:$A$302,0)),""))</f>
        <v/>
      </c>
      <c r="E2247" s="12"/>
      <c r="F2247" s="10"/>
    </row>
    <row r="2248" customFormat="false" ht="15" hidden="false" customHeight="true" outlineLevel="0" collapsed="false">
      <c r="A2248" s="16"/>
      <c r="B2248" s="10"/>
      <c r="C2248" s="17" t="str">
        <f aca="false">IF($B2248="","",IFERROR(INDEX(품목마스터!$B$3:$B$302,MATCH($B2248,품목마스터!$A$3:$A$302,0)),"미등록품번"))</f>
        <v/>
      </c>
      <c r="D2248" s="17" t="str">
        <f aca="false">IF($B2248="","",IFERROR(INDEX(품목마스터!$D$3:$D$302,MATCH($B2248,품목마스터!$A$3:$A$302,0)),""))</f>
        <v/>
      </c>
      <c r="E2248" s="12"/>
      <c r="F2248" s="10"/>
    </row>
    <row r="2249" customFormat="false" ht="15" hidden="false" customHeight="true" outlineLevel="0" collapsed="false">
      <c r="A2249" s="16"/>
      <c r="B2249" s="10"/>
      <c r="C2249" s="17" t="str">
        <f aca="false">IF($B2249="","",IFERROR(INDEX(품목마스터!$B$3:$B$302,MATCH($B2249,품목마스터!$A$3:$A$302,0)),"미등록품번"))</f>
        <v/>
      </c>
      <c r="D2249" s="17" t="str">
        <f aca="false">IF($B2249="","",IFERROR(INDEX(품목마스터!$D$3:$D$302,MATCH($B2249,품목마스터!$A$3:$A$302,0)),""))</f>
        <v/>
      </c>
      <c r="E2249" s="12"/>
      <c r="F2249" s="10"/>
    </row>
    <row r="2250" customFormat="false" ht="15" hidden="false" customHeight="true" outlineLevel="0" collapsed="false">
      <c r="A2250" s="16"/>
      <c r="B2250" s="10"/>
      <c r="C2250" s="17" t="str">
        <f aca="false">IF($B2250="","",IFERROR(INDEX(품목마스터!$B$3:$B$302,MATCH($B2250,품목마스터!$A$3:$A$302,0)),"미등록품번"))</f>
        <v/>
      </c>
      <c r="D2250" s="17" t="str">
        <f aca="false">IF($B2250="","",IFERROR(INDEX(품목마스터!$D$3:$D$302,MATCH($B2250,품목마스터!$A$3:$A$302,0)),""))</f>
        <v/>
      </c>
      <c r="E2250" s="12"/>
      <c r="F2250" s="10"/>
    </row>
    <row r="2251" customFormat="false" ht="15" hidden="false" customHeight="true" outlineLevel="0" collapsed="false">
      <c r="A2251" s="16"/>
      <c r="B2251" s="10"/>
      <c r="C2251" s="17" t="str">
        <f aca="false">IF($B2251="","",IFERROR(INDEX(품목마스터!$B$3:$B$302,MATCH($B2251,품목마스터!$A$3:$A$302,0)),"미등록품번"))</f>
        <v/>
      </c>
      <c r="D2251" s="17" t="str">
        <f aca="false">IF($B2251="","",IFERROR(INDEX(품목마스터!$D$3:$D$302,MATCH($B2251,품목마스터!$A$3:$A$302,0)),""))</f>
        <v/>
      </c>
      <c r="E2251" s="12"/>
      <c r="F2251" s="10"/>
    </row>
    <row r="2252" customFormat="false" ht="15" hidden="false" customHeight="true" outlineLevel="0" collapsed="false">
      <c r="A2252" s="16"/>
      <c r="B2252" s="10"/>
      <c r="C2252" s="17" t="str">
        <f aca="false">IF($B2252="","",IFERROR(INDEX(품목마스터!$B$3:$B$302,MATCH($B2252,품목마스터!$A$3:$A$302,0)),"미등록품번"))</f>
        <v/>
      </c>
      <c r="D2252" s="17" t="str">
        <f aca="false">IF($B2252="","",IFERROR(INDEX(품목마스터!$D$3:$D$302,MATCH($B2252,품목마스터!$A$3:$A$302,0)),""))</f>
        <v/>
      </c>
      <c r="E2252" s="12"/>
      <c r="F2252" s="10"/>
    </row>
    <row r="2253" customFormat="false" ht="15" hidden="false" customHeight="true" outlineLevel="0" collapsed="false">
      <c r="A2253" s="16"/>
      <c r="B2253" s="10"/>
      <c r="C2253" s="17" t="str">
        <f aca="false">IF($B2253="","",IFERROR(INDEX(품목마스터!$B$3:$B$302,MATCH($B2253,품목마스터!$A$3:$A$302,0)),"미등록품번"))</f>
        <v/>
      </c>
      <c r="D2253" s="17" t="str">
        <f aca="false">IF($B2253="","",IFERROR(INDEX(품목마스터!$D$3:$D$302,MATCH($B2253,품목마스터!$A$3:$A$302,0)),""))</f>
        <v/>
      </c>
      <c r="E2253" s="12"/>
      <c r="F2253" s="10"/>
    </row>
    <row r="2254" customFormat="false" ht="15" hidden="false" customHeight="true" outlineLevel="0" collapsed="false">
      <c r="A2254" s="16"/>
      <c r="B2254" s="10"/>
      <c r="C2254" s="17" t="str">
        <f aca="false">IF($B2254="","",IFERROR(INDEX(품목마스터!$B$3:$B$302,MATCH($B2254,품목마스터!$A$3:$A$302,0)),"미등록품번"))</f>
        <v/>
      </c>
      <c r="D2254" s="17" t="str">
        <f aca="false">IF($B2254="","",IFERROR(INDEX(품목마스터!$D$3:$D$302,MATCH($B2254,품목마스터!$A$3:$A$302,0)),""))</f>
        <v/>
      </c>
      <c r="E2254" s="12"/>
      <c r="F2254" s="10"/>
    </row>
    <row r="2255" customFormat="false" ht="15" hidden="false" customHeight="true" outlineLevel="0" collapsed="false">
      <c r="A2255" s="16"/>
      <c r="B2255" s="10"/>
      <c r="C2255" s="17" t="str">
        <f aca="false">IF($B2255="","",IFERROR(INDEX(품목마스터!$B$3:$B$302,MATCH($B2255,품목마스터!$A$3:$A$302,0)),"미등록품번"))</f>
        <v/>
      </c>
      <c r="D2255" s="17" t="str">
        <f aca="false">IF($B2255="","",IFERROR(INDEX(품목마스터!$D$3:$D$302,MATCH($B2255,품목마스터!$A$3:$A$302,0)),""))</f>
        <v/>
      </c>
      <c r="E2255" s="12"/>
      <c r="F2255" s="10"/>
    </row>
    <row r="2256" customFormat="false" ht="15" hidden="false" customHeight="true" outlineLevel="0" collapsed="false">
      <c r="A2256" s="16"/>
      <c r="B2256" s="10"/>
      <c r="C2256" s="17" t="str">
        <f aca="false">IF($B2256="","",IFERROR(INDEX(품목마스터!$B$3:$B$302,MATCH($B2256,품목마스터!$A$3:$A$302,0)),"미등록품번"))</f>
        <v/>
      </c>
      <c r="D2256" s="17" t="str">
        <f aca="false">IF($B2256="","",IFERROR(INDEX(품목마스터!$D$3:$D$302,MATCH($B2256,품목마스터!$A$3:$A$302,0)),""))</f>
        <v/>
      </c>
      <c r="E2256" s="12"/>
      <c r="F2256" s="10"/>
    </row>
    <row r="2257" customFormat="false" ht="15" hidden="false" customHeight="true" outlineLevel="0" collapsed="false">
      <c r="A2257" s="16"/>
      <c r="B2257" s="10"/>
      <c r="C2257" s="17" t="str">
        <f aca="false">IF($B2257="","",IFERROR(INDEX(품목마스터!$B$3:$B$302,MATCH($B2257,품목마스터!$A$3:$A$302,0)),"미등록품번"))</f>
        <v/>
      </c>
      <c r="D2257" s="17" t="str">
        <f aca="false">IF($B2257="","",IFERROR(INDEX(품목마스터!$D$3:$D$302,MATCH($B2257,품목마스터!$A$3:$A$302,0)),""))</f>
        <v/>
      </c>
      <c r="E2257" s="12"/>
      <c r="F2257" s="10"/>
    </row>
    <row r="2258" customFormat="false" ht="15" hidden="false" customHeight="true" outlineLevel="0" collapsed="false">
      <c r="A2258" s="16"/>
      <c r="B2258" s="10"/>
      <c r="C2258" s="17" t="str">
        <f aca="false">IF($B2258="","",IFERROR(INDEX(품목마스터!$B$3:$B$302,MATCH($B2258,품목마스터!$A$3:$A$302,0)),"미등록품번"))</f>
        <v/>
      </c>
      <c r="D2258" s="17" t="str">
        <f aca="false">IF($B2258="","",IFERROR(INDEX(품목마스터!$D$3:$D$302,MATCH($B2258,품목마스터!$A$3:$A$302,0)),""))</f>
        <v/>
      </c>
      <c r="E2258" s="12"/>
      <c r="F2258" s="10"/>
    </row>
    <row r="2259" customFormat="false" ht="15" hidden="false" customHeight="true" outlineLevel="0" collapsed="false">
      <c r="A2259" s="16"/>
      <c r="B2259" s="10"/>
      <c r="C2259" s="17" t="str">
        <f aca="false">IF($B2259="","",IFERROR(INDEX(품목마스터!$B$3:$B$302,MATCH($B2259,품목마스터!$A$3:$A$302,0)),"미등록품번"))</f>
        <v/>
      </c>
      <c r="D2259" s="17" t="str">
        <f aca="false">IF($B2259="","",IFERROR(INDEX(품목마스터!$D$3:$D$302,MATCH($B2259,품목마스터!$A$3:$A$302,0)),""))</f>
        <v/>
      </c>
      <c r="E2259" s="12"/>
      <c r="F2259" s="10"/>
    </row>
    <row r="2260" customFormat="false" ht="15" hidden="false" customHeight="true" outlineLevel="0" collapsed="false">
      <c r="A2260" s="16"/>
      <c r="B2260" s="10"/>
      <c r="C2260" s="17" t="str">
        <f aca="false">IF($B2260="","",IFERROR(INDEX(품목마스터!$B$3:$B$302,MATCH($B2260,품목마스터!$A$3:$A$302,0)),"미등록품번"))</f>
        <v/>
      </c>
      <c r="D2260" s="17" t="str">
        <f aca="false">IF($B2260="","",IFERROR(INDEX(품목마스터!$D$3:$D$302,MATCH($B2260,품목마스터!$A$3:$A$302,0)),""))</f>
        <v/>
      </c>
      <c r="E2260" s="12"/>
      <c r="F2260" s="10"/>
    </row>
    <row r="2261" customFormat="false" ht="15" hidden="false" customHeight="true" outlineLevel="0" collapsed="false">
      <c r="A2261" s="16"/>
      <c r="B2261" s="10"/>
      <c r="C2261" s="17" t="str">
        <f aca="false">IF($B2261="","",IFERROR(INDEX(품목마스터!$B$3:$B$302,MATCH($B2261,품목마스터!$A$3:$A$302,0)),"미등록품번"))</f>
        <v/>
      </c>
      <c r="D2261" s="17" t="str">
        <f aca="false">IF($B2261="","",IFERROR(INDEX(품목마스터!$D$3:$D$302,MATCH($B2261,품목마스터!$A$3:$A$302,0)),""))</f>
        <v/>
      </c>
      <c r="E2261" s="12"/>
      <c r="F2261" s="10"/>
    </row>
    <row r="2262" customFormat="false" ht="15" hidden="false" customHeight="true" outlineLevel="0" collapsed="false">
      <c r="A2262" s="16"/>
      <c r="B2262" s="10"/>
      <c r="C2262" s="17" t="str">
        <f aca="false">IF($B2262="","",IFERROR(INDEX(품목마스터!$B$3:$B$302,MATCH($B2262,품목마스터!$A$3:$A$302,0)),"미등록품번"))</f>
        <v/>
      </c>
      <c r="D2262" s="17" t="str">
        <f aca="false">IF($B2262="","",IFERROR(INDEX(품목마스터!$D$3:$D$302,MATCH($B2262,품목마스터!$A$3:$A$302,0)),""))</f>
        <v/>
      </c>
      <c r="E2262" s="12"/>
      <c r="F2262" s="10"/>
    </row>
    <row r="2263" customFormat="false" ht="15" hidden="false" customHeight="true" outlineLevel="0" collapsed="false">
      <c r="A2263" s="16"/>
      <c r="B2263" s="10"/>
      <c r="C2263" s="17" t="str">
        <f aca="false">IF($B2263="","",IFERROR(INDEX(품목마스터!$B$3:$B$302,MATCH($B2263,품목마스터!$A$3:$A$302,0)),"미등록품번"))</f>
        <v/>
      </c>
      <c r="D2263" s="17" t="str">
        <f aca="false">IF($B2263="","",IFERROR(INDEX(품목마스터!$D$3:$D$302,MATCH($B2263,품목마스터!$A$3:$A$302,0)),""))</f>
        <v/>
      </c>
      <c r="E2263" s="12"/>
      <c r="F2263" s="10"/>
    </row>
    <row r="2264" customFormat="false" ht="15" hidden="false" customHeight="true" outlineLevel="0" collapsed="false">
      <c r="A2264" s="16"/>
      <c r="B2264" s="10"/>
      <c r="C2264" s="17" t="str">
        <f aca="false">IF($B2264="","",IFERROR(INDEX(품목마스터!$B$3:$B$302,MATCH($B2264,품목마스터!$A$3:$A$302,0)),"미등록품번"))</f>
        <v/>
      </c>
      <c r="D2264" s="17" t="str">
        <f aca="false">IF($B2264="","",IFERROR(INDEX(품목마스터!$D$3:$D$302,MATCH($B2264,품목마스터!$A$3:$A$302,0)),""))</f>
        <v/>
      </c>
      <c r="E2264" s="12"/>
      <c r="F2264" s="10"/>
    </row>
    <row r="2265" customFormat="false" ht="15" hidden="false" customHeight="true" outlineLevel="0" collapsed="false">
      <c r="A2265" s="16"/>
      <c r="B2265" s="10"/>
      <c r="C2265" s="17" t="str">
        <f aca="false">IF($B2265="","",IFERROR(INDEX(품목마스터!$B$3:$B$302,MATCH($B2265,품목마스터!$A$3:$A$302,0)),"미등록품번"))</f>
        <v/>
      </c>
      <c r="D2265" s="17" t="str">
        <f aca="false">IF($B2265="","",IFERROR(INDEX(품목마스터!$D$3:$D$302,MATCH($B2265,품목마스터!$A$3:$A$302,0)),""))</f>
        <v/>
      </c>
      <c r="E2265" s="12"/>
      <c r="F2265" s="10"/>
    </row>
    <row r="2266" customFormat="false" ht="15" hidden="false" customHeight="true" outlineLevel="0" collapsed="false">
      <c r="A2266" s="16"/>
      <c r="B2266" s="10"/>
      <c r="C2266" s="17" t="str">
        <f aca="false">IF($B2266="","",IFERROR(INDEX(품목마스터!$B$3:$B$302,MATCH($B2266,품목마스터!$A$3:$A$302,0)),"미등록품번"))</f>
        <v/>
      </c>
      <c r="D2266" s="17" t="str">
        <f aca="false">IF($B2266="","",IFERROR(INDEX(품목마스터!$D$3:$D$302,MATCH($B2266,품목마스터!$A$3:$A$302,0)),""))</f>
        <v/>
      </c>
      <c r="E2266" s="12"/>
      <c r="F2266" s="10"/>
    </row>
    <row r="2267" customFormat="false" ht="15" hidden="false" customHeight="true" outlineLevel="0" collapsed="false">
      <c r="A2267" s="16"/>
      <c r="B2267" s="10"/>
      <c r="C2267" s="17" t="str">
        <f aca="false">IF($B2267="","",IFERROR(INDEX(품목마스터!$B$3:$B$302,MATCH($B2267,품목마스터!$A$3:$A$302,0)),"미등록품번"))</f>
        <v/>
      </c>
      <c r="D2267" s="17" t="str">
        <f aca="false">IF($B2267="","",IFERROR(INDEX(품목마스터!$D$3:$D$302,MATCH($B2267,품목마스터!$A$3:$A$302,0)),""))</f>
        <v/>
      </c>
      <c r="E2267" s="12"/>
      <c r="F2267" s="10"/>
    </row>
    <row r="2268" customFormat="false" ht="15" hidden="false" customHeight="true" outlineLevel="0" collapsed="false">
      <c r="A2268" s="16"/>
      <c r="B2268" s="10"/>
      <c r="C2268" s="17" t="str">
        <f aca="false">IF($B2268="","",IFERROR(INDEX(품목마스터!$B$3:$B$302,MATCH($B2268,품목마스터!$A$3:$A$302,0)),"미등록품번"))</f>
        <v/>
      </c>
      <c r="D2268" s="17" t="str">
        <f aca="false">IF($B2268="","",IFERROR(INDEX(품목마스터!$D$3:$D$302,MATCH($B2268,품목마스터!$A$3:$A$302,0)),""))</f>
        <v/>
      </c>
      <c r="E2268" s="12"/>
      <c r="F2268" s="10"/>
    </row>
    <row r="2269" customFormat="false" ht="15" hidden="false" customHeight="true" outlineLevel="0" collapsed="false">
      <c r="A2269" s="16"/>
      <c r="B2269" s="10"/>
      <c r="C2269" s="17" t="str">
        <f aca="false">IF($B2269="","",IFERROR(INDEX(품목마스터!$B$3:$B$302,MATCH($B2269,품목마스터!$A$3:$A$302,0)),"미등록품번"))</f>
        <v/>
      </c>
      <c r="D2269" s="17" t="str">
        <f aca="false">IF($B2269="","",IFERROR(INDEX(품목마스터!$D$3:$D$302,MATCH($B2269,품목마스터!$A$3:$A$302,0)),""))</f>
        <v/>
      </c>
      <c r="E2269" s="12"/>
      <c r="F2269" s="10"/>
    </row>
    <row r="2270" customFormat="false" ht="15" hidden="false" customHeight="true" outlineLevel="0" collapsed="false">
      <c r="A2270" s="16"/>
      <c r="B2270" s="10"/>
      <c r="C2270" s="17" t="str">
        <f aca="false">IF($B2270="","",IFERROR(INDEX(품목마스터!$B$3:$B$302,MATCH($B2270,품목마스터!$A$3:$A$302,0)),"미등록품번"))</f>
        <v/>
      </c>
      <c r="D2270" s="17" t="str">
        <f aca="false">IF($B2270="","",IFERROR(INDEX(품목마스터!$D$3:$D$302,MATCH($B2270,품목마스터!$A$3:$A$302,0)),""))</f>
        <v/>
      </c>
      <c r="E2270" s="12"/>
      <c r="F2270" s="10"/>
    </row>
    <row r="2271" customFormat="false" ht="15" hidden="false" customHeight="true" outlineLevel="0" collapsed="false">
      <c r="A2271" s="16"/>
      <c r="B2271" s="10"/>
      <c r="C2271" s="17" t="str">
        <f aca="false">IF($B2271="","",IFERROR(INDEX(품목마스터!$B$3:$B$302,MATCH($B2271,품목마스터!$A$3:$A$302,0)),"미등록품번"))</f>
        <v/>
      </c>
      <c r="D2271" s="17" t="str">
        <f aca="false">IF($B2271="","",IFERROR(INDEX(품목마스터!$D$3:$D$302,MATCH($B2271,품목마스터!$A$3:$A$302,0)),""))</f>
        <v/>
      </c>
      <c r="E2271" s="12"/>
      <c r="F2271" s="10"/>
    </row>
    <row r="2272" customFormat="false" ht="15" hidden="false" customHeight="true" outlineLevel="0" collapsed="false">
      <c r="A2272" s="16"/>
      <c r="B2272" s="10"/>
      <c r="C2272" s="17" t="str">
        <f aca="false">IF($B2272="","",IFERROR(INDEX(품목마스터!$B$3:$B$302,MATCH($B2272,품목마스터!$A$3:$A$302,0)),"미등록품번"))</f>
        <v/>
      </c>
      <c r="D2272" s="17" t="str">
        <f aca="false">IF($B2272="","",IFERROR(INDEX(품목마스터!$D$3:$D$302,MATCH($B2272,품목마스터!$A$3:$A$302,0)),""))</f>
        <v/>
      </c>
      <c r="E2272" s="12"/>
      <c r="F2272" s="10"/>
    </row>
    <row r="2273" customFormat="false" ht="15" hidden="false" customHeight="true" outlineLevel="0" collapsed="false">
      <c r="A2273" s="16"/>
      <c r="B2273" s="10"/>
      <c r="C2273" s="17" t="str">
        <f aca="false">IF($B2273="","",IFERROR(INDEX(품목마스터!$B$3:$B$302,MATCH($B2273,품목마스터!$A$3:$A$302,0)),"미등록품번"))</f>
        <v/>
      </c>
      <c r="D2273" s="17" t="str">
        <f aca="false">IF($B2273="","",IFERROR(INDEX(품목마스터!$D$3:$D$302,MATCH($B2273,품목마스터!$A$3:$A$302,0)),""))</f>
        <v/>
      </c>
      <c r="E2273" s="12"/>
      <c r="F2273" s="10"/>
    </row>
    <row r="2274" customFormat="false" ht="15" hidden="false" customHeight="true" outlineLevel="0" collapsed="false">
      <c r="A2274" s="16"/>
      <c r="B2274" s="10"/>
      <c r="C2274" s="17" t="str">
        <f aca="false">IF($B2274="","",IFERROR(INDEX(품목마스터!$B$3:$B$302,MATCH($B2274,품목마스터!$A$3:$A$302,0)),"미등록품번"))</f>
        <v/>
      </c>
      <c r="D2274" s="17" t="str">
        <f aca="false">IF($B2274="","",IFERROR(INDEX(품목마스터!$D$3:$D$302,MATCH($B2274,품목마스터!$A$3:$A$302,0)),""))</f>
        <v/>
      </c>
      <c r="E2274" s="12"/>
      <c r="F2274" s="10"/>
    </row>
    <row r="2275" customFormat="false" ht="15" hidden="false" customHeight="true" outlineLevel="0" collapsed="false">
      <c r="A2275" s="16"/>
      <c r="B2275" s="10"/>
      <c r="C2275" s="17" t="str">
        <f aca="false">IF($B2275="","",IFERROR(INDEX(품목마스터!$B$3:$B$302,MATCH($B2275,품목마스터!$A$3:$A$302,0)),"미등록품번"))</f>
        <v/>
      </c>
      <c r="D2275" s="17" t="str">
        <f aca="false">IF($B2275="","",IFERROR(INDEX(품목마스터!$D$3:$D$302,MATCH($B2275,품목마스터!$A$3:$A$302,0)),""))</f>
        <v/>
      </c>
      <c r="E2275" s="12"/>
      <c r="F2275" s="10"/>
    </row>
    <row r="2276" customFormat="false" ht="15" hidden="false" customHeight="true" outlineLevel="0" collapsed="false">
      <c r="A2276" s="16"/>
      <c r="B2276" s="10"/>
      <c r="C2276" s="17" t="str">
        <f aca="false">IF($B2276="","",IFERROR(INDEX(품목마스터!$B$3:$B$302,MATCH($B2276,품목마스터!$A$3:$A$302,0)),"미등록품번"))</f>
        <v/>
      </c>
      <c r="D2276" s="17" t="str">
        <f aca="false">IF($B2276="","",IFERROR(INDEX(품목마스터!$D$3:$D$302,MATCH($B2276,품목마스터!$A$3:$A$302,0)),""))</f>
        <v/>
      </c>
      <c r="E2276" s="12"/>
      <c r="F2276" s="10"/>
    </row>
    <row r="2277" customFormat="false" ht="15" hidden="false" customHeight="true" outlineLevel="0" collapsed="false">
      <c r="A2277" s="16"/>
      <c r="B2277" s="10"/>
      <c r="C2277" s="17" t="str">
        <f aca="false">IF($B2277="","",IFERROR(INDEX(품목마스터!$B$3:$B$302,MATCH($B2277,품목마스터!$A$3:$A$302,0)),"미등록품번"))</f>
        <v/>
      </c>
      <c r="D2277" s="17" t="str">
        <f aca="false">IF($B2277="","",IFERROR(INDEX(품목마스터!$D$3:$D$302,MATCH($B2277,품목마스터!$A$3:$A$302,0)),""))</f>
        <v/>
      </c>
      <c r="E2277" s="12"/>
      <c r="F2277" s="10"/>
    </row>
    <row r="2278" customFormat="false" ht="15" hidden="false" customHeight="true" outlineLevel="0" collapsed="false">
      <c r="A2278" s="16"/>
      <c r="B2278" s="10"/>
      <c r="C2278" s="17" t="str">
        <f aca="false">IF($B2278="","",IFERROR(INDEX(품목마스터!$B$3:$B$302,MATCH($B2278,품목마스터!$A$3:$A$302,0)),"미등록품번"))</f>
        <v/>
      </c>
      <c r="D2278" s="17" t="str">
        <f aca="false">IF($B2278="","",IFERROR(INDEX(품목마스터!$D$3:$D$302,MATCH($B2278,품목마스터!$A$3:$A$302,0)),""))</f>
        <v/>
      </c>
      <c r="E2278" s="12"/>
      <c r="F2278" s="10"/>
    </row>
    <row r="2279" customFormat="false" ht="15" hidden="false" customHeight="true" outlineLevel="0" collapsed="false">
      <c r="A2279" s="16"/>
      <c r="B2279" s="10"/>
      <c r="C2279" s="17" t="str">
        <f aca="false">IF($B2279="","",IFERROR(INDEX(품목마스터!$B$3:$B$302,MATCH($B2279,품목마스터!$A$3:$A$302,0)),"미등록품번"))</f>
        <v/>
      </c>
      <c r="D2279" s="17" t="str">
        <f aca="false">IF($B2279="","",IFERROR(INDEX(품목마스터!$D$3:$D$302,MATCH($B2279,품목마스터!$A$3:$A$302,0)),""))</f>
        <v/>
      </c>
      <c r="E2279" s="12"/>
      <c r="F2279" s="10"/>
    </row>
    <row r="2280" customFormat="false" ht="15" hidden="false" customHeight="true" outlineLevel="0" collapsed="false">
      <c r="A2280" s="16"/>
      <c r="B2280" s="10"/>
      <c r="C2280" s="17" t="str">
        <f aca="false">IF($B2280="","",IFERROR(INDEX(품목마스터!$B$3:$B$302,MATCH($B2280,품목마스터!$A$3:$A$302,0)),"미등록품번"))</f>
        <v/>
      </c>
      <c r="D2280" s="17" t="str">
        <f aca="false">IF($B2280="","",IFERROR(INDEX(품목마스터!$D$3:$D$302,MATCH($B2280,품목마스터!$A$3:$A$302,0)),""))</f>
        <v/>
      </c>
      <c r="E2280" s="12"/>
      <c r="F2280" s="10"/>
    </row>
    <row r="2281" customFormat="false" ht="15" hidden="false" customHeight="true" outlineLevel="0" collapsed="false">
      <c r="A2281" s="16"/>
      <c r="B2281" s="10"/>
      <c r="C2281" s="17" t="str">
        <f aca="false">IF($B2281="","",IFERROR(INDEX(품목마스터!$B$3:$B$302,MATCH($B2281,품목마스터!$A$3:$A$302,0)),"미등록품번"))</f>
        <v/>
      </c>
      <c r="D2281" s="17" t="str">
        <f aca="false">IF($B2281="","",IFERROR(INDEX(품목마스터!$D$3:$D$302,MATCH($B2281,품목마스터!$A$3:$A$302,0)),""))</f>
        <v/>
      </c>
      <c r="E2281" s="12"/>
      <c r="F2281" s="10"/>
    </row>
    <row r="2282" customFormat="false" ht="15" hidden="false" customHeight="true" outlineLevel="0" collapsed="false">
      <c r="A2282" s="16"/>
      <c r="B2282" s="10"/>
      <c r="C2282" s="17" t="str">
        <f aca="false">IF($B2282="","",IFERROR(INDEX(품목마스터!$B$3:$B$302,MATCH($B2282,품목마스터!$A$3:$A$302,0)),"미등록품번"))</f>
        <v/>
      </c>
      <c r="D2282" s="17" t="str">
        <f aca="false">IF($B2282="","",IFERROR(INDEX(품목마스터!$D$3:$D$302,MATCH($B2282,품목마스터!$A$3:$A$302,0)),""))</f>
        <v/>
      </c>
      <c r="E2282" s="12"/>
      <c r="F2282" s="10"/>
    </row>
    <row r="2283" customFormat="false" ht="15" hidden="false" customHeight="true" outlineLevel="0" collapsed="false">
      <c r="A2283" s="16"/>
      <c r="B2283" s="10"/>
      <c r="C2283" s="17" t="str">
        <f aca="false">IF($B2283="","",IFERROR(INDEX(품목마스터!$B$3:$B$302,MATCH($B2283,품목마스터!$A$3:$A$302,0)),"미등록품번"))</f>
        <v/>
      </c>
      <c r="D2283" s="17" t="str">
        <f aca="false">IF($B2283="","",IFERROR(INDEX(품목마스터!$D$3:$D$302,MATCH($B2283,품목마스터!$A$3:$A$302,0)),""))</f>
        <v/>
      </c>
      <c r="E2283" s="12"/>
      <c r="F2283" s="10"/>
    </row>
    <row r="2284" customFormat="false" ht="15" hidden="false" customHeight="true" outlineLevel="0" collapsed="false">
      <c r="A2284" s="16"/>
      <c r="B2284" s="10"/>
      <c r="C2284" s="17" t="str">
        <f aca="false">IF($B2284="","",IFERROR(INDEX(품목마스터!$B$3:$B$302,MATCH($B2284,품목마스터!$A$3:$A$302,0)),"미등록품번"))</f>
        <v/>
      </c>
      <c r="D2284" s="17" t="str">
        <f aca="false">IF($B2284="","",IFERROR(INDEX(품목마스터!$D$3:$D$302,MATCH($B2284,품목마스터!$A$3:$A$302,0)),""))</f>
        <v/>
      </c>
      <c r="E2284" s="12"/>
      <c r="F2284" s="10"/>
    </row>
    <row r="2285" customFormat="false" ht="15" hidden="false" customHeight="true" outlineLevel="0" collapsed="false">
      <c r="A2285" s="16"/>
      <c r="B2285" s="10"/>
      <c r="C2285" s="17" t="str">
        <f aca="false">IF($B2285="","",IFERROR(INDEX(품목마스터!$B$3:$B$302,MATCH($B2285,품목마스터!$A$3:$A$302,0)),"미등록품번"))</f>
        <v/>
      </c>
      <c r="D2285" s="17" t="str">
        <f aca="false">IF($B2285="","",IFERROR(INDEX(품목마스터!$D$3:$D$302,MATCH($B2285,품목마스터!$A$3:$A$302,0)),""))</f>
        <v/>
      </c>
      <c r="E2285" s="12"/>
      <c r="F2285" s="10"/>
    </row>
    <row r="2286" customFormat="false" ht="15" hidden="false" customHeight="true" outlineLevel="0" collapsed="false">
      <c r="A2286" s="16"/>
      <c r="B2286" s="10"/>
      <c r="C2286" s="17" t="str">
        <f aca="false">IF($B2286="","",IFERROR(INDEX(품목마스터!$B$3:$B$302,MATCH($B2286,품목마스터!$A$3:$A$302,0)),"미등록품번"))</f>
        <v/>
      </c>
      <c r="D2286" s="17" t="str">
        <f aca="false">IF($B2286="","",IFERROR(INDEX(품목마스터!$D$3:$D$302,MATCH($B2286,품목마스터!$A$3:$A$302,0)),""))</f>
        <v/>
      </c>
      <c r="E2286" s="12"/>
      <c r="F2286" s="10"/>
    </row>
    <row r="2287" customFormat="false" ht="15" hidden="false" customHeight="true" outlineLevel="0" collapsed="false">
      <c r="A2287" s="16"/>
      <c r="B2287" s="10"/>
      <c r="C2287" s="17" t="str">
        <f aca="false">IF($B2287="","",IFERROR(INDEX(품목마스터!$B$3:$B$302,MATCH($B2287,품목마스터!$A$3:$A$302,0)),"미등록품번"))</f>
        <v/>
      </c>
      <c r="D2287" s="17" t="str">
        <f aca="false">IF($B2287="","",IFERROR(INDEX(품목마스터!$D$3:$D$302,MATCH($B2287,품목마스터!$A$3:$A$302,0)),""))</f>
        <v/>
      </c>
      <c r="E2287" s="12"/>
      <c r="F2287" s="10"/>
    </row>
    <row r="2288" customFormat="false" ht="15" hidden="false" customHeight="true" outlineLevel="0" collapsed="false">
      <c r="A2288" s="16"/>
      <c r="B2288" s="10"/>
      <c r="C2288" s="17" t="str">
        <f aca="false">IF($B2288="","",IFERROR(INDEX(품목마스터!$B$3:$B$302,MATCH($B2288,품목마스터!$A$3:$A$302,0)),"미등록품번"))</f>
        <v/>
      </c>
      <c r="D2288" s="17" t="str">
        <f aca="false">IF($B2288="","",IFERROR(INDEX(품목마스터!$D$3:$D$302,MATCH($B2288,품목마스터!$A$3:$A$302,0)),""))</f>
        <v/>
      </c>
      <c r="E2288" s="12"/>
      <c r="F2288" s="10"/>
    </row>
    <row r="2289" customFormat="false" ht="15" hidden="false" customHeight="true" outlineLevel="0" collapsed="false">
      <c r="A2289" s="16"/>
      <c r="B2289" s="10"/>
      <c r="C2289" s="17" t="str">
        <f aca="false">IF($B2289="","",IFERROR(INDEX(품목마스터!$B$3:$B$302,MATCH($B2289,품목마스터!$A$3:$A$302,0)),"미등록품번"))</f>
        <v/>
      </c>
      <c r="D2289" s="17" t="str">
        <f aca="false">IF($B2289="","",IFERROR(INDEX(품목마스터!$D$3:$D$302,MATCH($B2289,품목마스터!$A$3:$A$302,0)),""))</f>
        <v/>
      </c>
      <c r="E2289" s="12"/>
      <c r="F2289" s="10"/>
    </row>
    <row r="2290" customFormat="false" ht="15" hidden="false" customHeight="true" outlineLevel="0" collapsed="false">
      <c r="A2290" s="16"/>
      <c r="B2290" s="10"/>
      <c r="C2290" s="17" t="str">
        <f aca="false">IF($B2290="","",IFERROR(INDEX(품목마스터!$B$3:$B$302,MATCH($B2290,품목마스터!$A$3:$A$302,0)),"미등록품번"))</f>
        <v/>
      </c>
      <c r="D2290" s="17" t="str">
        <f aca="false">IF($B2290="","",IFERROR(INDEX(품목마스터!$D$3:$D$302,MATCH($B2290,품목마스터!$A$3:$A$302,0)),""))</f>
        <v/>
      </c>
      <c r="E2290" s="12"/>
      <c r="F2290" s="10"/>
    </row>
    <row r="2291" customFormat="false" ht="15" hidden="false" customHeight="true" outlineLevel="0" collapsed="false">
      <c r="A2291" s="16"/>
      <c r="B2291" s="10"/>
      <c r="C2291" s="17" t="str">
        <f aca="false">IF($B2291="","",IFERROR(INDEX(품목마스터!$B$3:$B$302,MATCH($B2291,품목마스터!$A$3:$A$302,0)),"미등록품번"))</f>
        <v/>
      </c>
      <c r="D2291" s="17" t="str">
        <f aca="false">IF($B2291="","",IFERROR(INDEX(품목마스터!$D$3:$D$302,MATCH($B2291,품목마스터!$A$3:$A$302,0)),""))</f>
        <v/>
      </c>
      <c r="E2291" s="12"/>
      <c r="F2291" s="10"/>
    </row>
    <row r="2292" customFormat="false" ht="15" hidden="false" customHeight="true" outlineLevel="0" collapsed="false">
      <c r="A2292" s="16"/>
      <c r="B2292" s="10"/>
      <c r="C2292" s="17" t="str">
        <f aca="false">IF($B2292="","",IFERROR(INDEX(품목마스터!$B$3:$B$302,MATCH($B2292,품목마스터!$A$3:$A$302,0)),"미등록품번"))</f>
        <v/>
      </c>
      <c r="D2292" s="17" t="str">
        <f aca="false">IF($B2292="","",IFERROR(INDEX(품목마스터!$D$3:$D$302,MATCH($B2292,품목마스터!$A$3:$A$302,0)),""))</f>
        <v/>
      </c>
      <c r="E2292" s="12"/>
      <c r="F2292" s="10"/>
    </row>
    <row r="2293" customFormat="false" ht="15" hidden="false" customHeight="true" outlineLevel="0" collapsed="false">
      <c r="A2293" s="16"/>
      <c r="B2293" s="10"/>
      <c r="C2293" s="17" t="str">
        <f aca="false">IF($B2293="","",IFERROR(INDEX(품목마스터!$B$3:$B$302,MATCH($B2293,품목마스터!$A$3:$A$302,0)),"미등록품번"))</f>
        <v/>
      </c>
      <c r="D2293" s="17" t="str">
        <f aca="false">IF($B2293="","",IFERROR(INDEX(품목마스터!$D$3:$D$302,MATCH($B2293,품목마스터!$A$3:$A$302,0)),""))</f>
        <v/>
      </c>
      <c r="E2293" s="12"/>
      <c r="F2293" s="10"/>
    </row>
    <row r="2294" customFormat="false" ht="15" hidden="false" customHeight="true" outlineLevel="0" collapsed="false">
      <c r="A2294" s="16"/>
      <c r="B2294" s="10"/>
      <c r="C2294" s="17" t="str">
        <f aca="false">IF($B2294="","",IFERROR(INDEX(품목마스터!$B$3:$B$302,MATCH($B2294,품목마스터!$A$3:$A$302,0)),"미등록품번"))</f>
        <v/>
      </c>
      <c r="D2294" s="17" t="str">
        <f aca="false">IF($B2294="","",IFERROR(INDEX(품목마스터!$D$3:$D$302,MATCH($B2294,품목마스터!$A$3:$A$302,0)),""))</f>
        <v/>
      </c>
      <c r="E2294" s="12"/>
      <c r="F2294" s="10"/>
    </row>
    <row r="2295" customFormat="false" ht="15" hidden="false" customHeight="true" outlineLevel="0" collapsed="false">
      <c r="A2295" s="16"/>
      <c r="B2295" s="10"/>
      <c r="C2295" s="17" t="str">
        <f aca="false">IF($B2295="","",IFERROR(INDEX(품목마스터!$B$3:$B$302,MATCH($B2295,품목마스터!$A$3:$A$302,0)),"미등록품번"))</f>
        <v/>
      </c>
      <c r="D2295" s="17" t="str">
        <f aca="false">IF($B2295="","",IFERROR(INDEX(품목마스터!$D$3:$D$302,MATCH($B2295,품목마스터!$A$3:$A$302,0)),""))</f>
        <v/>
      </c>
      <c r="E2295" s="12"/>
      <c r="F2295" s="10"/>
    </row>
    <row r="2296" customFormat="false" ht="15" hidden="false" customHeight="true" outlineLevel="0" collapsed="false">
      <c r="A2296" s="16"/>
      <c r="B2296" s="10"/>
      <c r="C2296" s="17" t="str">
        <f aca="false">IF($B2296="","",IFERROR(INDEX(품목마스터!$B$3:$B$302,MATCH($B2296,품목마스터!$A$3:$A$302,0)),"미등록품번"))</f>
        <v/>
      </c>
      <c r="D2296" s="17" t="str">
        <f aca="false">IF($B2296="","",IFERROR(INDEX(품목마스터!$D$3:$D$302,MATCH($B2296,품목마스터!$A$3:$A$302,0)),""))</f>
        <v/>
      </c>
      <c r="E2296" s="12"/>
      <c r="F2296" s="10"/>
    </row>
    <row r="2297" customFormat="false" ht="15" hidden="false" customHeight="true" outlineLevel="0" collapsed="false">
      <c r="A2297" s="16"/>
      <c r="B2297" s="10"/>
      <c r="C2297" s="17" t="str">
        <f aca="false">IF($B2297="","",IFERROR(INDEX(품목마스터!$B$3:$B$302,MATCH($B2297,품목마스터!$A$3:$A$302,0)),"미등록품번"))</f>
        <v/>
      </c>
      <c r="D2297" s="17" t="str">
        <f aca="false">IF($B2297="","",IFERROR(INDEX(품목마스터!$D$3:$D$302,MATCH($B2297,품목마스터!$A$3:$A$302,0)),""))</f>
        <v/>
      </c>
      <c r="E2297" s="12"/>
      <c r="F2297" s="10"/>
    </row>
    <row r="2298" customFormat="false" ht="15" hidden="false" customHeight="true" outlineLevel="0" collapsed="false">
      <c r="A2298" s="16"/>
      <c r="B2298" s="10"/>
      <c r="C2298" s="17" t="str">
        <f aca="false">IF($B2298="","",IFERROR(INDEX(품목마스터!$B$3:$B$302,MATCH($B2298,품목마스터!$A$3:$A$302,0)),"미등록품번"))</f>
        <v/>
      </c>
      <c r="D2298" s="17" t="str">
        <f aca="false">IF($B2298="","",IFERROR(INDEX(품목마스터!$D$3:$D$302,MATCH($B2298,품목마스터!$A$3:$A$302,0)),""))</f>
        <v/>
      </c>
      <c r="E2298" s="12"/>
      <c r="F2298" s="10"/>
    </row>
    <row r="2299" customFormat="false" ht="15" hidden="false" customHeight="true" outlineLevel="0" collapsed="false">
      <c r="A2299" s="16"/>
      <c r="B2299" s="10"/>
      <c r="C2299" s="17" t="str">
        <f aca="false">IF($B2299="","",IFERROR(INDEX(품목마스터!$B$3:$B$302,MATCH($B2299,품목마스터!$A$3:$A$302,0)),"미등록품번"))</f>
        <v/>
      </c>
      <c r="D2299" s="17" t="str">
        <f aca="false">IF($B2299="","",IFERROR(INDEX(품목마스터!$D$3:$D$302,MATCH($B2299,품목마스터!$A$3:$A$302,0)),""))</f>
        <v/>
      </c>
      <c r="E2299" s="12"/>
      <c r="F2299" s="10"/>
    </row>
    <row r="2300" customFormat="false" ht="15" hidden="false" customHeight="true" outlineLevel="0" collapsed="false">
      <c r="A2300" s="16"/>
      <c r="B2300" s="10"/>
      <c r="C2300" s="17" t="str">
        <f aca="false">IF($B2300="","",IFERROR(INDEX(품목마스터!$B$3:$B$302,MATCH($B2300,품목마스터!$A$3:$A$302,0)),"미등록품번"))</f>
        <v/>
      </c>
      <c r="D2300" s="17" t="str">
        <f aca="false">IF($B2300="","",IFERROR(INDEX(품목마스터!$D$3:$D$302,MATCH($B2300,품목마스터!$A$3:$A$302,0)),""))</f>
        <v/>
      </c>
      <c r="E2300" s="12"/>
      <c r="F2300" s="10"/>
    </row>
    <row r="2301" customFormat="false" ht="15" hidden="false" customHeight="true" outlineLevel="0" collapsed="false">
      <c r="A2301" s="16"/>
      <c r="B2301" s="10"/>
      <c r="C2301" s="17" t="str">
        <f aca="false">IF($B2301="","",IFERROR(INDEX(품목마스터!$B$3:$B$302,MATCH($B2301,품목마스터!$A$3:$A$302,0)),"미등록품번"))</f>
        <v/>
      </c>
      <c r="D2301" s="17" t="str">
        <f aca="false">IF($B2301="","",IFERROR(INDEX(품목마스터!$D$3:$D$302,MATCH($B2301,품목마스터!$A$3:$A$302,0)),""))</f>
        <v/>
      </c>
      <c r="E2301" s="12"/>
      <c r="F2301" s="10"/>
    </row>
    <row r="2302" customFormat="false" ht="15" hidden="false" customHeight="true" outlineLevel="0" collapsed="false">
      <c r="A2302" s="16"/>
      <c r="B2302" s="10"/>
      <c r="C2302" s="17" t="str">
        <f aca="false">IF($B2302="","",IFERROR(INDEX(품목마스터!$B$3:$B$302,MATCH($B2302,품목마스터!$A$3:$A$302,0)),"미등록품번"))</f>
        <v/>
      </c>
      <c r="D2302" s="17" t="str">
        <f aca="false">IF($B2302="","",IFERROR(INDEX(품목마스터!$D$3:$D$302,MATCH($B2302,품목마스터!$A$3:$A$302,0)),""))</f>
        <v/>
      </c>
      <c r="E2302" s="12"/>
      <c r="F2302" s="10"/>
    </row>
    <row r="2303" customFormat="false" ht="15" hidden="false" customHeight="true" outlineLevel="0" collapsed="false">
      <c r="A2303" s="16"/>
      <c r="B2303" s="10"/>
      <c r="C2303" s="17" t="str">
        <f aca="false">IF($B2303="","",IFERROR(INDEX(품목마스터!$B$3:$B$302,MATCH($B2303,품목마스터!$A$3:$A$302,0)),"미등록품번"))</f>
        <v/>
      </c>
      <c r="D2303" s="17" t="str">
        <f aca="false">IF($B2303="","",IFERROR(INDEX(품목마스터!$D$3:$D$302,MATCH($B2303,품목마스터!$A$3:$A$302,0)),""))</f>
        <v/>
      </c>
      <c r="E2303" s="12"/>
      <c r="F2303" s="10"/>
    </row>
    <row r="2304" customFormat="false" ht="15" hidden="false" customHeight="true" outlineLevel="0" collapsed="false">
      <c r="A2304" s="16"/>
      <c r="B2304" s="10"/>
      <c r="C2304" s="17" t="str">
        <f aca="false">IF($B2304="","",IFERROR(INDEX(품목마스터!$B$3:$B$302,MATCH($B2304,품목마스터!$A$3:$A$302,0)),"미등록품번"))</f>
        <v/>
      </c>
      <c r="D2304" s="17" t="str">
        <f aca="false">IF($B2304="","",IFERROR(INDEX(품목마스터!$D$3:$D$302,MATCH($B2304,품목마스터!$A$3:$A$302,0)),""))</f>
        <v/>
      </c>
      <c r="E2304" s="12"/>
      <c r="F2304" s="10"/>
    </row>
    <row r="2305" customFormat="false" ht="15" hidden="false" customHeight="true" outlineLevel="0" collapsed="false">
      <c r="A2305" s="16"/>
      <c r="B2305" s="10"/>
      <c r="C2305" s="17" t="str">
        <f aca="false">IF($B2305="","",IFERROR(INDEX(품목마스터!$B$3:$B$302,MATCH($B2305,품목마스터!$A$3:$A$302,0)),"미등록품번"))</f>
        <v/>
      </c>
      <c r="D2305" s="17" t="str">
        <f aca="false">IF($B2305="","",IFERROR(INDEX(품목마스터!$D$3:$D$302,MATCH($B2305,품목마스터!$A$3:$A$302,0)),""))</f>
        <v/>
      </c>
      <c r="E2305" s="12"/>
      <c r="F2305" s="10"/>
    </row>
    <row r="2306" customFormat="false" ht="15" hidden="false" customHeight="true" outlineLevel="0" collapsed="false">
      <c r="A2306" s="16"/>
      <c r="B2306" s="10"/>
      <c r="C2306" s="17" t="str">
        <f aca="false">IF($B2306="","",IFERROR(INDEX(품목마스터!$B$3:$B$302,MATCH($B2306,품목마스터!$A$3:$A$302,0)),"미등록품번"))</f>
        <v/>
      </c>
      <c r="D2306" s="17" t="str">
        <f aca="false">IF($B2306="","",IFERROR(INDEX(품목마스터!$D$3:$D$302,MATCH($B2306,품목마스터!$A$3:$A$302,0)),""))</f>
        <v/>
      </c>
      <c r="E2306" s="12"/>
      <c r="F2306" s="10"/>
    </row>
    <row r="2307" customFormat="false" ht="15" hidden="false" customHeight="true" outlineLevel="0" collapsed="false">
      <c r="A2307" s="16"/>
      <c r="B2307" s="10"/>
      <c r="C2307" s="17" t="str">
        <f aca="false">IF($B2307="","",IFERROR(INDEX(품목마스터!$B$3:$B$302,MATCH($B2307,품목마스터!$A$3:$A$302,0)),"미등록품번"))</f>
        <v/>
      </c>
      <c r="D2307" s="17" t="str">
        <f aca="false">IF($B2307="","",IFERROR(INDEX(품목마스터!$D$3:$D$302,MATCH($B2307,품목마스터!$A$3:$A$302,0)),""))</f>
        <v/>
      </c>
      <c r="E2307" s="12"/>
      <c r="F2307" s="10"/>
    </row>
    <row r="2308" customFormat="false" ht="15" hidden="false" customHeight="true" outlineLevel="0" collapsed="false">
      <c r="A2308" s="16"/>
      <c r="B2308" s="10"/>
      <c r="C2308" s="17" t="str">
        <f aca="false">IF($B2308="","",IFERROR(INDEX(품목마스터!$B$3:$B$302,MATCH($B2308,품목마스터!$A$3:$A$302,0)),"미등록품번"))</f>
        <v/>
      </c>
      <c r="D2308" s="17" t="str">
        <f aca="false">IF($B2308="","",IFERROR(INDEX(품목마스터!$D$3:$D$302,MATCH($B2308,품목마스터!$A$3:$A$302,0)),""))</f>
        <v/>
      </c>
      <c r="E2308" s="12"/>
      <c r="F2308" s="10"/>
    </row>
    <row r="2309" customFormat="false" ht="15" hidden="false" customHeight="true" outlineLevel="0" collapsed="false">
      <c r="A2309" s="16"/>
      <c r="B2309" s="10"/>
      <c r="C2309" s="17" t="str">
        <f aca="false">IF($B2309="","",IFERROR(INDEX(품목마스터!$B$3:$B$302,MATCH($B2309,품목마스터!$A$3:$A$302,0)),"미등록품번"))</f>
        <v/>
      </c>
      <c r="D2309" s="17" t="str">
        <f aca="false">IF($B2309="","",IFERROR(INDEX(품목마스터!$D$3:$D$302,MATCH($B2309,품목마스터!$A$3:$A$302,0)),""))</f>
        <v/>
      </c>
      <c r="E2309" s="12"/>
      <c r="F2309" s="10"/>
    </row>
    <row r="2310" customFormat="false" ht="15" hidden="false" customHeight="true" outlineLevel="0" collapsed="false">
      <c r="A2310" s="16"/>
      <c r="B2310" s="10"/>
      <c r="C2310" s="17" t="str">
        <f aca="false">IF($B2310="","",IFERROR(INDEX(품목마스터!$B$3:$B$302,MATCH($B2310,품목마스터!$A$3:$A$302,0)),"미등록품번"))</f>
        <v/>
      </c>
      <c r="D2310" s="17" t="str">
        <f aca="false">IF($B2310="","",IFERROR(INDEX(품목마스터!$D$3:$D$302,MATCH($B2310,품목마스터!$A$3:$A$302,0)),""))</f>
        <v/>
      </c>
      <c r="E2310" s="12"/>
      <c r="F2310" s="10"/>
    </row>
    <row r="2311" customFormat="false" ht="15" hidden="false" customHeight="true" outlineLevel="0" collapsed="false">
      <c r="A2311" s="16"/>
      <c r="B2311" s="10"/>
      <c r="C2311" s="17" t="str">
        <f aca="false">IF($B2311="","",IFERROR(INDEX(품목마스터!$B$3:$B$302,MATCH($B2311,품목마스터!$A$3:$A$302,0)),"미등록품번"))</f>
        <v/>
      </c>
      <c r="D2311" s="17" t="str">
        <f aca="false">IF($B2311="","",IFERROR(INDEX(품목마스터!$D$3:$D$302,MATCH($B2311,품목마스터!$A$3:$A$302,0)),""))</f>
        <v/>
      </c>
      <c r="E2311" s="12"/>
      <c r="F2311" s="10"/>
    </row>
    <row r="2312" customFormat="false" ht="15" hidden="false" customHeight="true" outlineLevel="0" collapsed="false">
      <c r="A2312" s="16"/>
      <c r="B2312" s="10"/>
      <c r="C2312" s="17" t="str">
        <f aca="false">IF($B2312="","",IFERROR(INDEX(품목마스터!$B$3:$B$302,MATCH($B2312,품목마스터!$A$3:$A$302,0)),"미등록품번"))</f>
        <v/>
      </c>
      <c r="D2312" s="17" t="str">
        <f aca="false">IF($B2312="","",IFERROR(INDEX(품목마스터!$D$3:$D$302,MATCH($B2312,품목마스터!$A$3:$A$302,0)),""))</f>
        <v/>
      </c>
      <c r="E2312" s="12"/>
      <c r="F2312" s="10"/>
    </row>
    <row r="2313" customFormat="false" ht="15" hidden="false" customHeight="true" outlineLevel="0" collapsed="false">
      <c r="A2313" s="16"/>
      <c r="B2313" s="10"/>
      <c r="C2313" s="17" t="str">
        <f aca="false">IF($B2313="","",IFERROR(INDEX(품목마스터!$B$3:$B$302,MATCH($B2313,품목마스터!$A$3:$A$302,0)),"미등록품번"))</f>
        <v/>
      </c>
      <c r="D2313" s="17" t="str">
        <f aca="false">IF($B2313="","",IFERROR(INDEX(품목마스터!$D$3:$D$302,MATCH($B2313,품목마스터!$A$3:$A$302,0)),""))</f>
        <v/>
      </c>
      <c r="E2313" s="12"/>
      <c r="F2313" s="10"/>
    </row>
    <row r="2314" customFormat="false" ht="15" hidden="false" customHeight="true" outlineLevel="0" collapsed="false">
      <c r="A2314" s="16"/>
      <c r="B2314" s="10"/>
      <c r="C2314" s="17" t="str">
        <f aca="false">IF($B2314="","",IFERROR(INDEX(품목마스터!$B$3:$B$302,MATCH($B2314,품목마스터!$A$3:$A$302,0)),"미등록품번"))</f>
        <v/>
      </c>
      <c r="D2314" s="17" t="str">
        <f aca="false">IF($B2314="","",IFERROR(INDEX(품목마스터!$D$3:$D$302,MATCH($B2314,품목마스터!$A$3:$A$302,0)),""))</f>
        <v/>
      </c>
      <c r="E2314" s="12"/>
      <c r="F2314" s="10"/>
    </row>
    <row r="2315" customFormat="false" ht="15" hidden="false" customHeight="true" outlineLevel="0" collapsed="false">
      <c r="A2315" s="16"/>
      <c r="B2315" s="10"/>
      <c r="C2315" s="17" t="str">
        <f aca="false">IF($B2315="","",IFERROR(INDEX(품목마스터!$B$3:$B$302,MATCH($B2315,품목마스터!$A$3:$A$302,0)),"미등록품번"))</f>
        <v/>
      </c>
      <c r="D2315" s="17" t="str">
        <f aca="false">IF($B2315="","",IFERROR(INDEX(품목마스터!$D$3:$D$302,MATCH($B2315,품목마스터!$A$3:$A$302,0)),""))</f>
        <v/>
      </c>
      <c r="E2315" s="12"/>
      <c r="F2315" s="10"/>
    </row>
    <row r="2316" customFormat="false" ht="15" hidden="false" customHeight="true" outlineLevel="0" collapsed="false">
      <c r="A2316" s="16"/>
      <c r="B2316" s="10"/>
      <c r="C2316" s="17" t="str">
        <f aca="false">IF($B2316="","",IFERROR(INDEX(품목마스터!$B$3:$B$302,MATCH($B2316,품목마스터!$A$3:$A$302,0)),"미등록품번"))</f>
        <v/>
      </c>
      <c r="D2316" s="17" t="str">
        <f aca="false">IF($B2316="","",IFERROR(INDEX(품목마스터!$D$3:$D$302,MATCH($B2316,품목마스터!$A$3:$A$302,0)),""))</f>
        <v/>
      </c>
      <c r="E2316" s="12"/>
      <c r="F2316" s="10"/>
    </row>
    <row r="2317" customFormat="false" ht="15" hidden="false" customHeight="true" outlineLevel="0" collapsed="false">
      <c r="A2317" s="16"/>
      <c r="B2317" s="10"/>
      <c r="C2317" s="17" t="str">
        <f aca="false">IF($B2317="","",IFERROR(INDEX(품목마스터!$B$3:$B$302,MATCH($B2317,품목마스터!$A$3:$A$302,0)),"미등록품번"))</f>
        <v/>
      </c>
      <c r="D2317" s="17" t="str">
        <f aca="false">IF($B2317="","",IFERROR(INDEX(품목마스터!$D$3:$D$302,MATCH($B2317,품목마스터!$A$3:$A$302,0)),""))</f>
        <v/>
      </c>
      <c r="E2317" s="12"/>
      <c r="F2317" s="10"/>
    </row>
    <row r="2318" customFormat="false" ht="15" hidden="false" customHeight="true" outlineLevel="0" collapsed="false">
      <c r="A2318" s="16"/>
      <c r="B2318" s="10"/>
      <c r="C2318" s="17" t="str">
        <f aca="false">IF($B2318="","",IFERROR(INDEX(품목마스터!$B$3:$B$302,MATCH($B2318,품목마스터!$A$3:$A$302,0)),"미등록품번"))</f>
        <v/>
      </c>
      <c r="D2318" s="17" t="str">
        <f aca="false">IF($B2318="","",IFERROR(INDEX(품목마스터!$D$3:$D$302,MATCH($B2318,품목마스터!$A$3:$A$302,0)),""))</f>
        <v/>
      </c>
      <c r="E2318" s="12"/>
      <c r="F2318" s="10"/>
    </row>
    <row r="2319" customFormat="false" ht="15" hidden="false" customHeight="true" outlineLevel="0" collapsed="false">
      <c r="A2319" s="16"/>
      <c r="B2319" s="10"/>
      <c r="C2319" s="17" t="str">
        <f aca="false">IF($B2319="","",IFERROR(INDEX(품목마스터!$B$3:$B$302,MATCH($B2319,품목마스터!$A$3:$A$302,0)),"미등록품번"))</f>
        <v/>
      </c>
      <c r="D2319" s="17" t="str">
        <f aca="false">IF($B2319="","",IFERROR(INDEX(품목마스터!$D$3:$D$302,MATCH($B2319,품목마스터!$A$3:$A$302,0)),""))</f>
        <v/>
      </c>
      <c r="E2319" s="12"/>
      <c r="F2319" s="10"/>
    </row>
    <row r="2320" customFormat="false" ht="15" hidden="false" customHeight="true" outlineLevel="0" collapsed="false">
      <c r="A2320" s="16"/>
      <c r="B2320" s="10"/>
      <c r="C2320" s="17" t="str">
        <f aca="false">IF($B2320="","",IFERROR(INDEX(품목마스터!$B$3:$B$302,MATCH($B2320,품목마스터!$A$3:$A$302,0)),"미등록품번"))</f>
        <v/>
      </c>
      <c r="D2320" s="17" t="str">
        <f aca="false">IF($B2320="","",IFERROR(INDEX(품목마스터!$D$3:$D$302,MATCH($B2320,품목마스터!$A$3:$A$302,0)),""))</f>
        <v/>
      </c>
      <c r="E2320" s="12"/>
      <c r="F2320" s="10"/>
    </row>
    <row r="2321" customFormat="false" ht="15" hidden="false" customHeight="true" outlineLevel="0" collapsed="false">
      <c r="A2321" s="16"/>
      <c r="B2321" s="10"/>
      <c r="C2321" s="17" t="str">
        <f aca="false">IF($B2321="","",IFERROR(INDEX(품목마스터!$B$3:$B$302,MATCH($B2321,품목마스터!$A$3:$A$302,0)),"미등록품번"))</f>
        <v/>
      </c>
      <c r="D2321" s="17" t="str">
        <f aca="false">IF($B2321="","",IFERROR(INDEX(품목마스터!$D$3:$D$302,MATCH($B2321,품목마스터!$A$3:$A$302,0)),""))</f>
        <v/>
      </c>
      <c r="E2321" s="12"/>
      <c r="F2321" s="10"/>
    </row>
    <row r="2322" customFormat="false" ht="15" hidden="false" customHeight="true" outlineLevel="0" collapsed="false">
      <c r="A2322" s="16"/>
      <c r="B2322" s="10"/>
      <c r="C2322" s="17" t="str">
        <f aca="false">IF($B2322="","",IFERROR(INDEX(품목마스터!$B$3:$B$302,MATCH($B2322,품목마스터!$A$3:$A$302,0)),"미등록품번"))</f>
        <v/>
      </c>
      <c r="D2322" s="17" t="str">
        <f aca="false">IF($B2322="","",IFERROR(INDEX(품목마스터!$D$3:$D$302,MATCH($B2322,품목마스터!$A$3:$A$302,0)),""))</f>
        <v/>
      </c>
      <c r="E2322" s="12"/>
      <c r="F2322" s="10"/>
    </row>
    <row r="2323" customFormat="false" ht="15" hidden="false" customHeight="true" outlineLevel="0" collapsed="false">
      <c r="A2323" s="16"/>
      <c r="B2323" s="10"/>
      <c r="C2323" s="17" t="str">
        <f aca="false">IF($B2323="","",IFERROR(INDEX(품목마스터!$B$3:$B$302,MATCH($B2323,품목마스터!$A$3:$A$302,0)),"미등록품번"))</f>
        <v/>
      </c>
      <c r="D2323" s="17" t="str">
        <f aca="false">IF($B2323="","",IFERROR(INDEX(품목마스터!$D$3:$D$302,MATCH($B2323,품목마스터!$A$3:$A$302,0)),""))</f>
        <v/>
      </c>
      <c r="E2323" s="12"/>
      <c r="F2323" s="10"/>
    </row>
    <row r="2324" customFormat="false" ht="15" hidden="false" customHeight="true" outlineLevel="0" collapsed="false">
      <c r="A2324" s="16"/>
      <c r="B2324" s="10"/>
      <c r="C2324" s="17" t="str">
        <f aca="false">IF($B2324="","",IFERROR(INDEX(품목마스터!$B$3:$B$302,MATCH($B2324,품목마스터!$A$3:$A$302,0)),"미등록품번"))</f>
        <v/>
      </c>
      <c r="D2324" s="17" t="str">
        <f aca="false">IF($B2324="","",IFERROR(INDEX(품목마스터!$D$3:$D$302,MATCH($B2324,품목마스터!$A$3:$A$302,0)),""))</f>
        <v/>
      </c>
      <c r="E2324" s="12"/>
      <c r="F2324" s="10"/>
    </row>
    <row r="2325" customFormat="false" ht="15" hidden="false" customHeight="true" outlineLevel="0" collapsed="false">
      <c r="A2325" s="16"/>
      <c r="B2325" s="10"/>
      <c r="C2325" s="17" t="str">
        <f aca="false">IF($B2325="","",IFERROR(INDEX(품목마스터!$B$3:$B$302,MATCH($B2325,품목마스터!$A$3:$A$302,0)),"미등록품번"))</f>
        <v/>
      </c>
      <c r="D2325" s="17" t="str">
        <f aca="false">IF($B2325="","",IFERROR(INDEX(품목마스터!$D$3:$D$302,MATCH($B2325,품목마스터!$A$3:$A$302,0)),""))</f>
        <v/>
      </c>
      <c r="E2325" s="12"/>
      <c r="F2325" s="10"/>
    </row>
    <row r="2326" customFormat="false" ht="15" hidden="false" customHeight="true" outlineLevel="0" collapsed="false">
      <c r="A2326" s="16"/>
      <c r="B2326" s="10"/>
      <c r="C2326" s="17" t="str">
        <f aca="false">IF($B2326="","",IFERROR(INDEX(품목마스터!$B$3:$B$302,MATCH($B2326,품목마스터!$A$3:$A$302,0)),"미등록품번"))</f>
        <v/>
      </c>
      <c r="D2326" s="17" t="str">
        <f aca="false">IF($B2326="","",IFERROR(INDEX(품목마스터!$D$3:$D$302,MATCH($B2326,품목마스터!$A$3:$A$302,0)),""))</f>
        <v/>
      </c>
      <c r="E2326" s="12"/>
      <c r="F2326" s="10"/>
    </row>
    <row r="2327" customFormat="false" ht="15" hidden="false" customHeight="true" outlineLevel="0" collapsed="false">
      <c r="A2327" s="16"/>
      <c r="B2327" s="10"/>
      <c r="C2327" s="17" t="str">
        <f aca="false">IF($B2327="","",IFERROR(INDEX(품목마스터!$B$3:$B$302,MATCH($B2327,품목마스터!$A$3:$A$302,0)),"미등록품번"))</f>
        <v/>
      </c>
      <c r="D2327" s="17" t="str">
        <f aca="false">IF($B2327="","",IFERROR(INDEX(품목마스터!$D$3:$D$302,MATCH($B2327,품목마스터!$A$3:$A$302,0)),""))</f>
        <v/>
      </c>
      <c r="E2327" s="12"/>
      <c r="F2327" s="10"/>
    </row>
    <row r="2328" customFormat="false" ht="15" hidden="false" customHeight="true" outlineLevel="0" collapsed="false">
      <c r="A2328" s="16"/>
      <c r="B2328" s="10"/>
      <c r="C2328" s="17" t="str">
        <f aca="false">IF($B2328="","",IFERROR(INDEX(품목마스터!$B$3:$B$302,MATCH($B2328,품목마스터!$A$3:$A$302,0)),"미등록품번"))</f>
        <v/>
      </c>
      <c r="D2328" s="17" t="str">
        <f aca="false">IF($B2328="","",IFERROR(INDEX(품목마스터!$D$3:$D$302,MATCH($B2328,품목마스터!$A$3:$A$302,0)),""))</f>
        <v/>
      </c>
      <c r="E2328" s="12"/>
      <c r="F2328" s="10"/>
    </row>
    <row r="2329" customFormat="false" ht="15" hidden="false" customHeight="true" outlineLevel="0" collapsed="false">
      <c r="A2329" s="16"/>
      <c r="B2329" s="10"/>
      <c r="C2329" s="17" t="str">
        <f aca="false">IF($B2329="","",IFERROR(INDEX(품목마스터!$B$3:$B$302,MATCH($B2329,품목마스터!$A$3:$A$302,0)),"미등록품번"))</f>
        <v/>
      </c>
      <c r="D2329" s="17" t="str">
        <f aca="false">IF($B2329="","",IFERROR(INDEX(품목마스터!$D$3:$D$302,MATCH($B2329,품목마스터!$A$3:$A$302,0)),""))</f>
        <v/>
      </c>
      <c r="E2329" s="12"/>
      <c r="F2329" s="10"/>
    </row>
    <row r="2330" customFormat="false" ht="15" hidden="false" customHeight="true" outlineLevel="0" collapsed="false">
      <c r="A2330" s="16"/>
      <c r="B2330" s="10"/>
      <c r="C2330" s="17" t="str">
        <f aca="false">IF($B2330="","",IFERROR(INDEX(품목마스터!$B$3:$B$302,MATCH($B2330,품목마스터!$A$3:$A$302,0)),"미등록품번"))</f>
        <v/>
      </c>
      <c r="D2330" s="17" t="str">
        <f aca="false">IF($B2330="","",IFERROR(INDEX(품목마스터!$D$3:$D$302,MATCH($B2330,품목마스터!$A$3:$A$302,0)),""))</f>
        <v/>
      </c>
      <c r="E2330" s="12"/>
      <c r="F2330" s="10"/>
    </row>
    <row r="2331" customFormat="false" ht="15" hidden="false" customHeight="true" outlineLevel="0" collapsed="false">
      <c r="A2331" s="16"/>
      <c r="B2331" s="10"/>
      <c r="C2331" s="17" t="str">
        <f aca="false">IF($B2331="","",IFERROR(INDEX(품목마스터!$B$3:$B$302,MATCH($B2331,품목마스터!$A$3:$A$302,0)),"미등록품번"))</f>
        <v/>
      </c>
      <c r="D2331" s="17" t="str">
        <f aca="false">IF($B2331="","",IFERROR(INDEX(품목마스터!$D$3:$D$302,MATCH($B2331,품목마스터!$A$3:$A$302,0)),""))</f>
        <v/>
      </c>
      <c r="E2331" s="12"/>
      <c r="F2331" s="10"/>
    </row>
    <row r="2332" customFormat="false" ht="15" hidden="false" customHeight="true" outlineLevel="0" collapsed="false">
      <c r="A2332" s="16"/>
      <c r="B2332" s="10"/>
      <c r="C2332" s="17" t="str">
        <f aca="false">IF($B2332="","",IFERROR(INDEX(품목마스터!$B$3:$B$302,MATCH($B2332,품목마스터!$A$3:$A$302,0)),"미등록품번"))</f>
        <v/>
      </c>
      <c r="D2332" s="17" t="str">
        <f aca="false">IF($B2332="","",IFERROR(INDEX(품목마스터!$D$3:$D$302,MATCH($B2332,품목마스터!$A$3:$A$302,0)),""))</f>
        <v/>
      </c>
      <c r="E2332" s="12"/>
      <c r="F2332" s="10"/>
    </row>
    <row r="2333" customFormat="false" ht="15" hidden="false" customHeight="true" outlineLevel="0" collapsed="false">
      <c r="A2333" s="16"/>
      <c r="B2333" s="10"/>
      <c r="C2333" s="17" t="str">
        <f aca="false">IF($B2333="","",IFERROR(INDEX(품목마스터!$B$3:$B$302,MATCH($B2333,품목마스터!$A$3:$A$302,0)),"미등록품번"))</f>
        <v/>
      </c>
      <c r="D2333" s="17" t="str">
        <f aca="false">IF($B2333="","",IFERROR(INDEX(품목마스터!$D$3:$D$302,MATCH($B2333,품목마스터!$A$3:$A$302,0)),""))</f>
        <v/>
      </c>
      <c r="E2333" s="12"/>
      <c r="F2333" s="10"/>
    </row>
    <row r="2334" customFormat="false" ht="15" hidden="false" customHeight="true" outlineLevel="0" collapsed="false">
      <c r="A2334" s="16"/>
      <c r="B2334" s="10"/>
      <c r="C2334" s="17" t="str">
        <f aca="false">IF($B2334="","",IFERROR(INDEX(품목마스터!$B$3:$B$302,MATCH($B2334,품목마스터!$A$3:$A$302,0)),"미등록품번"))</f>
        <v/>
      </c>
      <c r="D2334" s="17" t="str">
        <f aca="false">IF($B2334="","",IFERROR(INDEX(품목마스터!$D$3:$D$302,MATCH($B2334,품목마스터!$A$3:$A$302,0)),""))</f>
        <v/>
      </c>
      <c r="E2334" s="12"/>
      <c r="F2334" s="10"/>
    </row>
    <row r="2335" customFormat="false" ht="15" hidden="false" customHeight="true" outlineLevel="0" collapsed="false">
      <c r="A2335" s="16"/>
      <c r="B2335" s="10"/>
      <c r="C2335" s="17" t="str">
        <f aca="false">IF($B2335="","",IFERROR(INDEX(품목마스터!$B$3:$B$302,MATCH($B2335,품목마스터!$A$3:$A$302,0)),"미등록품번"))</f>
        <v/>
      </c>
      <c r="D2335" s="17" t="str">
        <f aca="false">IF($B2335="","",IFERROR(INDEX(품목마스터!$D$3:$D$302,MATCH($B2335,품목마스터!$A$3:$A$302,0)),""))</f>
        <v/>
      </c>
      <c r="E2335" s="12"/>
      <c r="F2335" s="10"/>
    </row>
    <row r="2336" customFormat="false" ht="15" hidden="false" customHeight="true" outlineLevel="0" collapsed="false">
      <c r="A2336" s="16"/>
      <c r="B2336" s="10"/>
      <c r="C2336" s="17" t="str">
        <f aca="false">IF($B2336="","",IFERROR(INDEX(품목마스터!$B$3:$B$302,MATCH($B2336,품목마스터!$A$3:$A$302,0)),"미등록품번"))</f>
        <v/>
      </c>
      <c r="D2336" s="17" t="str">
        <f aca="false">IF($B2336="","",IFERROR(INDEX(품목마스터!$D$3:$D$302,MATCH($B2336,품목마스터!$A$3:$A$302,0)),""))</f>
        <v/>
      </c>
      <c r="E2336" s="12"/>
      <c r="F2336" s="10"/>
    </row>
    <row r="2337" customFormat="false" ht="15" hidden="false" customHeight="true" outlineLevel="0" collapsed="false">
      <c r="A2337" s="16"/>
      <c r="B2337" s="10"/>
      <c r="C2337" s="17" t="str">
        <f aca="false">IF($B2337="","",IFERROR(INDEX(품목마스터!$B$3:$B$302,MATCH($B2337,품목마스터!$A$3:$A$302,0)),"미등록품번"))</f>
        <v/>
      </c>
      <c r="D2337" s="17" t="str">
        <f aca="false">IF($B2337="","",IFERROR(INDEX(품목마스터!$D$3:$D$302,MATCH($B2337,품목마스터!$A$3:$A$302,0)),""))</f>
        <v/>
      </c>
      <c r="E2337" s="12"/>
      <c r="F2337" s="10"/>
    </row>
    <row r="2338" customFormat="false" ht="15" hidden="false" customHeight="true" outlineLevel="0" collapsed="false">
      <c r="A2338" s="16"/>
      <c r="B2338" s="10"/>
      <c r="C2338" s="17" t="str">
        <f aca="false">IF($B2338="","",IFERROR(INDEX(품목마스터!$B$3:$B$302,MATCH($B2338,품목마스터!$A$3:$A$302,0)),"미등록품번"))</f>
        <v/>
      </c>
      <c r="D2338" s="17" t="str">
        <f aca="false">IF($B2338="","",IFERROR(INDEX(품목마스터!$D$3:$D$302,MATCH($B2338,품목마스터!$A$3:$A$302,0)),""))</f>
        <v/>
      </c>
      <c r="E2338" s="12"/>
      <c r="F2338" s="10"/>
    </row>
    <row r="2339" customFormat="false" ht="15" hidden="false" customHeight="true" outlineLevel="0" collapsed="false">
      <c r="A2339" s="16"/>
      <c r="B2339" s="10"/>
      <c r="C2339" s="17" t="str">
        <f aca="false">IF($B2339="","",IFERROR(INDEX(품목마스터!$B$3:$B$302,MATCH($B2339,품목마스터!$A$3:$A$302,0)),"미등록품번"))</f>
        <v/>
      </c>
      <c r="D2339" s="17" t="str">
        <f aca="false">IF($B2339="","",IFERROR(INDEX(품목마스터!$D$3:$D$302,MATCH($B2339,품목마스터!$A$3:$A$302,0)),""))</f>
        <v/>
      </c>
      <c r="E2339" s="12"/>
      <c r="F2339" s="10"/>
    </row>
    <row r="2340" customFormat="false" ht="15" hidden="false" customHeight="true" outlineLevel="0" collapsed="false">
      <c r="A2340" s="16"/>
      <c r="B2340" s="10"/>
      <c r="C2340" s="17" t="str">
        <f aca="false">IF($B2340="","",IFERROR(INDEX(품목마스터!$B$3:$B$302,MATCH($B2340,품목마스터!$A$3:$A$302,0)),"미등록품번"))</f>
        <v/>
      </c>
      <c r="D2340" s="17" t="str">
        <f aca="false">IF($B2340="","",IFERROR(INDEX(품목마스터!$D$3:$D$302,MATCH($B2340,품목마스터!$A$3:$A$302,0)),""))</f>
        <v/>
      </c>
      <c r="E2340" s="12"/>
      <c r="F2340" s="10"/>
    </row>
    <row r="2341" customFormat="false" ht="15" hidden="false" customHeight="true" outlineLevel="0" collapsed="false">
      <c r="A2341" s="16"/>
      <c r="B2341" s="10"/>
      <c r="C2341" s="17" t="str">
        <f aca="false">IF($B2341="","",IFERROR(INDEX(품목마스터!$B$3:$B$302,MATCH($B2341,품목마스터!$A$3:$A$302,0)),"미등록품번"))</f>
        <v/>
      </c>
      <c r="D2341" s="17" t="str">
        <f aca="false">IF($B2341="","",IFERROR(INDEX(품목마스터!$D$3:$D$302,MATCH($B2341,품목마스터!$A$3:$A$302,0)),""))</f>
        <v/>
      </c>
      <c r="E2341" s="12"/>
      <c r="F2341" s="10"/>
    </row>
    <row r="2342" customFormat="false" ht="15" hidden="false" customHeight="true" outlineLevel="0" collapsed="false">
      <c r="A2342" s="16"/>
      <c r="B2342" s="10"/>
      <c r="C2342" s="17" t="str">
        <f aca="false">IF($B2342="","",IFERROR(INDEX(품목마스터!$B$3:$B$302,MATCH($B2342,품목마스터!$A$3:$A$302,0)),"미등록품번"))</f>
        <v/>
      </c>
      <c r="D2342" s="17" t="str">
        <f aca="false">IF($B2342="","",IFERROR(INDEX(품목마스터!$D$3:$D$302,MATCH($B2342,품목마스터!$A$3:$A$302,0)),""))</f>
        <v/>
      </c>
      <c r="E2342" s="12"/>
      <c r="F2342" s="10"/>
    </row>
    <row r="2343" customFormat="false" ht="15" hidden="false" customHeight="true" outlineLevel="0" collapsed="false">
      <c r="A2343" s="16"/>
      <c r="B2343" s="10"/>
      <c r="C2343" s="17" t="str">
        <f aca="false">IF($B2343="","",IFERROR(INDEX(품목마스터!$B$3:$B$302,MATCH($B2343,품목마스터!$A$3:$A$302,0)),"미등록품번"))</f>
        <v/>
      </c>
      <c r="D2343" s="17" t="str">
        <f aca="false">IF($B2343="","",IFERROR(INDEX(품목마스터!$D$3:$D$302,MATCH($B2343,품목마스터!$A$3:$A$302,0)),""))</f>
        <v/>
      </c>
      <c r="E2343" s="12"/>
      <c r="F2343" s="10"/>
    </row>
    <row r="2344" customFormat="false" ht="15" hidden="false" customHeight="true" outlineLevel="0" collapsed="false">
      <c r="A2344" s="16"/>
      <c r="B2344" s="10"/>
      <c r="C2344" s="17" t="str">
        <f aca="false">IF($B2344="","",IFERROR(INDEX(품목마스터!$B$3:$B$302,MATCH($B2344,품목마스터!$A$3:$A$302,0)),"미등록품번"))</f>
        <v/>
      </c>
      <c r="D2344" s="17" t="str">
        <f aca="false">IF($B2344="","",IFERROR(INDEX(품목마스터!$D$3:$D$302,MATCH($B2344,품목마스터!$A$3:$A$302,0)),""))</f>
        <v/>
      </c>
      <c r="E2344" s="12"/>
      <c r="F2344" s="10"/>
    </row>
    <row r="2345" customFormat="false" ht="15" hidden="false" customHeight="true" outlineLevel="0" collapsed="false">
      <c r="A2345" s="16"/>
      <c r="B2345" s="10"/>
      <c r="C2345" s="17" t="str">
        <f aca="false">IF($B2345="","",IFERROR(INDEX(품목마스터!$B$3:$B$302,MATCH($B2345,품목마스터!$A$3:$A$302,0)),"미등록품번"))</f>
        <v/>
      </c>
      <c r="D2345" s="17" t="str">
        <f aca="false">IF($B2345="","",IFERROR(INDEX(품목마스터!$D$3:$D$302,MATCH($B2345,품목마스터!$A$3:$A$302,0)),""))</f>
        <v/>
      </c>
      <c r="E2345" s="12"/>
      <c r="F2345" s="10"/>
    </row>
    <row r="2346" customFormat="false" ht="15" hidden="false" customHeight="true" outlineLevel="0" collapsed="false">
      <c r="A2346" s="16"/>
      <c r="B2346" s="10"/>
      <c r="C2346" s="17" t="str">
        <f aca="false">IF($B2346="","",IFERROR(INDEX(품목마스터!$B$3:$B$302,MATCH($B2346,품목마스터!$A$3:$A$302,0)),"미등록품번"))</f>
        <v/>
      </c>
      <c r="D2346" s="17" t="str">
        <f aca="false">IF($B2346="","",IFERROR(INDEX(품목마스터!$D$3:$D$302,MATCH($B2346,품목마스터!$A$3:$A$302,0)),""))</f>
        <v/>
      </c>
      <c r="E2346" s="12"/>
      <c r="F2346" s="10"/>
    </row>
    <row r="2347" customFormat="false" ht="15" hidden="false" customHeight="true" outlineLevel="0" collapsed="false">
      <c r="A2347" s="16"/>
      <c r="B2347" s="10"/>
      <c r="C2347" s="17" t="str">
        <f aca="false">IF($B2347="","",IFERROR(INDEX(품목마스터!$B$3:$B$302,MATCH($B2347,품목마스터!$A$3:$A$302,0)),"미등록품번"))</f>
        <v/>
      </c>
      <c r="D2347" s="17" t="str">
        <f aca="false">IF($B2347="","",IFERROR(INDEX(품목마스터!$D$3:$D$302,MATCH($B2347,품목마스터!$A$3:$A$302,0)),""))</f>
        <v/>
      </c>
      <c r="E2347" s="12"/>
      <c r="F2347" s="10"/>
    </row>
    <row r="2348" customFormat="false" ht="15" hidden="false" customHeight="true" outlineLevel="0" collapsed="false">
      <c r="A2348" s="16"/>
      <c r="B2348" s="10"/>
      <c r="C2348" s="17" t="str">
        <f aca="false">IF($B2348="","",IFERROR(INDEX(품목마스터!$B$3:$B$302,MATCH($B2348,품목마스터!$A$3:$A$302,0)),"미등록품번"))</f>
        <v/>
      </c>
      <c r="D2348" s="17" t="str">
        <f aca="false">IF($B2348="","",IFERROR(INDEX(품목마스터!$D$3:$D$302,MATCH($B2348,품목마스터!$A$3:$A$302,0)),""))</f>
        <v/>
      </c>
      <c r="E2348" s="12"/>
      <c r="F2348" s="10"/>
    </row>
    <row r="2349" customFormat="false" ht="15" hidden="false" customHeight="true" outlineLevel="0" collapsed="false">
      <c r="A2349" s="16"/>
      <c r="B2349" s="10"/>
      <c r="C2349" s="17" t="str">
        <f aca="false">IF($B2349="","",IFERROR(INDEX(품목마스터!$B$3:$B$302,MATCH($B2349,품목마스터!$A$3:$A$302,0)),"미등록품번"))</f>
        <v/>
      </c>
      <c r="D2349" s="17" t="str">
        <f aca="false">IF($B2349="","",IFERROR(INDEX(품목마스터!$D$3:$D$302,MATCH($B2349,품목마스터!$A$3:$A$302,0)),""))</f>
        <v/>
      </c>
      <c r="E2349" s="12"/>
      <c r="F2349" s="10"/>
    </row>
    <row r="2350" customFormat="false" ht="15" hidden="false" customHeight="true" outlineLevel="0" collapsed="false">
      <c r="A2350" s="16"/>
      <c r="B2350" s="10"/>
      <c r="C2350" s="17" t="str">
        <f aca="false">IF($B2350="","",IFERROR(INDEX(품목마스터!$B$3:$B$302,MATCH($B2350,품목마스터!$A$3:$A$302,0)),"미등록품번"))</f>
        <v/>
      </c>
      <c r="D2350" s="17" t="str">
        <f aca="false">IF($B2350="","",IFERROR(INDEX(품목마스터!$D$3:$D$302,MATCH($B2350,품목마스터!$A$3:$A$302,0)),""))</f>
        <v/>
      </c>
      <c r="E2350" s="12"/>
      <c r="F2350" s="10"/>
    </row>
    <row r="2351" customFormat="false" ht="15" hidden="false" customHeight="true" outlineLevel="0" collapsed="false">
      <c r="A2351" s="16"/>
      <c r="B2351" s="10"/>
      <c r="C2351" s="17" t="str">
        <f aca="false">IF($B2351="","",IFERROR(INDEX(품목마스터!$B$3:$B$302,MATCH($B2351,품목마스터!$A$3:$A$302,0)),"미등록품번"))</f>
        <v/>
      </c>
      <c r="D2351" s="17" t="str">
        <f aca="false">IF($B2351="","",IFERROR(INDEX(품목마스터!$D$3:$D$302,MATCH($B2351,품목마스터!$A$3:$A$302,0)),""))</f>
        <v/>
      </c>
      <c r="E2351" s="12"/>
      <c r="F2351" s="10"/>
    </row>
    <row r="2352" customFormat="false" ht="15" hidden="false" customHeight="true" outlineLevel="0" collapsed="false">
      <c r="A2352" s="16"/>
      <c r="B2352" s="10"/>
      <c r="C2352" s="17" t="str">
        <f aca="false">IF($B2352="","",IFERROR(INDEX(품목마스터!$B$3:$B$302,MATCH($B2352,품목마스터!$A$3:$A$302,0)),"미등록품번"))</f>
        <v/>
      </c>
      <c r="D2352" s="17" t="str">
        <f aca="false">IF($B2352="","",IFERROR(INDEX(품목마스터!$D$3:$D$302,MATCH($B2352,품목마스터!$A$3:$A$302,0)),""))</f>
        <v/>
      </c>
      <c r="E2352" s="12"/>
      <c r="F2352" s="10"/>
    </row>
    <row r="2353" customFormat="false" ht="15" hidden="false" customHeight="true" outlineLevel="0" collapsed="false">
      <c r="A2353" s="16"/>
      <c r="B2353" s="10"/>
      <c r="C2353" s="17" t="str">
        <f aca="false">IF($B2353="","",IFERROR(INDEX(품목마스터!$B$3:$B$302,MATCH($B2353,품목마스터!$A$3:$A$302,0)),"미등록품번"))</f>
        <v/>
      </c>
      <c r="D2353" s="17" t="str">
        <f aca="false">IF($B2353="","",IFERROR(INDEX(품목마스터!$D$3:$D$302,MATCH($B2353,품목마스터!$A$3:$A$302,0)),""))</f>
        <v/>
      </c>
      <c r="E2353" s="12"/>
      <c r="F2353" s="10"/>
    </row>
    <row r="2354" customFormat="false" ht="15" hidden="false" customHeight="true" outlineLevel="0" collapsed="false">
      <c r="A2354" s="16"/>
      <c r="B2354" s="10"/>
      <c r="C2354" s="17" t="str">
        <f aca="false">IF($B2354="","",IFERROR(INDEX(품목마스터!$B$3:$B$302,MATCH($B2354,품목마스터!$A$3:$A$302,0)),"미등록품번"))</f>
        <v/>
      </c>
      <c r="D2354" s="17" t="str">
        <f aca="false">IF($B2354="","",IFERROR(INDEX(품목마스터!$D$3:$D$302,MATCH($B2354,품목마스터!$A$3:$A$302,0)),""))</f>
        <v/>
      </c>
      <c r="E2354" s="12"/>
      <c r="F2354" s="10"/>
    </row>
    <row r="2355" customFormat="false" ht="15" hidden="false" customHeight="true" outlineLevel="0" collapsed="false">
      <c r="A2355" s="16"/>
      <c r="B2355" s="10"/>
      <c r="C2355" s="17" t="str">
        <f aca="false">IF($B2355="","",IFERROR(INDEX(품목마스터!$B$3:$B$302,MATCH($B2355,품목마스터!$A$3:$A$302,0)),"미등록품번"))</f>
        <v/>
      </c>
      <c r="D2355" s="17" t="str">
        <f aca="false">IF($B2355="","",IFERROR(INDEX(품목마스터!$D$3:$D$302,MATCH($B2355,품목마스터!$A$3:$A$302,0)),""))</f>
        <v/>
      </c>
      <c r="E2355" s="12"/>
      <c r="F2355" s="10"/>
    </row>
    <row r="2356" customFormat="false" ht="15" hidden="false" customHeight="true" outlineLevel="0" collapsed="false">
      <c r="A2356" s="16"/>
      <c r="B2356" s="10"/>
      <c r="C2356" s="17" t="str">
        <f aca="false">IF($B2356="","",IFERROR(INDEX(품목마스터!$B$3:$B$302,MATCH($B2356,품목마스터!$A$3:$A$302,0)),"미등록품번"))</f>
        <v/>
      </c>
      <c r="D2356" s="17" t="str">
        <f aca="false">IF($B2356="","",IFERROR(INDEX(품목마스터!$D$3:$D$302,MATCH($B2356,품목마스터!$A$3:$A$302,0)),""))</f>
        <v/>
      </c>
      <c r="E2356" s="12"/>
      <c r="F2356" s="10"/>
    </row>
    <row r="2357" customFormat="false" ht="15" hidden="false" customHeight="true" outlineLevel="0" collapsed="false">
      <c r="A2357" s="16"/>
      <c r="B2357" s="10"/>
      <c r="C2357" s="17" t="str">
        <f aca="false">IF($B2357="","",IFERROR(INDEX(품목마스터!$B$3:$B$302,MATCH($B2357,품목마스터!$A$3:$A$302,0)),"미등록품번"))</f>
        <v/>
      </c>
      <c r="D2357" s="17" t="str">
        <f aca="false">IF($B2357="","",IFERROR(INDEX(품목마스터!$D$3:$D$302,MATCH($B2357,품목마스터!$A$3:$A$302,0)),""))</f>
        <v/>
      </c>
      <c r="E2357" s="12"/>
      <c r="F2357" s="10"/>
    </row>
    <row r="2358" customFormat="false" ht="15" hidden="false" customHeight="true" outlineLevel="0" collapsed="false">
      <c r="A2358" s="16"/>
      <c r="B2358" s="10"/>
      <c r="C2358" s="17" t="str">
        <f aca="false">IF($B2358="","",IFERROR(INDEX(품목마스터!$B$3:$B$302,MATCH($B2358,품목마스터!$A$3:$A$302,0)),"미등록품번"))</f>
        <v/>
      </c>
      <c r="D2358" s="17" t="str">
        <f aca="false">IF($B2358="","",IFERROR(INDEX(품목마스터!$D$3:$D$302,MATCH($B2358,품목마스터!$A$3:$A$302,0)),""))</f>
        <v/>
      </c>
      <c r="E2358" s="12"/>
      <c r="F2358" s="10"/>
    </row>
    <row r="2359" customFormat="false" ht="15" hidden="false" customHeight="true" outlineLevel="0" collapsed="false">
      <c r="A2359" s="16"/>
      <c r="B2359" s="10"/>
      <c r="C2359" s="17" t="str">
        <f aca="false">IF($B2359="","",IFERROR(INDEX(품목마스터!$B$3:$B$302,MATCH($B2359,품목마스터!$A$3:$A$302,0)),"미등록품번"))</f>
        <v/>
      </c>
      <c r="D2359" s="17" t="str">
        <f aca="false">IF($B2359="","",IFERROR(INDEX(품목마스터!$D$3:$D$302,MATCH($B2359,품목마스터!$A$3:$A$302,0)),""))</f>
        <v/>
      </c>
      <c r="E2359" s="12"/>
      <c r="F2359" s="10"/>
    </row>
    <row r="2360" customFormat="false" ht="15" hidden="false" customHeight="true" outlineLevel="0" collapsed="false">
      <c r="A2360" s="16"/>
      <c r="B2360" s="10"/>
      <c r="C2360" s="17" t="str">
        <f aca="false">IF($B2360="","",IFERROR(INDEX(품목마스터!$B$3:$B$302,MATCH($B2360,품목마스터!$A$3:$A$302,0)),"미등록품번"))</f>
        <v/>
      </c>
      <c r="D2360" s="17" t="str">
        <f aca="false">IF($B2360="","",IFERROR(INDEX(품목마스터!$D$3:$D$302,MATCH($B2360,품목마스터!$A$3:$A$302,0)),""))</f>
        <v/>
      </c>
      <c r="E2360" s="12"/>
      <c r="F2360" s="10"/>
    </row>
    <row r="2361" customFormat="false" ht="15" hidden="false" customHeight="true" outlineLevel="0" collapsed="false">
      <c r="A2361" s="16"/>
      <c r="B2361" s="10"/>
      <c r="C2361" s="17" t="str">
        <f aca="false">IF($B2361="","",IFERROR(INDEX(품목마스터!$B$3:$B$302,MATCH($B2361,품목마스터!$A$3:$A$302,0)),"미등록품번"))</f>
        <v/>
      </c>
      <c r="D2361" s="17" t="str">
        <f aca="false">IF($B2361="","",IFERROR(INDEX(품목마스터!$D$3:$D$302,MATCH($B2361,품목마스터!$A$3:$A$302,0)),""))</f>
        <v/>
      </c>
      <c r="E2361" s="12"/>
      <c r="F2361" s="10"/>
    </row>
    <row r="2362" customFormat="false" ht="15" hidden="false" customHeight="true" outlineLevel="0" collapsed="false">
      <c r="A2362" s="16"/>
      <c r="B2362" s="10"/>
      <c r="C2362" s="17" t="str">
        <f aca="false">IF($B2362="","",IFERROR(INDEX(품목마스터!$B$3:$B$302,MATCH($B2362,품목마스터!$A$3:$A$302,0)),"미등록품번"))</f>
        <v/>
      </c>
      <c r="D2362" s="17" t="str">
        <f aca="false">IF($B2362="","",IFERROR(INDEX(품목마스터!$D$3:$D$302,MATCH($B2362,품목마스터!$A$3:$A$302,0)),""))</f>
        <v/>
      </c>
      <c r="E2362" s="12"/>
      <c r="F2362" s="10"/>
    </row>
    <row r="2363" customFormat="false" ht="15" hidden="false" customHeight="true" outlineLevel="0" collapsed="false">
      <c r="A2363" s="16"/>
      <c r="B2363" s="10"/>
      <c r="C2363" s="17" t="str">
        <f aca="false">IF($B2363="","",IFERROR(INDEX(품목마스터!$B$3:$B$302,MATCH($B2363,품목마스터!$A$3:$A$302,0)),"미등록품번"))</f>
        <v/>
      </c>
      <c r="D2363" s="17" t="str">
        <f aca="false">IF($B2363="","",IFERROR(INDEX(품목마스터!$D$3:$D$302,MATCH($B2363,품목마스터!$A$3:$A$302,0)),""))</f>
        <v/>
      </c>
      <c r="E2363" s="12"/>
      <c r="F2363" s="10"/>
    </row>
    <row r="2364" customFormat="false" ht="15" hidden="false" customHeight="true" outlineLevel="0" collapsed="false">
      <c r="A2364" s="16"/>
      <c r="B2364" s="10"/>
      <c r="C2364" s="17" t="str">
        <f aca="false">IF($B2364="","",IFERROR(INDEX(품목마스터!$B$3:$B$302,MATCH($B2364,품목마스터!$A$3:$A$302,0)),"미등록품번"))</f>
        <v/>
      </c>
      <c r="D2364" s="17" t="str">
        <f aca="false">IF($B2364="","",IFERROR(INDEX(품목마스터!$D$3:$D$302,MATCH($B2364,품목마스터!$A$3:$A$302,0)),""))</f>
        <v/>
      </c>
      <c r="E2364" s="12"/>
      <c r="F2364" s="10"/>
    </row>
    <row r="2365" customFormat="false" ht="15" hidden="false" customHeight="true" outlineLevel="0" collapsed="false">
      <c r="A2365" s="16"/>
      <c r="B2365" s="10"/>
      <c r="C2365" s="17" t="str">
        <f aca="false">IF($B2365="","",IFERROR(INDEX(품목마스터!$B$3:$B$302,MATCH($B2365,품목마스터!$A$3:$A$302,0)),"미등록품번"))</f>
        <v/>
      </c>
      <c r="D2365" s="17" t="str">
        <f aca="false">IF($B2365="","",IFERROR(INDEX(품목마스터!$D$3:$D$302,MATCH($B2365,품목마스터!$A$3:$A$302,0)),""))</f>
        <v/>
      </c>
      <c r="E2365" s="12"/>
      <c r="F2365" s="10"/>
    </row>
    <row r="2366" customFormat="false" ht="15" hidden="false" customHeight="true" outlineLevel="0" collapsed="false">
      <c r="A2366" s="16"/>
      <c r="B2366" s="10"/>
      <c r="C2366" s="17" t="str">
        <f aca="false">IF($B2366="","",IFERROR(INDEX(품목마스터!$B$3:$B$302,MATCH($B2366,품목마스터!$A$3:$A$302,0)),"미등록품번"))</f>
        <v/>
      </c>
      <c r="D2366" s="17" t="str">
        <f aca="false">IF($B2366="","",IFERROR(INDEX(품목마스터!$D$3:$D$302,MATCH($B2366,품목마스터!$A$3:$A$302,0)),""))</f>
        <v/>
      </c>
      <c r="E2366" s="12"/>
      <c r="F2366" s="10"/>
    </row>
    <row r="2367" customFormat="false" ht="15" hidden="false" customHeight="true" outlineLevel="0" collapsed="false">
      <c r="A2367" s="16"/>
      <c r="B2367" s="10"/>
      <c r="C2367" s="17" t="str">
        <f aca="false">IF($B2367="","",IFERROR(INDEX(품목마스터!$B$3:$B$302,MATCH($B2367,품목마스터!$A$3:$A$302,0)),"미등록품번"))</f>
        <v/>
      </c>
      <c r="D2367" s="17" t="str">
        <f aca="false">IF($B2367="","",IFERROR(INDEX(품목마스터!$D$3:$D$302,MATCH($B2367,품목마스터!$A$3:$A$302,0)),""))</f>
        <v/>
      </c>
      <c r="E2367" s="12"/>
      <c r="F2367" s="10"/>
    </row>
    <row r="2368" customFormat="false" ht="15" hidden="false" customHeight="true" outlineLevel="0" collapsed="false">
      <c r="A2368" s="16"/>
      <c r="B2368" s="10"/>
      <c r="C2368" s="17" t="str">
        <f aca="false">IF($B2368="","",IFERROR(INDEX(품목마스터!$B$3:$B$302,MATCH($B2368,품목마스터!$A$3:$A$302,0)),"미등록품번"))</f>
        <v/>
      </c>
      <c r="D2368" s="17" t="str">
        <f aca="false">IF($B2368="","",IFERROR(INDEX(품목마스터!$D$3:$D$302,MATCH($B2368,품목마스터!$A$3:$A$302,0)),""))</f>
        <v/>
      </c>
      <c r="E2368" s="12"/>
      <c r="F2368" s="10"/>
    </row>
    <row r="2369" customFormat="false" ht="15" hidden="false" customHeight="true" outlineLevel="0" collapsed="false">
      <c r="A2369" s="16"/>
      <c r="B2369" s="10"/>
      <c r="C2369" s="17" t="str">
        <f aca="false">IF($B2369="","",IFERROR(INDEX(품목마스터!$B$3:$B$302,MATCH($B2369,품목마스터!$A$3:$A$302,0)),"미등록품번"))</f>
        <v/>
      </c>
      <c r="D2369" s="17" t="str">
        <f aca="false">IF($B2369="","",IFERROR(INDEX(품목마스터!$D$3:$D$302,MATCH($B2369,품목마스터!$A$3:$A$302,0)),""))</f>
        <v/>
      </c>
      <c r="E2369" s="12"/>
      <c r="F2369" s="10"/>
    </row>
    <row r="2370" customFormat="false" ht="15" hidden="false" customHeight="true" outlineLevel="0" collapsed="false">
      <c r="A2370" s="16"/>
      <c r="B2370" s="10"/>
      <c r="C2370" s="17" t="str">
        <f aca="false">IF($B2370="","",IFERROR(INDEX(품목마스터!$B$3:$B$302,MATCH($B2370,품목마스터!$A$3:$A$302,0)),"미등록품번"))</f>
        <v/>
      </c>
      <c r="D2370" s="17" t="str">
        <f aca="false">IF($B2370="","",IFERROR(INDEX(품목마스터!$D$3:$D$302,MATCH($B2370,품목마스터!$A$3:$A$302,0)),""))</f>
        <v/>
      </c>
      <c r="E2370" s="12"/>
      <c r="F2370" s="10"/>
    </row>
    <row r="2371" customFormat="false" ht="15" hidden="false" customHeight="true" outlineLevel="0" collapsed="false">
      <c r="A2371" s="16"/>
      <c r="B2371" s="10"/>
      <c r="C2371" s="17" t="str">
        <f aca="false">IF($B2371="","",IFERROR(INDEX(품목마스터!$B$3:$B$302,MATCH($B2371,품목마스터!$A$3:$A$302,0)),"미등록품번"))</f>
        <v/>
      </c>
      <c r="D2371" s="17" t="str">
        <f aca="false">IF($B2371="","",IFERROR(INDEX(품목마스터!$D$3:$D$302,MATCH($B2371,품목마스터!$A$3:$A$302,0)),""))</f>
        <v/>
      </c>
      <c r="E2371" s="12"/>
      <c r="F2371" s="10"/>
    </row>
    <row r="2372" customFormat="false" ht="15" hidden="false" customHeight="true" outlineLevel="0" collapsed="false">
      <c r="A2372" s="16"/>
      <c r="B2372" s="10"/>
      <c r="C2372" s="17" t="str">
        <f aca="false">IF($B2372="","",IFERROR(INDEX(품목마스터!$B$3:$B$302,MATCH($B2372,품목마스터!$A$3:$A$302,0)),"미등록품번"))</f>
        <v/>
      </c>
      <c r="D2372" s="17" t="str">
        <f aca="false">IF($B2372="","",IFERROR(INDEX(품목마스터!$D$3:$D$302,MATCH($B2372,품목마스터!$A$3:$A$302,0)),""))</f>
        <v/>
      </c>
      <c r="E2372" s="12"/>
      <c r="F2372" s="10"/>
    </row>
    <row r="2373" customFormat="false" ht="15" hidden="false" customHeight="true" outlineLevel="0" collapsed="false">
      <c r="A2373" s="16"/>
      <c r="B2373" s="10"/>
      <c r="C2373" s="17" t="str">
        <f aca="false">IF($B2373="","",IFERROR(INDEX(품목마스터!$B$3:$B$302,MATCH($B2373,품목마스터!$A$3:$A$302,0)),"미등록품번"))</f>
        <v/>
      </c>
      <c r="D2373" s="17" t="str">
        <f aca="false">IF($B2373="","",IFERROR(INDEX(품목마스터!$D$3:$D$302,MATCH($B2373,품목마스터!$A$3:$A$302,0)),""))</f>
        <v/>
      </c>
      <c r="E2373" s="12"/>
      <c r="F2373" s="10"/>
    </row>
    <row r="2374" customFormat="false" ht="15" hidden="false" customHeight="true" outlineLevel="0" collapsed="false">
      <c r="A2374" s="16"/>
      <c r="B2374" s="10"/>
      <c r="C2374" s="17" t="str">
        <f aca="false">IF($B2374="","",IFERROR(INDEX(품목마스터!$B$3:$B$302,MATCH($B2374,품목마스터!$A$3:$A$302,0)),"미등록품번"))</f>
        <v/>
      </c>
      <c r="D2374" s="17" t="str">
        <f aca="false">IF($B2374="","",IFERROR(INDEX(품목마스터!$D$3:$D$302,MATCH($B2374,품목마스터!$A$3:$A$302,0)),""))</f>
        <v/>
      </c>
      <c r="E2374" s="12"/>
      <c r="F2374" s="10"/>
    </row>
    <row r="2375" customFormat="false" ht="15" hidden="false" customHeight="true" outlineLevel="0" collapsed="false">
      <c r="A2375" s="16"/>
      <c r="B2375" s="10"/>
      <c r="C2375" s="17" t="str">
        <f aca="false">IF($B2375="","",IFERROR(INDEX(품목마스터!$B$3:$B$302,MATCH($B2375,품목마스터!$A$3:$A$302,0)),"미등록품번"))</f>
        <v/>
      </c>
      <c r="D2375" s="17" t="str">
        <f aca="false">IF($B2375="","",IFERROR(INDEX(품목마스터!$D$3:$D$302,MATCH($B2375,품목마스터!$A$3:$A$302,0)),""))</f>
        <v/>
      </c>
      <c r="E2375" s="12"/>
      <c r="F2375" s="10"/>
    </row>
    <row r="2376" customFormat="false" ht="15" hidden="false" customHeight="true" outlineLevel="0" collapsed="false">
      <c r="A2376" s="16"/>
      <c r="B2376" s="10"/>
      <c r="C2376" s="17" t="str">
        <f aca="false">IF($B2376="","",IFERROR(INDEX(품목마스터!$B$3:$B$302,MATCH($B2376,품목마스터!$A$3:$A$302,0)),"미등록품번"))</f>
        <v/>
      </c>
      <c r="D2376" s="17" t="str">
        <f aca="false">IF($B2376="","",IFERROR(INDEX(품목마스터!$D$3:$D$302,MATCH($B2376,품목마스터!$A$3:$A$302,0)),""))</f>
        <v/>
      </c>
      <c r="E2376" s="12"/>
      <c r="F2376" s="10"/>
    </row>
    <row r="2377" customFormat="false" ht="15" hidden="false" customHeight="true" outlineLevel="0" collapsed="false">
      <c r="A2377" s="16"/>
      <c r="B2377" s="10"/>
      <c r="C2377" s="17" t="str">
        <f aca="false">IF($B2377="","",IFERROR(INDEX(품목마스터!$B$3:$B$302,MATCH($B2377,품목마스터!$A$3:$A$302,0)),"미등록품번"))</f>
        <v/>
      </c>
      <c r="D2377" s="17" t="str">
        <f aca="false">IF($B2377="","",IFERROR(INDEX(품목마스터!$D$3:$D$302,MATCH($B2377,품목마스터!$A$3:$A$302,0)),""))</f>
        <v/>
      </c>
      <c r="E2377" s="12"/>
      <c r="F2377" s="10"/>
    </row>
    <row r="2378" customFormat="false" ht="15" hidden="false" customHeight="true" outlineLevel="0" collapsed="false">
      <c r="A2378" s="16"/>
      <c r="B2378" s="10"/>
      <c r="C2378" s="17" t="str">
        <f aca="false">IF($B2378="","",IFERROR(INDEX(품목마스터!$B$3:$B$302,MATCH($B2378,품목마스터!$A$3:$A$302,0)),"미등록품번"))</f>
        <v/>
      </c>
      <c r="D2378" s="17" t="str">
        <f aca="false">IF($B2378="","",IFERROR(INDEX(품목마스터!$D$3:$D$302,MATCH($B2378,품목마스터!$A$3:$A$302,0)),""))</f>
        <v/>
      </c>
      <c r="E2378" s="12"/>
      <c r="F2378" s="10"/>
    </row>
    <row r="2379" customFormat="false" ht="15" hidden="false" customHeight="true" outlineLevel="0" collapsed="false">
      <c r="A2379" s="16"/>
      <c r="B2379" s="10"/>
      <c r="C2379" s="17" t="str">
        <f aca="false">IF($B2379="","",IFERROR(INDEX(품목마스터!$B$3:$B$302,MATCH($B2379,품목마스터!$A$3:$A$302,0)),"미등록품번"))</f>
        <v/>
      </c>
      <c r="D2379" s="17" t="str">
        <f aca="false">IF($B2379="","",IFERROR(INDEX(품목마스터!$D$3:$D$302,MATCH($B2379,품목마스터!$A$3:$A$302,0)),""))</f>
        <v/>
      </c>
      <c r="E2379" s="12"/>
      <c r="F2379" s="10"/>
    </row>
    <row r="2380" customFormat="false" ht="15" hidden="false" customHeight="true" outlineLevel="0" collapsed="false">
      <c r="A2380" s="16"/>
      <c r="B2380" s="10"/>
      <c r="C2380" s="17" t="str">
        <f aca="false">IF($B2380="","",IFERROR(INDEX(품목마스터!$B$3:$B$302,MATCH($B2380,품목마스터!$A$3:$A$302,0)),"미등록품번"))</f>
        <v/>
      </c>
      <c r="D2380" s="17" t="str">
        <f aca="false">IF($B2380="","",IFERROR(INDEX(품목마스터!$D$3:$D$302,MATCH($B2380,품목마스터!$A$3:$A$302,0)),""))</f>
        <v/>
      </c>
      <c r="E2380" s="12"/>
      <c r="F2380" s="10"/>
    </row>
    <row r="2381" customFormat="false" ht="15" hidden="false" customHeight="true" outlineLevel="0" collapsed="false">
      <c r="A2381" s="16"/>
      <c r="B2381" s="10"/>
      <c r="C2381" s="17" t="str">
        <f aca="false">IF($B2381="","",IFERROR(INDEX(품목마스터!$B$3:$B$302,MATCH($B2381,품목마스터!$A$3:$A$302,0)),"미등록품번"))</f>
        <v/>
      </c>
      <c r="D2381" s="17" t="str">
        <f aca="false">IF($B2381="","",IFERROR(INDEX(품목마스터!$D$3:$D$302,MATCH($B2381,품목마스터!$A$3:$A$302,0)),""))</f>
        <v/>
      </c>
      <c r="E2381" s="12"/>
      <c r="F2381" s="10"/>
    </row>
    <row r="2382" customFormat="false" ht="15" hidden="false" customHeight="true" outlineLevel="0" collapsed="false">
      <c r="A2382" s="16"/>
      <c r="B2382" s="10"/>
      <c r="C2382" s="17" t="str">
        <f aca="false">IF($B2382="","",IFERROR(INDEX(품목마스터!$B$3:$B$302,MATCH($B2382,품목마스터!$A$3:$A$302,0)),"미등록품번"))</f>
        <v/>
      </c>
      <c r="D2382" s="17" t="str">
        <f aca="false">IF($B2382="","",IFERROR(INDEX(품목마스터!$D$3:$D$302,MATCH($B2382,품목마스터!$A$3:$A$302,0)),""))</f>
        <v/>
      </c>
      <c r="E2382" s="12"/>
      <c r="F2382" s="10"/>
    </row>
    <row r="2383" customFormat="false" ht="15" hidden="false" customHeight="true" outlineLevel="0" collapsed="false">
      <c r="A2383" s="16"/>
      <c r="B2383" s="10"/>
      <c r="C2383" s="17" t="str">
        <f aca="false">IF($B2383="","",IFERROR(INDEX(품목마스터!$B$3:$B$302,MATCH($B2383,품목마스터!$A$3:$A$302,0)),"미등록품번"))</f>
        <v/>
      </c>
      <c r="D2383" s="17" t="str">
        <f aca="false">IF($B2383="","",IFERROR(INDEX(품목마스터!$D$3:$D$302,MATCH($B2383,품목마스터!$A$3:$A$302,0)),""))</f>
        <v/>
      </c>
      <c r="E2383" s="12"/>
      <c r="F2383" s="10"/>
    </row>
    <row r="2384" customFormat="false" ht="15" hidden="false" customHeight="true" outlineLevel="0" collapsed="false">
      <c r="A2384" s="16"/>
      <c r="B2384" s="10"/>
      <c r="C2384" s="17" t="str">
        <f aca="false">IF($B2384="","",IFERROR(INDEX(품목마스터!$B$3:$B$302,MATCH($B2384,품목마스터!$A$3:$A$302,0)),"미등록품번"))</f>
        <v/>
      </c>
      <c r="D2384" s="17" t="str">
        <f aca="false">IF($B2384="","",IFERROR(INDEX(품목마스터!$D$3:$D$302,MATCH($B2384,품목마스터!$A$3:$A$302,0)),""))</f>
        <v/>
      </c>
      <c r="E2384" s="12"/>
      <c r="F2384" s="10"/>
    </row>
    <row r="2385" customFormat="false" ht="15" hidden="false" customHeight="true" outlineLevel="0" collapsed="false">
      <c r="A2385" s="16"/>
      <c r="B2385" s="10"/>
      <c r="C2385" s="17" t="str">
        <f aca="false">IF($B2385="","",IFERROR(INDEX(품목마스터!$B$3:$B$302,MATCH($B2385,품목마스터!$A$3:$A$302,0)),"미등록품번"))</f>
        <v/>
      </c>
      <c r="D2385" s="17" t="str">
        <f aca="false">IF($B2385="","",IFERROR(INDEX(품목마스터!$D$3:$D$302,MATCH($B2385,품목마스터!$A$3:$A$302,0)),""))</f>
        <v/>
      </c>
      <c r="E2385" s="12"/>
      <c r="F2385" s="10"/>
    </row>
    <row r="2386" customFormat="false" ht="15" hidden="false" customHeight="true" outlineLevel="0" collapsed="false">
      <c r="A2386" s="16"/>
      <c r="B2386" s="10"/>
      <c r="C2386" s="17" t="str">
        <f aca="false">IF($B2386="","",IFERROR(INDEX(품목마스터!$B$3:$B$302,MATCH($B2386,품목마스터!$A$3:$A$302,0)),"미등록품번"))</f>
        <v/>
      </c>
      <c r="D2386" s="17" t="str">
        <f aca="false">IF($B2386="","",IFERROR(INDEX(품목마스터!$D$3:$D$302,MATCH($B2386,품목마스터!$A$3:$A$302,0)),""))</f>
        <v/>
      </c>
      <c r="E2386" s="12"/>
      <c r="F2386" s="10"/>
    </row>
    <row r="2387" customFormat="false" ht="15" hidden="false" customHeight="true" outlineLevel="0" collapsed="false">
      <c r="A2387" s="16"/>
      <c r="B2387" s="10"/>
      <c r="C2387" s="17" t="str">
        <f aca="false">IF($B2387="","",IFERROR(INDEX(품목마스터!$B$3:$B$302,MATCH($B2387,품목마스터!$A$3:$A$302,0)),"미등록품번"))</f>
        <v/>
      </c>
      <c r="D2387" s="17" t="str">
        <f aca="false">IF($B2387="","",IFERROR(INDEX(품목마스터!$D$3:$D$302,MATCH($B2387,품목마스터!$A$3:$A$302,0)),""))</f>
        <v/>
      </c>
      <c r="E2387" s="12"/>
      <c r="F2387" s="10"/>
    </row>
    <row r="2388" customFormat="false" ht="15" hidden="false" customHeight="true" outlineLevel="0" collapsed="false">
      <c r="A2388" s="16"/>
      <c r="B2388" s="10"/>
      <c r="C2388" s="17" t="str">
        <f aca="false">IF($B2388="","",IFERROR(INDEX(품목마스터!$B$3:$B$302,MATCH($B2388,품목마스터!$A$3:$A$302,0)),"미등록품번"))</f>
        <v/>
      </c>
      <c r="D2388" s="17" t="str">
        <f aca="false">IF($B2388="","",IFERROR(INDEX(품목마스터!$D$3:$D$302,MATCH($B2388,품목마스터!$A$3:$A$302,0)),""))</f>
        <v/>
      </c>
      <c r="E2388" s="12"/>
      <c r="F2388" s="10"/>
    </row>
    <row r="2389" customFormat="false" ht="15" hidden="false" customHeight="true" outlineLevel="0" collapsed="false">
      <c r="A2389" s="16"/>
      <c r="B2389" s="10"/>
      <c r="C2389" s="17" t="str">
        <f aca="false">IF($B2389="","",IFERROR(INDEX(품목마스터!$B$3:$B$302,MATCH($B2389,품목마스터!$A$3:$A$302,0)),"미등록품번"))</f>
        <v/>
      </c>
      <c r="D2389" s="17" t="str">
        <f aca="false">IF($B2389="","",IFERROR(INDEX(품목마스터!$D$3:$D$302,MATCH($B2389,품목마스터!$A$3:$A$302,0)),""))</f>
        <v/>
      </c>
      <c r="E2389" s="12"/>
      <c r="F2389" s="10"/>
    </row>
    <row r="2390" customFormat="false" ht="15" hidden="false" customHeight="true" outlineLevel="0" collapsed="false">
      <c r="A2390" s="16"/>
      <c r="B2390" s="10"/>
      <c r="C2390" s="17" t="str">
        <f aca="false">IF($B2390="","",IFERROR(INDEX(품목마스터!$B$3:$B$302,MATCH($B2390,품목마스터!$A$3:$A$302,0)),"미등록품번"))</f>
        <v/>
      </c>
      <c r="D2390" s="17" t="str">
        <f aca="false">IF($B2390="","",IFERROR(INDEX(품목마스터!$D$3:$D$302,MATCH($B2390,품목마스터!$A$3:$A$302,0)),""))</f>
        <v/>
      </c>
      <c r="E2390" s="12"/>
      <c r="F2390" s="10"/>
    </row>
    <row r="2391" customFormat="false" ht="15" hidden="false" customHeight="true" outlineLevel="0" collapsed="false">
      <c r="A2391" s="16"/>
      <c r="B2391" s="10"/>
      <c r="C2391" s="17" t="str">
        <f aca="false">IF($B2391="","",IFERROR(INDEX(품목마스터!$B$3:$B$302,MATCH($B2391,품목마스터!$A$3:$A$302,0)),"미등록품번"))</f>
        <v/>
      </c>
      <c r="D2391" s="17" t="str">
        <f aca="false">IF($B2391="","",IFERROR(INDEX(품목마스터!$D$3:$D$302,MATCH($B2391,품목마스터!$A$3:$A$302,0)),""))</f>
        <v/>
      </c>
      <c r="E2391" s="12"/>
      <c r="F2391" s="10"/>
    </row>
    <row r="2392" customFormat="false" ht="15" hidden="false" customHeight="true" outlineLevel="0" collapsed="false">
      <c r="A2392" s="16"/>
      <c r="B2392" s="10"/>
      <c r="C2392" s="17" t="str">
        <f aca="false">IF($B2392="","",IFERROR(INDEX(품목마스터!$B$3:$B$302,MATCH($B2392,품목마스터!$A$3:$A$302,0)),"미등록품번"))</f>
        <v/>
      </c>
      <c r="D2392" s="17" t="str">
        <f aca="false">IF($B2392="","",IFERROR(INDEX(품목마스터!$D$3:$D$302,MATCH($B2392,품목마스터!$A$3:$A$302,0)),""))</f>
        <v/>
      </c>
      <c r="E2392" s="12"/>
      <c r="F2392" s="10"/>
    </row>
    <row r="2393" customFormat="false" ht="15" hidden="false" customHeight="true" outlineLevel="0" collapsed="false">
      <c r="A2393" s="16"/>
      <c r="B2393" s="10"/>
      <c r="C2393" s="17" t="str">
        <f aca="false">IF($B2393="","",IFERROR(INDEX(품목마스터!$B$3:$B$302,MATCH($B2393,품목마스터!$A$3:$A$302,0)),"미등록품번"))</f>
        <v/>
      </c>
      <c r="D2393" s="17" t="str">
        <f aca="false">IF($B2393="","",IFERROR(INDEX(품목마스터!$D$3:$D$302,MATCH($B2393,품목마스터!$A$3:$A$302,0)),""))</f>
        <v/>
      </c>
      <c r="E2393" s="12"/>
      <c r="F2393" s="10"/>
    </row>
    <row r="2394" customFormat="false" ht="15" hidden="false" customHeight="true" outlineLevel="0" collapsed="false">
      <c r="A2394" s="16"/>
      <c r="B2394" s="10"/>
      <c r="C2394" s="17" t="str">
        <f aca="false">IF($B2394="","",IFERROR(INDEX(품목마스터!$B$3:$B$302,MATCH($B2394,품목마스터!$A$3:$A$302,0)),"미등록품번"))</f>
        <v/>
      </c>
      <c r="D2394" s="17" t="str">
        <f aca="false">IF($B2394="","",IFERROR(INDEX(품목마스터!$D$3:$D$302,MATCH($B2394,품목마스터!$A$3:$A$302,0)),""))</f>
        <v/>
      </c>
      <c r="E2394" s="12"/>
      <c r="F2394" s="10"/>
    </row>
    <row r="2395" customFormat="false" ht="15" hidden="false" customHeight="true" outlineLevel="0" collapsed="false">
      <c r="A2395" s="16"/>
      <c r="B2395" s="10"/>
      <c r="C2395" s="17" t="str">
        <f aca="false">IF($B2395="","",IFERROR(INDEX(품목마스터!$B$3:$B$302,MATCH($B2395,품목마스터!$A$3:$A$302,0)),"미등록품번"))</f>
        <v/>
      </c>
      <c r="D2395" s="17" t="str">
        <f aca="false">IF($B2395="","",IFERROR(INDEX(품목마스터!$D$3:$D$302,MATCH($B2395,품목마스터!$A$3:$A$302,0)),""))</f>
        <v/>
      </c>
      <c r="E2395" s="12"/>
      <c r="F2395" s="10"/>
    </row>
    <row r="2396" customFormat="false" ht="15" hidden="false" customHeight="true" outlineLevel="0" collapsed="false">
      <c r="A2396" s="16"/>
      <c r="B2396" s="10"/>
      <c r="C2396" s="17" t="str">
        <f aca="false">IF($B2396="","",IFERROR(INDEX(품목마스터!$B$3:$B$302,MATCH($B2396,품목마스터!$A$3:$A$302,0)),"미등록품번"))</f>
        <v/>
      </c>
      <c r="D2396" s="17" t="str">
        <f aca="false">IF($B2396="","",IFERROR(INDEX(품목마스터!$D$3:$D$302,MATCH($B2396,품목마스터!$A$3:$A$302,0)),""))</f>
        <v/>
      </c>
      <c r="E2396" s="12"/>
      <c r="F2396" s="10"/>
    </row>
    <row r="2397" customFormat="false" ht="15" hidden="false" customHeight="true" outlineLevel="0" collapsed="false">
      <c r="A2397" s="16"/>
      <c r="B2397" s="10"/>
      <c r="C2397" s="17" t="str">
        <f aca="false">IF($B2397="","",IFERROR(INDEX(품목마스터!$B$3:$B$302,MATCH($B2397,품목마스터!$A$3:$A$302,0)),"미등록품번"))</f>
        <v/>
      </c>
      <c r="D2397" s="17" t="str">
        <f aca="false">IF($B2397="","",IFERROR(INDEX(품목마스터!$D$3:$D$302,MATCH($B2397,품목마스터!$A$3:$A$302,0)),""))</f>
        <v/>
      </c>
      <c r="E2397" s="12"/>
      <c r="F2397" s="10"/>
    </row>
    <row r="2398" customFormat="false" ht="15" hidden="false" customHeight="true" outlineLevel="0" collapsed="false">
      <c r="A2398" s="16"/>
      <c r="B2398" s="10"/>
      <c r="C2398" s="17" t="str">
        <f aca="false">IF($B2398="","",IFERROR(INDEX(품목마스터!$B$3:$B$302,MATCH($B2398,품목마스터!$A$3:$A$302,0)),"미등록품번"))</f>
        <v/>
      </c>
      <c r="D2398" s="17" t="str">
        <f aca="false">IF($B2398="","",IFERROR(INDEX(품목마스터!$D$3:$D$302,MATCH($B2398,품목마스터!$A$3:$A$302,0)),""))</f>
        <v/>
      </c>
      <c r="E2398" s="12"/>
      <c r="F2398" s="10"/>
    </row>
    <row r="2399" customFormat="false" ht="15" hidden="false" customHeight="true" outlineLevel="0" collapsed="false">
      <c r="A2399" s="16"/>
      <c r="B2399" s="10"/>
      <c r="C2399" s="17" t="str">
        <f aca="false">IF($B2399="","",IFERROR(INDEX(품목마스터!$B$3:$B$302,MATCH($B2399,품목마스터!$A$3:$A$302,0)),"미등록품번"))</f>
        <v/>
      </c>
      <c r="D2399" s="17" t="str">
        <f aca="false">IF($B2399="","",IFERROR(INDEX(품목마스터!$D$3:$D$302,MATCH($B2399,품목마스터!$A$3:$A$302,0)),""))</f>
        <v/>
      </c>
      <c r="E2399" s="12"/>
      <c r="F2399" s="10"/>
    </row>
    <row r="2400" customFormat="false" ht="15" hidden="false" customHeight="true" outlineLevel="0" collapsed="false">
      <c r="A2400" s="16"/>
      <c r="B2400" s="10"/>
      <c r="C2400" s="17" t="str">
        <f aca="false">IF($B2400="","",IFERROR(INDEX(품목마스터!$B$3:$B$302,MATCH($B2400,품목마스터!$A$3:$A$302,0)),"미등록품번"))</f>
        <v/>
      </c>
      <c r="D2400" s="17" t="str">
        <f aca="false">IF($B2400="","",IFERROR(INDEX(품목마스터!$D$3:$D$302,MATCH($B2400,품목마스터!$A$3:$A$302,0)),""))</f>
        <v/>
      </c>
      <c r="E2400" s="12"/>
      <c r="F2400" s="10"/>
    </row>
    <row r="2401" customFormat="false" ht="15" hidden="false" customHeight="true" outlineLevel="0" collapsed="false">
      <c r="A2401" s="16"/>
      <c r="B2401" s="10"/>
      <c r="C2401" s="17" t="str">
        <f aca="false">IF($B2401="","",IFERROR(INDEX(품목마스터!$B$3:$B$302,MATCH($B2401,품목마스터!$A$3:$A$302,0)),"미등록품번"))</f>
        <v/>
      </c>
      <c r="D2401" s="17" t="str">
        <f aca="false">IF($B2401="","",IFERROR(INDEX(품목마스터!$D$3:$D$302,MATCH($B2401,품목마스터!$A$3:$A$302,0)),""))</f>
        <v/>
      </c>
      <c r="E2401" s="12"/>
      <c r="F2401" s="10"/>
    </row>
    <row r="2402" customFormat="false" ht="15" hidden="false" customHeight="true" outlineLevel="0" collapsed="false">
      <c r="A2402" s="16"/>
      <c r="B2402" s="10"/>
      <c r="C2402" s="17" t="str">
        <f aca="false">IF($B2402="","",IFERROR(INDEX(품목마스터!$B$3:$B$302,MATCH($B2402,품목마스터!$A$3:$A$302,0)),"미등록품번"))</f>
        <v/>
      </c>
      <c r="D2402" s="17" t="str">
        <f aca="false">IF($B2402="","",IFERROR(INDEX(품목마스터!$D$3:$D$302,MATCH($B2402,품목마스터!$A$3:$A$302,0)),""))</f>
        <v/>
      </c>
      <c r="E2402" s="12"/>
      <c r="F2402" s="10"/>
    </row>
    <row r="2403" customFormat="false" ht="15" hidden="false" customHeight="true" outlineLevel="0" collapsed="false">
      <c r="A2403" s="16"/>
      <c r="B2403" s="10"/>
      <c r="C2403" s="17" t="str">
        <f aca="false">IF($B2403="","",IFERROR(INDEX(품목마스터!$B$3:$B$302,MATCH($B2403,품목마스터!$A$3:$A$302,0)),"미등록품번"))</f>
        <v/>
      </c>
      <c r="D2403" s="17" t="str">
        <f aca="false">IF($B2403="","",IFERROR(INDEX(품목마스터!$D$3:$D$302,MATCH($B2403,품목마스터!$A$3:$A$302,0)),""))</f>
        <v/>
      </c>
      <c r="E2403" s="12"/>
      <c r="F2403" s="10"/>
    </row>
    <row r="2404" customFormat="false" ht="15" hidden="false" customHeight="true" outlineLevel="0" collapsed="false">
      <c r="A2404" s="16"/>
      <c r="B2404" s="10"/>
      <c r="C2404" s="17" t="str">
        <f aca="false">IF($B2404="","",IFERROR(INDEX(품목마스터!$B$3:$B$302,MATCH($B2404,품목마스터!$A$3:$A$302,0)),"미등록품번"))</f>
        <v/>
      </c>
      <c r="D2404" s="17" t="str">
        <f aca="false">IF($B2404="","",IFERROR(INDEX(품목마스터!$D$3:$D$302,MATCH($B2404,품목마스터!$A$3:$A$302,0)),""))</f>
        <v/>
      </c>
      <c r="E2404" s="12"/>
      <c r="F2404" s="10"/>
    </row>
    <row r="2405" customFormat="false" ht="15" hidden="false" customHeight="true" outlineLevel="0" collapsed="false">
      <c r="A2405" s="16"/>
      <c r="B2405" s="10"/>
      <c r="C2405" s="17" t="str">
        <f aca="false">IF($B2405="","",IFERROR(INDEX(품목마스터!$B$3:$B$302,MATCH($B2405,품목마스터!$A$3:$A$302,0)),"미등록품번"))</f>
        <v/>
      </c>
      <c r="D2405" s="17" t="str">
        <f aca="false">IF($B2405="","",IFERROR(INDEX(품목마스터!$D$3:$D$302,MATCH($B2405,품목마스터!$A$3:$A$302,0)),""))</f>
        <v/>
      </c>
      <c r="E2405" s="12"/>
      <c r="F2405" s="10"/>
    </row>
    <row r="2406" customFormat="false" ht="15" hidden="false" customHeight="true" outlineLevel="0" collapsed="false">
      <c r="A2406" s="16"/>
      <c r="B2406" s="10"/>
      <c r="C2406" s="17" t="str">
        <f aca="false">IF($B2406="","",IFERROR(INDEX(품목마스터!$B$3:$B$302,MATCH($B2406,품목마스터!$A$3:$A$302,0)),"미등록품번"))</f>
        <v/>
      </c>
      <c r="D2406" s="17" t="str">
        <f aca="false">IF($B2406="","",IFERROR(INDEX(품목마스터!$D$3:$D$302,MATCH($B2406,품목마스터!$A$3:$A$302,0)),""))</f>
        <v/>
      </c>
      <c r="E2406" s="12"/>
      <c r="F2406" s="10"/>
    </row>
    <row r="2407" customFormat="false" ht="15" hidden="false" customHeight="true" outlineLevel="0" collapsed="false">
      <c r="A2407" s="16"/>
      <c r="B2407" s="10"/>
      <c r="C2407" s="17" t="str">
        <f aca="false">IF($B2407="","",IFERROR(INDEX(품목마스터!$B$3:$B$302,MATCH($B2407,품목마스터!$A$3:$A$302,0)),"미등록품번"))</f>
        <v/>
      </c>
      <c r="D2407" s="17" t="str">
        <f aca="false">IF($B2407="","",IFERROR(INDEX(품목마스터!$D$3:$D$302,MATCH($B2407,품목마스터!$A$3:$A$302,0)),""))</f>
        <v/>
      </c>
      <c r="E2407" s="12"/>
      <c r="F2407" s="10"/>
    </row>
    <row r="2408" customFormat="false" ht="15" hidden="false" customHeight="true" outlineLevel="0" collapsed="false">
      <c r="A2408" s="16"/>
      <c r="B2408" s="10"/>
      <c r="C2408" s="17" t="str">
        <f aca="false">IF($B2408="","",IFERROR(INDEX(품목마스터!$B$3:$B$302,MATCH($B2408,품목마스터!$A$3:$A$302,0)),"미등록품번"))</f>
        <v/>
      </c>
      <c r="D2408" s="17" t="str">
        <f aca="false">IF($B2408="","",IFERROR(INDEX(품목마스터!$D$3:$D$302,MATCH($B2408,품목마스터!$A$3:$A$302,0)),""))</f>
        <v/>
      </c>
      <c r="E2408" s="12"/>
      <c r="F2408" s="10"/>
    </row>
    <row r="2409" customFormat="false" ht="15" hidden="false" customHeight="true" outlineLevel="0" collapsed="false">
      <c r="A2409" s="16"/>
      <c r="B2409" s="10"/>
      <c r="C2409" s="17" t="str">
        <f aca="false">IF($B2409="","",IFERROR(INDEX(품목마스터!$B$3:$B$302,MATCH($B2409,품목마스터!$A$3:$A$302,0)),"미등록품번"))</f>
        <v/>
      </c>
      <c r="D2409" s="17" t="str">
        <f aca="false">IF($B2409="","",IFERROR(INDEX(품목마스터!$D$3:$D$302,MATCH($B2409,품목마스터!$A$3:$A$302,0)),""))</f>
        <v/>
      </c>
      <c r="E2409" s="12"/>
      <c r="F2409" s="10"/>
    </row>
    <row r="2410" customFormat="false" ht="15" hidden="false" customHeight="true" outlineLevel="0" collapsed="false">
      <c r="A2410" s="16"/>
      <c r="B2410" s="10"/>
      <c r="C2410" s="17" t="str">
        <f aca="false">IF($B2410="","",IFERROR(INDEX(품목마스터!$B$3:$B$302,MATCH($B2410,품목마스터!$A$3:$A$302,0)),"미등록품번"))</f>
        <v/>
      </c>
      <c r="D2410" s="17" t="str">
        <f aca="false">IF($B2410="","",IFERROR(INDEX(품목마스터!$D$3:$D$302,MATCH($B2410,품목마스터!$A$3:$A$302,0)),""))</f>
        <v/>
      </c>
      <c r="E2410" s="12"/>
      <c r="F2410" s="10"/>
    </row>
    <row r="2411" customFormat="false" ht="15" hidden="false" customHeight="true" outlineLevel="0" collapsed="false">
      <c r="A2411" s="16"/>
      <c r="B2411" s="10"/>
      <c r="C2411" s="17" t="str">
        <f aca="false">IF($B2411="","",IFERROR(INDEX(품목마스터!$B$3:$B$302,MATCH($B2411,품목마스터!$A$3:$A$302,0)),"미등록품번"))</f>
        <v/>
      </c>
      <c r="D2411" s="17" t="str">
        <f aca="false">IF($B2411="","",IFERROR(INDEX(품목마스터!$D$3:$D$302,MATCH($B2411,품목마스터!$A$3:$A$302,0)),""))</f>
        <v/>
      </c>
      <c r="E2411" s="12"/>
      <c r="F2411" s="10"/>
    </row>
    <row r="2412" customFormat="false" ht="15" hidden="false" customHeight="true" outlineLevel="0" collapsed="false">
      <c r="A2412" s="16"/>
      <c r="B2412" s="10"/>
      <c r="C2412" s="17" t="str">
        <f aca="false">IF($B2412="","",IFERROR(INDEX(품목마스터!$B$3:$B$302,MATCH($B2412,품목마스터!$A$3:$A$302,0)),"미등록품번"))</f>
        <v/>
      </c>
      <c r="D2412" s="17" t="str">
        <f aca="false">IF($B2412="","",IFERROR(INDEX(품목마스터!$D$3:$D$302,MATCH($B2412,품목마스터!$A$3:$A$302,0)),""))</f>
        <v/>
      </c>
      <c r="E2412" s="12"/>
      <c r="F2412" s="10"/>
    </row>
    <row r="2413" customFormat="false" ht="15" hidden="false" customHeight="true" outlineLevel="0" collapsed="false">
      <c r="A2413" s="16"/>
      <c r="B2413" s="10"/>
      <c r="C2413" s="17" t="str">
        <f aca="false">IF($B2413="","",IFERROR(INDEX(품목마스터!$B$3:$B$302,MATCH($B2413,품목마스터!$A$3:$A$302,0)),"미등록품번"))</f>
        <v/>
      </c>
      <c r="D2413" s="17" t="str">
        <f aca="false">IF($B2413="","",IFERROR(INDEX(품목마스터!$D$3:$D$302,MATCH($B2413,품목마스터!$A$3:$A$302,0)),""))</f>
        <v/>
      </c>
      <c r="E2413" s="12"/>
      <c r="F2413" s="10"/>
    </row>
    <row r="2414" customFormat="false" ht="15" hidden="false" customHeight="true" outlineLevel="0" collapsed="false">
      <c r="A2414" s="16"/>
      <c r="B2414" s="10"/>
      <c r="C2414" s="17" t="str">
        <f aca="false">IF($B2414="","",IFERROR(INDEX(품목마스터!$B$3:$B$302,MATCH($B2414,품목마스터!$A$3:$A$302,0)),"미등록품번"))</f>
        <v/>
      </c>
      <c r="D2414" s="17" t="str">
        <f aca="false">IF($B2414="","",IFERROR(INDEX(품목마스터!$D$3:$D$302,MATCH($B2414,품목마스터!$A$3:$A$302,0)),""))</f>
        <v/>
      </c>
      <c r="E2414" s="12"/>
      <c r="F2414" s="10"/>
    </row>
    <row r="2415" customFormat="false" ht="15" hidden="false" customHeight="true" outlineLevel="0" collapsed="false">
      <c r="A2415" s="16"/>
      <c r="B2415" s="10"/>
      <c r="C2415" s="17" t="str">
        <f aca="false">IF($B2415="","",IFERROR(INDEX(품목마스터!$B$3:$B$302,MATCH($B2415,품목마스터!$A$3:$A$302,0)),"미등록품번"))</f>
        <v/>
      </c>
      <c r="D2415" s="17" t="str">
        <f aca="false">IF($B2415="","",IFERROR(INDEX(품목마스터!$D$3:$D$302,MATCH($B2415,품목마스터!$A$3:$A$302,0)),""))</f>
        <v/>
      </c>
      <c r="E2415" s="12"/>
      <c r="F2415" s="10"/>
    </row>
    <row r="2416" customFormat="false" ht="15" hidden="false" customHeight="true" outlineLevel="0" collapsed="false">
      <c r="A2416" s="16"/>
      <c r="B2416" s="10"/>
      <c r="C2416" s="17" t="str">
        <f aca="false">IF($B2416="","",IFERROR(INDEX(품목마스터!$B$3:$B$302,MATCH($B2416,품목마스터!$A$3:$A$302,0)),"미등록품번"))</f>
        <v/>
      </c>
      <c r="D2416" s="17" t="str">
        <f aca="false">IF($B2416="","",IFERROR(INDEX(품목마스터!$D$3:$D$302,MATCH($B2416,품목마스터!$A$3:$A$302,0)),""))</f>
        <v/>
      </c>
      <c r="E2416" s="12"/>
      <c r="F2416" s="10"/>
    </row>
    <row r="2417" customFormat="false" ht="15" hidden="false" customHeight="true" outlineLevel="0" collapsed="false">
      <c r="A2417" s="16"/>
      <c r="B2417" s="10"/>
      <c r="C2417" s="17" t="str">
        <f aca="false">IF($B2417="","",IFERROR(INDEX(품목마스터!$B$3:$B$302,MATCH($B2417,품목마스터!$A$3:$A$302,0)),"미등록품번"))</f>
        <v/>
      </c>
      <c r="D2417" s="17" t="str">
        <f aca="false">IF($B2417="","",IFERROR(INDEX(품목마스터!$D$3:$D$302,MATCH($B2417,품목마스터!$A$3:$A$302,0)),""))</f>
        <v/>
      </c>
      <c r="E2417" s="12"/>
      <c r="F2417" s="10"/>
    </row>
    <row r="2418" customFormat="false" ht="15" hidden="false" customHeight="true" outlineLevel="0" collapsed="false">
      <c r="A2418" s="16"/>
      <c r="B2418" s="10"/>
      <c r="C2418" s="17" t="str">
        <f aca="false">IF($B2418="","",IFERROR(INDEX(품목마스터!$B$3:$B$302,MATCH($B2418,품목마스터!$A$3:$A$302,0)),"미등록품번"))</f>
        <v/>
      </c>
      <c r="D2418" s="17" t="str">
        <f aca="false">IF($B2418="","",IFERROR(INDEX(품목마스터!$D$3:$D$302,MATCH($B2418,품목마스터!$A$3:$A$302,0)),""))</f>
        <v/>
      </c>
      <c r="E2418" s="12"/>
      <c r="F2418" s="10"/>
    </row>
    <row r="2419" customFormat="false" ht="15" hidden="false" customHeight="true" outlineLevel="0" collapsed="false">
      <c r="A2419" s="16"/>
      <c r="B2419" s="10"/>
      <c r="C2419" s="17" t="str">
        <f aca="false">IF($B2419="","",IFERROR(INDEX(품목마스터!$B$3:$B$302,MATCH($B2419,품목마스터!$A$3:$A$302,0)),"미등록품번"))</f>
        <v/>
      </c>
      <c r="D2419" s="17" t="str">
        <f aca="false">IF($B2419="","",IFERROR(INDEX(품목마스터!$D$3:$D$302,MATCH($B2419,품목마스터!$A$3:$A$302,0)),""))</f>
        <v/>
      </c>
      <c r="E2419" s="12"/>
      <c r="F2419" s="10"/>
    </row>
    <row r="2420" customFormat="false" ht="15" hidden="false" customHeight="true" outlineLevel="0" collapsed="false">
      <c r="A2420" s="16"/>
      <c r="B2420" s="10"/>
      <c r="C2420" s="17" t="str">
        <f aca="false">IF($B2420="","",IFERROR(INDEX(품목마스터!$B$3:$B$302,MATCH($B2420,품목마스터!$A$3:$A$302,0)),"미등록품번"))</f>
        <v/>
      </c>
      <c r="D2420" s="17" t="str">
        <f aca="false">IF($B2420="","",IFERROR(INDEX(품목마스터!$D$3:$D$302,MATCH($B2420,품목마스터!$A$3:$A$302,0)),""))</f>
        <v/>
      </c>
      <c r="E2420" s="12"/>
      <c r="F2420" s="10"/>
    </row>
    <row r="2421" customFormat="false" ht="15" hidden="false" customHeight="true" outlineLevel="0" collapsed="false">
      <c r="A2421" s="16"/>
      <c r="B2421" s="10"/>
      <c r="C2421" s="17" t="str">
        <f aca="false">IF($B2421="","",IFERROR(INDEX(품목마스터!$B$3:$B$302,MATCH($B2421,품목마스터!$A$3:$A$302,0)),"미등록품번"))</f>
        <v/>
      </c>
      <c r="D2421" s="17" t="str">
        <f aca="false">IF($B2421="","",IFERROR(INDEX(품목마스터!$D$3:$D$302,MATCH($B2421,품목마스터!$A$3:$A$302,0)),""))</f>
        <v/>
      </c>
      <c r="E2421" s="12"/>
      <c r="F2421" s="10"/>
    </row>
    <row r="2422" customFormat="false" ht="15" hidden="false" customHeight="true" outlineLevel="0" collapsed="false">
      <c r="A2422" s="16"/>
      <c r="B2422" s="10"/>
      <c r="C2422" s="17" t="str">
        <f aca="false">IF($B2422="","",IFERROR(INDEX(품목마스터!$B$3:$B$302,MATCH($B2422,품목마스터!$A$3:$A$302,0)),"미등록품번"))</f>
        <v/>
      </c>
      <c r="D2422" s="17" t="str">
        <f aca="false">IF($B2422="","",IFERROR(INDEX(품목마스터!$D$3:$D$302,MATCH($B2422,품목마스터!$A$3:$A$302,0)),""))</f>
        <v/>
      </c>
      <c r="E2422" s="12"/>
      <c r="F2422" s="10"/>
    </row>
    <row r="2423" customFormat="false" ht="15" hidden="false" customHeight="true" outlineLevel="0" collapsed="false">
      <c r="A2423" s="16"/>
      <c r="B2423" s="10"/>
      <c r="C2423" s="17" t="str">
        <f aca="false">IF($B2423="","",IFERROR(INDEX(품목마스터!$B$3:$B$302,MATCH($B2423,품목마스터!$A$3:$A$302,0)),"미등록품번"))</f>
        <v/>
      </c>
      <c r="D2423" s="17" t="str">
        <f aca="false">IF($B2423="","",IFERROR(INDEX(품목마스터!$D$3:$D$302,MATCH($B2423,품목마스터!$A$3:$A$302,0)),""))</f>
        <v/>
      </c>
      <c r="E2423" s="12"/>
      <c r="F2423" s="10"/>
    </row>
    <row r="2424" customFormat="false" ht="15" hidden="false" customHeight="true" outlineLevel="0" collapsed="false">
      <c r="A2424" s="16"/>
      <c r="B2424" s="10"/>
      <c r="C2424" s="17" t="str">
        <f aca="false">IF($B2424="","",IFERROR(INDEX(품목마스터!$B$3:$B$302,MATCH($B2424,품목마스터!$A$3:$A$302,0)),"미등록품번"))</f>
        <v/>
      </c>
      <c r="D2424" s="17" t="str">
        <f aca="false">IF($B2424="","",IFERROR(INDEX(품목마스터!$D$3:$D$302,MATCH($B2424,품목마스터!$A$3:$A$302,0)),""))</f>
        <v/>
      </c>
      <c r="E2424" s="12"/>
      <c r="F2424" s="10"/>
    </row>
    <row r="2425" customFormat="false" ht="15" hidden="false" customHeight="true" outlineLevel="0" collapsed="false">
      <c r="A2425" s="16"/>
      <c r="B2425" s="10"/>
      <c r="C2425" s="17" t="str">
        <f aca="false">IF($B2425="","",IFERROR(INDEX(품목마스터!$B$3:$B$302,MATCH($B2425,품목마스터!$A$3:$A$302,0)),"미등록품번"))</f>
        <v/>
      </c>
      <c r="D2425" s="17" t="str">
        <f aca="false">IF($B2425="","",IFERROR(INDEX(품목마스터!$D$3:$D$302,MATCH($B2425,품목마스터!$A$3:$A$302,0)),""))</f>
        <v/>
      </c>
      <c r="E2425" s="12"/>
      <c r="F2425" s="10"/>
    </row>
    <row r="2426" customFormat="false" ht="15" hidden="false" customHeight="true" outlineLevel="0" collapsed="false">
      <c r="A2426" s="16"/>
      <c r="B2426" s="10"/>
      <c r="C2426" s="17" t="str">
        <f aca="false">IF($B2426="","",IFERROR(INDEX(품목마스터!$B$3:$B$302,MATCH($B2426,품목마스터!$A$3:$A$302,0)),"미등록품번"))</f>
        <v/>
      </c>
      <c r="D2426" s="17" t="str">
        <f aca="false">IF($B2426="","",IFERROR(INDEX(품목마스터!$D$3:$D$302,MATCH($B2426,품목마스터!$A$3:$A$302,0)),""))</f>
        <v/>
      </c>
      <c r="E2426" s="12"/>
      <c r="F2426" s="10"/>
    </row>
    <row r="2427" customFormat="false" ht="15" hidden="false" customHeight="true" outlineLevel="0" collapsed="false">
      <c r="A2427" s="16"/>
      <c r="B2427" s="10"/>
      <c r="C2427" s="17" t="str">
        <f aca="false">IF($B2427="","",IFERROR(INDEX(품목마스터!$B$3:$B$302,MATCH($B2427,품목마스터!$A$3:$A$302,0)),"미등록품번"))</f>
        <v/>
      </c>
      <c r="D2427" s="17" t="str">
        <f aca="false">IF($B2427="","",IFERROR(INDEX(품목마스터!$D$3:$D$302,MATCH($B2427,품목마스터!$A$3:$A$302,0)),""))</f>
        <v/>
      </c>
      <c r="E2427" s="12"/>
      <c r="F2427" s="10"/>
    </row>
    <row r="2428" customFormat="false" ht="15" hidden="false" customHeight="true" outlineLevel="0" collapsed="false">
      <c r="A2428" s="16"/>
      <c r="B2428" s="10"/>
      <c r="C2428" s="17" t="str">
        <f aca="false">IF($B2428="","",IFERROR(INDEX(품목마스터!$B$3:$B$302,MATCH($B2428,품목마스터!$A$3:$A$302,0)),"미등록품번"))</f>
        <v/>
      </c>
      <c r="D2428" s="17" t="str">
        <f aca="false">IF($B2428="","",IFERROR(INDEX(품목마스터!$D$3:$D$302,MATCH($B2428,품목마스터!$A$3:$A$302,0)),""))</f>
        <v/>
      </c>
      <c r="E2428" s="12"/>
      <c r="F2428" s="10"/>
    </row>
    <row r="2429" customFormat="false" ht="15" hidden="false" customHeight="true" outlineLevel="0" collapsed="false">
      <c r="A2429" s="16"/>
      <c r="B2429" s="10"/>
      <c r="C2429" s="17" t="str">
        <f aca="false">IF($B2429="","",IFERROR(INDEX(품목마스터!$B$3:$B$302,MATCH($B2429,품목마스터!$A$3:$A$302,0)),"미등록품번"))</f>
        <v/>
      </c>
      <c r="D2429" s="17" t="str">
        <f aca="false">IF($B2429="","",IFERROR(INDEX(품목마스터!$D$3:$D$302,MATCH($B2429,품목마스터!$A$3:$A$302,0)),""))</f>
        <v/>
      </c>
      <c r="E2429" s="12"/>
      <c r="F2429" s="10"/>
    </row>
    <row r="2430" customFormat="false" ht="15" hidden="false" customHeight="true" outlineLevel="0" collapsed="false">
      <c r="A2430" s="16"/>
      <c r="B2430" s="10"/>
      <c r="C2430" s="17" t="str">
        <f aca="false">IF($B2430="","",IFERROR(INDEX(품목마스터!$B$3:$B$302,MATCH($B2430,품목마스터!$A$3:$A$302,0)),"미등록품번"))</f>
        <v/>
      </c>
      <c r="D2430" s="17" t="str">
        <f aca="false">IF($B2430="","",IFERROR(INDEX(품목마스터!$D$3:$D$302,MATCH($B2430,품목마스터!$A$3:$A$302,0)),""))</f>
        <v/>
      </c>
      <c r="E2430" s="12"/>
      <c r="F2430" s="10"/>
    </row>
    <row r="2431" customFormat="false" ht="15" hidden="false" customHeight="true" outlineLevel="0" collapsed="false">
      <c r="A2431" s="16"/>
      <c r="B2431" s="10"/>
      <c r="C2431" s="17" t="str">
        <f aca="false">IF($B2431="","",IFERROR(INDEX(품목마스터!$B$3:$B$302,MATCH($B2431,품목마스터!$A$3:$A$302,0)),"미등록품번"))</f>
        <v/>
      </c>
      <c r="D2431" s="17" t="str">
        <f aca="false">IF($B2431="","",IFERROR(INDEX(품목마스터!$D$3:$D$302,MATCH($B2431,품목마스터!$A$3:$A$302,0)),""))</f>
        <v/>
      </c>
      <c r="E2431" s="12"/>
      <c r="F2431" s="10"/>
    </row>
    <row r="2432" customFormat="false" ht="15" hidden="false" customHeight="true" outlineLevel="0" collapsed="false">
      <c r="A2432" s="16"/>
      <c r="B2432" s="10"/>
      <c r="C2432" s="17" t="str">
        <f aca="false">IF($B2432="","",IFERROR(INDEX(품목마스터!$B$3:$B$302,MATCH($B2432,품목마스터!$A$3:$A$302,0)),"미등록품번"))</f>
        <v/>
      </c>
      <c r="D2432" s="17" t="str">
        <f aca="false">IF($B2432="","",IFERROR(INDEX(품목마스터!$D$3:$D$302,MATCH($B2432,품목마스터!$A$3:$A$302,0)),""))</f>
        <v/>
      </c>
      <c r="E2432" s="12"/>
      <c r="F2432" s="10"/>
    </row>
    <row r="2433" customFormat="false" ht="15" hidden="false" customHeight="true" outlineLevel="0" collapsed="false">
      <c r="A2433" s="16"/>
      <c r="B2433" s="10"/>
      <c r="C2433" s="17" t="str">
        <f aca="false">IF($B2433="","",IFERROR(INDEX(품목마스터!$B$3:$B$302,MATCH($B2433,품목마스터!$A$3:$A$302,0)),"미등록품번"))</f>
        <v/>
      </c>
      <c r="D2433" s="17" t="str">
        <f aca="false">IF($B2433="","",IFERROR(INDEX(품목마스터!$D$3:$D$302,MATCH($B2433,품목마스터!$A$3:$A$302,0)),""))</f>
        <v/>
      </c>
      <c r="E2433" s="12"/>
      <c r="F2433" s="10"/>
    </row>
    <row r="2434" customFormat="false" ht="15" hidden="false" customHeight="true" outlineLevel="0" collapsed="false">
      <c r="A2434" s="16"/>
      <c r="B2434" s="10"/>
      <c r="C2434" s="17" t="str">
        <f aca="false">IF($B2434="","",IFERROR(INDEX(품목마스터!$B$3:$B$302,MATCH($B2434,품목마스터!$A$3:$A$302,0)),"미등록품번"))</f>
        <v/>
      </c>
      <c r="D2434" s="17" t="str">
        <f aca="false">IF($B2434="","",IFERROR(INDEX(품목마스터!$D$3:$D$302,MATCH($B2434,품목마스터!$A$3:$A$302,0)),""))</f>
        <v/>
      </c>
      <c r="E2434" s="12"/>
      <c r="F2434" s="10"/>
    </row>
    <row r="2435" customFormat="false" ht="15" hidden="false" customHeight="true" outlineLevel="0" collapsed="false">
      <c r="A2435" s="16"/>
      <c r="B2435" s="10"/>
      <c r="C2435" s="17" t="str">
        <f aca="false">IF($B2435="","",IFERROR(INDEX(품목마스터!$B$3:$B$302,MATCH($B2435,품목마스터!$A$3:$A$302,0)),"미등록품번"))</f>
        <v/>
      </c>
      <c r="D2435" s="17" t="str">
        <f aca="false">IF($B2435="","",IFERROR(INDEX(품목마스터!$D$3:$D$302,MATCH($B2435,품목마스터!$A$3:$A$302,0)),""))</f>
        <v/>
      </c>
      <c r="E2435" s="12"/>
      <c r="F2435" s="10"/>
    </row>
    <row r="2436" customFormat="false" ht="15" hidden="false" customHeight="true" outlineLevel="0" collapsed="false">
      <c r="A2436" s="16"/>
      <c r="B2436" s="10"/>
      <c r="C2436" s="17" t="str">
        <f aca="false">IF($B2436="","",IFERROR(INDEX(품목마스터!$B$3:$B$302,MATCH($B2436,품목마스터!$A$3:$A$302,0)),"미등록품번"))</f>
        <v/>
      </c>
      <c r="D2436" s="17" t="str">
        <f aca="false">IF($B2436="","",IFERROR(INDEX(품목마스터!$D$3:$D$302,MATCH($B2436,품목마스터!$A$3:$A$302,0)),""))</f>
        <v/>
      </c>
      <c r="E2436" s="12"/>
      <c r="F2436" s="10"/>
    </row>
    <row r="2437" customFormat="false" ht="15" hidden="false" customHeight="true" outlineLevel="0" collapsed="false">
      <c r="A2437" s="16"/>
      <c r="B2437" s="10"/>
      <c r="C2437" s="17" t="str">
        <f aca="false">IF($B2437="","",IFERROR(INDEX(품목마스터!$B$3:$B$302,MATCH($B2437,품목마스터!$A$3:$A$302,0)),"미등록품번"))</f>
        <v/>
      </c>
      <c r="D2437" s="17" t="str">
        <f aca="false">IF($B2437="","",IFERROR(INDEX(품목마스터!$D$3:$D$302,MATCH($B2437,품목마스터!$A$3:$A$302,0)),""))</f>
        <v/>
      </c>
      <c r="E2437" s="12"/>
      <c r="F2437" s="10"/>
    </row>
    <row r="2438" customFormat="false" ht="15" hidden="false" customHeight="true" outlineLevel="0" collapsed="false">
      <c r="A2438" s="16"/>
      <c r="B2438" s="10"/>
      <c r="C2438" s="17" t="str">
        <f aca="false">IF($B2438="","",IFERROR(INDEX(품목마스터!$B$3:$B$302,MATCH($B2438,품목마스터!$A$3:$A$302,0)),"미등록품번"))</f>
        <v/>
      </c>
      <c r="D2438" s="17" t="str">
        <f aca="false">IF($B2438="","",IFERROR(INDEX(품목마스터!$D$3:$D$302,MATCH($B2438,품목마스터!$A$3:$A$302,0)),""))</f>
        <v/>
      </c>
      <c r="E2438" s="12"/>
      <c r="F2438" s="10"/>
    </row>
    <row r="2439" customFormat="false" ht="15" hidden="false" customHeight="true" outlineLevel="0" collapsed="false">
      <c r="A2439" s="16"/>
      <c r="B2439" s="10"/>
      <c r="C2439" s="17" t="str">
        <f aca="false">IF($B2439="","",IFERROR(INDEX(품목마스터!$B$3:$B$302,MATCH($B2439,품목마스터!$A$3:$A$302,0)),"미등록품번"))</f>
        <v/>
      </c>
      <c r="D2439" s="17" t="str">
        <f aca="false">IF($B2439="","",IFERROR(INDEX(품목마스터!$D$3:$D$302,MATCH($B2439,품목마스터!$A$3:$A$302,0)),""))</f>
        <v/>
      </c>
      <c r="E2439" s="12"/>
      <c r="F2439" s="10"/>
    </row>
    <row r="2440" customFormat="false" ht="15" hidden="false" customHeight="true" outlineLevel="0" collapsed="false">
      <c r="A2440" s="16"/>
      <c r="B2440" s="10"/>
      <c r="C2440" s="17" t="str">
        <f aca="false">IF($B2440="","",IFERROR(INDEX(품목마스터!$B$3:$B$302,MATCH($B2440,품목마스터!$A$3:$A$302,0)),"미등록품번"))</f>
        <v/>
      </c>
      <c r="D2440" s="17" t="str">
        <f aca="false">IF($B2440="","",IFERROR(INDEX(품목마스터!$D$3:$D$302,MATCH($B2440,품목마스터!$A$3:$A$302,0)),""))</f>
        <v/>
      </c>
      <c r="E2440" s="12"/>
      <c r="F2440" s="10"/>
    </row>
    <row r="2441" customFormat="false" ht="15" hidden="false" customHeight="true" outlineLevel="0" collapsed="false">
      <c r="A2441" s="16"/>
      <c r="B2441" s="10"/>
      <c r="C2441" s="17" t="str">
        <f aca="false">IF($B2441="","",IFERROR(INDEX(품목마스터!$B$3:$B$302,MATCH($B2441,품목마스터!$A$3:$A$302,0)),"미등록품번"))</f>
        <v/>
      </c>
      <c r="D2441" s="17" t="str">
        <f aca="false">IF($B2441="","",IFERROR(INDEX(품목마스터!$D$3:$D$302,MATCH($B2441,품목마스터!$A$3:$A$302,0)),""))</f>
        <v/>
      </c>
      <c r="E2441" s="12"/>
      <c r="F2441" s="10"/>
    </row>
    <row r="2442" customFormat="false" ht="15" hidden="false" customHeight="true" outlineLevel="0" collapsed="false">
      <c r="A2442" s="16"/>
      <c r="B2442" s="10"/>
      <c r="C2442" s="17" t="str">
        <f aca="false">IF($B2442="","",IFERROR(INDEX(품목마스터!$B$3:$B$302,MATCH($B2442,품목마스터!$A$3:$A$302,0)),"미등록품번"))</f>
        <v/>
      </c>
      <c r="D2442" s="17" t="str">
        <f aca="false">IF($B2442="","",IFERROR(INDEX(품목마스터!$D$3:$D$302,MATCH($B2442,품목마스터!$A$3:$A$302,0)),""))</f>
        <v/>
      </c>
      <c r="E2442" s="12"/>
      <c r="F2442" s="10"/>
    </row>
    <row r="2443" customFormat="false" ht="15" hidden="false" customHeight="true" outlineLevel="0" collapsed="false">
      <c r="A2443" s="16"/>
      <c r="B2443" s="10"/>
      <c r="C2443" s="17" t="str">
        <f aca="false">IF($B2443="","",IFERROR(INDEX(품목마스터!$B$3:$B$302,MATCH($B2443,품목마스터!$A$3:$A$302,0)),"미등록품번"))</f>
        <v/>
      </c>
      <c r="D2443" s="17" t="str">
        <f aca="false">IF($B2443="","",IFERROR(INDEX(품목마스터!$D$3:$D$302,MATCH($B2443,품목마스터!$A$3:$A$302,0)),""))</f>
        <v/>
      </c>
      <c r="E2443" s="12"/>
      <c r="F2443" s="10"/>
    </row>
    <row r="2444" customFormat="false" ht="15" hidden="false" customHeight="true" outlineLevel="0" collapsed="false">
      <c r="A2444" s="16"/>
      <c r="B2444" s="10"/>
      <c r="C2444" s="17" t="str">
        <f aca="false">IF($B2444="","",IFERROR(INDEX(품목마스터!$B$3:$B$302,MATCH($B2444,품목마스터!$A$3:$A$302,0)),"미등록품번"))</f>
        <v/>
      </c>
      <c r="D2444" s="17" t="str">
        <f aca="false">IF($B2444="","",IFERROR(INDEX(품목마스터!$D$3:$D$302,MATCH($B2444,품목마스터!$A$3:$A$302,0)),""))</f>
        <v/>
      </c>
      <c r="E2444" s="12"/>
      <c r="F2444" s="10"/>
    </row>
    <row r="2445" customFormat="false" ht="15" hidden="false" customHeight="true" outlineLevel="0" collapsed="false">
      <c r="A2445" s="16"/>
      <c r="B2445" s="10"/>
      <c r="C2445" s="17" t="str">
        <f aca="false">IF($B2445="","",IFERROR(INDEX(품목마스터!$B$3:$B$302,MATCH($B2445,품목마스터!$A$3:$A$302,0)),"미등록품번"))</f>
        <v/>
      </c>
      <c r="D2445" s="17" t="str">
        <f aca="false">IF($B2445="","",IFERROR(INDEX(품목마스터!$D$3:$D$302,MATCH($B2445,품목마스터!$A$3:$A$302,0)),""))</f>
        <v/>
      </c>
      <c r="E2445" s="12"/>
      <c r="F2445" s="10"/>
    </row>
    <row r="2446" customFormat="false" ht="15" hidden="false" customHeight="true" outlineLevel="0" collapsed="false">
      <c r="A2446" s="16"/>
      <c r="B2446" s="10"/>
      <c r="C2446" s="17" t="str">
        <f aca="false">IF($B2446="","",IFERROR(INDEX(품목마스터!$B$3:$B$302,MATCH($B2446,품목마스터!$A$3:$A$302,0)),"미등록품번"))</f>
        <v/>
      </c>
      <c r="D2446" s="17" t="str">
        <f aca="false">IF($B2446="","",IFERROR(INDEX(품목마스터!$D$3:$D$302,MATCH($B2446,품목마스터!$A$3:$A$302,0)),""))</f>
        <v/>
      </c>
      <c r="E2446" s="12"/>
      <c r="F2446" s="10"/>
    </row>
    <row r="2447" customFormat="false" ht="15" hidden="false" customHeight="true" outlineLevel="0" collapsed="false">
      <c r="A2447" s="16"/>
      <c r="B2447" s="10"/>
      <c r="C2447" s="17" t="str">
        <f aca="false">IF($B2447="","",IFERROR(INDEX(품목마스터!$B$3:$B$302,MATCH($B2447,품목마스터!$A$3:$A$302,0)),"미등록품번"))</f>
        <v/>
      </c>
      <c r="D2447" s="17" t="str">
        <f aca="false">IF($B2447="","",IFERROR(INDEX(품목마스터!$D$3:$D$302,MATCH($B2447,품목마스터!$A$3:$A$302,0)),""))</f>
        <v/>
      </c>
      <c r="E2447" s="12"/>
      <c r="F2447" s="10"/>
    </row>
    <row r="2448" customFormat="false" ht="15" hidden="false" customHeight="true" outlineLevel="0" collapsed="false">
      <c r="A2448" s="16"/>
      <c r="B2448" s="10"/>
      <c r="C2448" s="17" t="str">
        <f aca="false">IF($B2448="","",IFERROR(INDEX(품목마스터!$B$3:$B$302,MATCH($B2448,품목마스터!$A$3:$A$302,0)),"미등록품번"))</f>
        <v/>
      </c>
      <c r="D2448" s="17" t="str">
        <f aca="false">IF($B2448="","",IFERROR(INDEX(품목마스터!$D$3:$D$302,MATCH($B2448,품목마스터!$A$3:$A$302,0)),""))</f>
        <v/>
      </c>
      <c r="E2448" s="12"/>
      <c r="F2448" s="10"/>
    </row>
    <row r="2449" customFormat="false" ht="15" hidden="false" customHeight="true" outlineLevel="0" collapsed="false">
      <c r="A2449" s="16"/>
      <c r="B2449" s="10"/>
      <c r="C2449" s="17" t="str">
        <f aca="false">IF($B2449="","",IFERROR(INDEX(품목마스터!$B$3:$B$302,MATCH($B2449,품목마스터!$A$3:$A$302,0)),"미등록품번"))</f>
        <v/>
      </c>
      <c r="D2449" s="17" t="str">
        <f aca="false">IF($B2449="","",IFERROR(INDEX(품목마스터!$D$3:$D$302,MATCH($B2449,품목마스터!$A$3:$A$302,0)),""))</f>
        <v/>
      </c>
      <c r="E2449" s="12"/>
      <c r="F2449" s="10"/>
    </row>
    <row r="2450" customFormat="false" ht="15" hidden="false" customHeight="true" outlineLevel="0" collapsed="false">
      <c r="A2450" s="16"/>
      <c r="B2450" s="10"/>
      <c r="C2450" s="17" t="str">
        <f aca="false">IF($B2450="","",IFERROR(INDEX(품목마스터!$B$3:$B$302,MATCH($B2450,품목마스터!$A$3:$A$302,0)),"미등록품번"))</f>
        <v/>
      </c>
      <c r="D2450" s="17" t="str">
        <f aca="false">IF($B2450="","",IFERROR(INDEX(품목마스터!$D$3:$D$302,MATCH($B2450,품목마스터!$A$3:$A$302,0)),""))</f>
        <v/>
      </c>
      <c r="E2450" s="12"/>
      <c r="F2450" s="10"/>
    </row>
    <row r="2451" customFormat="false" ht="15" hidden="false" customHeight="true" outlineLevel="0" collapsed="false">
      <c r="A2451" s="16"/>
      <c r="B2451" s="10"/>
      <c r="C2451" s="17" t="str">
        <f aca="false">IF($B2451="","",IFERROR(INDEX(품목마스터!$B$3:$B$302,MATCH($B2451,품목마스터!$A$3:$A$302,0)),"미등록품번"))</f>
        <v/>
      </c>
      <c r="D2451" s="17" t="str">
        <f aca="false">IF($B2451="","",IFERROR(INDEX(품목마스터!$D$3:$D$302,MATCH($B2451,품목마스터!$A$3:$A$302,0)),""))</f>
        <v/>
      </c>
      <c r="E2451" s="12"/>
      <c r="F2451" s="10"/>
    </row>
    <row r="2452" customFormat="false" ht="15" hidden="false" customHeight="true" outlineLevel="0" collapsed="false">
      <c r="A2452" s="16"/>
      <c r="B2452" s="10"/>
      <c r="C2452" s="17" t="str">
        <f aca="false">IF($B2452="","",IFERROR(INDEX(품목마스터!$B$3:$B$302,MATCH($B2452,품목마스터!$A$3:$A$302,0)),"미등록품번"))</f>
        <v/>
      </c>
      <c r="D2452" s="17" t="str">
        <f aca="false">IF($B2452="","",IFERROR(INDEX(품목마스터!$D$3:$D$302,MATCH($B2452,품목마스터!$A$3:$A$302,0)),""))</f>
        <v/>
      </c>
      <c r="E2452" s="12"/>
      <c r="F2452" s="10"/>
    </row>
    <row r="2453" customFormat="false" ht="15" hidden="false" customHeight="true" outlineLevel="0" collapsed="false">
      <c r="A2453" s="16"/>
      <c r="B2453" s="10"/>
      <c r="C2453" s="17" t="str">
        <f aca="false">IF($B2453="","",IFERROR(INDEX(품목마스터!$B$3:$B$302,MATCH($B2453,품목마스터!$A$3:$A$302,0)),"미등록품번"))</f>
        <v/>
      </c>
      <c r="D2453" s="17" t="str">
        <f aca="false">IF($B2453="","",IFERROR(INDEX(품목마스터!$D$3:$D$302,MATCH($B2453,품목마스터!$A$3:$A$302,0)),""))</f>
        <v/>
      </c>
      <c r="E2453" s="12"/>
      <c r="F2453" s="10"/>
    </row>
    <row r="2454" customFormat="false" ht="15" hidden="false" customHeight="true" outlineLevel="0" collapsed="false">
      <c r="A2454" s="16"/>
      <c r="B2454" s="10"/>
      <c r="C2454" s="17" t="str">
        <f aca="false">IF($B2454="","",IFERROR(INDEX(품목마스터!$B$3:$B$302,MATCH($B2454,품목마스터!$A$3:$A$302,0)),"미등록품번"))</f>
        <v/>
      </c>
      <c r="D2454" s="17" t="str">
        <f aca="false">IF($B2454="","",IFERROR(INDEX(품목마스터!$D$3:$D$302,MATCH($B2454,품목마스터!$A$3:$A$302,0)),""))</f>
        <v/>
      </c>
      <c r="E2454" s="12"/>
      <c r="F2454" s="10"/>
    </row>
    <row r="2455" customFormat="false" ht="15" hidden="false" customHeight="true" outlineLevel="0" collapsed="false">
      <c r="A2455" s="16"/>
      <c r="B2455" s="10"/>
      <c r="C2455" s="17" t="str">
        <f aca="false">IF($B2455="","",IFERROR(INDEX(품목마스터!$B$3:$B$302,MATCH($B2455,품목마스터!$A$3:$A$302,0)),"미등록품번"))</f>
        <v/>
      </c>
      <c r="D2455" s="17" t="str">
        <f aca="false">IF($B2455="","",IFERROR(INDEX(품목마스터!$D$3:$D$302,MATCH($B2455,품목마스터!$A$3:$A$302,0)),""))</f>
        <v/>
      </c>
      <c r="E2455" s="12"/>
      <c r="F2455" s="10"/>
    </row>
    <row r="2456" customFormat="false" ht="15" hidden="false" customHeight="true" outlineLevel="0" collapsed="false">
      <c r="A2456" s="16"/>
      <c r="B2456" s="10"/>
      <c r="C2456" s="17" t="str">
        <f aca="false">IF($B2456="","",IFERROR(INDEX(품목마스터!$B$3:$B$302,MATCH($B2456,품목마스터!$A$3:$A$302,0)),"미등록품번"))</f>
        <v/>
      </c>
      <c r="D2456" s="17" t="str">
        <f aca="false">IF($B2456="","",IFERROR(INDEX(품목마스터!$D$3:$D$302,MATCH($B2456,품목마스터!$A$3:$A$302,0)),""))</f>
        <v/>
      </c>
      <c r="E2456" s="12"/>
      <c r="F2456" s="10"/>
    </row>
    <row r="2457" customFormat="false" ht="15" hidden="false" customHeight="true" outlineLevel="0" collapsed="false">
      <c r="A2457" s="16"/>
      <c r="B2457" s="10"/>
      <c r="C2457" s="17" t="str">
        <f aca="false">IF($B2457="","",IFERROR(INDEX(품목마스터!$B$3:$B$302,MATCH($B2457,품목마스터!$A$3:$A$302,0)),"미등록품번"))</f>
        <v/>
      </c>
      <c r="D2457" s="17" t="str">
        <f aca="false">IF($B2457="","",IFERROR(INDEX(품목마스터!$D$3:$D$302,MATCH($B2457,품목마스터!$A$3:$A$302,0)),""))</f>
        <v/>
      </c>
      <c r="E2457" s="12"/>
      <c r="F2457" s="10"/>
    </row>
    <row r="2458" customFormat="false" ht="15" hidden="false" customHeight="true" outlineLevel="0" collapsed="false">
      <c r="A2458" s="16"/>
      <c r="B2458" s="10"/>
      <c r="C2458" s="17" t="str">
        <f aca="false">IF($B2458="","",IFERROR(INDEX(품목마스터!$B$3:$B$302,MATCH($B2458,품목마스터!$A$3:$A$302,0)),"미등록품번"))</f>
        <v/>
      </c>
      <c r="D2458" s="17" t="str">
        <f aca="false">IF($B2458="","",IFERROR(INDEX(품목마스터!$D$3:$D$302,MATCH($B2458,품목마스터!$A$3:$A$302,0)),""))</f>
        <v/>
      </c>
      <c r="E2458" s="12"/>
      <c r="F2458" s="10"/>
    </row>
    <row r="2459" customFormat="false" ht="15" hidden="false" customHeight="true" outlineLevel="0" collapsed="false">
      <c r="A2459" s="16"/>
      <c r="B2459" s="10"/>
      <c r="C2459" s="17" t="str">
        <f aca="false">IF($B2459="","",IFERROR(INDEX(품목마스터!$B$3:$B$302,MATCH($B2459,품목마스터!$A$3:$A$302,0)),"미등록품번"))</f>
        <v/>
      </c>
      <c r="D2459" s="17" t="str">
        <f aca="false">IF($B2459="","",IFERROR(INDEX(품목마스터!$D$3:$D$302,MATCH($B2459,품목마스터!$A$3:$A$302,0)),""))</f>
        <v/>
      </c>
      <c r="E2459" s="12"/>
      <c r="F2459" s="10"/>
    </row>
    <row r="2460" customFormat="false" ht="15" hidden="false" customHeight="true" outlineLevel="0" collapsed="false">
      <c r="A2460" s="16"/>
      <c r="B2460" s="10"/>
      <c r="C2460" s="17" t="str">
        <f aca="false">IF($B2460="","",IFERROR(INDEX(품목마스터!$B$3:$B$302,MATCH($B2460,품목마스터!$A$3:$A$302,0)),"미등록품번"))</f>
        <v/>
      </c>
      <c r="D2460" s="17" t="str">
        <f aca="false">IF($B2460="","",IFERROR(INDEX(품목마스터!$D$3:$D$302,MATCH($B2460,품목마스터!$A$3:$A$302,0)),""))</f>
        <v/>
      </c>
      <c r="E2460" s="12"/>
      <c r="F2460" s="10"/>
    </row>
    <row r="2461" customFormat="false" ht="15" hidden="false" customHeight="true" outlineLevel="0" collapsed="false">
      <c r="A2461" s="16"/>
      <c r="B2461" s="10"/>
      <c r="C2461" s="17" t="str">
        <f aca="false">IF($B2461="","",IFERROR(INDEX(품목마스터!$B$3:$B$302,MATCH($B2461,품목마스터!$A$3:$A$302,0)),"미등록품번"))</f>
        <v/>
      </c>
      <c r="D2461" s="17" t="str">
        <f aca="false">IF($B2461="","",IFERROR(INDEX(품목마스터!$D$3:$D$302,MATCH($B2461,품목마스터!$A$3:$A$302,0)),""))</f>
        <v/>
      </c>
      <c r="E2461" s="12"/>
      <c r="F2461" s="10"/>
    </row>
    <row r="2462" customFormat="false" ht="15" hidden="false" customHeight="true" outlineLevel="0" collapsed="false">
      <c r="A2462" s="16"/>
      <c r="B2462" s="10"/>
      <c r="C2462" s="17" t="str">
        <f aca="false">IF($B2462="","",IFERROR(INDEX(품목마스터!$B$3:$B$302,MATCH($B2462,품목마스터!$A$3:$A$302,0)),"미등록품번"))</f>
        <v/>
      </c>
      <c r="D2462" s="17" t="str">
        <f aca="false">IF($B2462="","",IFERROR(INDEX(품목마스터!$D$3:$D$302,MATCH($B2462,품목마스터!$A$3:$A$302,0)),""))</f>
        <v/>
      </c>
      <c r="E2462" s="12"/>
      <c r="F2462" s="10"/>
    </row>
    <row r="2463" customFormat="false" ht="15" hidden="false" customHeight="true" outlineLevel="0" collapsed="false">
      <c r="A2463" s="16"/>
      <c r="B2463" s="10"/>
      <c r="C2463" s="17" t="str">
        <f aca="false">IF($B2463="","",IFERROR(INDEX(품목마스터!$B$3:$B$302,MATCH($B2463,품목마스터!$A$3:$A$302,0)),"미등록품번"))</f>
        <v/>
      </c>
      <c r="D2463" s="17" t="str">
        <f aca="false">IF($B2463="","",IFERROR(INDEX(품목마스터!$D$3:$D$302,MATCH($B2463,품목마스터!$A$3:$A$302,0)),""))</f>
        <v/>
      </c>
      <c r="E2463" s="12"/>
      <c r="F2463" s="10"/>
    </row>
    <row r="2464" customFormat="false" ht="15" hidden="false" customHeight="true" outlineLevel="0" collapsed="false">
      <c r="A2464" s="16"/>
      <c r="B2464" s="10"/>
      <c r="C2464" s="17" t="str">
        <f aca="false">IF($B2464="","",IFERROR(INDEX(품목마스터!$B$3:$B$302,MATCH($B2464,품목마스터!$A$3:$A$302,0)),"미등록품번"))</f>
        <v/>
      </c>
      <c r="D2464" s="17" t="str">
        <f aca="false">IF($B2464="","",IFERROR(INDEX(품목마스터!$D$3:$D$302,MATCH($B2464,품목마스터!$A$3:$A$302,0)),""))</f>
        <v/>
      </c>
      <c r="E2464" s="12"/>
      <c r="F2464" s="10"/>
    </row>
    <row r="2465" customFormat="false" ht="15" hidden="false" customHeight="true" outlineLevel="0" collapsed="false">
      <c r="A2465" s="16"/>
      <c r="B2465" s="10"/>
      <c r="C2465" s="17" t="str">
        <f aca="false">IF($B2465="","",IFERROR(INDEX(품목마스터!$B$3:$B$302,MATCH($B2465,품목마스터!$A$3:$A$302,0)),"미등록품번"))</f>
        <v/>
      </c>
      <c r="D2465" s="17" t="str">
        <f aca="false">IF($B2465="","",IFERROR(INDEX(품목마스터!$D$3:$D$302,MATCH($B2465,품목마스터!$A$3:$A$302,0)),""))</f>
        <v/>
      </c>
      <c r="E2465" s="12"/>
      <c r="F2465" s="10"/>
    </row>
    <row r="2466" customFormat="false" ht="15" hidden="false" customHeight="true" outlineLevel="0" collapsed="false">
      <c r="A2466" s="16"/>
      <c r="B2466" s="10"/>
      <c r="C2466" s="17" t="str">
        <f aca="false">IF($B2466="","",IFERROR(INDEX(품목마스터!$B$3:$B$302,MATCH($B2466,품목마스터!$A$3:$A$302,0)),"미등록품번"))</f>
        <v/>
      </c>
      <c r="D2466" s="17" t="str">
        <f aca="false">IF($B2466="","",IFERROR(INDEX(품목마스터!$D$3:$D$302,MATCH($B2466,품목마스터!$A$3:$A$302,0)),""))</f>
        <v/>
      </c>
      <c r="E2466" s="12"/>
      <c r="F2466" s="10"/>
    </row>
    <row r="2467" customFormat="false" ht="15" hidden="false" customHeight="true" outlineLevel="0" collapsed="false">
      <c r="A2467" s="16"/>
      <c r="B2467" s="10"/>
      <c r="C2467" s="17" t="str">
        <f aca="false">IF($B2467="","",IFERROR(INDEX(품목마스터!$B$3:$B$302,MATCH($B2467,품목마스터!$A$3:$A$302,0)),"미등록품번"))</f>
        <v/>
      </c>
      <c r="D2467" s="17" t="str">
        <f aca="false">IF($B2467="","",IFERROR(INDEX(품목마스터!$D$3:$D$302,MATCH($B2467,품목마스터!$A$3:$A$302,0)),""))</f>
        <v/>
      </c>
      <c r="E2467" s="12"/>
      <c r="F2467" s="10"/>
    </row>
    <row r="2468" customFormat="false" ht="15" hidden="false" customHeight="true" outlineLevel="0" collapsed="false">
      <c r="A2468" s="16"/>
      <c r="B2468" s="10"/>
      <c r="C2468" s="17" t="str">
        <f aca="false">IF($B2468="","",IFERROR(INDEX(품목마스터!$B$3:$B$302,MATCH($B2468,품목마스터!$A$3:$A$302,0)),"미등록품번"))</f>
        <v/>
      </c>
      <c r="D2468" s="17" t="str">
        <f aca="false">IF($B2468="","",IFERROR(INDEX(품목마스터!$D$3:$D$302,MATCH($B2468,품목마스터!$A$3:$A$302,0)),""))</f>
        <v/>
      </c>
      <c r="E2468" s="12"/>
      <c r="F2468" s="10"/>
    </row>
    <row r="2469" customFormat="false" ht="15" hidden="false" customHeight="true" outlineLevel="0" collapsed="false">
      <c r="A2469" s="16"/>
      <c r="B2469" s="10"/>
      <c r="C2469" s="17" t="str">
        <f aca="false">IF($B2469="","",IFERROR(INDEX(품목마스터!$B$3:$B$302,MATCH($B2469,품목마스터!$A$3:$A$302,0)),"미등록품번"))</f>
        <v/>
      </c>
      <c r="D2469" s="17" t="str">
        <f aca="false">IF($B2469="","",IFERROR(INDEX(품목마스터!$D$3:$D$302,MATCH($B2469,품목마스터!$A$3:$A$302,0)),""))</f>
        <v/>
      </c>
      <c r="E2469" s="12"/>
      <c r="F2469" s="10"/>
    </row>
    <row r="2470" customFormat="false" ht="15" hidden="false" customHeight="true" outlineLevel="0" collapsed="false">
      <c r="A2470" s="16"/>
      <c r="B2470" s="10"/>
      <c r="C2470" s="17" t="str">
        <f aca="false">IF($B2470="","",IFERROR(INDEX(품목마스터!$B$3:$B$302,MATCH($B2470,품목마스터!$A$3:$A$302,0)),"미등록품번"))</f>
        <v/>
      </c>
      <c r="D2470" s="17" t="str">
        <f aca="false">IF($B2470="","",IFERROR(INDEX(품목마스터!$D$3:$D$302,MATCH($B2470,품목마스터!$A$3:$A$302,0)),""))</f>
        <v/>
      </c>
      <c r="E2470" s="12"/>
      <c r="F2470" s="10"/>
    </row>
    <row r="2471" customFormat="false" ht="15" hidden="false" customHeight="true" outlineLevel="0" collapsed="false">
      <c r="A2471" s="16"/>
      <c r="B2471" s="10"/>
      <c r="C2471" s="17" t="str">
        <f aca="false">IF($B2471="","",IFERROR(INDEX(품목마스터!$B$3:$B$302,MATCH($B2471,품목마스터!$A$3:$A$302,0)),"미등록품번"))</f>
        <v/>
      </c>
      <c r="D2471" s="17" t="str">
        <f aca="false">IF($B2471="","",IFERROR(INDEX(품목마스터!$D$3:$D$302,MATCH($B2471,품목마스터!$A$3:$A$302,0)),""))</f>
        <v/>
      </c>
      <c r="E2471" s="12"/>
      <c r="F2471" s="10"/>
    </row>
    <row r="2472" customFormat="false" ht="15" hidden="false" customHeight="true" outlineLevel="0" collapsed="false">
      <c r="A2472" s="16"/>
      <c r="B2472" s="10"/>
      <c r="C2472" s="17" t="str">
        <f aca="false">IF($B2472="","",IFERROR(INDEX(품목마스터!$B$3:$B$302,MATCH($B2472,품목마스터!$A$3:$A$302,0)),"미등록품번"))</f>
        <v/>
      </c>
      <c r="D2472" s="17" t="str">
        <f aca="false">IF($B2472="","",IFERROR(INDEX(품목마스터!$D$3:$D$302,MATCH($B2472,품목마스터!$A$3:$A$302,0)),""))</f>
        <v/>
      </c>
      <c r="E2472" s="12"/>
      <c r="F2472" s="10"/>
    </row>
    <row r="2473" customFormat="false" ht="15" hidden="false" customHeight="true" outlineLevel="0" collapsed="false">
      <c r="A2473" s="16"/>
      <c r="B2473" s="10"/>
      <c r="C2473" s="17" t="str">
        <f aca="false">IF($B2473="","",IFERROR(INDEX(품목마스터!$B$3:$B$302,MATCH($B2473,품목마스터!$A$3:$A$302,0)),"미등록품번"))</f>
        <v/>
      </c>
      <c r="D2473" s="17" t="str">
        <f aca="false">IF($B2473="","",IFERROR(INDEX(품목마스터!$D$3:$D$302,MATCH($B2473,품목마스터!$A$3:$A$302,0)),""))</f>
        <v/>
      </c>
      <c r="E2473" s="12"/>
      <c r="F2473" s="10"/>
    </row>
    <row r="2474" customFormat="false" ht="15" hidden="false" customHeight="true" outlineLevel="0" collapsed="false">
      <c r="A2474" s="16"/>
      <c r="B2474" s="10"/>
      <c r="C2474" s="17" t="str">
        <f aca="false">IF($B2474="","",IFERROR(INDEX(품목마스터!$B$3:$B$302,MATCH($B2474,품목마스터!$A$3:$A$302,0)),"미등록품번"))</f>
        <v/>
      </c>
      <c r="D2474" s="17" t="str">
        <f aca="false">IF($B2474="","",IFERROR(INDEX(품목마스터!$D$3:$D$302,MATCH($B2474,품목마스터!$A$3:$A$302,0)),""))</f>
        <v/>
      </c>
      <c r="E2474" s="12"/>
      <c r="F2474" s="10"/>
    </row>
    <row r="2475" customFormat="false" ht="15" hidden="false" customHeight="true" outlineLevel="0" collapsed="false">
      <c r="A2475" s="16"/>
      <c r="B2475" s="10"/>
      <c r="C2475" s="17" t="str">
        <f aca="false">IF($B2475="","",IFERROR(INDEX(품목마스터!$B$3:$B$302,MATCH($B2475,품목마스터!$A$3:$A$302,0)),"미등록품번"))</f>
        <v/>
      </c>
      <c r="D2475" s="17" t="str">
        <f aca="false">IF($B2475="","",IFERROR(INDEX(품목마스터!$D$3:$D$302,MATCH($B2475,품목마스터!$A$3:$A$302,0)),""))</f>
        <v/>
      </c>
      <c r="E2475" s="12"/>
      <c r="F2475" s="10"/>
    </row>
    <row r="2476" customFormat="false" ht="15" hidden="false" customHeight="true" outlineLevel="0" collapsed="false">
      <c r="A2476" s="16"/>
      <c r="B2476" s="10"/>
      <c r="C2476" s="17" t="str">
        <f aca="false">IF($B2476="","",IFERROR(INDEX(품목마스터!$B$3:$B$302,MATCH($B2476,품목마스터!$A$3:$A$302,0)),"미등록품번"))</f>
        <v/>
      </c>
      <c r="D2476" s="17" t="str">
        <f aca="false">IF($B2476="","",IFERROR(INDEX(품목마스터!$D$3:$D$302,MATCH($B2476,품목마스터!$A$3:$A$302,0)),""))</f>
        <v/>
      </c>
      <c r="E2476" s="12"/>
      <c r="F2476" s="10"/>
    </row>
    <row r="2477" customFormat="false" ht="15" hidden="false" customHeight="true" outlineLevel="0" collapsed="false">
      <c r="A2477" s="16"/>
      <c r="B2477" s="10"/>
      <c r="C2477" s="17" t="str">
        <f aca="false">IF($B2477="","",IFERROR(INDEX(품목마스터!$B$3:$B$302,MATCH($B2477,품목마스터!$A$3:$A$302,0)),"미등록품번"))</f>
        <v/>
      </c>
      <c r="D2477" s="17" t="str">
        <f aca="false">IF($B2477="","",IFERROR(INDEX(품목마스터!$D$3:$D$302,MATCH($B2477,품목마스터!$A$3:$A$302,0)),""))</f>
        <v/>
      </c>
      <c r="E2477" s="12"/>
      <c r="F2477" s="10"/>
    </row>
    <row r="2478" customFormat="false" ht="15" hidden="false" customHeight="true" outlineLevel="0" collapsed="false">
      <c r="A2478" s="16"/>
      <c r="B2478" s="10"/>
      <c r="C2478" s="17" t="str">
        <f aca="false">IF($B2478="","",IFERROR(INDEX(품목마스터!$B$3:$B$302,MATCH($B2478,품목마스터!$A$3:$A$302,0)),"미등록품번"))</f>
        <v/>
      </c>
      <c r="D2478" s="17" t="str">
        <f aca="false">IF($B2478="","",IFERROR(INDEX(품목마스터!$D$3:$D$302,MATCH($B2478,품목마스터!$A$3:$A$302,0)),""))</f>
        <v/>
      </c>
      <c r="E2478" s="12"/>
      <c r="F2478" s="10"/>
    </row>
    <row r="2479" customFormat="false" ht="15" hidden="false" customHeight="true" outlineLevel="0" collapsed="false">
      <c r="A2479" s="16"/>
      <c r="B2479" s="10"/>
      <c r="C2479" s="17" t="str">
        <f aca="false">IF($B2479="","",IFERROR(INDEX(품목마스터!$B$3:$B$302,MATCH($B2479,품목마스터!$A$3:$A$302,0)),"미등록품번"))</f>
        <v/>
      </c>
      <c r="D2479" s="17" t="str">
        <f aca="false">IF($B2479="","",IFERROR(INDEX(품목마스터!$D$3:$D$302,MATCH($B2479,품목마스터!$A$3:$A$302,0)),""))</f>
        <v/>
      </c>
      <c r="E2479" s="12"/>
      <c r="F2479" s="10"/>
    </row>
    <row r="2480" customFormat="false" ht="15" hidden="false" customHeight="true" outlineLevel="0" collapsed="false">
      <c r="A2480" s="16"/>
      <c r="B2480" s="10"/>
      <c r="C2480" s="17" t="str">
        <f aca="false">IF($B2480="","",IFERROR(INDEX(품목마스터!$B$3:$B$302,MATCH($B2480,품목마스터!$A$3:$A$302,0)),"미등록품번"))</f>
        <v/>
      </c>
      <c r="D2480" s="17" t="str">
        <f aca="false">IF($B2480="","",IFERROR(INDEX(품목마스터!$D$3:$D$302,MATCH($B2480,품목마스터!$A$3:$A$302,0)),""))</f>
        <v/>
      </c>
      <c r="E2480" s="12"/>
      <c r="F2480" s="10"/>
    </row>
    <row r="2481" customFormat="false" ht="15" hidden="false" customHeight="true" outlineLevel="0" collapsed="false">
      <c r="A2481" s="16"/>
      <c r="B2481" s="10"/>
      <c r="C2481" s="17" t="str">
        <f aca="false">IF($B2481="","",IFERROR(INDEX(품목마스터!$B$3:$B$302,MATCH($B2481,품목마스터!$A$3:$A$302,0)),"미등록품번"))</f>
        <v/>
      </c>
      <c r="D2481" s="17" t="str">
        <f aca="false">IF($B2481="","",IFERROR(INDEX(품목마스터!$D$3:$D$302,MATCH($B2481,품목마스터!$A$3:$A$302,0)),""))</f>
        <v/>
      </c>
      <c r="E2481" s="12"/>
      <c r="F2481" s="10"/>
    </row>
    <row r="2482" customFormat="false" ht="15" hidden="false" customHeight="true" outlineLevel="0" collapsed="false">
      <c r="A2482" s="16"/>
      <c r="B2482" s="10"/>
      <c r="C2482" s="17" t="str">
        <f aca="false">IF($B2482="","",IFERROR(INDEX(품목마스터!$B$3:$B$302,MATCH($B2482,품목마스터!$A$3:$A$302,0)),"미등록품번"))</f>
        <v/>
      </c>
      <c r="D2482" s="17" t="str">
        <f aca="false">IF($B2482="","",IFERROR(INDEX(품목마스터!$D$3:$D$302,MATCH($B2482,품목마스터!$A$3:$A$302,0)),""))</f>
        <v/>
      </c>
      <c r="E2482" s="12"/>
      <c r="F2482" s="10"/>
    </row>
    <row r="2483" customFormat="false" ht="15" hidden="false" customHeight="true" outlineLevel="0" collapsed="false">
      <c r="A2483" s="16"/>
      <c r="B2483" s="10"/>
      <c r="C2483" s="17" t="str">
        <f aca="false">IF($B2483="","",IFERROR(INDEX(품목마스터!$B$3:$B$302,MATCH($B2483,품목마스터!$A$3:$A$302,0)),"미등록품번"))</f>
        <v/>
      </c>
      <c r="D2483" s="17" t="str">
        <f aca="false">IF($B2483="","",IFERROR(INDEX(품목마스터!$D$3:$D$302,MATCH($B2483,품목마스터!$A$3:$A$302,0)),""))</f>
        <v/>
      </c>
      <c r="E2483" s="12"/>
      <c r="F2483" s="10"/>
    </row>
    <row r="2484" customFormat="false" ht="15" hidden="false" customHeight="true" outlineLevel="0" collapsed="false">
      <c r="A2484" s="16"/>
      <c r="B2484" s="10"/>
      <c r="C2484" s="17" t="str">
        <f aca="false">IF($B2484="","",IFERROR(INDEX(품목마스터!$B$3:$B$302,MATCH($B2484,품목마스터!$A$3:$A$302,0)),"미등록품번"))</f>
        <v/>
      </c>
      <c r="D2484" s="17" t="str">
        <f aca="false">IF($B2484="","",IFERROR(INDEX(품목마스터!$D$3:$D$302,MATCH($B2484,품목마스터!$A$3:$A$302,0)),""))</f>
        <v/>
      </c>
      <c r="E2484" s="12"/>
      <c r="F2484" s="10"/>
    </row>
    <row r="2485" customFormat="false" ht="15" hidden="false" customHeight="true" outlineLevel="0" collapsed="false">
      <c r="A2485" s="16"/>
      <c r="B2485" s="10"/>
      <c r="C2485" s="17" t="str">
        <f aca="false">IF($B2485="","",IFERROR(INDEX(품목마스터!$B$3:$B$302,MATCH($B2485,품목마스터!$A$3:$A$302,0)),"미등록품번"))</f>
        <v/>
      </c>
      <c r="D2485" s="17" t="str">
        <f aca="false">IF($B2485="","",IFERROR(INDEX(품목마스터!$D$3:$D$302,MATCH($B2485,품목마스터!$A$3:$A$302,0)),""))</f>
        <v/>
      </c>
      <c r="E2485" s="12"/>
      <c r="F2485" s="10"/>
    </row>
    <row r="2486" customFormat="false" ht="15" hidden="false" customHeight="true" outlineLevel="0" collapsed="false">
      <c r="A2486" s="16"/>
      <c r="B2486" s="10"/>
      <c r="C2486" s="17" t="str">
        <f aca="false">IF($B2486="","",IFERROR(INDEX(품목마스터!$B$3:$B$302,MATCH($B2486,품목마스터!$A$3:$A$302,0)),"미등록품번"))</f>
        <v/>
      </c>
      <c r="D2486" s="17" t="str">
        <f aca="false">IF($B2486="","",IFERROR(INDEX(품목마스터!$D$3:$D$302,MATCH($B2486,품목마스터!$A$3:$A$302,0)),""))</f>
        <v/>
      </c>
      <c r="E2486" s="12"/>
      <c r="F2486" s="10"/>
    </row>
    <row r="2487" customFormat="false" ht="15" hidden="false" customHeight="true" outlineLevel="0" collapsed="false">
      <c r="A2487" s="16"/>
      <c r="B2487" s="10"/>
      <c r="C2487" s="17" t="str">
        <f aca="false">IF($B2487="","",IFERROR(INDEX(품목마스터!$B$3:$B$302,MATCH($B2487,품목마스터!$A$3:$A$302,0)),"미등록품번"))</f>
        <v/>
      </c>
      <c r="D2487" s="17" t="str">
        <f aca="false">IF($B2487="","",IFERROR(INDEX(품목마스터!$D$3:$D$302,MATCH($B2487,품목마스터!$A$3:$A$302,0)),""))</f>
        <v/>
      </c>
      <c r="E2487" s="12"/>
      <c r="F2487" s="10"/>
    </row>
    <row r="2488" customFormat="false" ht="15" hidden="false" customHeight="true" outlineLevel="0" collapsed="false">
      <c r="A2488" s="16"/>
      <c r="B2488" s="10"/>
      <c r="C2488" s="17" t="str">
        <f aca="false">IF($B2488="","",IFERROR(INDEX(품목마스터!$B$3:$B$302,MATCH($B2488,품목마스터!$A$3:$A$302,0)),"미등록품번"))</f>
        <v/>
      </c>
      <c r="D2488" s="17" t="str">
        <f aca="false">IF($B2488="","",IFERROR(INDEX(품목마스터!$D$3:$D$302,MATCH($B2488,품목마스터!$A$3:$A$302,0)),""))</f>
        <v/>
      </c>
      <c r="E2488" s="12"/>
      <c r="F2488" s="10"/>
    </row>
    <row r="2489" customFormat="false" ht="15" hidden="false" customHeight="true" outlineLevel="0" collapsed="false">
      <c r="A2489" s="16"/>
      <c r="B2489" s="10"/>
      <c r="C2489" s="17" t="str">
        <f aca="false">IF($B2489="","",IFERROR(INDEX(품목마스터!$B$3:$B$302,MATCH($B2489,품목마스터!$A$3:$A$302,0)),"미등록품번"))</f>
        <v/>
      </c>
      <c r="D2489" s="17" t="str">
        <f aca="false">IF($B2489="","",IFERROR(INDEX(품목마스터!$D$3:$D$302,MATCH($B2489,품목마스터!$A$3:$A$302,0)),""))</f>
        <v/>
      </c>
      <c r="E2489" s="12"/>
      <c r="F2489" s="10"/>
    </row>
    <row r="2490" customFormat="false" ht="15" hidden="false" customHeight="true" outlineLevel="0" collapsed="false">
      <c r="A2490" s="16"/>
      <c r="B2490" s="10"/>
      <c r="C2490" s="17" t="str">
        <f aca="false">IF($B2490="","",IFERROR(INDEX(품목마스터!$B$3:$B$302,MATCH($B2490,품목마스터!$A$3:$A$302,0)),"미등록품번"))</f>
        <v/>
      </c>
      <c r="D2490" s="17" t="str">
        <f aca="false">IF($B2490="","",IFERROR(INDEX(품목마스터!$D$3:$D$302,MATCH($B2490,품목마스터!$A$3:$A$302,0)),""))</f>
        <v/>
      </c>
      <c r="E2490" s="12"/>
      <c r="F2490" s="10"/>
    </row>
    <row r="2491" customFormat="false" ht="15" hidden="false" customHeight="true" outlineLevel="0" collapsed="false">
      <c r="A2491" s="16"/>
      <c r="B2491" s="10"/>
      <c r="C2491" s="17" t="str">
        <f aca="false">IF($B2491="","",IFERROR(INDEX(품목마스터!$B$3:$B$302,MATCH($B2491,품목마스터!$A$3:$A$302,0)),"미등록품번"))</f>
        <v/>
      </c>
      <c r="D2491" s="17" t="str">
        <f aca="false">IF($B2491="","",IFERROR(INDEX(품목마스터!$D$3:$D$302,MATCH($B2491,품목마스터!$A$3:$A$302,0)),""))</f>
        <v/>
      </c>
      <c r="E2491" s="12"/>
      <c r="F2491" s="10"/>
    </row>
    <row r="2492" customFormat="false" ht="15" hidden="false" customHeight="true" outlineLevel="0" collapsed="false">
      <c r="A2492" s="16"/>
      <c r="B2492" s="10"/>
      <c r="C2492" s="17" t="str">
        <f aca="false">IF($B2492="","",IFERROR(INDEX(품목마스터!$B$3:$B$302,MATCH($B2492,품목마스터!$A$3:$A$302,0)),"미등록품번"))</f>
        <v/>
      </c>
      <c r="D2492" s="17" t="str">
        <f aca="false">IF($B2492="","",IFERROR(INDEX(품목마스터!$D$3:$D$302,MATCH($B2492,품목마스터!$A$3:$A$302,0)),""))</f>
        <v/>
      </c>
      <c r="E2492" s="12"/>
      <c r="F2492" s="10"/>
    </row>
    <row r="2493" customFormat="false" ht="15" hidden="false" customHeight="true" outlineLevel="0" collapsed="false">
      <c r="A2493" s="16"/>
      <c r="B2493" s="10"/>
      <c r="C2493" s="17" t="str">
        <f aca="false">IF($B2493="","",IFERROR(INDEX(품목마스터!$B$3:$B$302,MATCH($B2493,품목마스터!$A$3:$A$302,0)),"미등록품번"))</f>
        <v/>
      </c>
      <c r="D2493" s="17" t="str">
        <f aca="false">IF($B2493="","",IFERROR(INDEX(품목마스터!$D$3:$D$302,MATCH($B2493,품목마스터!$A$3:$A$302,0)),""))</f>
        <v/>
      </c>
      <c r="E2493" s="12"/>
      <c r="F2493" s="10"/>
    </row>
    <row r="2494" customFormat="false" ht="15" hidden="false" customHeight="true" outlineLevel="0" collapsed="false">
      <c r="A2494" s="16"/>
      <c r="B2494" s="10"/>
      <c r="C2494" s="17" t="str">
        <f aca="false">IF($B2494="","",IFERROR(INDEX(품목마스터!$B$3:$B$302,MATCH($B2494,품목마스터!$A$3:$A$302,0)),"미등록품번"))</f>
        <v/>
      </c>
      <c r="D2494" s="17" t="str">
        <f aca="false">IF($B2494="","",IFERROR(INDEX(품목마스터!$D$3:$D$302,MATCH($B2494,품목마스터!$A$3:$A$302,0)),""))</f>
        <v/>
      </c>
      <c r="E2494" s="12"/>
      <c r="F2494" s="10"/>
    </row>
    <row r="2495" customFormat="false" ht="15" hidden="false" customHeight="true" outlineLevel="0" collapsed="false">
      <c r="A2495" s="16"/>
      <c r="B2495" s="10"/>
      <c r="C2495" s="17" t="str">
        <f aca="false">IF($B2495="","",IFERROR(INDEX(품목마스터!$B$3:$B$302,MATCH($B2495,품목마스터!$A$3:$A$302,0)),"미등록품번"))</f>
        <v/>
      </c>
      <c r="D2495" s="17" t="str">
        <f aca="false">IF($B2495="","",IFERROR(INDEX(품목마스터!$D$3:$D$302,MATCH($B2495,품목마스터!$A$3:$A$302,0)),""))</f>
        <v/>
      </c>
      <c r="E2495" s="12"/>
      <c r="F2495" s="10"/>
    </row>
    <row r="2496" customFormat="false" ht="15" hidden="false" customHeight="true" outlineLevel="0" collapsed="false">
      <c r="A2496" s="16"/>
      <c r="B2496" s="10"/>
      <c r="C2496" s="17" t="str">
        <f aca="false">IF($B2496="","",IFERROR(INDEX(품목마스터!$B$3:$B$302,MATCH($B2496,품목마스터!$A$3:$A$302,0)),"미등록품번"))</f>
        <v/>
      </c>
      <c r="D2496" s="17" t="str">
        <f aca="false">IF($B2496="","",IFERROR(INDEX(품목마스터!$D$3:$D$302,MATCH($B2496,품목마스터!$A$3:$A$302,0)),""))</f>
        <v/>
      </c>
      <c r="E2496" s="12"/>
      <c r="F2496" s="10"/>
    </row>
    <row r="2497" customFormat="false" ht="15" hidden="false" customHeight="true" outlineLevel="0" collapsed="false">
      <c r="A2497" s="16"/>
      <c r="B2497" s="10"/>
      <c r="C2497" s="17" t="str">
        <f aca="false">IF($B2497="","",IFERROR(INDEX(품목마스터!$B$3:$B$302,MATCH($B2497,품목마스터!$A$3:$A$302,0)),"미등록품번"))</f>
        <v/>
      </c>
      <c r="D2497" s="17" t="str">
        <f aca="false">IF($B2497="","",IFERROR(INDEX(품목마스터!$D$3:$D$302,MATCH($B2497,품목마스터!$A$3:$A$302,0)),""))</f>
        <v/>
      </c>
      <c r="E2497" s="12"/>
      <c r="F2497" s="10"/>
    </row>
    <row r="2498" customFormat="false" ht="15" hidden="false" customHeight="true" outlineLevel="0" collapsed="false">
      <c r="A2498" s="16"/>
      <c r="B2498" s="10"/>
      <c r="C2498" s="17" t="str">
        <f aca="false">IF($B2498="","",IFERROR(INDEX(품목마스터!$B$3:$B$302,MATCH($B2498,품목마스터!$A$3:$A$302,0)),"미등록품번"))</f>
        <v/>
      </c>
      <c r="D2498" s="17" t="str">
        <f aca="false">IF($B2498="","",IFERROR(INDEX(품목마스터!$D$3:$D$302,MATCH($B2498,품목마스터!$A$3:$A$302,0)),""))</f>
        <v/>
      </c>
      <c r="E2498" s="12"/>
      <c r="F2498" s="10"/>
    </row>
    <row r="2499" customFormat="false" ht="15" hidden="false" customHeight="true" outlineLevel="0" collapsed="false">
      <c r="A2499" s="16"/>
      <c r="B2499" s="10"/>
      <c r="C2499" s="17" t="str">
        <f aca="false">IF($B2499="","",IFERROR(INDEX(품목마스터!$B$3:$B$302,MATCH($B2499,품목마스터!$A$3:$A$302,0)),"미등록품번"))</f>
        <v/>
      </c>
      <c r="D2499" s="17" t="str">
        <f aca="false">IF($B2499="","",IFERROR(INDEX(품목마스터!$D$3:$D$302,MATCH($B2499,품목마스터!$A$3:$A$302,0)),""))</f>
        <v/>
      </c>
      <c r="E2499" s="12"/>
      <c r="F2499" s="10"/>
    </row>
    <row r="2500" customFormat="false" ht="15" hidden="false" customHeight="true" outlineLevel="0" collapsed="false">
      <c r="A2500" s="16"/>
      <c r="B2500" s="10"/>
      <c r="C2500" s="17" t="str">
        <f aca="false">IF($B2500="","",IFERROR(INDEX(품목마스터!$B$3:$B$302,MATCH($B2500,품목마스터!$A$3:$A$302,0)),"미등록품번"))</f>
        <v/>
      </c>
      <c r="D2500" s="17" t="str">
        <f aca="false">IF($B2500="","",IFERROR(INDEX(품목마스터!$D$3:$D$302,MATCH($B2500,품목마스터!$A$3:$A$302,0)),""))</f>
        <v/>
      </c>
      <c r="E2500" s="12"/>
      <c r="F2500" s="10"/>
    </row>
    <row r="2501" customFormat="false" ht="15" hidden="false" customHeight="true" outlineLevel="0" collapsed="false">
      <c r="A2501" s="16"/>
      <c r="B2501" s="10"/>
      <c r="C2501" s="17" t="str">
        <f aca="false">IF($B2501="","",IFERROR(INDEX(품목마스터!$B$3:$B$302,MATCH($B2501,품목마스터!$A$3:$A$302,0)),"미등록품번"))</f>
        <v/>
      </c>
      <c r="D2501" s="17" t="str">
        <f aca="false">IF($B2501="","",IFERROR(INDEX(품목마스터!$D$3:$D$302,MATCH($B2501,품목마스터!$A$3:$A$302,0)),""))</f>
        <v/>
      </c>
      <c r="E2501" s="12"/>
      <c r="F2501" s="10"/>
    </row>
    <row r="2502" customFormat="false" ht="15" hidden="false" customHeight="true" outlineLevel="0" collapsed="false">
      <c r="A2502" s="16"/>
      <c r="B2502" s="10"/>
      <c r="C2502" s="17" t="str">
        <f aca="false">IF($B2502="","",IFERROR(INDEX(품목마스터!$B$3:$B$302,MATCH($B2502,품목마스터!$A$3:$A$302,0)),"미등록품번"))</f>
        <v/>
      </c>
      <c r="D2502" s="17" t="str">
        <f aca="false">IF($B2502="","",IFERROR(INDEX(품목마스터!$D$3:$D$302,MATCH($B2502,품목마스터!$A$3:$A$302,0)),""))</f>
        <v/>
      </c>
      <c r="E2502" s="12"/>
      <c r="F2502" s="10"/>
    </row>
    <row r="2503" customFormat="false" ht="15" hidden="false" customHeight="true" outlineLevel="0" collapsed="false">
      <c r="A2503" s="16"/>
      <c r="B2503" s="10"/>
      <c r="C2503" s="17" t="str">
        <f aca="false">IF($B2503="","",IFERROR(INDEX(품목마스터!$B$3:$B$302,MATCH($B2503,품목마스터!$A$3:$A$302,0)),"미등록품번"))</f>
        <v/>
      </c>
      <c r="D2503" s="17" t="str">
        <f aca="false">IF($B2503="","",IFERROR(INDEX(품목마스터!$D$3:$D$302,MATCH($B2503,품목마스터!$A$3:$A$302,0)),""))</f>
        <v/>
      </c>
      <c r="E2503" s="12"/>
      <c r="F2503" s="10"/>
    </row>
    <row r="2504" customFormat="false" ht="15" hidden="false" customHeight="true" outlineLevel="0" collapsed="false">
      <c r="A2504" s="16"/>
      <c r="B2504" s="10"/>
      <c r="C2504" s="17" t="str">
        <f aca="false">IF($B2504="","",IFERROR(INDEX(품목마스터!$B$3:$B$302,MATCH($B2504,품목마스터!$A$3:$A$302,0)),"미등록품번"))</f>
        <v/>
      </c>
      <c r="D2504" s="17" t="str">
        <f aca="false">IF($B2504="","",IFERROR(INDEX(품목마스터!$D$3:$D$302,MATCH($B2504,품목마스터!$A$3:$A$302,0)),""))</f>
        <v/>
      </c>
      <c r="E2504" s="12"/>
      <c r="F2504" s="10"/>
    </row>
    <row r="2505" customFormat="false" ht="15" hidden="false" customHeight="true" outlineLevel="0" collapsed="false">
      <c r="A2505" s="16"/>
      <c r="B2505" s="10"/>
      <c r="C2505" s="17" t="str">
        <f aca="false">IF($B2505="","",IFERROR(INDEX(품목마스터!$B$3:$B$302,MATCH($B2505,품목마스터!$A$3:$A$302,0)),"미등록품번"))</f>
        <v/>
      </c>
      <c r="D2505" s="17" t="str">
        <f aca="false">IF($B2505="","",IFERROR(INDEX(품목마스터!$D$3:$D$302,MATCH($B2505,품목마스터!$A$3:$A$302,0)),""))</f>
        <v/>
      </c>
      <c r="E2505" s="12"/>
      <c r="F2505" s="10"/>
    </row>
    <row r="2506" customFormat="false" ht="15" hidden="false" customHeight="true" outlineLevel="0" collapsed="false">
      <c r="A2506" s="16"/>
      <c r="B2506" s="10"/>
      <c r="C2506" s="17" t="str">
        <f aca="false">IF($B2506="","",IFERROR(INDEX(품목마스터!$B$3:$B$302,MATCH($B2506,품목마스터!$A$3:$A$302,0)),"미등록품번"))</f>
        <v/>
      </c>
      <c r="D2506" s="17" t="str">
        <f aca="false">IF($B2506="","",IFERROR(INDEX(품목마스터!$D$3:$D$302,MATCH($B2506,품목마스터!$A$3:$A$302,0)),""))</f>
        <v/>
      </c>
      <c r="E2506" s="12"/>
      <c r="F2506" s="10"/>
    </row>
    <row r="2507" customFormat="false" ht="15" hidden="false" customHeight="true" outlineLevel="0" collapsed="false">
      <c r="A2507" s="16"/>
      <c r="B2507" s="10"/>
      <c r="C2507" s="17" t="str">
        <f aca="false">IF($B2507="","",IFERROR(INDEX(품목마스터!$B$3:$B$302,MATCH($B2507,품목마스터!$A$3:$A$302,0)),"미등록품번"))</f>
        <v/>
      </c>
      <c r="D2507" s="17" t="str">
        <f aca="false">IF($B2507="","",IFERROR(INDEX(품목마스터!$D$3:$D$302,MATCH($B2507,품목마스터!$A$3:$A$302,0)),""))</f>
        <v/>
      </c>
      <c r="E2507" s="12"/>
      <c r="F2507" s="10"/>
    </row>
    <row r="2508" customFormat="false" ht="15" hidden="false" customHeight="true" outlineLevel="0" collapsed="false">
      <c r="A2508" s="16"/>
      <c r="B2508" s="10"/>
      <c r="C2508" s="17" t="str">
        <f aca="false">IF($B2508="","",IFERROR(INDEX(품목마스터!$B$3:$B$302,MATCH($B2508,품목마스터!$A$3:$A$302,0)),"미등록품번"))</f>
        <v/>
      </c>
      <c r="D2508" s="17" t="str">
        <f aca="false">IF($B2508="","",IFERROR(INDEX(품목마스터!$D$3:$D$302,MATCH($B2508,품목마스터!$A$3:$A$302,0)),""))</f>
        <v/>
      </c>
      <c r="E2508" s="12"/>
      <c r="F2508" s="10"/>
    </row>
    <row r="2509" customFormat="false" ht="15" hidden="false" customHeight="true" outlineLevel="0" collapsed="false">
      <c r="A2509" s="16"/>
      <c r="B2509" s="10"/>
      <c r="C2509" s="17" t="str">
        <f aca="false">IF($B2509="","",IFERROR(INDEX(품목마스터!$B$3:$B$302,MATCH($B2509,품목마스터!$A$3:$A$302,0)),"미등록품번"))</f>
        <v/>
      </c>
      <c r="D2509" s="17" t="str">
        <f aca="false">IF($B2509="","",IFERROR(INDEX(품목마스터!$D$3:$D$302,MATCH($B2509,품목마스터!$A$3:$A$302,0)),""))</f>
        <v/>
      </c>
      <c r="E2509" s="12"/>
      <c r="F2509" s="10"/>
    </row>
    <row r="2510" customFormat="false" ht="15" hidden="false" customHeight="true" outlineLevel="0" collapsed="false">
      <c r="A2510" s="16"/>
      <c r="B2510" s="10"/>
      <c r="C2510" s="17" t="str">
        <f aca="false">IF($B2510="","",IFERROR(INDEX(품목마스터!$B$3:$B$302,MATCH($B2510,품목마스터!$A$3:$A$302,0)),"미등록품번"))</f>
        <v/>
      </c>
      <c r="D2510" s="17" t="str">
        <f aca="false">IF($B2510="","",IFERROR(INDEX(품목마스터!$D$3:$D$302,MATCH($B2510,품목마스터!$A$3:$A$302,0)),""))</f>
        <v/>
      </c>
      <c r="E2510" s="12"/>
      <c r="F2510" s="10"/>
    </row>
    <row r="2511" customFormat="false" ht="15" hidden="false" customHeight="true" outlineLevel="0" collapsed="false">
      <c r="A2511" s="16"/>
      <c r="B2511" s="10"/>
      <c r="C2511" s="17" t="str">
        <f aca="false">IF($B2511="","",IFERROR(INDEX(품목마스터!$B$3:$B$302,MATCH($B2511,품목마스터!$A$3:$A$302,0)),"미등록품번"))</f>
        <v/>
      </c>
      <c r="D2511" s="17" t="str">
        <f aca="false">IF($B2511="","",IFERROR(INDEX(품목마스터!$D$3:$D$302,MATCH($B2511,품목마스터!$A$3:$A$302,0)),""))</f>
        <v/>
      </c>
      <c r="E2511" s="12"/>
      <c r="F2511" s="10"/>
    </row>
    <row r="2512" customFormat="false" ht="15" hidden="false" customHeight="true" outlineLevel="0" collapsed="false">
      <c r="A2512" s="16"/>
      <c r="B2512" s="10"/>
      <c r="C2512" s="17" t="str">
        <f aca="false">IF($B2512="","",IFERROR(INDEX(품목마스터!$B$3:$B$302,MATCH($B2512,품목마스터!$A$3:$A$302,0)),"미등록품번"))</f>
        <v/>
      </c>
      <c r="D2512" s="17" t="str">
        <f aca="false">IF($B2512="","",IFERROR(INDEX(품목마스터!$D$3:$D$302,MATCH($B2512,품목마스터!$A$3:$A$302,0)),""))</f>
        <v/>
      </c>
      <c r="E2512" s="12"/>
      <c r="F2512" s="10"/>
    </row>
    <row r="2513" customFormat="false" ht="15" hidden="false" customHeight="true" outlineLevel="0" collapsed="false">
      <c r="A2513" s="16"/>
      <c r="B2513" s="10"/>
      <c r="C2513" s="17" t="str">
        <f aca="false">IF($B2513="","",IFERROR(INDEX(품목마스터!$B$3:$B$302,MATCH($B2513,품목마스터!$A$3:$A$302,0)),"미등록품번"))</f>
        <v/>
      </c>
      <c r="D2513" s="17" t="str">
        <f aca="false">IF($B2513="","",IFERROR(INDEX(품목마스터!$D$3:$D$302,MATCH($B2513,품목마스터!$A$3:$A$302,0)),""))</f>
        <v/>
      </c>
      <c r="E2513" s="12"/>
      <c r="F2513" s="10"/>
    </row>
    <row r="2514" customFormat="false" ht="15" hidden="false" customHeight="true" outlineLevel="0" collapsed="false">
      <c r="A2514" s="16"/>
      <c r="B2514" s="10"/>
      <c r="C2514" s="17" t="str">
        <f aca="false">IF($B2514="","",IFERROR(INDEX(품목마스터!$B$3:$B$302,MATCH($B2514,품목마스터!$A$3:$A$302,0)),"미등록품번"))</f>
        <v/>
      </c>
      <c r="D2514" s="17" t="str">
        <f aca="false">IF($B2514="","",IFERROR(INDEX(품목마스터!$D$3:$D$302,MATCH($B2514,품목마스터!$A$3:$A$302,0)),""))</f>
        <v/>
      </c>
      <c r="E2514" s="12"/>
      <c r="F2514" s="10"/>
    </row>
    <row r="2515" customFormat="false" ht="15" hidden="false" customHeight="true" outlineLevel="0" collapsed="false">
      <c r="A2515" s="16"/>
      <c r="B2515" s="10"/>
      <c r="C2515" s="17" t="str">
        <f aca="false">IF($B2515="","",IFERROR(INDEX(품목마스터!$B$3:$B$302,MATCH($B2515,품목마스터!$A$3:$A$302,0)),"미등록품번"))</f>
        <v/>
      </c>
      <c r="D2515" s="17" t="str">
        <f aca="false">IF($B2515="","",IFERROR(INDEX(품목마스터!$D$3:$D$302,MATCH($B2515,품목마스터!$A$3:$A$302,0)),""))</f>
        <v/>
      </c>
      <c r="E2515" s="12"/>
      <c r="F2515" s="10"/>
    </row>
    <row r="2516" customFormat="false" ht="15" hidden="false" customHeight="true" outlineLevel="0" collapsed="false">
      <c r="A2516" s="16"/>
      <c r="B2516" s="10"/>
      <c r="C2516" s="17" t="str">
        <f aca="false">IF($B2516="","",IFERROR(INDEX(품목마스터!$B$3:$B$302,MATCH($B2516,품목마스터!$A$3:$A$302,0)),"미등록품번"))</f>
        <v/>
      </c>
      <c r="D2516" s="17" t="str">
        <f aca="false">IF($B2516="","",IFERROR(INDEX(품목마스터!$D$3:$D$302,MATCH($B2516,품목마스터!$A$3:$A$302,0)),""))</f>
        <v/>
      </c>
      <c r="E2516" s="12"/>
      <c r="F2516" s="10"/>
    </row>
    <row r="2517" customFormat="false" ht="15" hidden="false" customHeight="true" outlineLevel="0" collapsed="false">
      <c r="A2517" s="16"/>
      <c r="B2517" s="10"/>
      <c r="C2517" s="17" t="str">
        <f aca="false">IF($B2517="","",IFERROR(INDEX(품목마스터!$B$3:$B$302,MATCH($B2517,품목마스터!$A$3:$A$302,0)),"미등록품번"))</f>
        <v/>
      </c>
      <c r="D2517" s="17" t="str">
        <f aca="false">IF($B2517="","",IFERROR(INDEX(품목마스터!$D$3:$D$302,MATCH($B2517,품목마스터!$A$3:$A$302,0)),""))</f>
        <v/>
      </c>
      <c r="E2517" s="12"/>
      <c r="F2517" s="10"/>
    </row>
    <row r="2518" customFormat="false" ht="15" hidden="false" customHeight="true" outlineLevel="0" collapsed="false">
      <c r="A2518" s="16"/>
      <c r="B2518" s="10"/>
      <c r="C2518" s="17" t="str">
        <f aca="false">IF($B2518="","",IFERROR(INDEX(품목마스터!$B$3:$B$302,MATCH($B2518,품목마스터!$A$3:$A$302,0)),"미등록품번"))</f>
        <v/>
      </c>
      <c r="D2518" s="17" t="str">
        <f aca="false">IF($B2518="","",IFERROR(INDEX(품목마스터!$D$3:$D$302,MATCH($B2518,품목마스터!$A$3:$A$302,0)),""))</f>
        <v/>
      </c>
      <c r="E2518" s="12"/>
      <c r="F2518" s="10"/>
    </row>
    <row r="2519" customFormat="false" ht="15" hidden="false" customHeight="true" outlineLevel="0" collapsed="false">
      <c r="A2519" s="16"/>
      <c r="B2519" s="10"/>
      <c r="C2519" s="17" t="str">
        <f aca="false">IF($B2519="","",IFERROR(INDEX(품목마스터!$B$3:$B$302,MATCH($B2519,품목마스터!$A$3:$A$302,0)),"미등록품번"))</f>
        <v/>
      </c>
      <c r="D2519" s="17" t="str">
        <f aca="false">IF($B2519="","",IFERROR(INDEX(품목마스터!$D$3:$D$302,MATCH($B2519,품목마스터!$A$3:$A$302,0)),""))</f>
        <v/>
      </c>
      <c r="E2519" s="12"/>
      <c r="F2519" s="10"/>
    </row>
    <row r="2520" customFormat="false" ht="15" hidden="false" customHeight="true" outlineLevel="0" collapsed="false">
      <c r="A2520" s="16"/>
      <c r="B2520" s="10"/>
      <c r="C2520" s="17" t="str">
        <f aca="false">IF($B2520="","",IFERROR(INDEX(품목마스터!$B$3:$B$302,MATCH($B2520,품목마스터!$A$3:$A$302,0)),"미등록품번"))</f>
        <v/>
      </c>
      <c r="D2520" s="17" t="str">
        <f aca="false">IF($B2520="","",IFERROR(INDEX(품목마스터!$D$3:$D$302,MATCH($B2520,품목마스터!$A$3:$A$302,0)),""))</f>
        <v/>
      </c>
      <c r="E2520" s="12"/>
      <c r="F2520" s="10"/>
    </row>
    <row r="2521" customFormat="false" ht="15" hidden="false" customHeight="true" outlineLevel="0" collapsed="false">
      <c r="A2521" s="16"/>
      <c r="B2521" s="10"/>
      <c r="C2521" s="17" t="str">
        <f aca="false">IF($B2521="","",IFERROR(INDEX(품목마스터!$B$3:$B$302,MATCH($B2521,품목마스터!$A$3:$A$302,0)),"미등록품번"))</f>
        <v/>
      </c>
      <c r="D2521" s="17" t="str">
        <f aca="false">IF($B2521="","",IFERROR(INDEX(품목마스터!$D$3:$D$302,MATCH($B2521,품목마스터!$A$3:$A$302,0)),""))</f>
        <v/>
      </c>
      <c r="E2521" s="12"/>
      <c r="F2521" s="10"/>
    </row>
    <row r="2522" customFormat="false" ht="15" hidden="false" customHeight="true" outlineLevel="0" collapsed="false">
      <c r="A2522" s="16"/>
      <c r="B2522" s="10"/>
      <c r="C2522" s="17" t="str">
        <f aca="false">IF($B2522="","",IFERROR(INDEX(품목마스터!$B$3:$B$302,MATCH($B2522,품목마스터!$A$3:$A$302,0)),"미등록품번"))</f>
        <v/>
      </c>
      <c r="D2522" s="17" t="str">
        <f aca="false">IF($B2522="","",IFERROR(INDEX(품목마스터!$D$3:$D$302,MATCH($B2522,품목마스터!$A$3:$A$302,0)),""))</f>
        <v/>
      </c>
      <c r="E2522" s="12"/>
      <c r="F2522" s="10"/>
    </row>
    <row r="2523" customFormat="false" ht="15" hidden="false" customHeight="true" outlineLevel="0" collapsed="false">
      <c r="A2523" s="16"/>
      <c r="B2523" s="10"/>
      <c r="C2523" s="17" t="str">
        <f aca="false">IF($B2523="","",IFERROR(INDEX(품목마스터!$B$3:$B$302,MATCH($B2523,품목마스터!$A$3:$A$302,0)),"미등록품번"))</f>
        <v/>
      </c>
      <c r="D2523" s="17" t="str">
        <f aca="false">IF($B2523="","",IFERROR(INDEX(품목마스터!$D$3:$D$302,MATCH($B2523,품목마스터!$A$3:$A$302,0)),""))</f>
        <v/>
      </c>
      <c r="E2523" s="12"/>
      <c r="F2523" s="10"/>
    </row>
    <row r="2524" customFormat="false" ht="15" hidden="false" customHeight="true" outlineLevel="0" collapsed="false">
      <c r="A2524" s="16"/>
      <c r="B2524" s="10"/>
      <c r="C2524" s="17" t="str">
        <f aca="false">IF($B2524="","",IFERROR(INDEX(품목마스터!$B$3:$B$302,MATCH($B2524,품목마스터!$A$3:$A$302,0)),"미등록품번"))</f>
        <v/>
      </c>
      <c r="D2524" s="17" t="str">
        <f aca="false">IF($B2524="","",IFERROR(INDEX(품목마스터!$D$3:$D$302,MATCH($B2524,품목마스터!$A$3:$A$302,0)),""))</f>
        <v/>
      </c>
      <c r="E2524" s="12"/>
      <c r="F2524" s="10"/>
    </row>
    <row r="2525" customFormat="false" ht="15" hidden="false" customHeight="true" outlineLevel="0" collapsed="false">
      <c r="A2525" s="16"/>
      <c r="B2525" s="10"/>
      <c r="C2525" s="17" t="str">
        <f aca="false">IF($B2525="","",IFERROR(INDEX(품목마스터!$B$3:$B$302,MATCH($B2525,품목마스터!$A$3:$A$302,0)),"미등록품번"))</f>
        <v/>
      </c>
      <c r="D2525" s="17" t="str">
        <f aca="false">IF($B2525="","",IFERROR(INDEX(품목마스터!$D$3:$D$302,MATCH($B2525,품목마스터!$A$3:$A$302,0)),""))</f>
        <v/>
      </c>
      <c r="E2525" s="12"/>
      <c r="F2525" s="10"/>
    </row>
    <row r="2526" customFormat="false" ht="15" hidden="false" customHeight="true" outlineLevel="0" collapsed="false">
      <c r="A2526" s="16"/>
      <c r="B2526" s="10"/>
      <c r="C2526" s="17" t="str">
        <f aca="false">IF($B2526="","",IFERROR(INDEX(품목마스터!$B$3:$B$302,MATCH($B2526,품목마스터!$A$3:$A$302,0)),"미등록품번"))</f>
        <v/>
      </c>
      <c r="D2526" s="17" t="str">
        <f aca="false">IF($B2526="","",IFERROR(INDEX(품목마스터!$D$3:$D$302,MATCH($B2526,품목마스터!$A$3:$A$302,0)),""))</f>
        <v/>
      </c>
      <c r="E2526" s="12"/>
      <c r="F2526" s="10"/>
    </row>
    <row r="2527" customFormat="false" ht="15" hidden="false" customHeight="true" outlineLevel="0" collapsed="false">
      <c r="A2527" s="16"/>
      <c r="B2527" s="10"/>
      <c r="C2527" s="17" t="str">
        <f aca="false">IF($B2527="","",IFERROR(INDEX(품목마스터!$B$3:$B$302,MATCH($B2527,품목마스터!$A$3:$A$302,0)),"미등록품번"))</f>
        <v/>
      </c>
      <c r="D2527" s="17" t="str">
        <f aca="false">IF($B2527="","",IFERROR(INDEX(품목마스터!$D$3:$D$302,MATCH($B2527,품목마스터!$A$3:$A$302,0)),""))</f>
        <v/>
      </c>
      <c r="E2527" s="12"/>
      <c r="F2527" s="10"/>
    </row>
    <row r="2528" customFormat="false" ht="15" hidden="false" customHeight="true" outlineLevel="0" collapsed="false">
      <c r="A2528" s="16"/>
      <c r="B2528" s="10"/>
      <c r="C2528" s="17" t="str">
        <f aca="false">IF($B2528="","",IFERROR(INDEX(품목마스터!$B$3:$B$302,MATCH($B2528,품목마스터!$A$3:$A$302,0)),"미등록품번"))</f>
        <v/>
      </c>
      <c r="D2528" s="17" t="str">
        <f aca="false">IF($B2528="","",IFERROR(INDEX(품목마스터!$D$3:$D$302,MATCH($B2528,품목마스터!$A$3:$A$302,0)),""))</f>
        <v/>
      </c>
      <c r="E2528" s="12"/>
      <c r="F2528" s="10"/>
    </row>
    <row r="2529" customFormat="false" ht="15" hidden="false" customHeight="true" outlineLevel="0" collapsed="false">
      <c r="A2529" s="16"/>
      <c r="B2529" s="10"/>
      <c r="C2529" s="17" t="str">
        <f aca="false">IF($B2529="","",IFERROR(INDEX(품목마스터!$B$3:$B$302,MATCH($B2529,품목마스터!$A$3:$A$302,0)),"미등록품번"))</f>
        <v/>
      </c>
      <c r="D2529" s="17" t="str">
        <f aca="false">IF($B2529="","",IFERROR(INDEX(품목마스터!$D$3:$D$302,MATCH($B2529,품목마스터!$A$3:$A$302,0)),""))</f>
        <v/>
      </c>
      <c r="E2529" s="12"/>
      <c r="F2529" s="10"/>
    </row>
    <row r="2530" customFormat="false" ht="15" hidden="false" customHeight="true" outlineLevel="0" collapsed="false">
      <c r="A2530" s="16"/>
      <c r="B2530" s="10"/>
      <c r="C2530" s="17" t="str">
        <f aca="false">IF($B2530="","",IFERROR(INDEX(품목마스터!$B$3:$B$302,MATCH($B2530,품목마스터!$A$3:$A$302,0)),"미등록품번"))</f>
        <v/>
      </c>
      <c r="D2530" s="17" t="str">
        <f aca="false">IF($B2530="","",IFERROR(INDEX(품목마스터!$D$3:$D$302,MATCH($B2530,품목마스터!$A$3:$A$302,0)),""))</f>
        <v/>
      </c>
      <c r="E2530" s="12"/>
      <c r="F2530" s="10"/>
    </row>
    <row r="2531" customFormat="false" ht="15" hidden="false" customHeight="true" outlineLevel="0" collapsed="false">
      <c r="A2531" s="16"/>
      <c r="B2531" s="10"/>
      <c r="C2531" s="17" t="str">
        <f aca="false">IF($B2531="","",IFERROR(INDEX(품목마스터!$B$3:$B$302,MATCH($B2531,품목마스터!$A$3:$A$302,0)),"미등록품번"))</f>
        <v/>
      </c>
      <c r="D2531" s="17" t="str">
        <f aca="false">IF($B2531="","",IFERROR(INDEX(품목마스터!$D$3:$D$302,MATCH($B2531,품목마스터!$A$3:$A$302,0)),""))</f>
        <v/>
      </c>
      <c r="E2531" s="12"/>
      <c r="F2531" s="10"/>
    </row>
    <row r="2532" customFormat="false" ht="15" hidden="false" customHeight="true" outlineLevel="0" collapsed="false">
      <c r="A2532" s="16"/>
      <c r="B2532" s="10"/>
      <c r="C2532" s="17" t="str">
        <f aca="false">IF($B2532="","",IFERROR(INDEX(품목마스터!$B$3:$B$302,MATCH($B2532,품목마스터!$A$3:$A$302,0)),"미등록품번"))</f>
        <v/>
      </c>
      <c r="D2532" s="17" t="str">
        <f aca="false">IF($B2532="","",IFERROR(INDEX(품목마스터!$D$3:$D$302,MATCH($B2532,품목마스터!$A$3:$A$302,0)),""))</f>
        <v/>
      </c>
      <c r="E2532" s="12"/>
      <c r="F2532" s="10"/>
    </row>
    <row r="2533" customFormat="false" ht="15" hidden="false" customHeight="true" outlineLevel="0" collapsed="false">
      <c r="A2533" s="16"/>
      <c r="B2533" s="10"/>
      <c r="C2533" s="17" t="str">
        <f aca="false">IF($B2533="","",IFERROR(INDEX(품목마스터!$B$3:$B$302,MATCH($B2533,품목마스터!$A$3:$A$302,0)),"미등록품번"))</f>
        <v/>
      </c>
      <c r="D2533" s="17" t="str">
        <f aca="false">IF($B2533="","",IFERROR(INDEX(품목마스터!$D$3:$D$302,MATCH($B2533,품목마스터!$A$3:$A$302,0)),""))</f>
        <v/>
      </c>
      <c r="E2533" s="12"/>
      <c r="F2533" s="10"/>
    </row>
    <row r="2534" customFormat="false" ht="15" hidden="false" customHeight="true" outlineLevel="0" collapsed="false">
      <c r="A2534" s="16"/>
      <c r="B2534" s="10"/>
      <c r="C2534" s="17" t="str">
        <f aca="false">IF($B2534="","",IFERROR(INDEX(품목마스터!$B$3:$B$302,MATCH($B2534,품목마스터!$A$3:$A$302,0)),"미등록품번"))</f>
        <v/>
      </c>
      <c r="D2534" s="17" t="str">
        <f aca="false">IF($B2534="","",IFERROR(INDEX(품목마스터!$D$3:$D$302,MATCH($B2534,품목마스터!$A$3:$A$302,0)),""))</f>
        <v/>
      </c>
      <c r="E2534" s="12"/>
      <c r="F2534" s="10"/>
    </row>
    <row r="2535" customFormat="false" ht="15" hidden="false" customHeight="true" outlineLevel="0" collapsed="false">
      <c r="A2535" s="16"/>
      <c r="B2535" s="10"/>
      <c r="C2535" s="17" t="str">
        <f aca="false">IF($B2535="","",IFERROR(INDEX(품목마스터!$B$3:$B$302,MATCH($B2535,품목마스터!$A$3:$A$302,0)),"미등록품번"))</f>
        <v/>
      </c>
      <c r="D2535" s="17" t="str">
        <f aca="false">IF($B2535="","",IFERROR(INDEX(품목마스터!$D$3:$D$302,MATCH($B2535,품목마스터!$A$3:$A$302,0)),""))</f>
        <v/>
      </c>
      <c r="E2535" s="12"/>
      <c r="F2535" s="10"/>
    </row>
    <row r="2536" customFormat="false" ht="15" hidden="false" customHeight="true" outlineLevel="0" collapsed="false">
      <c r="A2536" s="16"/>
      <c r="B2536" s="10"/>
      <c r="C2536" s="17" t="str">
        <f aca="false">IF($B2536="","",IFERROR(INDEX(품목마스터!$B$3:$B$302,MATCH($B2536,품목마스터!$A$3:$A$302,0)),"미등록품번"))</f>
        <v/>
      </c>
      <c r="D2536" s="17" t="str">
        <f aca="false">IF($B2536="","",IFERROR(INDEX(품목마스터!$D$3:$D$302,MATCH($B2536,품목마스터!$A$3:$A$302,0)),""))</f>
        <v/>
      </c>
      <c r="E2536" s="12"/>
      <c r="F2536" s="10"/>
    </row>
    <row r="2537" customFormat="false" ht="15" hidden="false" customHeight="true" outlineLevel="0" collapsed="false">
      <c r="A2537" s="16"/>
      <c r="B2537" s="10"/>
      <c r="C2537" s="17" t="str">
        <f aca="false">IF($B2537="","",IFERROR(INDEX(품목마스터!$B$3:$B$302,MATCH($B2537,품목마스터!$A$3:$A$302,0)),"미등록품번"))</f>
        <v/>
      </c>
      <c r="D2537" s="17" t="str">
        <f aca="false">IF($B2537="","",IFERROR(INDEX(품목마스터!$D$3:$D$302,MATCH($B2537,품목마스터!$A$3:$A$302,0)),""))</f>
        <v/>
      </c>
      <c r="E2537" s="12"/>
      <c r="F2537" s="10"/>
    </row>
    <row r="2538" customFormat="false" ht="15" hidden="false" customHeight="true" outlineLevel="0" collapsed="false">
      <c r="A2538" s="16"/>
      <c r="B2538" s="10"/>
      <c r="C2538" s="17" t="str">
        <f aca="false">IF($B2538="","",IFERROR(INDEX(품목마스터!$B$3:$B$302,MATCH($B2538,품목마스터!$A$3:$A$302,0)),"미등록품번"))</f>
        <v/>
      </c>
      <c r="D2538" s="17" t="str">
        <f aca="false">IF($B2538="","",IFERROR(INDEX(품목마스터!$D$3:$D$302,MATCH($B2538,품목마스터!$A$3:$A$302,0)),""))</f>
        <v/>
      </c>
      <c r="E2538" s="12"/>
      <c r="F2538" s="10"/>
    </row>
    <row r="2539" customFormat="false" ht="15" hidden="false" customHeight="true" outlineLevel="0" collapsed="false">
      <c r="A2539" s="16"/>
      <c r="B2539" s="10"/>
      <c r="C2539" s="17" t="str">
        <f aca="false">IF($B2539="","",IFERROR(INDEX(품목마스터!$B$3:$B$302,MATCH($B2539,품목마스터!$A$3:$A$302,0)),"미등록품번"))</f>
        <v/>
      </c>
      <c r="D2539" s="17" t="str">
        <f aca="false">IF($B2539="","",IFERROR(INDEX(품목마스터!$D$3:$D$302,MATCH($B2539,품목마스터!$A$3:$A$302,0)),""))</f>
        <v/>
      </c>
      <c r="E2539" s="12"/>
      <c r="F2539" s="10"/>
    </row>
    <row r="2540" customFormat="false" ht="15" hidden="false" customHeight="true" outlineLevel="0" collapsed="false">
      <c r="A2540" s="16"/>
      <c r="B2540" s="10"/>
      <c r="C2540" s="17" t="str">
        <f aca="false">IF($B2540="","",IFERROR(INDEX(품목마스터!$B$3:$B$302,MATCH($B2540,품목마스터!$A$3:$A$302,0)),"미등록품번"))</f>
        <v/>
      </c>
      <c r="D2540" s="17" t="str">
        <f aca="false">IF($B2540="","",IFERROR(INDEX(품목마스터!$D$3:$D$302,MATCH($B2540,품목마스터!$A$3:$A$302,0)),""))</f>
        <v/>
      </c>
      <c r="E2540" s="12"/>
      <c r="F2540" s="10"/>
    </row>
    <row r="2541" customFormat="false" ht="15" hidden="false" customHeight="true" outlineLevel="0" collapsed="false">
      <c r="A2541" s="16"/>
      <c r="B2541" s="10"/>
      <c r="C2541" s="17" t="str">
        <f aca="false">IF($B2541="","",IFERROR(INDEX(품목마스터!$B$3:$B$302,MATCH($B2541,품목마스터!$A$3:$A$302,0)),"미등록품번"))</f>
        <v/>
      </c>
      <c r="D2541" s="17" t="str">
        <f aca="false">IF($B2541="","",IFERROR(INDEX(품목마스터!$D$3:$D$302,MATCH($B2541,품목마스터!$A$3:$A$302,0)),""))</f>
        <v/>
      </c>
      <c r="E2541" s="12"/>
      <c r="F2541" s="10"/>
    </row>
    <row r="2542" customFormat="false" ht="15" hidden="false" customHeight="true" outlineLevel="0" collapsed="false">
      <c r="A2542" s="16"/>
      <c r="B2542" s="10"/>
      <c r="C2542" s="17" t="str">
        <f aca="false">IF($B2542="","",IFERROR(INDEX(품목마스터!$B$3:$B$302,MATCH($B2542,품목마스터!$A$3:$A$302,0)),"미등록품번"))</f>
        <v/>
      </c>
      <c r="D2542" s="17" t="str">
        <f aca="false">IF($B2542="","",IFERROR(INDEX(품목마스터!$D$3:$D$302,MATCH($B2542,품목마스터!$A$3:$A$302,0)),""))</f>
        <v/>
      </c>
      <c r="E2542" s="12"/>
      <c r="F2542" s="10"/>
    </row>
    <row r="2543" customFormat="false" ht="15" hidden="false" customHeight="true" outlineLevel="0" collapsed="false">
      <c r="A2543" s="16"/>
      <c r="B2543" s="10"/>
      <c r="C2543" s="17" t="str">
        <f aca="false">IF($B2543="","",IFERROR(INDEX(품목마스터!$B$3:$B$302,MATCH($B2543,품목마스터!$A$3:$A$302,0)),"미등록품번"))</f>
        <v/>
      </c>
      <c r="D2543" s="17" t="str">
        <f aca="false">IF($B2543="","",IFERROR(INDEX(품목마스터!$D$3:$D$302,MATCH($B2543,품목마스터!$A$3:$A$302,0)),""))</f>
        <v/>
      </c>
      <c r="E2543" s="12"/>
      <c r="F2543" s="10"/>
    </row>
    <row r="2544" customFormat="false" ht="15" hidden="false" customHeight="true" outlineLevel="0" collapsed="false">
      <c r="A2544" s="16"/>
      <c r="B2544" s="10"/>
      <c r="C2544" s="17" t="str">
        <f aca="false">IF($B2544="","",IFERROR(INDEX(품목마스터!$B$3:$B$302,MATCH($B2544,품목마스터!$A$3:$A$302,0)),"미등록품번"))</f>
        <v/>
      </c>
      <c r="D2544" s="17" t="str">
        <f aca="false">IF($B2544="","",IFERROR(INDEX(품목마스터!$D$3:$D$302,MATCH($B2544,품목마스터!$A$3:$A$302,0)),""))</f>
        <v/>
      </c>
      <c r="E2544" s="12"/>
      <c r="F2544" s="10"/>
    </row>
    <row r="2545" customFormat="false" ht="15" hidden="false" customHeight="true" outlineLevel="0" collapsed="false">
      <c r="A2545" s="16"/>
      <c r="B2545" s="10"/>
      <c r="C2545" s="17" t="str">
        <f aca="false">IF($B2545="","",IFERROR(INDEX(품목마스터!$B$3:$B$302,MATCH($B2545,품목마스터!$A$3:$A$302,0)),"미등록품번"))</f>
        <v/>
      </c>
      <c r="D2545" s="17" t="str">
        <f aca="false">IF($B2545="","",IFERROR(INDEX(품목마스터!$D$3:$D$302,MATCH($B2545,품목마스터!$A$3:$A$302,0)),""))</f>
        <v/>
      </c>
      <c r="E2545" s="12"/>
      <c r="F2545" s="10"/>
    </row>
    <row r="2546" customFormat="false" ht="15" hidden="false" customHeight="true" outlineLevel="0" collapsed="false">
      <c r="A2546" s="16"/>
      <c r="B2546" s="10"/>
      <c r="C2546" s="17" t="str">
        <f aca="false">IF($B2546="","",IFERROR(INDEX(품목마스터!$B$3:$B$302,MATCH($B2546,품목마스터!$A$3:$A$302,0)),"미등록품번"))</f>
        <v/>
      </c>
      <c r="D2546" s="17" t="str">
        <f aca="false">IF($B2546="","",IFERROR(INDEX(품목마스터!$D$3:$D$302,MATCH($B2546,품목마스터!$A$3:$A$302,0)),""))</f>
        <v/>
      </c>
      <c r="E2546" s="12"/>
      <c r="F2546" s="10"/>
    </row>
    <row r="2547" customFormat="false" ht="15" hidden="false" customHeight="true" outlineLevel="0" collapsed="false">
      <c r="A2547" s="16"/>
      <c r="B2547" s="10"/>
      <c r="C2547" s="17" t="str">
        <f aca="false">IF($B2547="","",IFERROR(INDEX(품목마스터!$B$3:$B$302,MATCH($B2547,품목마스터!$A$3:$A$302,0)),"미등록품번"))</f>
        <v/>
      </c>
      <c r="D2547" s="17" t="str">
        <f aca="false">IF($B2547="","",IFERROR(INDEX(품목마스터!$D$3:$D$302,MATCH($B2547,품목마스터!$A$3:$A$302,0)),""))</f>
        <v/>
      </c>
      <c r="E2547" s="12"/>
      <c r="F2547" s="10"/>
    </row>
    <row r="2548" customFormat="false" ht="15" hidden="false" customHeight="true" outlineLevel="0" collapsed="false">
      <c r="A2548" s="16"/>
      <c r="B2548" s="10"/>
      <c r="C2548" s="17" t="str">
        <f aca="false">IF($B2548="","",IFERROR(INDEX(품목마스터!$B$3:$B$302,MATCH($B2548,품목마스터!$A$3:$A$302,0)),"미등록품번"))</f>
        <v/>
      </c>
      <c r="D2548" s="17" t="str">
        <f aca="false">IF($B2548="","",IFERROR(INDEX(품목마스터!$D$3:$D$302,MATCH($B2548,품목마스터!$A$3:$A$302,0)),""))</f>
        <v/>
      </c>
      <c r="E2548" s="12"/>
      <c r="F2548" s="10"/>
    </row>
    <row r="2549" customFormat="false" ht="15" hidden="false" customHeight="true" outlineLevel="0" collapsed="false">
      <c r="A2549" s="16"/>
      <c r="B2549" s="10"/>
      <c r="C2549" s="17" t="str">
        <f aca="false">IF($B2549="","",IFERROR(INDEX(품목마스터!$B$3:$B$302,MATCH($B2549,품목마스터!$A$3:$A$302,0)),"미등록품번"))</f>
        <v/>
      </c>
      <c r="D2549" s="17" t="str">
        <f aca="false">IF($B2549="","",IFERROR(INDEX(품목마스터!$D$3:$D$302,MATCH($B2549,품목마스터!$A$3:$A$302,0)),""))</f>
        <v/>
      </c>
      <c r="E2549" s="12"/>
      <c r="F2549" s="10"/>
    </row>
    <row r="2550" customFormat="false" ht="15" hidden="false" customHeight="true" outlineLevel="0" collapsed="false">
      <c r="A2550" s="16"/>
      <c r="B2550" s="10"/>
      <c r="C2550" s="17" t="str">
        <f aca="false">IF($B2550="","",IFERROR(INDEX(품목마스터!$B$3:$B$302,MATCH($B2550,품목마스터!$A$3:$A$302,0)),"미등록품번"))</f>
        <v/>
      </c>
      <c r="D2550" s="17" t="str">
        <f aca="false">IF($B2550="","",IFERROR(INDEX(품목마스터!$D$3:$D$302,MATCH($B2550,품목마스터!$A$3:$A$302,0)),""))</f>
        <v/>
      </c>
      <c r="E2550" s="12"/>
      <c r="F2550" s="10"/>
    </row>
    <row r="2551" customFormat="false" ht="15" hidden="false" customHeight="true" outlineLevel="0" collapsed="false">
      <c r="A2551" s="16"/>
      <c r="B2551" s="10"/>
      <c r="C2551" s="17" t="str">
        <f aca="false">IF($B2551="","",IFERROR(INDEX(품목마스터!$B$3:$B$302,MATCH($B2551,품목마스터!$A$3:$A$302,0)),"미등록품번"))</f>
        <v/>
      </c>
      <c r="D2551" s="17" t="str">
        <f aca="false">IF($B2551="","",IFERROR(INDEX(품목마스터!$D$3:$D$302,MATCH($B2551,품목마스터!$A$3:$A$302,0)),""))</f>
        <v/>
      </c>
      <c r="E2551" s="12"/>
      <c r="F2551" s="10"/>
    </row>
    <row r="2552" customFormat="false" ht="15" hidden="false" customHeight="true" outlineLevel="0" collapsed="false">
      <c r="A2552" s="16"/>
      <c r="B2552" s="10"/>
      <c r="C2552" s="17" t="str">
        <f aca="false">IF($B2552="","",IFERROR(INDEX(품목마스터!$B$3:$B$302,MATCH($B2552,품목마스터!$A$3:$A$302,0)),"미등록품번"))</f>
        <v/>
      </c>
      <c r="D2552" s="17" t="str">
        <f aca="false">IF($B2552="","",IFERROR(INDEX(품목마스터!$D$3:$D$302,MATCH($B2552,품목마스터!$A$3:$A$302,0)),""))</f>
        <v/>
      </c>
      <c r="E2552" s="12"/>
      <c r="F2552" s="10"/>
    </row>
    <row r="2553" customFormat="false" ht="15" hidden="false" customHeight="true" outlineLevel="0" collapsed="false">
      <c r="A2553" s="16"/>
      <c r="B2553" s="10"/>
      <c r="C2553" s="17" t="str">
        <f aca="false">IF($B2553="","",IFERROR(INDEX(품목마스터!$B$3:$B$302,MATCH($B2553,품목마스터!$A$3:$A$302,0)),"미등록품번"))</f>
        <v/>
      </c>
      <c r="D2553" s="17" t="str">
        <f aca="false">IF($B2553="","",IFERROR(INDEX(품목마스터!$D$3:$D$302,MATCH($B2553,품목마스터!$A$3:$A$302,0)),""))</f>
        <v/>
      </c>
      <c r="E2553" s="12"/>
      <c r="F2553" s="10"/>
    </row>
    <row r="2554" customFormat="false" ht="15" hidden="false" customHeight="true" outlineLevel="0" collapsed="false">
      <c r="A2554" s="16"/>
      <c r="B2554" s="10"/>
      <c r="C2554" s="17" t="str">
        <f aca="false">IF($B2554="","",IFERROR(INDEX(품목마스터!$B$3:$B$302,MATCH($B2554,품목마스터!$A$3:$A$302,0)),"미등록품번"))</f>
        <v/>
      </c>
      <c r="D2554" s="17" t="str">
        <f aca="false">IF($B2554="","",IFERROR(INDEX(품목마스터!$D$3:$D$302,MATCH($B2554,품목마스터!$A$3:$A$302,0)),""))</f>
        <v/>
      </c>
      <c r="E2554" s="12"/>
      <c r="F2554" s="10"/>
    </row>
    <row r="2555" customFormat="false" ht="15" hidden="false" customHeight="true" outlineLevel="0" collapsed="false">
      <c r="A2555" s="16"/>
      <c r="B2555" s="10"/>
      <c r="C2555" s="17" t="str">
        <f aca="false">IF($B2555="","",IFERROR(INDEX(품목마스터!$B$3:$B$302,MATCH($B2555,품목마스터!$A$3:$A$302,0)),"미등록품번"))</f>
        <v/>
      </c>
      <c r="D2555" s="17" t="str">
        <f aca="false">IF($B2555="","",IFERROR(INDEX(품목마스터!$D$3:$D$302,MATCH($B2555,품목마스터!$A$3:$A$302,0)),""))</f>
        <v/>
      </c>
      <c r="E2555" s="12"/>
      <c r="F2555" s="10"/>
    </row>
    <row r="2556" customFormat="false" ht="15" hidden="false" customHeight="true" outlineLevel="0" collapsed="false">
      <c r="A2556" s="16"/>
      <c r="B2556" s="10"/>
      <c r="C2556" s="17" t="str">
        <f aca="false">IF($B2556="","",IFERROR(INDEX(품목마스터!$B$3:$B$302,MATCH($B2556,품목마스터!$A$3:$A$302,0)),"미등록품번"))</f>
        <v/>
      </c>
      <c r="D2556" s="17" t="str">
        <f aca="false">IF($B2556="","",IFERROR(INDEX(품목마스터!$D$3:$D$302,MATCH($B2556,품목마스터!$A$3:$A$302,0)),""))</f>
        <v/>
      </c>
      <c r="E2556" s="12"/>
      <c r="F2556" s="10"/>
    </row>
    <row r="2557" customFormat="false" ht="15" hidden="false" customHeight="true" outlineLevel="0" collapsed="false">
      <c r="A2557" s="16"/>
      <c r="B2557" s="10"/>
      <c r="C2557" s="17" t="str">
        <f aca="false">IF($B2557="","",IFERROR(INDEX(품목마스터!$B$3:$B$302,MATCH($B2557,품목마스터!$A$3:$A$302,0)),"미등록품번"))</f>
        <v/>
      </c>
      <c r="D2557" s="17" t="str">
        <f aca="false">IF($B2557="","",IFERROR(INDEX(품목마스터!$D$3:$D$302,MATCH($B2557,품목마스터!$A$3:$A$302,0)),""))</f>
        <v/>
      </c>
      <c r="E2557" s="12"/>
      <c r="F2557" s="10"/>
    </row>
    <row r="2558" customFormat="false" ht="15" hidden="false" customHeight="true" outlineLevel="0" collapsed="false">
      <c r="A2558" s="16"/>
      <c r="B2558" s="10"/>
      <c r="C2558" s="17" t="str">
        <f aca="false">IF($B2558="","",IFERROR(INDEX(품목마스터!$B$3:$B$302,MATCH($B2558,품목마스터!$A$3:$A$302,0)),"미등록품번"))</f>
        <v/>
      </c>
      <c r="D2558" s="17" t="str">
        <f aca="false">IF($B2558="","",IFERROR(INDEX(품목마스터!$D$3:$D$302,MATCH($B2558,품목마스터!$A$3:$A$302,0)),""))</f>
        <v/>
      </c>
      <c r="E2558" s="12"/>
      <c r="F2558" s="10"/>
    </row>
    <row r="2559" customFormat="false" ht="15" hidden="false" customHeight="true" outlineLevel="0" collapsed="false">
      <c r="A2559" s="16"/>
      <c r="B2559" s="10"/>
      <c r="C2559" s="17" t="str">
        <f aca="false">IF($B2559="","",IFERROR(INDEX(품목마스터!$B$3:$B$302,MATCH($B2559,품목마스터!$A$3:$A$302,0)),"미등록품번"))</f>
        <v/>
      </c>
      <c r="D2559" s="17" t="str">
        <f aca="false">IF($B2559="","",IFERROR(INDEX(품목마스터!$D$3:$D$302,MATCH($B2559,품목마스터!$A$3:$A$302,0)),""))</f>
        <v/>
      </c>
      <c r="E2559" s="12"/>
      <c r="F2559" s="10"/>
    </row>
    <row r="2560" customFormat="false" ht="15" hidden="false" customHeight="true" outlineLevel="0" collapsed="false">
      <c r="A2560" s="16"/>
      <c r="B2560" s="10"/>
      <c r="C2560" s="17" t="str">
        <f aca="false">IF($B2560="","",IFERROR(INDEX(품목마스터!$B$3:$B$302,MATCH($B2560,품목마스터!$A$3:$A$302,0)),"미등록품번"))</f>
        <v/>
      </c>
      <c r="D2560" s="17" t="str">
        <f aca="false">IF($B2560="","",IFERROR(INDEX(품목마스터!$D$3:$D$302,MATCH($B2560,품목마스터!$A$3:$A$302,0)),""))</f>
        <v/>
      </c>
      <c r="E2560" s="12"/>
      <c r="F2560" s="10"/>
    </row>
    <row r="2561" customFormat="false" ht="15" hidden="false" customHeight="true" outlineLevel="0" collapsed="false">
      <c r="A2561" s="16"/>
      <c r="B2561" s="10"/>
      <c r="C2561" s="17" t="str">
        <f aca="false">IF($B2561="","",IFERROR(INDEX(품목마스터!$B$3:$B$302,MATCH($B2561,품목마스터!$A$3:$A$302,0)),"미등록품번"))</f>
        <v/>
      </c>
      <c r="D2561" s="17" t="str">
        <f aca="false">IF($B2561="","",IFERROR(INDEX(품목마스터!$D$3:$D$302,MATCH($B2561,품목마스터!$A$3:$A$302,0)),""))</f>
        <v/>
      </c>
      <c r="E2561" s="12"/>
      <c r="F2561" s="10"/>
    </row>
    <row r="2562" customFormat="false" ht="15" hidden="false" customHeight="true" outlineLevel="0" collapsed="false">
      <c r="A2562" s="16"/>
      <c r="B2562" s="10"/>
      <c r="C2562" s="17" t="str">
        <f aca="false">IF($B2562="","",IFERROR(INDEX(품목마스터!$B$3:$B$302,MATCH($B2562,품목마스터!$A$3:$A$302,0)),"미등록품번"))</f>
        <v/>
      </c>
      <c r="D2562" s="17" t="str">
        <f aca="false">IF($B2562="","",IFERROR(INDEX(품목마스터!$D$3:$D$302,MATCH($B2562,품목마스터!$A$3:$A$302,0)),""))</f>
        <v/>
      </c>
      <c r="E2562" s="12"/>
      <c r="F2562" s="10"/>
    </row>
    <row r="2563" customFormat="false" ht="15" hidden="false" customHeight="true" outlineLevel="0" collapsed="false">
      <c r="A2563" s="16"/>
      <c r="B2563" s="10"/>
      <c r="C2563" s="17" t="str">
        <f aca="false">IF($B2563="","",IFERROR(INDEX(품목마스터!$B$3:$B$302,MATCH($B2563,품목마스터!$A$3:$A$302,0)),"미등록품번"))</f>
        <v/>
      </c>
      <c r="D2563" s="17" t="str">
        <f aca="false">IF($B2563="","",IFERROR(INDEX(품목마스터!$D$3:$D$302,MATCH($B2563,품목마스터!$A$3:$A$302,0)),""))</f>
        <v/>
      </c>
      <c r="E2563" s="12"/>
      <c r="F2563" s="10"/>
    </row>
    <row r="2564" customFormat="false" ht="15" hidden="false" customHeight="true" outlineLevel="0" collapsed="false">
      <c r="A2564" s="16"/>
      <c r="B2564" s="10"/>
      <c r="C2564" s="17" t="str">
        <f aca="false">IF($B2564="","",IFERROR(INDEX(품목마스터!$B$3:$B$302,MATCH($B2564,품목마스터!$A$3:$A$302,0)),"미등록품번"))</f>
        <v/>
      </c>
      <c r="D2564" s="17" t="str">
        <f aca="false">IF($B2564="","",IFERROR(INDEX(품목마스터!$D$3:$D$302,MATCH($B2564,품목마스터!$A$3:$A$302,0)),""))</f>
        <v/>
      </c>
      <c r="E2564" s="12"/>
      <c r="F2564" s="10"/>
    </row>
    <row r="2565" customFormat="false" ht="15" hidden="false" customHeight="true" outlineLevel="0" collapsed="false">
      <c r="A2565" s="16"/>
      <c r="B2565" s="10"/>
      <c r="C2565" s="17" t="str">
        <f aca="false">IF($B2565="","",IFERROR(INDEX(품목마스터!$B$3:$B$302,MATCH($B2565,품목마스터!$A$3:$A$302,0)),"미등록품번"))</f>
        <v/>
      </c>
      <c r="D2565" s="17" t="str">
        <f aca="false">IF($B2565="","",IFERROR(INDEX(품목마스터!$D$3:$D$302,MATCH($B2565,품목마스터!$A$3:$A$302,0)),""))</f>
        <v/>
      </c>
      <c r="E2565" s="12"/>
      <c r="F2565" s="10"/>
    </row>
    <row r="2566" customFormat="false" ht="15" hidden="false" customHeight="true" outlineLevel="0" collapsed="false">
      <c r="A2566" s="16"/>
      <c r="B2566" s="10"/>
      <c r="C2566" s="17" t="str">
        <f aca="false">IF($B2566="","",IFERROR(INDEX(품목마스터!$B$3:$B$302,MATCH($B2566,품목마스터!$A$3:$A$302,0)),"미등록품번"))</f>
        <v/>
      </c>
      <c r="D2566" s="17" t="str">
        <f aca="false">IF($B2566="","",IFERROR(INDEX(품목마스터!$D$3:$D$302,MATCH($B2566,품목마스터!$A$3:$A$302,0)),""))</f>
        <v/>
      </c>
      <c r="E2566" s="12"/>
      <c r="F2566" s="10"/>
    </row>
    <row r="2567" customFormat="false" ht="15" hidden="false" customHeight="true" outlineLevel="0" collapsed="false">
      <c r="A2567" s="16"/>
      <c r="B2567" s="10"/>
      <c r="C2567" s="17" t="str">
        <f aca="false">IF($B2567="","",IFERROR(INDEX(품목마스터!$B$3:$B$302,MATCH($B2567,품목마스터!$A$3:$A$302,0)),"미등록품번"))</f>
        <v/>
      </c>
      <c r="D2567" s="17" t="str">
        <f aca="false">IF($B2567="","",IFERROR(INDEX(품목마스터!$D$3:$D$302,MATCH($B2567,품목마스터!$A$3:$A$302,0)),""))</f>
        <v/>
      </c>
      <c r="E2567" s="12"/>
      <c r="F2567" s="10"/>
    </row>
    <row r="2568" customFormat="false" ht="15" hidden="false" customHeight="true" outlineLevel="0" collapsed="false">
      <c r="A2568" s="16"/>
      <c r="B2568" s="10"/>
      <c r="C2568" s="17" t="str">
        <f aca="false">IF($B2568="","",IFERROR(INDEX(품목마스터!$B$3:$B$302,MATCH($B2568,품목마스터!$A$3:$A$302,0)),"미등록품번"))</f>
        <v/>
      </c>
      <c r="D2568" s="17" t="str">
        <f aca="false">IF($B2568="","",IFERROR(INDEX(품목마스터!$D$3:$D$302,MATCH($B2568,품목마스터!$A$3:$A$302,0)),""))</f>
        <v/>
      </c>
      <c r="E2568" s="12"/>
      <c r="F2568" s="10"/>
    </row>
    <row r="2569" customFormat="false" ht="15" hidden="false" customHeight="true" outlineLevel="0" collapsed="false">
      <c r="A2569" s="16"/>
      <c r="B2569" s="10"/>
      <c r="C2569" s="17" t="str">
        <f aca="false">IF($B2569="","",IFERROR(INDEX(품목마스터!$B$3:$B$302,MATCH($B2569,품목마스터!$A$3:$A$302,0)),"미등록품번"))</f>
        <v/>
      </c>
      <c r="D2569" s="17" t="str">
        <f aca="false">IF($B2569="","",IFERROR(INDEX(품목마스터!$D$3:$D$302,MATCH($B2569,품목마스터!$A$3:$A$302,0)),""))</f>
        <v/>
      </c>
      <c r="E2569" s="12"/>
      <c r="F2569" s="10"/>
    </row>
    <row r="2570" customFormat="false" ht="15" hidden="false" customHeight="true" outlineLevel="0" collapsed="false">
      <c r="A2570" s="16"/>
      <c r="B2570" s="10"/>
      <c r="C2570" s="17" t="str">
        <f aca="false">IF($B2570="","",IFERROR(INDEX(품목마스터!$B$3:$B$302,MATCH($B2570,품목마스터!$A$3:$A$302,0)),"미등록품번"))</f>
        <v/>
      </c>
      <c r="D2570" s="17" t="str">
        <f aca="false">IF($B2570="","",IFERROR(INDEX(품목마스터!$D$3:$D$302,MATCH($B2570,품목마스터!$A$3:$A$302,0)),""))</f>
        <v/>
      </c>
      <c r="E2570" s="12"/>
      <c r="F2570" s="10"/>
    </row>
    <row r="2571" customFormat="false" ht="15" hidden="false" customHeight="true" outlineLevel="0" collapsed="false">
      <c r="A2571" s="16"/>
      <c r="B2571" s="10"/>
      <c r="C2571" s="17" t="str">
        <f aca="false">IF($B2571="","",IFERROR(INDEX(품목마스터!$B$3:$B$302,MATCH($B2571,품목마스터!$A$3:$A$302,0)),"미등록품번"))</f>
        <v/>
      </c>
      <c r="D2571" s="17" t="str">
        <f aca="false">IF($B2571="","",IFERROR(INDEX(품목마스터!$D$3:$D$302,MATCH($B2571,품목마스터!$A$3:$A$302,0)),""))</f>
        <v/>
      </c>
      <c r="E2571" s="12"/>
      <c r="F2571" s="10"/>
    </row>
    <row r="2572" customFormat="false" ht="15" hidden="false" customHeight="true" outlineLevel="0" collapsed="false">
      <c r="A2572" s="16"/>
      <c r="B2572" s="10"/>
      <c r="C2572" s="17" t="str">
        <f aca="false">IF($B2572="","",IFERROR(INDEX(품목마스터!$B$3:$B$302,MATCH($B2572,품목마스터!$A$3:$A$302,0)),"미등록품번"))</f>
        <v/>
      </c>
      <c r="D2572" s="17" t="str">
        <f aca="false">IF($B2572="","",IFERROR(INDEX(품목마스터!$D$3:$D$302,MATCH($B2572,품목마스터!$A$3:$A$302,0)),""))</f>
        <v/>
      </c>
      <c r="E2572" s="12"/>
      <c r="F2572" s="10"/>
    </row>
    <row r="2573" customFormat="false" ht="15" hidden="false" customHeight="true" outlineLevel="0" collapsed="false">
      <c r="A2573" s="16"/>
      <c r="B2573" s="10"/>
      <c r="C2573" s="17" t="str">
        <f aca="false">IF($B2573="","",IFERROR(INDEX(품목마스터!$B$3:$B$302,MATCH($B2573,품목마스터!$A$3:$A$302,0)),"미등록품번"))</f>
        <v/>
      </c>
      <c r="D2573" s="17" t="str">
        <f aca="false">IF($B2573="","",IFERROR(INDEX(품목마스터!$D$3:$D$302,MATCH($B2573,품목마스터!$A$3:$A$302,0)),""))</f>
        <v/>
      </c>
      <c r="E2573" s="12"/>
      <c r="F2573" s="10"/>
    </row>
    <row r="2574" customFormat="false" ht="15" hidden="false" customHeight="true" outlineLevel="0" collapsed="false">
      <c r="A2574" s="16"/>
      <c r="B2574" s="10"/>
      <c r="C2574" s="17" t="str">
        <f aca="false">IF($B2574="","",IFERROR(INDEX(품목마스터!$B$3:$B$302,MATCH($B2574,품목마스터!$A$3:$A$302,0)),"미등록품번"))</f>
        <v/>
      </c>
      <c r="D2574" s="17" t="str">
        <f aca="false">IF($B2574="","",IFERROR(INDEX(품목마스터!$D$3:$D$302,MATCH($B2574,품목마스터!$A$3:$A$302,0)),""))</f>
        <v/>
      </c>
      <c r="E2574" s="12"/>
      <c r="F2574" s="10"/>
    </row>
    <row r="2575" customFormat="false" ht="15" hidden="false" customHeight="true" outlineLevel="0" collapsed="false">
      <c r="A2575" s="16"/>
      <c r="B2575" s="10"/>
      <c r="C2575" s="17" t="str">
        <f aca="false">IF($B2575="","",IFERROR(INDEX(품목마스터!$B$3:$B$302,MATCH($B2575,품목마스터!$A$3:$A$302,0)),"미등록품번"))</f>
        <v/>
      </c>
      <c r="D2575" s="17" t="str">
        <f aca="false">IF($B2575="","",IFERROR(INDEX(품목마스터!$D$3:$D$302,MATCH($B2575,품목마스터!$A$3:$A$302,0)),""))</f>
        <v/>
      </c>
      <c r="E2575" s="12"/>
      <c r="F2575" s="10"/>
    </row>
    <row r="2576" customFormat="false" ht="15" hidden="false" customHeight="true" outlineLevel="0" collapsed="false">
      <c r="A2576" s="16"/>
      <c r="B2576" s="10"/>
      <c r="C2576" s="17" t="str">
        <f aca="false">IF($B2576="","",IFERROR(INDEX(품목마스터!$B$3:$B$302,MATCH($B2576,품목마스터!$A$3:$A$302,0)),"미등록품번"))</f>
        <v/>
      </c>
      <c r="D2576" s="17" t="str">
        <f aca="false">IF($B2576="","",IFERROR(INDEX(품목마스터!$D$3:$D$302,MATCH($B2576,품목마스터!$A$3:$A$302,0)),""))</f>
        <v/>
      </c>
      <c r="E2576" s="12"/>
      <c r="F2576" s="10"/>
    </row>
    <row r="2577" customFormat="false" ht="15" hidden="false" customHeight="true" outlineLevel="0" collapsed="false">
      <c r="A2577" s="16"/>
      <c r="B2577" s="10"/>
      <c r="C2577" s="17" t="str">
        <f aca="false">IF($B2577="","",IFERROR(INDEX(품목마스터!$B$3:$B$302,MATCH($B2577,품목마스터!$A$3:$A$302,0)),"미등록품번"))</f>
        <v/>
      </c>
      <c r="D2577" s="17" t="str">
        <f aca="false">IF($B2577="","",IFERROR(INDEX(품목마스터!$D$3:$D$302,MATCH($B2577,품목마스터!$A$3:$A$302,0)),""))</f>
        <v/>
      </c>
      <c r="E2577" s="12"/>
      <c r="F2577" s="10"/>
    </row>
    <row r="2578" customFormat="false" ht="15" hidden="false" customHeight="true" outlineLevel="0" collapsed="false">
      <c r="A2578" s="16"/>
      <c r="B2578" s="10"/>
      <c r="C2578" s="17" t="str">
        <f aca="false">IF($B2578="","",IFERROR(INDEX(품목마스터!$B$3:$B$302,MATCH($B2578,품목마스터!$A$3:$A$302,0)),"미등록품번"))</f>
        <v/>
      </c>
      <c r="D2578" s="17" t="str">
        <f aca="false">IF($B2578="","",IFERROR(INDEX(품목마스터!$D$3:$D$302,MATCH($B2578,품목마스터!$A$3:$A$302,0)),""))</f>
        <v/>
      </c>
      <c r="E2578" s="12"/>
      <c r="F2578" s="10"/>
    </row>
    <row r="2579" customFormat="false" ht="15" hidden="false" customHeight="true" outlineLevel="0" collapsed="false">
      <c r="A2579" s="16"/>
      <c r="B2579" s="10"/>
      <c r="C2579" s="17" t="str">
        <f aca="false">IF($B2579="","",IFERROR(INDEX(품목마스터!$B$3:$B$302,MATCH($B2579,품목마스터!$A$3:$A$302,0)),"미등록품번"))</f>
        <v/>
      </c>
      <c r="D2579" s="17" t="str">
        <f aca="false">IF($B2579="","",IFERROR(INDEX(품목마스터!$D$3:$D$302,MATCH($B2579,품목마스터!$A$3:$A$302,0)),""))</f>
        <v/>
      </c>
      <c r="E2579" s="12"/>
      <c r="F2579" s="10"/>
    </row>
    <row r="2580" customFormat="false" ht="15" hidden="false" customHeight="true" outlineLevel="0" collapsed="false">
      <c r="A2580" s="16"/>
      <c r="B2580" s="10"/>
      <c r="C2580" s="17" t="str">
        <f aca="false">IF($B2580="","",IFERROR(INDEX(품목마스터!$B$3:$B$302,MATCH($B2580,품목마스터!$A$3:$A$302,0)),"미등록품번"))</f>
        <v/>
      </c>
      <c r="D2580" s="17" t="str">
        <f aca="false">IF($B2580="","",IFERROR(INDEX(품목마스터!$D$3:$D$302,MATCH($B2580,품목마스터!$A$3:$A$302,0)),""))</f>
        <v/>
      </c>
      <c r="E2580" s="12"/>
      <c r="F2580" s="10"/>
    </row>
    <row r="2581" customFormat="false" ht="15" hidden="false" customHeight="true" outlineLevel="0" collapsed="false">
      <c r="A2581" s="16"/>
      <c r="B2581" s="10"/>
      <c r="C2581" s="17" t="str">
        <f aca="false">IF($B2581="","",IFERROR(INDEX(품목마스터!$B$3:$B$302,MATCH($B2581,품목마스터!$A$3:$A$302,0)),"미등록품번"))</f>
        <v/>
      </c>
      <c r="D2581" s="17" t="str">
        <f aca="false">IF($B2581="","",IFERROR(INDEX(품목마스터!$D$3:$D$302,MATCH($B2581,품목마스터!$A$3:$A$302,0)),""))</f>
        <v/>
      </c>
      <c r="E2581" s="12"/>
      <c r="F2581" s="10"/>
    </row>
    <row r="2582" customFormat="false" ht="15" hidden="false" customHeight="true" outlineLevel="0" collapsed="false">
      <c r="A2582" s="16"/>
      <c r="B2582" s="10"/>
      <c r="C2582" s="17" t="str">
        <f aca="false">IF($B2582="","",IFERROR(INDEX(품목마스터!$B$3:$B$302,MATCH($B2582,품목마스터!$A$3:$A$302,0)),"미등록품번"))</f>
        <v/>
      </c>
      <c r="D2582" s="17" t="str">
        <f aca="false">IF($B2582="","",IFERROR(INDEX(품목마스터!$D$3:$D$302,MATCH($B2582,품목마스터!$A$3:$A$302,0)),""))</f>
        <v/>
      </c>
      <c r="E2582" s="12"/>
      <c r="F2582" s="10"/>
    </row>
    <row r="2583" customFormat="false" ht="15" hidden="false" customHeight="true" outlineLevel="0" collapsed="false">
      <c r="A2583" s="16"/>
      <c r="B2583" s="10"/>
      <c r="C2583" s="17" t="str">
        <f aca="false">IF($B2583="","",IFERROR(INDEX(품목마스터!$B$3:$B$302,MATCH($B2583,품목마스터!$A$3:$A$302,0)),"미등록품번"))</f>
        <v/>
      </c>
      <c r="D2583" s="17" t="str">
        <f aca="false">IF($B2583="","",IFERROR(INDEX(품목마스터!$D$3:$D$302,MATCH($B2583,품목마스터!$A$3:$A$302,0)),""))</f>
        <v/>
      </c>
      <c r="E2583" s="12"/>
      <c r="F2583" s="10"/>
    </row>
    <row r="2584" customFormat="false" ht="15" hidden="false" customHeight="true" outlineLevel="0" collapsed="false">
      <c r="A2584" s="16"/>
      <c r="B2584" s="10"/>
      <c r="C2584" s="17" t="str">
        <f aca="false">IF($B2584="","",IFERROR(INDEX(품목마스터!$B$3:$B$302,MATCH($B2584,품목마스터!$A$3:$A$302,0)),"미등록품번"))</f>
        <v/>
      </c>
      <c r="D2584" s="17" t="str">
        <f aca="false">IF($B2584="","",IFERROR(INDEX(품목마스터!$D$3:$D$302,MATCH($B2584,품목마스터!$A$3:$A$302,0)),""))</f>
        <v/>
      </c>
      <c r="E2584" s="12"/>
      <c r="F2584" s="10"/>
    </row>
    <row r="2585" customFormat="false" ht="15" hidden="false" customHeight="true" outlineLevel="0" collapsed="false">
      <c r="A2585" s="16"/>
      <c r="B2585" s="10"/>
      <c r="C2585" s="17" t="str">
        <f aca="false">IF($B2585="","",IFERROR(INDEX(품목마스터!$B$3:$B$302,MATCH($B2585,품목마스터!$A$3:$A$302,0)),"미등록품번"))</f>
        <v/>
      </c>
      <c r="D2585" s="17" t="str">
        <f aca="false">IF($B2585="","",IFERROR(INDEX(품목마스터!$D$3:$D$302,MATCH($B2585,품목마스터!$A$3:$A$302,0)),""))</f>
        <v/>
      </c>
      <c r="E2585" s="12"/>
      <c r="F2585" s="10"/>
    </row>
    <row r="2586" customFormat="false" ht="15" hidden="false" customHeight="true" outlineLevel="0" collapsed="false">
      <c r="A2586" s="16"/>
      <c r="B2586" s="10"/>
      <c r="C2586" s="17" t="str">
        <f aca="false">IF($B2586="","",IFERROR(INDEX(품목마스터!$B$3:$B$302,MATCH($B2586,품목마스터!$A$3:$A$302,0)),"미등록품번"))</f>
        <v/>
      </c>
      <c r="D2586" s="17" t="str">
        <f aca="false">IF($B2586="","",IFERROR(INDEX(품목마스터!$D$3:$D$302,MATCH($B2586,품목마스터!$A$3:$A$302,0)),""))</f>
        <v/>
      </c>
      <c r="E2586" s="12"/>
      <c r="F2586" s="10"/>
    </row>
    <row r="2587" customFormat="false" ht="15" hidden="false" customHeight="true" outlineLevel="0" collapsed="false">
      <c r="A2587" s="16"/>
      <c r="B2587" s="10"/>
      <c r="C2587" s="17" t="str">
        <f aca="false">IF($B2587="","",IFERROR(INDEX(품목마스터!$B$3:$B$302,MATCH($B2587,품목마스터!$A$3:$A$302,0)),"미등록품번"))</f>
        <v/>
      </c>
      <c r="D2587" s="17" t="str">
        <f aca="false">IF($B2587="","",IFERROR(INDEX(품목마스터!$D$3:$D$302,MATCH($B2587,품목마스터!$A$3:$A$302,0)),""))</f>
        <v/>
      </c>
      <c r="E2587" s="12"/>
      <c r="F2587" s="10"/>
    </row>
    <row r="2588" customFormat="false" ht="15" hidden="false" customHeight="true" outlineLevel="0" collapsed="false">
      <c r="A2588" s="16"/>
      <c r="B2588" s="10"/>
      <c r="C2588" s="17" t="str">
        <f aca="false">IF($B2588="","",IFERROR(INDEX(품목마스터!$B$3:$B$302,MATCH($B2588,품목마스터!$A$3:$A$302,0)),"미등록품번"))</f>
        <v/>
      </c>
      <c r="D2588" s="17" t="str">
        <f aca="false">IF($B2588="","",IFERROR(INDEX(품목마스터!$D$3:$D$302,MATCH($B2588,품목마스터!$A$3:$A$302,0)),""))</f>
        <v/>
      </c>
      <c r="E2588" s="12"/>
      <c r="F2588" s="10"/>
    </row>
    <row r="2589" customFormat="false" ht="15" hidden="false" customHeight="true" outlineLevel="0" collapsed="false">
      <c r="A2589" s="16"/>
      <c r="B2589" s="10"/>
      <c r="C2589" s="17" t="str">
        <f aca="false">IF($B2589="","",IFERROR(INDEX(품목마스터!$B$3:$B$302,MATCH($B2589,품목마스터!$A$3:$A$302,0)),"미등록품번"))</f>
        <v/>
      </c>
      <c r="D2589" s="17" t="str">
        <f aca="false">IF($B2589="","",IFERROR(INDEX(품목마스터!$D$3:$D$302,MATCH($B2589,품목마스터!$A$3:$A$302,0)),""))</f>
        <v/>
      </c>
      <c r="E2589" s="12"/>
      <c r="F2589" s="10"/>
    </row>
    <row r="2590" customFormat="false" ht="15" hidden="false" customHeight="true" outlineLevel="0" collapsed="false">
      <c r="A2590" s="16"/>
      <c r="B2590" s="10"/>
      <c r="C2590" s="17" t="str">
        <f aca="false">IF($B2590="","",IFERROR(INDEX(품목마스터!$B$3:$B$302,MATCH($B2590,품목마스터!$A$3:$A$302,0)),"미등록품번"))</f>
        <v/>
      </c>
      <c r="D2590" s="17" t="str">
        <f aca="false">IF($B2590="","",IFERROR(INDEX(품목마스터!$D$3:$D$302,MATCH($B2590,품목마스터!$A$3:$A$302,0)),""))</f>
        <v/>
      </c>
      <c r="E2590" s="12"/>
      <c r="F2590" s="10"/>
    </row>
    <row r="2591" customFormat="false" ht="15" hidden="false" customHeight="true" outlineLevel="0" collapsed="false">
      <c r="A2591" s="16"/>
      <c r="B2591" s="10"/>
      <c r="C2591" s="17" t="str">
        <f aca="false">IF($B2591="","",IFERROR(INDEX(품목마스터!$B$3:$B$302,MATCH($B2591,품목마스터!$A$3:$A$302,0)),"미등록품번"))</f>
        <v/>
      </c>
      <c r="D2591" s="17" t="str">
        <f aca="false">IF($B2591="","",IFERROR(INDEX(품목마스터!$D$3:$D$302,MATCH($B2591,품목마스터!$A$3:$A$302,0)),""))</f>
        <v/>
      </c>
      <c r="E2591" s="12"/>
      <c r="F2591" s="10"/>
    </row>
    <row r="2592" customFormat="false" ht="15" hidden="false" customHeight="true" outlineLevel="0" collapsed="false">
      <c r="A2592" s="16"/>
      <c r="B2592" s="10"/>
      <c r="C2592" s="17" t="str">
        <f aca="false">IF($B2592="","",IFERROR(INDEX(품목마스터!$B$3:$B$302,MATCH($B2592,품목마스터!$A$3:$A$302,0)),"미등록품번"))</f>
        <v/>
      </c>
      <c r="D2592" s="17" t="str">
        <f aca="false">IF($B2592="","",IFERROR(INDEX(품목마스터!$D$3:$D$302,MATCH($B2592,품목마스터!$A$3:$A$302,0)),""))</f>
        <v/>
      </c>
      <c r="E2592" s="12"/>
      <c r="F2592" s="10"/>
    </row>
    <row r="2593" customFormat="false" ht="15" hidden="false" customHeight="true" outlineLevel="0" collapsed="false">
      <c r="A2593" s="16"/>
      <c r="B2593" s="10"/>
      <c r="C2593" s="17" t="str">
        <f aca="false">IF($B2593="","",IFERROR(INDEX(품목마스터!$B$3:$B$302,MATCH($B2593,품목마스터!$A$3:$A$302,0)),"미등록품번"))</f>
        <v/>
      </c>
      <c r="D2593" s="17" t="str">
        <f aca="false">IF($B2593="","",IFERROR(INDEX(품목마스터!$D$3:$D$302,MATCH($B2593,품목마스터!$A$3:$A$302,0)),""))</f>
        <v/>
      </c>
      <c r="E2593" s="12"/>
      <c r="F2593" s="10"/>
    </row>
    <row r="2594" customFormat="false" ht="15" hidden="false" customHeight="true" outlineLevel="0" collapsed="false">
      <c r="A2594" s="16"/>
      <c r="B2594" s="10"/>
      <c r="C2594" s="17" t="str">
        <f aca="false">IF($B2594="","",IFERROR(INDEX(품목마스터!$B$3:$B$302,MATCH($B2594,품목마스터!$A$3:$A$302,0)),"미등록품번"))</f>
        <v/>
      </c>
      <c r="D2594" s="17" t="str">
        <f aca="false">IF($B2594="","",IFERROR(INDEX(품목마스터!$D$3:$D$302,MATCH($B2594,품목마스터!$A$3:$A$302,0)),""))</f>
        <v/>
      </c>
      <c r="E2594" s="12"/>
      <c r="F2594" s="10"/>
    </row>
    <row r="2595" customFormat="false" ht="15" hidden="false" customHeight="true" outlineLevel="0" collapsed="false">
      <c r="A2595" s="16"/>
      <c r="B2595" s="10"/>
      <c r="C2595" s="17" t="str">
        <f aca="false">IF($B2595="","",IFERROR(INDEX(품목마스터!$B$3:$B$302,MATCH($B2595,품목마스터!$A$3:$A$302,0)),"미등록품번"))</f>
        <v/>
      </c>
      <c r="D2595" s="17" t="str">
        <f aca="false">IF($B2595="","",IFERROR(INDEX(품목마스터!$D$3:$D$302,MATCH($B2595,품목마스터!$A$3:$A$302,0)),""))</f>
        <v/>
      </c>
      <c r="E2595" s="12"/>
      <c r="F2595" s="10"/>
    </row>
    <row r="2596" customFormat="false" ht="15" hidden="false" customHeight="true" outlineLevel="0" collapsed="false">
      <c r="A2596" s="16"/>
      <c r="B2596" s="10"/>
      <c r="C2596" s="17" t="str">
        <f aca="false">IF($B2596="","",IFERROR(INDEX(품목마스터!$B$3:$B$302,MATCH($B2596,품목마스터!$A$3:$A$302,0)),"미등록품번"))</f>
        <v/>
      </c>
      <c r="D2596" s="17" t="str">
        <f aca="false">IF($B2596="","",IFERROR(INDEX(품목마스터!$D$3:$D$302,MATCH($B2596,품목마스터!$A$3:$A$302,0)),""))</f>
        <v/>
      </c>
      <c r="E2596" s="12"/>
      <c r="F2596" s="10"/>
    </row>
    <row r="2597" customFormat="false" ht="15" hidden="false" customHeight="true" outlineLevel="0" collapsed="false">
      <c r="A2597" s="16"/>
      <c r="B2597" s="10"/>
      <c r="C2597" s="17" t="str">
        <f aca="false">IF($B2597="","",IFERROR(INDEX(품목마스터!$B$3:$B$302,MATCH($B2597,품목마스터!$A$3:$A$302,0)),"미등록품번"))</f>
        <v/>
      </c>
      <c r="D2597" s="17" t="str">
        <f aca="false">IF($B2597="","",IFERROR(INDEX(품목마스터!$D$3:$D$302,MATCH($B2597,품목마스터!$A$3:$A$302,0)),""))</f>
        <v/>
      </c>
      <c r="E2597" s="12"/>
      <c r="F2597" s="10"/>
    </row>
    <row r="2598" customFormat="false" ht="15" hidden="false" customHeight="true" outlineLevel="0" collapsed="false">
      <c r="A2598" s="16"/>
      <c r="B2598" s="10"/>
      <c r="C2598" s="17" t="str">
        <f aca="false">IF($B2598="","",IFERROR(INDEX(품목마스터!$B$3:$B$302,MATCH($B2598,품목마스터!$A$3:$A$302,0)),"미등록품번"))</f>
        <v/>
      </c>
      <c r="D2598" s="17" t="str">
        <f aca="false">IF($B2598="","",IFERROR(INDEX(품목마스터!$D$3:$D$302,MATCH($B2598,품목마스터!$A$3:$A$302,0)),""))</f>
        <v/>
      </c>
      <c r="E2598" s="12"/>
      <c r="F2598" s="10"/>
    </row>
    <row r="2599" customFormat="false" ht="15" hidden="false" customHeight="true" outlineLevel="0" collapsed="false">
      <c r="A2599" s="16"/>
      <c r="B2599" s="10"/>
      <c r="C2599" s="17" t="str">
        <f aca="false">IF($B2599="","",IFERROR(INDEX(품목마스터!$B$3:$B$302,MATCH($B2599,품목마스터!$A$3:$A$302,0)),"미등록품번"))</f>
        <v/>
      </c>
      <c r="D2599" s="17" t="str">
        <f aca="false">IF($B2599="","",IFERROR(INDEX(품목마스터!$D$3:$D$302,MATCH($B2599,품목마스터!$A$3:$A$302,0)),""))</f>
        <v/>
      </c>
      <c r="E2599" s="12"/>
      <c r="F2599" s="10"/>
    </row>
    <row r="2600" customFormat="false" ht="15" hidden="false" customHeight="true" outlineLevel="0" collapsed="false">
      <c r="A2600" s="16"/>
      <c r="B2600" s="10"/>
      <c r="C2600" s="17" t="str">
        <f aca="false">IF($B2600="","",IFERROR(INDEX(품목마스터!$B$3:$B$302,MATCH($B2600,품목마스터!$A$3:$A$302,0)),"미등록품번"))</f>
        <v/>
      </c>
      <c r="D2600" s="17" t="str">
        <f aca="false">IF($B2600="","",IFERROR(INDEX(품목마스터!$D$3:$D$302,MATCH($B2600,품목마스터!$A$3:$A$302,0)),""))</f>
        <v/>
      </c>
      <c r="E2600" s="12"/>
      <c r="F2600" s="10"/>
    </row>
    <row r="2601" customFormat="false" ht="15" hidden="false" customHeight="true" outlineLevel="0" collapsed="false">
      <c r="A2601" s="16"/>
      <c r="B2601" s="10"/>
      <c r="C2601" s="17" t="str">
        <f aca="false">IF($B2601="","",IFERROR(INDEX(품목마스터!$B$3:$B$302,MATCH($B2601,품목마스터!$A$3:$A$302,0)),"미등록품번"))</f>
        <v/>
      </c>
      <c r="D2601" s="17" t="str">
        <f aca="false">IF($B2601="","",IFERROR(INDEX(품목마스터!$D$3:$D$302,MATCH($B2601,품목마스터!$A$3:$A$302,0)),""))</f>
        <v/>
      </c>
      <c r="E2601" s="12"/>
      <c r="F2601" s="10"/>
    </row>
    <row r="2602" customFormat="false" ht="15" hidden="false" customHeight="true" outlineLevel="0" collapsed="false">
      <c r="A2602" s="16"/>
      <c r="B2602" s="10"/>
      <c r="C2602" s="17" t="str">
        <f aca="false">IF($B2602="","",IFERROR(INDEX(품목마스터!$B$3:$B$302,MATCH($B2602,품목마스터!$A$3:$A$302,0)),"미등록품번"))</f>
        <v/>
      </c>
      <c r="D2602" s="17" t="str">
        <f aca="false">IF($B2602="","",IFERROR(INDEX(품목마스터!$D$3:$D$302,MATCH($B2602,품목마스터!$A$3:$A$302,0)),""))</f>
        <v/>
      </c>
      <c r="E2602" s="12"/>
      <c r="F2602" s="10"/>
    </row>
    <row r="2603" customFormat="false" ht="15" hidden="false" customHeight="true" outlineLevel="0" collapsed="false">
      <c r="A2603" s="16"/>
      <c r="B2603" s="10"/>
      <c r="C2603" s="17" t="str">
        <f aca="false">IF($B2603="","",IFERROR(INDEX(품목마스터!$B$3:$B$302,MATCH($B2603,품목마스터!$A$3:$A$302,0)),"미등록품번"))</f>
        <v/>
      </c>
      <c r="D2603" s="17" t="str">
        <f aca="false">IF($B2603="","",IFERROR(INDEX(품목마스터!$D$3:$D$302,MATCH($B2603,품목마스터!$A$3:$A$302,0)),""))</f>
        <v/>
      </c>
      <c r="E2603" s="12"/>
      <c r="F2603" s="10"/>
    </row>
    <row r="2604" customFormat="false" ht="15" hidden="false" customHeight="true" outlineLevel="0" collapsed="false">
      <c r="A2604" s="16"/>
      <c r="B2604" s="10"/>
      <c r="C2604" s="17" t="str">
        <f aca="false">IF($B2604="","",IFERROR(INDEX(품목마스터!$B$3:$B$302,MATCH($B2604,품목마스터!$A$3:$A$302,0)),"미등록품번"))</f>
        <v/>
      </c>
      <c r="D2604" s="17" t="str">
        <f aca="false">IF($B2604="","",IFERROR(INDEX(품목마스터!$D$3:$D$302,MATCH($B2604,품목마스터!$A$3:$A$302,0)),""))</f>
        <v/>
      </c>
      <c r="E2604" s="12"/>
      <c r="F2604" s="10"/>
    </row>
    <row r="2605" customFormat="false" ht="15" hidden="false" customHeight="true" outlineLevel="0" collapsed="false">
      <c r="A2605" s="16"/>
      <c r="B2605" s="10"/>
      <c r="C2605" s="17" t="str">
        <f aca="false">IF($B2605="","",IFERROR(INDEX(품목마스터!$B$3:$B$302,MATCH($B2605,품목마스터!$A$3:$A$302,0)),"미등록품번"))</f>
        <v/>
      </c>
      <c r="D2605" s="17" t="str">
        <f aca="false">IF($B2605="","",IFERROR(INDEX(품목마스터!$D$3:$D$302,MATCH($B2605,품목마스터!$A$3:$A$302,0)),""))</f>
        <v/>
      </c>
      <c r="E2605" s="12"/>
      <c r="F2605" s="10"/>
    </row>
    <row r="2606" customFormat="false" ht="15" hidden="false" customHeight="true" outlineLevel="0" collapsed="false">
      <c r="A2606" s="16"/>
      <c r="B2606" s="10"/>
      <c r="C2606" s="17" t="str">
        <f aca="false">IF($B2606="","",IFERROR(INDEX(품목마스터!$B$3:$B$302,MATCH($B2606,품목마스터!$A$3:$A$302,0)),"미등록품번"))</f>
        <v/>
      </c>
      <c r="D2606" s="17" t="str">
        <f aca="false">IF($B2606="","",IFERROR(INDEX(품목마스터!$D$3:$D$302,MATCH($B2606,품목마스터!$A$3:$A$302,0)),""))</f>
        <v/>
      </c>
      <c r="E2606" s="12"/>
      <c r="F2606" s="10"/>
    </row>
    <row r="2607" customFormat="false" ht="15" hidden="false" customHeight="true" outlineLevel="0" collapsed="false">
      <c r="A2607" s="16"/>
      <c r="B2607" s="10"/>
      <c r="C2607" s="17" t="str">
        <f aca="false">IF($B2607="","",IFERROR(INDEX(품목마스터!$B$3:$B$302,MATCH($B2607,품목마스터!$A$3:$A$302,0)),"미등록품번"))</f>
        <v/>
      </c>
      <c r="D2607" s="17" t="str">
        <f aca="false">IF($B2607="","",IFERROR(INDEX(품목마스터!$D$3:$D$302,MATCH($B2607,품목마스터!$A$3:$A$302,0)),""))</f>
        <v/>
      </c>
      <c r="E2607" s="12"/>
      <c r="F2607" s="10"/>
    </row>
    <row r="2608" customFormat="false" ht="15" hidden="false" customHeight="true" outlineLevel="0" collapsed="false">
      <c r="A2608" s="16"/>
      <c r="B2608" s="10"/>
      <c r="C2608" s="17" t="str">
        <f aca="false">IF($B2608="","",IFERROR(INDEX(품목마스터!$B$3:$B$302,MATCH($B2608,품목마스터!$A$3:$A$302,0)),"미등록품번"))</f>
        <v/>
      </c>
      <c r="D2608" s="17" t="str">
        <f aca="false">IF($B2608="","",IFERROR(INDEX(품목마스터!$D$3:$D$302,MATCH($B2608,품목마스터!$A$3:$A$302,0)),""))</f>
        <v/>
      </c>
      <c r="E2608" s="12"/>
      <c r="F2608" s="10"/>
    </row>
    <row r="2609" customFormat="false" ht="15" hidden="false" customHeight="true" outlineLevel="0" collapsed="false">
      <c r="A2609" s="16"/>
      <c r="B2609" s="10"/>
      <c r="C2609" s="17" t="str">
        <f aca="false">IF($B2609="","",IFERROR(INDEX(품목마스터!$B$3:$B$302,MATCH($B2609,품목마스터!$A$3:$A$302,0)),"미등록품번"))</f>
        <v/>
      </c>
      <c r="D2609" s="17" t="str">
        <f aca="false">IF($B2609="","",IFERROR(INDEX(품목마스터!$D$3:$D$302,MATCH($B2609,품목마스터!$A$3:$A$302,0)),""))</f>
        <v/>
      </c>
      <c r="E2609" s="12"/>
      <c r="F2609" s="10"/>
    </row>
    <row r="2610" customFormat="false" ht="15" hidden="false" customHeight="true" outlineLevel="0" collapsed="false">
      <c r="A2610" s="16"/>
      <c r="B2610" s="10"/>
      <c r="C2610" s="17" t="str">
        <f aca="false">IF($B2610="","",IFERROR(INDEX(품목마스터!$B$3:$B$302,MATCH($B2610,품목마스터!$A$3:$A$302,0)),"미등록품번"))</f>
        <v/>
      </c>
      <c r="D2610" s="17" t="str">
        <f aca="false">IF($B2610="","",IFERROR(INDEX(품목마스터!$D$3:$D$302,MATCH($B2610,품목마스터!$A$3:$A$302,0)),""))</f>
        <v/>
      </c>
      <c r="E2610" s="12"/>
      <c r="F2610" s="10"/>
    </row>
    <row r="2611" customFormat="false" ht="15" hidden="false" customHeight="true" outlineLevel="0" collapsed="false">
      <c r="A2611" s="16"/>
      <c r="B2611" s="10"/>
      <c r="C2611" s="17" t="str">
        <f aca="false">IF($B2611="","",IFERROR(INDEX(품목마스터!$B$3:$B$302,MATCH($B2611,품목마스터!$A$3:$A$302,0)),"미등록품번"))</f>
        <v/>
      </c>
      <c r="D2611" s="17" t="str">
        <f aca="false">IF($B2611="","",IFERROR(INDEX(품목마스터!$D$3:$D$302,MATCH($B2611,품목마스터!$A$3:$A$302,0)),""))</f>
        <v/>
      </c>
      <c r="E2611" s="12"/>
      <c r="F2611" s="10"/>
    </row>
    <row r="2612" customFormat="false" ht="15" hidden="false" customHeight="true" outlineLevel="0" collapsed="false">
      <c r="A2612" s="16"/>
      <c r="B2612" s="10"/>
      <c r="C2612" s="17" t="str">
        <f aca="false">IF($B2612="","",IFERROR(INDEX(품목마스터!$B$3:$B$302,MATCH($B2612,품목마스터!$A$3:$A$302,0)),"미등록품번"))</f>
        <v/>
      </c>
      <c r="D2612" s="17" t="str">
        <f aca="false">IF($B2612="","",IFERROR(INDEX(품목마스터!$D$3:$D$302,MATCH($B2612,품목마스터!$A$3:$A$302,0)),""))</f>
        <v/>
      </c>
      <c r="E2612" s="12"/>
      <c r="F2612" s="10"/>
    </row>
    <row r="2613" customFormat="false" ht="15" hidden="false" customHeight="true" outlineLevel="0" collapsed="false">
      <c r="A2613" s="16"/>
      <c r="B2613" s="10"/>
      <c r="C2613" s="17" t="str">
        <f aca="false">IF($B2613="","",IFERROR(INDEX(품목마스터!$B$3:$B$302,MATCH($B2613,품목마스터!$A$3:$A$302,0)),"미등록품번"))</f>
        <v/>
      </c>
      <c r="D2613" s="17" t="str">
        <f aca="false">IF($B2613="","",IFERROR(INDEX(품목마스터!$D$3:$D$302,MATCH($B2613,품목마스터!$A$3:$A$302,0)),""))</f>
        <v/>
      </c>
      <c r="E2613" s="12"/>
      <c r="F2613" s="10"/>
    </row>
    <row r="2614" customFormat="false" ht="15" hidden="false" customHeight="true" outlineLevel="0" collapsed="false">
      <c r="A2614" s="16"/>
      <c r="B2614" s="10"/>
      <c r="C2614" s="17" t="str">
        <f aca="false">IF($B2614="","",IFERROR(INDEX(품목마스터!$B$3:$B$302,MATCH($B2614,품목마스터!$A$3:$A$302,0)),"미등록품번"))</f>
        <v/>
      </c>
      <c r="D2614" s="17" t="str">
        <f aca="false">IF($B2614="","",IFERROR(INDEX(품목마스터!$D$3:$D$302,MATCH($B2614,품목마스터!$A$3:$A$302,0)),""))</f>
        <v/>
      </c>
      <c r="E2614" s="12"/>
      <c r="F2614" s="10"/>
    </row>
    <row r="2615" customFormat="false" ht="15" hidden="false" customHeight="true" outlineLevel="0" collapsed="false">
      <c r="A2615" s="16"/>
      <c r="B2615" s="10"/>
      <c r="C2615" s="17" t="str">
        <f aca="false">IF($B2615="","",IFERROR(INDEX(품목마스터!$B$3:$B$302,MATCH($B2615,품목마스터!$A$3:$A$302,0)),"미등록품번"))</f>
        <v/>
      </c>
      <c r="D2615" s="17" t="str">
        <f aca="false">IF($B2615="","",IFERROR(INDEX(품목마스터!$D$3:$D$302,MATCH($B2615,품목마스터!$A$3:$A$302,0)),""))</f>
        <v/>
      </c>
      <c r="E2615" s="12"/>
      <c r="F2615" s="10"/>
    </row>
    <row r="2616" customFormat="false" ht="15" hidden="false" customHeight="true" outlineLevel="0" collapsed="false">
      <c r="A2616" s="16"/>
      <c r="B2616" s="10"/>
      <c r="C2616" s="17" t="str">
        <f aca="false">IF($B2616="","",IFERROR(INDEX(품목마스터!$B$3:$B$302,MATCH($B2616,품목마스터!$A$3:$A$302,0)),"미등록품번"))</f>
        <v/>
      </c>
      <c r="D2616" s="17" t="str">
        <f aca="false">IF($B2616="","",IFERROR(INDEX(품목마스터!$D$3:$D$302,MATCH($B2616,품목마스터!$A$3:$A$302,0)),""))</f>
        <v/>
      </c>
      <c r="E2616" s="12"/>
      <c r="F2616" s="10"/>
    </row>
    <row r="2617" customFormat="false" ht="15" hidden="false" customHeight="true" outlineLevel="0" collapsed="false">
      <c r="A2617" s="16"/>
      <c r="B2617" s="10"/>
      <c r="C2617" s="17" t="str">
        <f aca="false">IF($B2617="","",IFERROR(INDEX(품목마스터!$B$3:$B$302,MATCH($B2617,품목마스터!$A$3:$A$302,0)),"미등록품번"))</f>
        <v/>
      </c>
      <c r="D2617" s="17" t="str">
        <f aca="false">IF($B2617="","",IFERROR(INDEX(품목마스터!$D$3:$D$302,MATCH($B2617,품목마스터!$A$3:$A$302,0)),""))</f>
        <v/>
      </c>
      <c r="E2617" s="12"/>
      <c r="F2617" s="10"/>
    </row>
    <row r="2618" customFormat="false" ht="15" hidden="false" customHeight="true" outlineLevel="0" collapsed="false">
      <c r="A2618" s="16"/>
      <c r="B2618" s="10"/>
      <c r="C2618" s="17" t="str">
        <f aca="false">IF($B2618="","",IFERROR(INDEX(품목마스터!$B$3:$B$302,MATCH($B2618,품목마스터!$A$3:$A$302,0)),"미등록품번"))</f>
        <v/>
      </c>
      <c r="D2618" s="17" t="str">
        <f aca="false">IF($B2618="","",IFERROR(INDEX(품목마스터!$D$3:$D$302,MATCH($B2618,품목마스터!$A$3:$A$302,0)),""))</f>
        <v/>
      </c>
      <c r="E2618" s="12"/>
      <c r="F2618" s="10"/>
    </row>
    <row r="2619" customFormat="false" ht="15" hidden="false" customHeight="true" outlineLevel="0" collapsed="false">
      <c r="A2619" s="16"/>
      <c r="B2619" s="10"/>
      <c r="C2619" s="17" t="str">
        <f aca="false">IF($B2619="","",IFERROR(INDEX(품목마스터!$B$3:$B$302,MATCH($B2619,품목마스터!$A$3:$A$302,0)),"미등록품번"))</f>
        <v/>
      </c>
      <c r="D2619" s="17" t="str">
        <f aca="false">IF($B2619="","",IFERROR(INDEX(품목마스터!$D$3:$D$302,MATCH($B2619,품목마스터!$A$3:$A$302,0)),""))</f>
        <v/>
      </c>
      <c r="E2619" s="12"/>
      <c r="F2619" s="10"/>
    </row>
    <row r="2620" customFormat="false" ht="15" hidden="false" customHeight="true" outlineLevel="0" collapsed="false">
      <c r="A2620" s="16"/>
      <c r="B2620" s="10"/>
      <c r="C2620" s="17" t="str">
        <f aca="false">IF($B2620="","",IFERROR(INDEX(품목마스터!$B$3:$B$302,MATCH($B2620,품목마스터!$A$3:$A$302,0)),"미등록품번"))</f>
        <v/>
      </c>
      <c r="D2620" s="17" t="str">
        <f aca="false">IF($B2620="","",IFERROR(INDEX(품목마스터!$D$3:$D$302,MATCH($B2620,품목마스터!$A$3:$A$302,0)),""))</f>
        <v/>
      </c>
      <c r="E2620" s="12"/>
      <c r="F2620" s="10"/>
    </row>
    <row r="2621" customFormat="false" ht="15" hidden="false" customHeight="true" outlineLevel="0" collapsed="false">
      <c r="A2621" s="16"/>
      <c r="B2621" s="10"/>
      <c r="C2621" s="17" t="str">
        <f aca="false">IF($B2621="","",IFERROR(INDEX(품목마스터!$B$3:$B$302,MATCH($B2621,품목마스터!$A$3:$A$302,0)),"미등록품번"))</f>
        <v/>
      </c>
      <c r="D2621" s="17" t="str">
        <f aca="false">IF($B2621="","",IFERROR(INDEX(품목마스터!$D$3:$D$302,MATCH($B2621,품목마스터!$A$3:$A$302,0)),""))</f>
        <v/>
      </c>
      <c r="E2621" s="12"/>
      <c r="F2621" s="10"/>
    </row>
    <row r="2622" customFormat="false" ht="15" hidden="false" customHeight="true" outlineLevel="0" collapsed="false">
      <c r="A2622" s="16"/>
      <c r="B2622" s="10"/>
      <c r="C2622" s="17" t="str">
        <f aca="false">IF($B2622="","",IFERROR(INDEX(품목마스터!$B$3:$B$302,MATCH($B2622,품목마스터!$A$3:$A$302,0)),"미등록품번"))</f>
        <v/>
      </c>
      <c r="D2622" s="17" t="str">
        <f aca="false">IF($B2622="","",IFERROR(INDEX(품목마스터!$D$3:$D$302,MATCH($B2622,품목마스터!$A$3:$A$302,0)),""))</f>
        <v/>
      </c>
      <c r="E2622" s="12"/>
      <c r="F2622" s="10"/>
    </row>
    <row r="2623" customFormat="false" ht="15" hidden="false" customHeight="true" outlineLevel="0" collapsed="false">
      <c r="A2623" s="16"/>
      <c r="B2623" s="10"/>
      <c r="C2623" s="17" t="str">
        <f aca="false">IF($B2623="","",IFERROR(INDEX(품목마스터!$B$3:$B$302,MATCH($B2623,품목마스터!$A$3:$A$302,0)),"미등록품번"))</f>
        <v/>
      </c>
      <c r="D2623" s="17" t="str">
        <f aca="false">IF($B2623="","",IFERROR(INDEX(품목마스터!$D$3:$D$302,MATCH($B2623,품목마스터!$A$3:$A$302,0)),""))</f>
        <v/>
      </c>
      <c r="E2623" s="12"/>
      <c r="F2623" s="10"/>
    </row>
    <row r="2624" customFormat="false" ht="15" hidden="false" customHeight="true" outlineLevel="0" collapsed="false">
      <c r="A2624" s="16"/>
      <c r="B2624" s="10"/>
      <c r="C2624" s="17" t="str">
        <f aca="false">IF($B2624="","",IFERROR(INDEX(품목마스터!$B$3:$B$302,MATCH($B2624,품목마스터!$A$3:$A$302,0)),"미등록품번"))</f>
        <v/>
      </c>
      <c r="D2624" s="17" t="str">
        <f aca="false">IF($B2624="","",IFERROR(INDEX(품목마스터!$D$3:$D$302,MATCH($B2624,품목마스터!$A$3:$A$302,0)),""))</f>
        <v/>
      </c>
      <c r="E2624" s="12"/>
      <c r="F2624" s="10"/>
    </row>
    <row r="2625" customFormat="false" ht="15" hidden="false" customHeight="true" outlineLevel="0" collapsed="false">
      <c r="A2625" s="16"/>
      <c r="B2625" s="10"/>
      <c r="C2625" s="17" t="str">
        <f aca="false">IF($B2625="","",IFERROR(INDEX(품목마스터!$B$3:$B$302,MATCH($B2625,품목마스터!$A$3:$A$302,0)),"미등록품번"))</f>
        <v/>
      </c>
      <c r="D2625" s="17" t="str">
        <f aca="false">IF($B2625="","",IFERROR(INDEX(품목마스터!$D$3:$D$302,MATCH($B2625,품목마스터!$A$3:$A$302,0)),""))</f>
        <v/>
      </c>
      <c r="E2625" s="12"/>
      <c r="F2625" s="10"/>
    </row>
    <row r="2626" customFormat="false" ht="15" hidden="false" customHeight="true" outlineLevel="0" collapsed="false">
      <c r="A2626" s="16"/>
      <c r="B2626" s="10"/>
      <c r="C2626" s="17" t="str">
        <f aca="false">IF($B2626="","",IFERROR(INDEX(품목마스터!$B$3:$B$302,MATCH($B2626,품목마스터!$A$3:$A$302,0)),"미등록품번"))</f>
        <v/>
      </c>
      <c r="D2626" s="17" t="str">
        <f aca="false">IF($B2626="","",IFERROR(INDEX(품목마스터!$D$3:$D$302,MATCH($B2626,품목마스터!$A$3:$A$302,0)),""))</f>
        <v/>
      </c>
      <c r="E2626" s="12"/>
      <c r="F2626" s="10"/>
    </row>
    <row r="2627" customFormat="false" ht="15" hidden="false" customHeight="true" outlineLevel="0" collapsed="false">
      <c r="A2627" s="16"/>
      <c r="B2627" s="10"/>
      <c r="C2627" s="17" t="str">
        <f aca="false">IF($B2627="","",IFERROR(INDEX(품목마스터!$B$3:$B$302,MATCH($B2627,품목마스터!$A$3:$A$302,0)),"미등록품번"))</f>
        <v/>
      </c>
      <c r="D2627" s="17" t="str">
        <f aca="false">IF($B2627="","",IFERROR(INDEX(품목마스터!$D$3:$D$302,MATCH($B2627,품목마스터!$A$3:$A$302,0)),""))</f>
        <v/>
      </c>
      <c r="E2627" s="12"/>
      <c r="F2627" s="10"/>
    </row>
    <row r="2628" customFormat="false" ht="15" hidden="false" customHeight="true" outlineLevel="0" collapsed="false">
      <c r="A2628" s="16"/>
      <c r="B2628" s="10"/>
      <c r="C2628" s="17" t="str">
        <f aca="false">IF($B2628="","",IFERROR(INDEX(품목마스터!$B$3:$B$302,MATCH($B2628,품목마스터!$A$3:$A$302,0)),"미등록품번"))</f>
        <v/>
      </c>
      <c r="D2628" s="17" t="str">
        <f aca="false">IF($B2628="","",IFERROR(INDEX(품목마스터!$D$3:$D$302,MATCH($B2628,품목마스터!$A$3:$A$302,0)),""))</f>
        <v/>
      </c>
      <c r="E2628" s="12"/>
      <c r="F2628" s="10"/>
    </row>
    <row r="2629" customFormat="false" ht="15" hidden="false" customHeight="true" outlineLevel="0" collapsed="false">
      <c r="A2629" s="16"/>
      <c r="B2629" s="10"/>
      <c r="C2629" s="17" t="str">
        <f aca="false">IF($B2629="","",IFERROR(INDEX(품목마스터!$B$3:$B$302,MATCH($B2629,품목마스터!$A$3:$A$302,0)),"미등록품번"))</f>
        <v/>
      </c>
      <c r="D2629" s="17" t="str">
        <f aca="false">IF($B2629="","",IFERROR(INDEX(품목마스터!$D$3:$D$302,MATCH($B2629,품목마스터!$A$3:$A$302,0)),""))</f>
        <v/>
      </c>
      <c r="E2629" s="12"/>
      <c r="F2629" s="10"/>
    </row>
    <row r="2630" customFormat="false" ht="15" hidden="false" customHeight="true" outlineLevel="0" collapsed="false">
      <c r="A2630" s="16"/>
      <c r="B2630" s="10"/>
      <c r="C2630" s="17" t="str">
        <f aca="false">IF($B2630="","",IFERROR(INDEX(품목마스터!$B$3:$B$302,MATCH($B2630,품목마스터!$A$3:$A$302,0)),"미등록품번"))</f>
        <v/>
      </c>
      <c r="D2630" s="17" t="str">
        <f aca="false">IF($B2630="","",IFERROR(INDEX(품목마스터!$D$3:$D$302,MATCH($B2630,품목마스터!$A$3:$A$302,0)),""))</f>
        <v/>
      </c>
      <c r="E2630" s="12"/>
      <c r="F2630" s="10"/>
    </row>
    <row r="2631" customFormat="false" ht="15" hidden="false" customHeight="true" outlineLevel="0" collapsed="false">
      <c r="A2631" s="16"/>
      <c r="B2631" s="10"/>
      <c r="C2631" s="17" t="str">
        <f aca="false">IF($B2631="","",IFERROR(INDEX(품목마스터!$B$3:$B$302,MATCH($B2631,품목마스터!$A$3:$A$302,0)),"미등록품번"))</f>
        <v/>
      </c>
      <c r="D2631" s="17" t="str">
        <f aca="false">IF($B2631="","",IFERROR(INDEX(품목마스터!$D$3:$D$302,MATCH($B2631,품목마스터!$A$3:$A$302,0)),""))</f>
        <v/>
      </c>
      <c r="E2631" s="12"/>
      <c r="F2631" s="10"/>
    </row>
    <row r="2632" customFormat="false" ht="15" hidden="false" customHeight="true" outlineLevel="0" collapsed="false">
      <c r="A2632" s="16"/>
      <c r="B2632" s="10"/>
      <c r="C2632" s="17" t="str">
        <f aca="false">IF($B2632="","",IFERROR(INDEX(품목마스터!$B$3:$B$302,MATCH($B2632,품목마스터!$A$3:$A$302,0)),"미등록품번"))</f>
        <v/>
      </c>
      <c r="D2632" s="17" t="str">
        <f aca="false">IF($B2632="","",IFERROR(INDEX(품목마스터!$D$3:$D$302,MATCH($B2632,품목마스터!$A$3:$A$302,0)),""))</f>
        <v/>
      </c>
      <c r="E2632" s="12"/>
      <c r="F2632" s="10"/>
    </row>
    <row r="2633" customFormat="false" ht="15" hidden="false" customHeight="true" outlineLevel="0" collapsed="false">
      <c r="A2633" s="16"/>
      <c r="B2633" s="10"/>
      <c r="C2633" s="17" t="str">
        <f aca="false">IF($B2633="","",IFERROR(INDEX(품목마스터!$B$3:$B$302,MATCH($B2633,품목마스터!$A$3:$A$302,0)),"미등록품번"))</f>
        <v/>
      </c>
      <c r="D2633" s="17" t="str">
        <f aca="false">IF($B2633="","",IFERROR(INDEX(품목마스터!$D$3:$D$302,MATCH($B2633,품목마스터!$A$3:$A$302,0)),""))</f>
        <v/>
      </c>
      <c r="E2633" s="12"/>
      <c r="F2633" s="10"/>
    </row>
    <row r="2634" customFormat="false" ht="15" hidden="false" customHeight="true" outlineLevel="0" collapsed="false">
      <c r="A2634" s="16"/>
      <c r="B2634" s="10"/>
      <c r="C2634" s="17" t="str">
        <f aca="false">IF($B2634="","",IFERROR(INDEX(품목마스터!$B$3:$B$302,MATCH($B2634,품목마스터!$A$3:$A$302,0)),"미등록품번"))</f>
        <v/>
      </c>
      <c r="D2634" s="17" t="str">
        <f aca="false">IF($B2634="","",IFERROR(INDEX(품목마스터!$D$3:$D$302,MATCH($B2634,품목마스터!$A$3:$A$302,0)),""))</f>
        <v/>
      </c>
      <c r="E2634" s="12"/>
      <c r="F2634" s="10"/>
    </row>
    <row r="2635" customFormat="false" ht="15" hidden="false" customHeight="true" outlineLevel="0" collapsed="false">
      <c r="A2635" s="16"/>
      <c r="B2635" s="10"/>
      <c r="C2635" s="17" t="str">
        <f aca="false">IF($B2635="","",IFERROR(INDEX(품목마스터!$B$3:$B$302,MATCH($B2635,품목마스터!$A$3:$A$302,0)),"미등록품번"))</f>
        <v/>
      </c>
      <c r="D2635" s="17" t="str">
        <f aca="false">IF($B2635="","",IFERROR(INDEX(품목마스터!$D$3:$D$302,MATCH($B2635,품목마스터!$A$3:$A$302,0)),""))</f>
        <v/>
      </c>
      <c r="E2635" s="12"/>
      <c r="F2635" s="10"/>
    </row>
    <row r="2636" customFormat="false" ht="15" hidden="false" customHeight="true" outlineLevel="0" collapsed="false">
      <c r="A2636" s="16"/>
      <c r="B2636" s="10"/>
      <c r="C2636" s="17" t="str">
        <f aca="false">IF($B2636="","",IFERROR(INDEX(품목마스터!$B$3:$B$302,MATCH($B2636,품목마스터!$A$3:$A$302,0)),"미등록품번"))</f>
        <v/>
      </c>
      <c r="D2636" s="17" t="str">
        <f aca="false">IF($B2636="","",IFERROR(INDEX(품목마스터!$D$3:$D$302,MATCH($B2636,품목마스터!$A$3:$A$302,0)),""))</f>
        <v/>
      </c>
      <c r="E2636" s="12"/>
      <c r="F2636" s="10"/>
    </row>
    <row r="2637" customFormat="false" ht="15" hidden="false" customHeight="true" outlineLevel="0" collapsed="false">
      <c r="A2637" s="16"/>
      <c r="B2637" s="10"/>
      <c r="C2637" s="17" t="str">
        <f aca="false">IF($B2637="","",IFERROR(INDEX(품목마스터!$B$3:$B$302,MATCH($B2637,품목마스터!$A$3:$A$302,0)),"미등록품번"))</f>
        <v/>
      </c>
      <c r="D2637" s="17" t="str">
        <f aca="false">IF($B2637="","",IFERROR(INDEX(품목마스터!$D$3:$D$302,MATCH($B2637,품목마스터!$A$3:$A$302,0)),""))</f>
        <v/>
      </c>
      <c r="E2637" s="12"/>
      <c r="F2637" s="10"/>
    </row>
    <row r="2638" customFormat="false" ht="15" hidden="false" customHeight="true" outlineLevel="0" collapsed="false">
      <c r="A2638" s="16"/>
      <c r="B2638" s="10"/>
      <c r="C2638" s="17" t="str">
        <f aca="false">IF($B2638="","",IFERROR(INDEX(품목마스터!$B$3:$B$302,MATCH($B2638,품목마스터!$A$3:$A$302,0)),"미등록품번"))</f>
        <v/>
      </c>
      <c r="D2638" s="17" t="str">
        <f aca="false">IF($B2638="","",IFERROR(INDEX(품목마스터!$D$3:$D$302,MATCH($B2638,품목마스터!$A$3:$A$302,0)),""))</f>
        <v/>
      </c>
      <c r="E2638" s="12"/>
      <c r="F2638" s="10"/>
    </row>
    <row r="2639" customFormat="false" ht="15" hidden="false" customHeight="true" outlineLevel="0" collapsed="false">
      <c r="A2639" s="16"/>
      <c r="B2639" s="10"/>
      <c r="C2639" s="17" t="str">
        <f aca="false">IF($B2639="","",IFERROR(INDEX(품목마스터!$B$3:$B$302,MATCH($B2639,품목마스터!$A$3:$A$302,0)),"미등록품번"))</f>
        <v/>
      </c>
      <c r="D2639" s="17" t="str">
        <f aca="false">IF($B2639="","",IFERROR(INDEX(품목마스터!$D$3:$D$302,MATCH($B2639,품목마스터!$A$3:$A$302,0)),""))</f>
        <v/>
      </c>
      <c r="E2639" s="12"/>
      <c r="F2639" s="10"/>
    </row>
    <row r="2640" customFormat="false" ht="15" hidden="false" customHeight="true" outlineLevel="0" collapsed="false">
      <c r="A2640" s="16"/>
      <c r="B2640" s="10"/>
      <c r="C2640" s="17" t="str">
        <f aca="false">IF($B2640="","",IFERROR(INDEX(품목마스터!$B$3:$B$302,MATCH($B2640,품목마스터!$A$3:$A$302,0)),"미등록품번"))</f>
        <v/>
      </c>
      <c r="D2640" s="17" t="str">
        <f aca="false">IF($B2640="","",IFERROR(INDEX(품목마스터!$D$3:$D$302,MATCH($B2640,품목마스터!$A$3:$A$302,0)),""))</f>
        <v/>
      </c>
      <c r="E2640" s="12"/>
      <c r="F2640" s="10"/>
    </row>
    <row r="2641" customFormat="false" ht="15" hidden="false" customHeight="true" outlineLevel="0" collapsed="false">
      <c r="A2641" s="16"/>
      <c r="B2641" s="10"/>
      <c r="C2641" s="17" t="str">
        <f aca="false">IF($B2641="","",IFERROR(INDEX(품목마스터!$B$3:$B$302,MATCH($B2641,품목마스터!$A$3:$A$302,0)),"미등록품번"))</f>
        <v/>
      </c>
      <c r="D2641" s="17" t="str">
        <f aca="false">IF($B2641="","",IFERROR(INDEX(품목마스터!$D$3:$D$302,MATCH($B2641,품목마스터!$A$3:$A$302,0)),""))</f>
        <v/>
      </c>
      <c r="E2641" s="12"/>
      <c r="F2641" s="10"/>
    </row>
    <row r="2642" customFormat="false" ht="15" hidden="false" customHeight="true" outlineLevel="0" collapsed="false">
      <c r="A2642" s="16"/>
      <c r="B2642" s="10"/>
      <c r="C2642" s="17" t="str">
        <f aca="false">IF($B2642="","",IFERROR(INDEX(품목마스터!$B$3:$B$302,MATCH($B2642,품목마스터!$A$3:$A$302,0)),"미등록품번"))</f>
        <v/>
      </c>
      <c r="D2642" s="17" t="str">
        <f aca="false">IF($B2642="","",IFERROR(INDEX(품목마스터!$D$3:$D$302,MATCH($B2642,품목마스터!$A$3:$A$302,0)),""))</f>
        <v/>
      </c>
      <c r="E2642" s="12"/>
      <c r="F2642" s="10"/>
    </row>
    <row r="2643" customFormat="false" ht="15" hidden="false" customHeight="true" outlineLevel="0" collapsed="false">
      <c r="A2643" s="16"/>
      <c r="B2643" s="10"/>
      <c r="C2643" s="17" t="str">
        <f aca="false">IF($B2643="","",IFERROR(INDEX(품목마스터!$B$3:$B$302,MATCH($B2643,품목마스터!$A$3:$A$302,0)),"미등록품번"))</f>
        <v/>
      </c>
      <c r="D2643" s="17" t="str">
        <f aca="false">IF($B2643="","",IFERROR(INDEX(품목마스터!$D$3:$D$302,MATCH($B2643,품목마스터!$A$3:$A$302,0)),""))</f>
        <v/>
      </c>
      <c r="E2643" s="12"/>
      <c r="F2643" s="10"/>
    </row>
    <row r="2644" customFormat="false" ht="15" hidden="false" customHeight="true" outlineLevel="0" collapsed="false">
      <c r="A2644" s="16"/>
      <c r="B2644" s="10"/>
      <c r="C2644" s="17" t="str">
        <f aca="false">IF($B2644="","",IFERROR(INDEX(품목마스터!$B$3:$B$302,MATCH($B2644,품목마스터!$A$3:$A$302,0)),"미등록품번"))</f>
        <v/>
      </c>
      <c r="D2644" s="17" t="str">
        <f aca="false">IF($B2644="","",IFERROR(INDEX(품목마스터!$D$3:$D$302,MATCH($B2644,품목마스터!$A$3:$A$302,0)),""))</f>
        <v/>
      </c>
      <c r="E2644" s="12"/>
      <c r="F2644" s="10"/>
    </row>
    <row r="2645" customFormat="false" ht="15" hidden="false" customHeight="true" outlineLevel="0" collapsed="false">
      <c r="A2645" s="16"/>
      <c r="B2645" s="10"/>
      <c r="C2645" s="17" t="str">
        <f aca="false">IF($B2645="","",IFERROR(INDEX(품목마스터!$B$3:$B$302,MATCH($B2645,품목마스터!$A$3:$A$302,0)),"미등록품번"))</f>
        <v/>
      </c>
      <c r="D2645" s="17" t="str">
        <f aca="false">IF($B2645="","",IFERROR(INDEX(품목마스터!$D$3:$D$302,MATCH($B2645,품목마스터!$A$3:$A$302,0)),""))</f>
        <v/>
      </c>
      <c r="E2645" s="12"/>
      <c r="F2645" s="10"/>
    </row>
    <row r="2646" customFormat="false" ht="15" hidden="false" customHeight="true" outlineLevel="0" collapsed="false">
      <c r="A2646" s="16"/>
      <c r="B2646" s="10"/>
      <c r="C2646" s="17" t="str">
        <f aca="false">IF($B2646="","",IFERROR(INDEX(품목마스터!$B$3:$B$302,MATCH($B2646,품목마스터!$A$3:$A$302,0)),"미등록품번"))</f>
        <v/>
      </c>
      <c r="D2646" s="17" t="str">
        <f aca="false">IF($B2646="","",IFERROR(INDEX(품목마스터!$D$3:$D$302,MATCH($B2646,품목마스터!$A$3:$A$302,0)),""))</f>
        <v/>
      </c>
      <c r="E2646" s="12"/>
      <c r="F2646" s="10"/>
    </row>
    <row r="2647" customFormat="false" ht="15" hidden="false" customHeight="true" outlineLevel="0" collapsed="false">
      <c r="A2647" s="16"/>
      <c r="B2647" s="10"/>
      <c r="C2647" s="17" t="str">
        <f aca="false">IF($B2647="","",IFERROR(INDEX(품목마스터!$B$3:$B$302,MATCH($B2647,품목마스터!$A$3:$A$302,0)),"미등록품번"))</f>
        <v/>
      </c>
      <c r="D2647" s="17" t="str">
        <f aca="false">IF($B2647="","",IFERROR(INDEX(품목마스터!$D$3:$D$302,MATCH($B2647,품목마스터!$A$3:$A$302,0)),""))</f>
        <v/>
      </c>
      <c r="E2647" s="12"/>
      <c r="F2647" s="10"/>
    </row>
    <row r="2648" customFormat="false" ht="15" hidden="false" customHeight="true" outlineLevel="0" collapsed="false">
      <c r="A2648" s="16"/>
      <c r="B2648" s="10"/>
      <c r="C2648" s="17" t="str">
        <f aca="false">IF($B2648="","",IFERROR(INDEX(품목마스터!$B$3:$B$302,MATCH($B2648,품목마스터!$A$3:$A$302,0)),"미등록품번"))</f>
        <v/>
      </c>
      <c r="D2648" s="17" t="str">
        <f aca="false">IF($B2648="","",IFERROR(INDEX(품목마스터!$D$3:$D$302,MATCH($B2648,품목마스터!$A$3:$A$302,0)),""))</f>
        <v/>
      </c>
      <c r="E2648" s="12"/>
      <c r="F2648" s="10"/>
    </row>
    <row r="2649" customFormat="false" ht="15" hidden="false" customHeight="true" outlineLevel="0" collapsed="false">
      <c r="A2649" s="16"/>
      <c r="B2649" s="10"/>
      <c r="C2649" s="17" t="str">
        <f aca="false">IF($B2649="","",IFERROR(INDEX(품목마스터!$B$3:$B$302,MATCH($B2649,품목마스터!$A$3:$A$302,0)),"미등록품번"))</f>
        <v/>
      </c>
      <c r="D2649" s="17" t="str">
        <f aca="false">IF($B2649="","",IFERROR(INDEX(품목마스터!$D$3:$D$302,MATCH($B2649,품목마스터!$A$3:$A$302,0)),""))</f>
        <v/>
      </c>
      <c r="E2649" s="12"/>
      <c r="F2649" s="10"/>
    </row>
    <row r="2650" customFormat="false" ht="15" hidden="false" customHeight="true" outlineLevel="0" collapsed="false">
      <c r="A2650" s="16"/>
      <c r="B2650" s="10"/>
      <c r="C2650" s="17" t="str">
        <f aca="false">IF($B2650="","",IFERROR(INDEX(품목마스터!$B$3:$B$302,MATCH($B2650,품목마스터!$A$3:$A$302,0)),"미등록품번"))</f>
        <v/>
      </c>
      <c r="D2650" s="17" t="str">
        <f aca="false">IF($B2650="","",IFERROR(INDEX(품목마스터!$D$3:$D$302,MATCH($B2650,품목마스터!$A$3:$A$302,0)),""))</f>
        <v/>
      </c>
      <c r="E2650" s="12"/>
      <c r="F2650" s="10"/>
    </row>
    <row r="2651" customFormat="false" ht="15" hidden="false" customHeight="true" outlineLevel="0" collapsed="false">
      <c r="A2651" s="16"/>
      <c r="B2651" s="10"/>
      <c r="C2651" s="17" t="str">
        <f aca="false">IF($B2651="","",IFERROR(INDEX(품목마스터!$B$3:$B$302,MATCH($B2651,품목마스터!$A$3:$A$302,0)),"미등록품번"))</f>
        <v/>
      </c>
      <c r="D2651" s="17" t="str">
        <f aca="false">IF($B2651="","",IFERROR(INDEX(품목마스터!$D$3:$D$302,MATCH($B2651,품목마스터!$A$3:$A$302,0)),""))</f>
        <v/>
      </c>
      <c r="E2651" s="12"/>
      <c r="F2651" s="10"/>
    </row>
    <row r="2652" customFormat="false" ht="15" hidden="false" customHeight="true" outlineLevel="0" collapsed="false">
      <c r="A2652" s="16"/>
      <c r="B2652" s="10"/>
      <c r="C2652" s="17" t="str">
        <f aca="false">IF($B2652="","",IFERROR(INDEX(품목마스터!$B$3:$B$302,MATCH($B2652,품목마스터!$A$3:$A$302,0)),"미등록품번"))</f>
        <v/>
      </c>
      <c r="D2652" s="17" t="str">
        <f aca="false">IF($B2652="","",IFERROR(INDEX(품목마스터!$D$3:$D$302,MATCH($B2652,품목마스터!$A$3:$A$302,0)),""))</f>
        <v/>
      </c>
      <c r="E2652" s="12"/>
      <c r="F2652" s="10"/>
    </row>
    <row r="2653" customFormat="false" ht="15" hidden="false" customHeight="true" outlineLevel="0" collapsed="false">
      <c r="A2653" s="16"/>
      <c r="B2653" s="10"/>
      <c r="C2653" s="17" t="str">
        <f aca="false">IF($B2653="","",IFERROR(INDEX(품목마스터!$B$3:$B$302,MATCH($B2653,품목마스터!$A$3:$A$302,0)),"미등록품번"))</f>
        <v/>
      </c>
      <c r="D2653" s="17" t="str">
        <f aca="false">IF($B2653="","",IFERROR(INDEX(품목마스터!$D$3:$D$302,MATCH($B2653,품목마스터!$A$3:$A$302,0)),""))</f>
        <v/>
      </c>
      <c r="E2653" s="12"/>
      <c r="F2653" s="10"/>
    </row>
    <row r="2654" customFormat="false" ht="15" hidden="false" customHeight="true" outlineLevel="0" collapsed="false">
      <c r="A2654" s="16"/>
      <c r="B2654" s="10"/>
      <c r="C2654" s="17" t="str">
        <f aca="false">IF($B2654="","",IFERROR(INDEX(품목마스터!$B$3:$B$302,MATCH($B2654,품목마스터!$A$3:$A$302,0)),"미등록품번"))</f>
        <v/>
      </c>
      <c r="D2654" s="17" t="str">
        <f aca="false">IF($B2654="","",IFERROR(INDEX(품목마스터!$D$3:$D$302,MATCH($B2654,품목마스터!$A$3:$A$302,0)),""))</f>
        <v/>
      </c>
      <c r="E2654" s="12"/>
      <c r="F2654" s="10"/>
    </row>
    <row r="2655" customFormat="false" ht="15" hidden="false" customHeight="true" outlineLevel="0" collapsed="false">
      <c r="A2655" s="16"/>
      <c r="B2655" s="10"/>
      <c r="C2655" s="17" t="str">
        <f aca="false">IF($B2655="","",IFERROR(INDEX(품목마스터!$B$3:$B$302,MATCH($B2655,품목마스터!$A$3:$A$302,0)),"미등록품번"))</f>
        <v/>
      </c>
      <c r="D2655" s="17" t="str">
        <f aca="false">IF($B2655="","",IFERROR(INDEX(품목마스터!$D$3:$D$302,MATCH($B2655,품목마스터!$A$3:$A$302,0)),""))</f>
        <v/>
      </c>
      <c r="E2655" s="12"/>
      <c r="F2655" s="10"/>
    </row>
    <row r="2656" customFormat="false" ht="15" hidden="false" customHeight="true" outlineLevel="0" collapsed="false">
      <c r="A2656" s="16"/>
      <c r="B2656" s="10"/>
      <c r="C2656" s="17" t="str">
        <f aca="false">IF($B2656="","",IFERROR(INDEX(품목마스터!$B$3:$B$302,MATCH($B2656,품목마스터!$A$3:$A$302,0)),"미등록품번"))</f>
        <v/>
      </c>
      <c r="D2656" s="17" t="str">
        <f aca="false">IF($B2656="","",IFERROR(INDEX(품목마스터!$D$3:$D$302,MATCH($B2656,품목마스터!$A$3:$A$302,0)),""))</f>
        <v/>
      </c>
      <c r="E2656" s="12"/>
      <c r="F2656" s="10"/>
    </row>
    <row r="2657" customFormat="false" ht="15" hidden="false" customHeight="true" outlineLevel="0" collapsed="false">
      <c r="A2657" s="16"/>
      <c r="B2657" s="10"/>
      <c r="C2657" s="17" t="str">
        <f aca="false">IF($B2657="","",IFERROR(INDEX(품목마스터!$B$3:$B$302,MATCH($B2657,품목마스터!$A$3:$A$302,0)),"미등록품번"))</f>
        <v/>
      </c>
      <c r="D2657" s="17" t="str">
        <f aca="false">IF($B2657="","",IFERROR(INDEX(품목마스터!$D$3:$D$302,MATCH($B2657,품목마스터!$A$3:$A$302,0)),""))</f>
        <v/>
      </c>
      <c r="E2657" s="12"/>
      <c r="F2657" s="10"/>
    </row>
    <row r="2658" customFormat="false" ht="15" hidden="false" customHeight="true" outlineLevel="0" collapsed="false">
      <c r="A2658" s="16"/>
      <c r="B2658" s="10"/>
      <c r="C2658" s="17" t="str">
        <f aca="false">IF($B2658="","",IFERROR(INDEX(품목마스터!$B$3:$B$302,MATCH($B2658,품목마스터!$A$3:$A$302,0)),"미등록품번"))</f>
        <v/>
      </c>
      <c r="D2658" s="17" t="str">
        <f aca="false">IF($B2658="","",IFERROR(INDEX(품목마스터!$D$3:$D$302,MATCH($B2658,품목마스터!$A$3:$A$302,0)),""))</f>
        <v/>
      </c>
      <c r="E2658" s="12"/>
      <c r="F2658" s="10"/>
    </row>
    <row r="2659" customFormat="false" ht="15" hidden="false" customHeight="true" outlineLevel="0" collapsed="false">
      <c r="A2659" s="16"/>
      <c r="B2659" s="10"/>
      <c r="C2659" s="17" t="str">
        <f aca="false">IF($B2659="","",IFERROR(INDEX(품목마스터!$B$3:$B$302,MATCH($B2659,품목마스터!$A$3:$A$302,0)),"미등록품번"))</f>
        <v/>
      </c>
      <c r="D2659" s="17" t="str">
        <f aca="false">IF($B2659="","",IFERROR(INDEX(품목마스터!$D$3:$D$302,MATCH($B2659,품목마스터!$A$3:$A$302,0)),""))</f>
        <v/>
      </c>
      <c r="E2659" s="12"/>
      <c r="F2659" s="10"/>
    </row>
    <row r="2660" customFormat="false" ht="15" hidden="false" customHeight="true" outlineLevel="0" collapsed="false">
      <c r="A2660" s="16"/>
      <c r="B2660" s="10"/>
      <c r="C2660" s="17" t="str">
        <f aca="false">IF($B2660="","",IFERROR(INDEX(품목마스터!$B$3:$B$302,MATCH($B2660,품목마스터!$A$3:$A$302,0)),"미등록품번"))</f>
        <v/>
      </c>
      <c r="D2660" s="17" t="str">
        <f aca="false">IF($B2660="","",IFERROR(INDEX(품목마스터!$D$3:$D$302,MATCH($B2660,품목마스터!$A$3:$A$302,0)),""))</f>
        <v/>
      </c>
      <c r="E2660" s="12"/>
      <c r="F2660" s="10"/>
    </row>
    <row r="2661" customFormat="false" ht="15" hidden="false" customHeight="true" outlineLevel="0" collapsed="false">
      <c r="A2661" s="16"/>
      <c r="B2661" s="10"/>
      <c r="C2661" s="17" t="str">
        <f aca="false">IF($B2661="","",IFERROR(INDEX(품목마스터!$B$3:$B$302,MATCH($B2661,품목마스터!$A$3:$A$302,0)),"미등록품번"))</f>
        <v/>
      </c>
      <c r="D2661" s="17" t="str">
        <f aca="false">IF($B2661="","",IFERROR(INDEX(품목마스터!$D$3:$D$302,MATCH($B2661,품목마스터!$A$3:$A$302,0)),""))</f>
        <v/>
      </c>
      <c r="E2661" s="12"/>
      <c r="F2661" s="10"/>
    </row>
    <row r="2662" customFormat="false" ht="15" hidden="false" customHeight="true" outlineLevel="0" collapsed="false">
      <c r="A2662" s="16"/>
      <c r="B2662" s="10"/>
      <c r="C2662" s="17" t="str">
        <f aca="false">IF($B2662="","",IFERROR(INDEX(품목마스터!$B$3:$B$302,MATCH($B2662,품목마스터!$A$3:$A$302,0)),"미등록품번"))</f>
        <v/>
      </c>
      <c r="D2662" s="17" t="str">
        <f aca="false">IF($B2662="","",IFERROR(INDEX(품목마스터!$D$3:$D$302,MATCH($B2662,품목마스터!$A$3:$A$302,0)),""))</f>
        <v/>
      </c>
      <c r="E2662" s="12"/>
      <c r="F2662" s="10"/>
    </row>
    <row r="2663" customFormat="false" ht="15" hidden="false" customHeight="true" outlineLevel="0" collapsed="false">
      <c r="A2663" s="16"/>
      <c r="B2663" s="10"/>
      <c r="C2663" s="17" t="str">
        <f aca="false">IF($B2663="","",IFERROR(INDEX(품목마스터!$B$3:$B$302,MATCH($B2663,품목마스터!$A$3:$A$302,0)),"미등록품번"))</f>
        <v/>
      </c>
      <c r="D2663" s="17" t="str">
        <f aca="false">IF($B2663="","",IFERROR(INDEX(품목마스터!$D$3:$D$302,MATCH($B2663,품목마스터!$A$3:$A$302,0)),""))</f>
        <v/>
      </c>
      <c r="E2663" s="12"/>
      <c r="F2663" s="10"/>
    </row>
    <row r="2664" customFormat="false" ht="15" hidden="false" customHeight="true" outlineLevel="0" collapsed="false">
      <c r="A2664" s="16"/>
      <c r="B2664" s="10"/>
      <c r="C2664" s="17" t="str">
        <f aca="false">IF($B2664="","",IFERROR(INDEX(품목마스터!$B$3:$B$302,MATCH($B2664,품목마스터!$A$3:$A$302,0)),"미등록품번"))</f>
        <v/>
      </c>
      <c r="D2664" s="17" t="str">
        <f aca="false">IF($B2664="","",IFERROR(INDEX(품목마스터!$D$3:$D$302,MATCH($B2664,품목마스터!$A$3:$A$302,0)),""))</f>
        <v/>
      </c>
      <c r="E2664" s="12"/>
      <c r="F2664" s="10"/>
    </row>
    <row r="2665" customFormat="false" ht="15" hidden="false" customHeight="true" outlineLevel="0" collapsed="false">
      <c r="A2665" s="16"/>
      <c r="B2665" s="10"/>
      <c r="C2665" s="17" t="str">
        <f aca="false">IF($B2665="","",IFERROR(INDEX(품목마스터!$B$3:$B$302,MATCH($B2665,품목마스터!$A$3:$A$302,0)),"미등록품번"))</f>
        <v/>
      </c>
      <c r="D2665" s="17" t="str">
        <f aca="false">IF($B2665="","",IFERROR(INDEX(품목마스터!$D$3:$D$302,MATCH($B2665,품목마스터!$A$3:$A$302,0)),""))</f>
        <v/>
      </c>
      <c r="E2665" s="12"/>
      <c r="F2665" s="10"/>
    </row>
    <row r="2666" customFormat="false" ht="15" hidden="false" customHeight="true" outlineLevel="0" collapsed="false">
      <c r="A2666" s="16"/>
      <c r="B2666" s="10"/>
      <c r="C2666" s="17" t="str">
        <f aca="false">IF($B2666="","",IFERROR(INDEX(품목마스터!$B$3:$B$302,MATCH($B2666,품목마스터!$A$3:$A$302,0)),"미등록품번"))</f>
        <v/>
      </c>
      <c r="D2666" s="17" t="str">
        <f aca="false">IF($B2666="","",IFERROR(INDEX(품목마스터!$D$3:$D$302,MATCH($B2666,품목마스터!$A$3:$A$302,0)),""))</f>
        <v/>
      </c>
      <c r="E2666" s="12"/>
      <c r="F2666" s="10"/>
    </row>
    <row r="2667" customFormat="false" ht="15" hidden="false" customHeight="true" outlineLevel="0" collapsed="false">
      <c r="A2667" s="16"/>
      <c r="B2667" s="10"/>
      <c r="C2667" s="17" t="str">
        <f aca="false">IF($B2667="","",IFERROR(INDEX(품목마스터!$B$3:$B$302,MATCH($B2667,품목마스터!$A$3:$A$302,0)),"미등록품번"))</f>
        <v/>
      </c>
      <c r="D2667" s="17" t="str">
        <f aca="false">IF($B2667="","",IFERROR(INDEX(품목마스터!$D$3:$D$302,MATCH($B2667,품목마스터!$A$3:$A$302,0)),""))</f>
        <v/>
      </c>
      <c r="E2667" s="12"/>
      <c r="F2667" s="10"/>
    </row>
    <row r="2668" customFormat="false" ht="15" hidden="false" customHeight="true" outlineLevel="0" collapsed="false">
      <c r="A2668" s="16"/>
      <c r="B2668" s="10"/>
      <c r="C2668" s="17" t="str">
        <f aca="false">IF($B2668="","",IFERROR(INDEX(품목마스터!$B$3:$B$302,MATCH($B2668,품목마스터!$A$3:$A$302,0)),"미등록품번"))</f>
        <v/>
      </c>
      <c r="D2668" s="17" t="str">
        <f aca="false">IF($B2668="","",IFERROR(INDEX(품목마스터!$D$3:$D$302,MATCH($B2668,품목마스터!$A$3:$A$302,0)),""))</f>
        <v/>
      </c>
      <c r="E2668" s="12"/>
      <c r="F2668" s="10"/>
    </row>
    <row r="2669" customFormat="false" ht="15" hidden="false" customHeight="true" outlineLevel="0" collapsed="false">
      <c r="A2669" s="16"/>
      <c r="B2669" s="10"/>
      <c r="C2669" s="17" t="str">
        <f aca="false">IF($B2669="","",IFERROR(INDEX(품목마스터!$B$3:$B$302,MATCH($B2669,품목마스터!$A$3:$A$302,0)),"미등록품번"))</f>
        <v/>
      </c>
      <c r="D2669" s="17" t="str">
        <f aca="false">IF($B2669="","",IFERROR(INDEX(품목마스터!$D$3:$D$302,MATCH($B2669,품목마스터!$A$3:$A$302,0)),""))</f>
        <v/>
      </c>
      <c r="E2669" s="12"/>
      <c r="F2669" s="10"/>
    </row>
    <row r="2670" customFormat="false" ht="15" hidden="false" customHeight="true" outlineLevel="0" collapsed="false">
      <c r="A2670" s="16"/>
      <c r="B2670" s="10"/>
      <c r="C2670" s="17" t="str">
        <f aca="false">IF($B2670="","",IFERROR(INDEX(품목마스터!$B$3:$B$302,MATCH($B2670,품목마스터!$A$3:$A$302,0)),"미등록품번"))</f>
        <v/>
      </c>
      <c r="D2670" s="17" t="str">
        <f aca="false">IF($B2670="","",IFERROR(INDEX(품목마스터!$D$3:$D$302,MATCH($B2670,품목마스터!$A$3:$A$302,0)),""))</f>
        <v/>
      </c>
      <c r="E2670" s="12"/>
      <c r="F2670" s="10"/>
    </row>
    <row r="2671" customFormat="false" ht="15" hidden="false" customHeight="true" outlineLevel="0" collapsed="false">
      <c r="A2671" s="16"/>
      <c r="B2671" s="10"/>
      <c r="C2671" s="17" t="str">
        <f aca="false">IF($B2671="","",IFERROR(INDEX(품목마스터!$B$3:$B$302,MATCH($B2671,품목마스터!$A$3:$A$302,0)),"미등록품번"))</f>
        <v/>
      </c>
      <c r="D2671" s="17" t="str">
        <f aca="false">IF($B2671="","",IFERROR(INDEX(품목마스터!$D$3:$D$302,MATCH($B2671,품목마스터!$A$3:$A$302,0)),""))</f>
        <v/>
      </c>
      <c r="E2671" s="12"/>
      <c r="F2671" s="10"/>
    </row>
    <row r="2672" customFormat="false" ht="15" hidden="false" customHeight="true" outlineLevel="0" collapsed="false">
      <c r="A2672" s="16"/>
      <c r="B2672" s="10"/>
      <c r="C2672" s="17" t="str">
        <f aca="false">IF($B2672="","",IFERROR(INDEX(품목마스터!$B$3:$B$302,MATCH($B2672,품목마스터!$A$3:$A$302,0)),"미등록품번"))</f>
        <v/>
      </c>
      <c r="D2672" s="17" t="str">
        <f aca="false">IF($B2672="","",IFERROR(INDEX(품목마스터!$D$3:$D$302,MATCH($B2672,품목마스터!$A$3:$A$302,0)),""))</f>
        <v/>
      </c>
      <c r="E2672" s="12"/>
      <c r="F2672" s="10"/>
    </row>
    <row r="2673" customFormat="false" ht="15" hidden="false" customHeight="true" outlineLevel="0" collapsed="false">
      <c r="A2673" s="16"/>
      <c r="B2673" s="10"/>
      <c r="C2673" s="17" t="str">
        <f aca="false">IF($B2673="","",IFERROR(INDEX(품목마스터!$B$3:$B$302,MATCH($B2673,품목마스터!$A$3:$A$302,0)),"미등록품번"))</f>
        <v/>
      </c>
      <c r="D2673" s="17" t="str">
        <f aca="false">IF($B2673="","",IFERROR(INDEX(품목마스터!$D$3:$D$302,MATCH($B2673,품목마스터!$A$3:$A$302,0)),""))</f>
        <v/>
      </c>
      <c r="E2673" s="12"/>
      <c r="F2673" s="10"/>
    </row>
    <row r="2674" customFormat="false" ht="15" hidden="false" customHeight="true" outlineLevel="0" collapsed="false">
      <c r="A2674" s="16"/>
      <c r="B2674" s="10"/>
      <c r="C2674" s="17" t="str">
        <f aca="false">IF($B2674="","",IFERROR(INDEX(품목마스터!$B$3:$B$302,MATCH($B2674,품목마스터!$A$3:$A$302,0)),"미등록품번"))</f>
        <v/>
      </c>
      <c r="D2674" s="17" t="str">
        <f aca="false">IF($B2674="","",IFERROR(INDEX(품목마스터!$D$3:$D$302,MATCH($B2674,품목마스터!$A$3:$A$302,0)),""))</f>
        <v/>
      </c>
      <c r="E2674" s="12"/>
      <c r="F2674" s="10"/>
    </row>
    <row r="2675" customFormat="false" ht="15" hidden="false" customHeight="true" outlineLevel="0" collapsed="false">
      <c r="A2675" s="16"/>
      <c r="B2675" s="10"/>
      <c r="C2675" s="17" t="str">
        <f aca="false">IF($B2675="","",IFERROR(INDEX(품목마스터!$B$3:$B$302,MATCH($B2675,품목마스터!$A$3:$A$302,0)),"미등록품번"))</f>
        <v/>
      </c>
      <c r="D2675" s="17" t="str">
        <f aca="false">IF($B2675="","",IFERROR(INDEX(품목마스터!$D$3:$D$302,MATCH($B2675,품목마스터!$A$3:$A$302,0)),""))</f>
        <v/>
      </c>
      <c r="E2675" s="12"/>
      <c r="F2675" s="10"/>
    </row>
    <row r="2676" customFormat="false" ht="15" hidden="false" customHeight="true" outlineLevel="0" collapsed="false">
      <c r="A2676" s="16"/>
      <c r="B2676" s="10"/>
      <c r="C2676" s="17" t="str">
        <f aca="false">IF($B2676="","",IFERROR(INDEX(품목마스터!$B$3:$B$302,MATCH($B2676,품목마스터!$A$3:$A$302,0)),"미등록품번"))</f>
        <v/>
      </c>
      <c r="D2676" s="17" t="str">
        <f aca="false">IF($B2676="","",IFERROR(INDEX(품목마스터!$D$3:$D$302,MATCH($B2676,품목마스터!$A$3:$A$302,0)),""))</f>
        <v/>
      </c>
      <c r="E2676" s="12"/>
      <c r="F2676" s="10"/>
    </row>
    <row r="2677" customFormat="false" ht="15" hidden="false" customHeight="true" outlineLevel="0" collapsed="false">
      <c r="A2677" s="16"/>
      <c r="B2677" s="10"/>
      <c r="C2677" s="17" t="str">
        <f aca="false">IF($B2677="","",IFERROR(INDEX(품목마스터!$B$3:$B$302,MATCH($B2677,품목마스터!$A$3:$A$302,0)),"미등록품번"))</f>
        <v/>
      </c>
      <c r="D2677" s="17" t="str">
        <f aca="false">IF($B2677="","",IFERROR(INDEX(품목마스터!$D$3:$D$302,MATCH($B2677,품목마스터!$A$3:$A$302,0)),""))</f>
        <v/>
      </c>
      <c r="E2677" s="12"/>
      <c r="F2677" s="10"/>
    </row>
    <row r="2678" customFormat="false" ht="15" hidden="false" customHeight="true" outlineLevel="0" collapsed="false">
      <c r="A2678" s="16"/>
      <c r="B2678" s="10"/>
      <c r="C2678" s="17" t="str">
        <f aca="false">IF($B2678="","",IFERROR(INDEX(품목마스터!$B$3:$B$302,MATCH($B2678,품목마스터!$A$3:$A$302,0)),"미등록품번"))</f>
        <v/>
      </c>
      <c r="D2678" s="17" t="str">
        <f aca="false">IF($B2678="","",IFERROR(INDEX(품목마스터!$D$3:$D$302,MATCH($B2678,품목마스터!$A$3:$A$302,0)),""))</f>
        <v/>
      </c>
      <c r="E2678" s="12"/>
      <c r="F2678" s="10"/>
    </row>
    <row r="2679" customFormat="false" ht="15" hidden="false" customHeight="true" outlineLevel="0" collapsed="false">
      <c r="A2679" s="16"/>
      <c r="B2679" s="10"/>
      <c r="C2679" s="17" t="str">
        <f aca="false">IF($B2679="","",IFERROR(INDEX(품목마스터!$B$3:$B$302,MATCH($B2679,품목마스터!$A$3:$A$302,0)),"미등록품번"))</f>
        <v/>
      </c>
      <c r="D2679" s="17" t="str">
        <f aca="false">IF($B2679="","",IFERROR(INDEX(품목마스터!$D$3:$D$302,MATCH($B2679,품목마스터!$A$3:$A$302,0)),""))</f>
        <v/>
      </c>
      <c r="E2679" s="12"/>
      <c r="F2679" s="10"/>
    </row>
    <row r="2680" customFormat="false" ht="15" hidden="false" customHeight="true" outlineLevel="0" collapsed="false">
      <c r="A2680" s="16"/>
      <c r="B2680" s="10"/>
      <c r="C2680" s="17" t="str">
        <f aca="false">IF($B2680="","",IFERROR(INDEX(품목마스터!$B$3:$B$302,MATCH($B2680,품목마스터!$A$3:$A$302,0)),"미등록품번"))</f>
        <v/>
      </c>
      <c r="D2680" s="17" t="str">
        <f aca="false">IF($B2680="","",IFERROR(INDEX(품목마스터!$D$3:$D$302,MATCH($B2680,품목마스터!$A$3:$A$302,0)),""))</f>
        <v/>
      </c>
      <c r="E2680" s="12"/>
      <c r="F2680" s="10"/>
    </row>
    <row r="2681" customFormat="false" ht="15" hidden="false" customHeight="true" outlineLevel="0" collapsed="false">
      <c r="A2681" s="16"/>
      <c r="B2681" s="10"/>
      <c r="C2681" s="17" t="str">
        <f aca="false">IF($B2681="","",IFERROR(INDEX(품목마스터!$B$3:$B$302,MATCH($B2681,품목마스터!$A$3:$A$302,0)),"미등록품번"))</f>
        <v/>
      </c>
      <c r="D2681" s="17" t="str">
        <f aca="false">IF($B2681="","",IFERROR(INDEX(품목마스터!$D$3:$D$302,MATCH($B2681,품목마스터!$A$3:$A$302,0)),""))</f>
        <v/>
      </c>
      <c r="E2681" s="12"/>
      <c r="F2681" s="10"/>
    </row>
    <row r="2682" customFormat="false" ht="15" hidden="false" customHeight="true" outlineLevel="0" collapsed="false">
      <c r="A2682" s="16"/>
      <c r="B2682" s="10"/>
      <c r="C2682" s="17" t="str">
        <f aca="false">IF($B2682="","",IFERROR(INDEX(품목마스터!$B$3:$B$302,MATCH($B2682,품목마스터!$A$3:$A$302,0)),"미등록품번"))</f>
        <v/>
      </c>
      <c r="D2682" s="17" t="str">
        <f aca="false">IF($B2682="","",IFERROR(INDEX(품목마스터!$D$3:$D$302,MATCH($B2682,품목마스터!$A$3:$A$302,0)),""))</f>
        <v/>
      </c>
      <c r="E2682" s="12"/>
      <c r="F2682" s="10"/>
    </row>
    <row r="2683" customFormat="false" ht="15" hidden="false" customHeight="true" outlineLevel="0" collapsed="false">
      <c r="A2683" s="16"/>
      <c r="B2683" s="10"/>
      <c r="C2683" s="17" t="str">
        <f aca="false">IF($B2683="","",IFERROR(INDEX(품목마스터!$B$3:$B$302,MATCH($B2683,품목마스터!$A$3:$A$302,0)),"미등록품번"))</f>
        <v/>
      </c>
      <c r="D2683" s="17" t="str">
        <f aca="false">IF($B2683="","",IFERROR(INDEX(품목마스터!$D$3:$D$302,MATCH($B2683,품목마스터!$A$3:$A$302,0)),""))</f>
        <v/>
      </c>
      <c r="E2683" s="12"/>
      <c r="F2683" s="10"/>
    </row>
    <row r="2684" customFormat="false" ht="15" hidden="false" customHeight="true" outlineLevel="0" collapsed="false">
      <c r="A2684" s="16"/>
      <c r="B2684" s="10"/>
      <c r="C2684" s="17" t="str">
        <f aca="false">IF($B2684="","",IFERROR(INDEX(품목마스터!$B$3:$B$302,MATCH($B2684,품목마스터!$A$3:$A$302,0)),"미등록품번"))</f>
        <v/>
      </c>
      <c r="D2684" s="17" t="str">
        <f aca="false">IF($B2684="","",IFERROR(INDEX(품목마스터!$D$3:$D$302,MATCH($B2684,품목마스터!$A$3:$A$302,0)),""))</f>
        <v/>
      </c>
      <c r="E2684" s="12"/>
      <c r="F2684" s="10"/>
    </row>
    <row r="2685" customFormat="false" ht="15" hidden="false" customHeight="true" outlineLevel="0" collapsed="false">
      <c r="A2685" s="16"/>
      <c r="B2685" s="10"/>
      <c r="C2685" s="17" t="str">
        <f aca="false">IF($B2685="","",IFERROR(INDEX(품목마스터!$B$3:$B$302,MATCH($B2685,품목마스터!$A$3:$A$302,0)),"미등록품번"))</f>
        <v/>
      </c>
      <c r="D2685" s="17" t="str">
        <f aca="false">IF($B2685="","",IFERROR(INDEX(품목마스터!$D$3:$D$302,MATCH($B2685,품목마스터!$A$3:$A$302,0)),""))</f>
        <v/>
      </c>
      <c r="E2685" s="12"/>
      <c r="F2685" s="10"/>
    </row>
    <row r="2686" customFormat="false" ht="15" hidden="false" customHeight="true" outlineLevel="0" collapsed="false">
      <c r="A2686" s="16"/>
      <c r="B2686" s="10"/>
      <c r="C2686" s="17" t="str">
        <f aca="false">IF($B2686="","",IFERROR(INDEX(품목마스터!$B$3:$B$302,MATCH($B2686,품목마스터!$A$3:$A$302,0)),"미등록품번"))</f>
        <v/>
      </c>
      <c r="D2686" s="17" t="str">
        <f aca="false">IF($B2686="","",IFERROR(INDEX(품목마스터!$D$3:$D$302,MATCH($B2686,품목마스터!$A$3:$A$302,0)),""))</f>
        <v/>
      </c>
      <c r="E2686" s="12"/>
      <c r="F2686" s="10"/>
    </row>
    <row r="2687" customFormat="false" ht="15" hidden="false" customHeight="true" outlineLevel="0" collapsed="false">
      <c r="A2687" s="16"/>
      <c r="B2687" s="10"/>
      <c r="C2687" s="17" t="str">
        <f aca="false">IF($B2687="","",IFERROR(INDEX(품목마스터!$B$3:$B$302,MATCH($B2687,품목마스터!$A$3:$A$302,0)),"미등록품번"))</f>
        <v/>
      </c>
      <c r="D2687" s="17" t="str">
        <f aca="false">IF($B2687="","",IFERROR(INDEX(품목마스터!$D$3:$D$302,MATCH($B2687,품목마스터!$A$3:$A$302,0)),""))</f>
        <v/>
      </c>
      <c r="E2687" s="12"/>
      <c r="F2687" s="10"/>
    </row>
    <row r="2688" customFormat="false" ht="15" hidden="false" customHeight="true" outlineLevel="0" collapsed="false">
      <c r="A2688" s="16"/>
      <c r="B2688" s="10"/>
      <c r="C2688" s="17" t="str">
        <f aca="false">IF($B2688="","",IFERROR(INDEX(품목마스터!$B$3:$B$302,MATCH($B2688,품목마스터!$A$3:$A$302,0)),"미등록품번"))</f>
        <v/>
      </c>
      <c r="D2688" s="17" t="str">
        <f aca="false">IF($B2688="","",IFERROR(INDEX(품목마스터!$D$3:$D$302,MATCH($B2688,품목마스터!$A$3:$A$302,0)),""))</f>
        <v/>
      </c>
      <c r="E2688" s="12"/>
      <c r="F2688" s="10"/>
    </row>
    <row r="2689" customFormat="false" ht="15" hidden="false" customHeight="true" outlineLevel="0" collapsed="false">
      <c r="A2689" s="16"/>
      <c r="B2689" s="10"/>
      <c r="C2689" s="17" t="str">
        <f aca="false">IF($B2689="","",IFERROR(INDEX(품목마스터!$B$3:$B$302,MATCH($B2689,품목마스터!$A$3:$A$302,0)),"미등록품번"))</f>
        <v/>
      </c>
      <c r="D2689" s="17" t="str">
        <f aca="false">IF($B2689="","",IFERROR(INDEX(품목마스터!$D$3:$D$302,MATCH($B2689,품목마스터!$A$3:$A$302,0)),""))</f>
        <v/>
      </c>
      <c r="E2689" s="12"/>
      <c r="F2689" s="10"/>
    </row>
    <row r="2690" customFormat="false" ht="15" hidden="false" customHeight="true" outlineLevel="0" collapsed="false">
      <c r="A2690" s="16"/>
      <c r="B2690" s="10"/>
      <c r="C2690" s="17" t="str">
        <f aca="false">IF($B2690="","",IFERROR(INDEX(품목마스터!$B$3:$B$302,MATCH($B2690,품목마스터!$A$3:$A$302,0)),"미등록품번"))</f>
        <v/>
      </c>
      <c r="D2690" s="17" t="str">
        <f aca="false">IF($B2690="","",IFERROR(INDEX(품목마스터!$D$3:$D$302,MATCH($B2690,품목마스터!$A$3:$A$302,0)),""))</f>
        <v/>
      </c>
      <c r="E2690" s="12"/>
      <c r="F2690" s="10"/>
    </row>
    <row r="2691" customFormat="false" ht="15" hidden="false" customHeight="true" outlineLevel="0" collapsed="false">
      <c r="A2691" s="16"/>
      <c r="B2691" s="10"/>
      <c r="C2691" s="17" t="str">
        <f aca="false">IF($B2691="","",IFERROR(INDEX(품목마스터!$B$3:$B$302,MATCH($B2691,품목마스터!$A$3:$A$302,0)),"미등록품번"))</f>
        <v/>
      </c>
      <c r="D2691" s="17" t="str">
        <f aca="false">IF($B2691="","",IFERROR(INDEX(품목마스터!$D$3:$D$302,MATCH($B2691,품목마스터!$A$3:$A$302,0)),""))</f>
        <v/>
      </c>
      <c r="E2691" s="12"/>
      <c r="F2691" s="10"/>
    </row>
    <row r="2692" customFormat="false" ht="15" hidden="false" customHeight="true" outlineLevel="0" collapsed="false">
      <c r="A2692" s="16"/>
      <c r="B2692" s="10"/>
      <c r="C2692" s="17" t="str">
        <f aca="false">IF($B2692="","",IFERROR(INDEX(품목마스터!$B$3:$B$302,MATCH($B2692,품목마스터!$A$3:$A$302,0)),"미등록품번"))</f>
        <v/>
      </c>
      <c r="D2692" s="17" t="str">
        <f aca="false">IF($B2692="","",IFERROR(INDEX(품목마스터!$D$3:$D$302,MATCH($B2692,품목마스터!$A$3:$A$302,0)),""))</f>
        <v/>
      </c>
      <c r="E2692" s="12"/>
      <c r="F2692" s="10"/>
    </row>
    <row r="2693" customFormat="false" ht="15" hidden="false" customHeight="true" outlineLevel="0" collapsed="false">
      <c r="A2693" s="16"/>
      <c r="B2693" s="10"/>
      <c r="C2693" s="17" t="str">
        <f aca="false">IF($B2693="","",IFERROR(INDEX(품목마스터!$B$3:$B$302,MATCH($B2693,품목마스터!$A$3:$A$302,0)),"미등록품번"))</f>
        <v/>
      </c>
      <c r="D2693" s="17" t="str">
        <f aca="false">IF($B2693="","",IFERROR(INDEX(품목마스터!$D$3:$D$302,MATCH($B2693,품목마스터!$A$3:$A$302,0)),""))</f>
        <v/>
      </c>
      <c r="E2693" s="12"/>
      <c r="F2693" s="10"/>
    </row>
    <row r="2694" customFormat="false" ht="15" hidden="false" customHeight="true" outlineLevel="0" collapsed="false">
      <c r="A2694" s="16"/>
      <c r="B2694" s="10"/>
      <c r="C2694" s="17" t="str">
        <f aca="false">IF($B2694="","",IFERROR(INDEX(품목마스터!$B$3:$B$302,MATCH($B2694,품목마스터!$A$3:$A$302,0)),"미등록품번"))</f>
        <v/>
      </c>
      <c r="D2694" s="17" t="str">
        <f aca="false">IF($B2694="","",IFERROR(INDEX(품목마스터!$D$3:$D$302,MATCH($B2694,품목마스터!$A$3:$A$302,0)),""))</f>
        <v/>
      </c>
      <c r="E2694" s="12"/>
      <c r="F2694" s="10"/>
    </row>
    <row r="2695" customFormat="false" ht="15" hidden="false" customHeight="true" outlineLevel="0" collapsed="false">
      <c r="A2695" s="16"/>
      <c r="B2695" s="10"/>
      <c r="C2695" s="17" t="str">
        <f aca="false">IF($B2695="","",IFERROR(INDEX(품목마스터!$B$3:$B$302,MATCH($B2695,품목마스터!$A$3:$A$302,0)),"미등록품번"))</f>
        <v/>
      </c>
      <c r="D2695" s="17" t="str">
        <f aca="false">IF($B2695="","",IFERROR(INDEX(품목마스터!$D$3:$D$302,MATCH($B2695,품목마스터!$A$3:$A$302,0)),""))</f>
        <v/>
      </c>
      <c r="E2695" s="12"/>
      <c r="F2695" s="10"/>
    </row>
    <row r="2696" customFormat="false" ht="15" hidden="false" customHeight="true" outlineLevel="0" collapsed="false">
      <c r="A2696" s="16"/>
      <c r="B2696" s="10"/>
      <c r="C2696" s="17" t="str">
        <f aca="false">IF($B2696="","",IFERROR(INDEX(품목마스터!$B$3:$B$302,MATCH($B2696,품목마스터!$A$3:$A$302,0)),"미등록품번"))</f>
        <v/>
      </c>
      <c r="D2696" s="17" t="str">
        <f aca="false">IF($B2696="","",IFERROR(INDEX(품목마스터!$D$3:$D$302,MATCH($B2696,품목마스터!$A$3:$A$302,0)),""))</f>
        <v/>
      </c>
      <c r="E2696" s="12"/>
      <c r="F2696" s="10"/>
    </row>
    <row r="2697" customFormat="false" ht="15" hidden="false" customHeight="true" outlineLevel="0" collapsed="false">
      <c r="A2697" s="16"/>
      <c r="B2697" s="10"/>
      <c r="C2697" s="17" t="str">
        <f aca="false">IF($B2697="","",IFERROR(INDEX(품목마스터!$B$3:$B$302,MATCH($B2697,품목마스터!$A$3:$A$302,0)),"미등록품번"))</f>
        <v/>
      </c>
      <c r="D2697" s="17" t="str">
        <f aca="false">IF($B2697="","",IFERROR(INDEX(품목마스터!$D$3:$D$302,MATCH($B2697,품목마스터!$A$3:$A$302,0)),""))</f>
        <v/>
      </c>
      <c r="E2697" s="12"/>
      <c r="F2697" s="10"/>
    </row>
    <row r="2698" customFormat="false" ht="15" hidden="false" customHeight="true" outlineLevel="0" collapsed="false">
      <c r="A2698" s="16"/>
      <c r="B2698" s="10"/>
      <c r="C2698" s="17" t="str">
        <f aca="false">IF($B2698="","",IFERROR(INDEX(품목마스터!$B$3:$B$302,MATCH($B2698,품목마스터!$A$3:$A$302,0)),"미등록품번"))</f>
        <v/>
      </c>
      <c r="D2698" s="17" t="str">
        <f aca="false">IF($B2698="","",IFERROR(INDEX(품목마스터!$D$3:$D$302,MATCH($B2698,품목마스터!$A$3:$A$302,0)),""))</f>
        <v/>
      </c>
      <c r="E2698" s="12"/>
      <c r="F2698" s="10"/>
    </row>
    <row r="2699" customFormat="false" ht="15" hidden="false" customHeight="true" outlineLevel="0" collapsed="false">
      <c r="A2699" s="16"/>
      <c r="B2699" s="10"/>
      <c r="C2699" s="17" t="str">
        <f aca="false">IF($B2699="","",IFERROR(INDEX(품목마스터!$B$3:$B$302,MATCH($B2699,품목마스터!$A$3:$A$302,0)),"미등록품번"))</f>
        <v/>
      </c>
      <c r="D2699" s="17" t="str">
        <f aca="false">IF($B2699="","",IFERROR(INDEX(품목마스터!$D$3:$D$302,MATCH($B2699,품목마스터!$A$3:$A$302,0)),""))</f>
        <v/>
      </c>
      <c r="E2699" s="12"/>
      <c r="F2699" s="10"/>
    </row>
    <row r="2700" customFormat="false" ht="15" hidden="false" customHeight="true" outlineLevel="0" collapsed="false">
      <c r="A2700" s="16"/>
      <c r="B2700" s="10"/>
      <c r="C2700" s="17" t="str">
        <f aca="false">IF($B2700="","",IFERROR(INDEX(품목마스터!$B$3:$B$302,MATCH($B2700,품목마스터!$A$3:$A$302,0)),"미등록품번"))</f>
        <v/>
      </c>
      <c r="D2700" s="17" t="str">
        <f aca="false">IF($B2700="","",IFERROR(INDEX(품목마스터!$D$3:$D$302,MATCH($B2700,품목마스터!$A$3:$A$302,0)),""))</f>
        <v/>
      </c>
      <c r="E2700" s="12"/>
      <c r="F2700" s="10"/>
    </row>
    <row r="2701" customFormat="false" ht="15" hidden="false" customHeight="true" outlineLevel="0" collapsed="false">
      <c r="A2701" s="16"/>
      <c r="B2701" s="10"/>
      <c r="C2701" s="17" t="str">
        <f aca="false">IF($B2701="","",IFERROR(INDEX(품목마스터!$B$3:$B$302,MATCH($B2701,품목마스터!$A$3:$A$302,0)),"미등록품번"))</f>
        <v/>
      </c>
      <c r="D2701" s="17" t="str">
        <f aca="false">IF($B2701="","",IFERROR(INDEX(품목마스터!$D$3:$D$302,MATCH($B2701,품목마스터!$A$3:$A$302,0)),""))</f>
        <v/>
      </c>
      <c r="E2701" s="12"/>
      <c r="F2701" s="10"/>
    </row>
    <row r="2702" customFormat="false" ht="15" hidden="false" customHeight="true" outlineLevel="0" collapsed="false">
      <c r="A2702" s="16"/>
      <c r="B2702" s="10"/>
      <c r="C2702" s="17" t="str">
        <f aca="false">IF($B2702="","",IFERROR(INDEX(품목마스터!$B$3:$B$302,MATCH($B2702,품목마스터!$A$3:$A$302,0)),"미등록품번"))</f>
        <v/>
      </c>
      <c r="D2702" s="17" t="str">
        <f aca="false">IF($B2702="","",IFERROR(INDEX(품목마스터!$D$3:$D$302,MATCH($B2702,품목마스터!$A$3:$A$302,0)),""))</f>
        <v/>
      </c>
      <c r="E2702" s="12"/>
      <c r="F2702" s="10"/>
    </row>
    <row r="2703" customFormat="false" ht="15" hidden="false" customHeight="true" outlineLevel="0" collapsed="false">
      <c r="A2703" s="16"/>
      <c r="B2703" s="10"/>
      <c r="C2703" s="17" t="str">
        <f aca="false">IF($B2703="","",IFERROR(INDEX(품목마스터!$B$3:$B$302,MATCH($B2703,품목마스터!$A$3:$A$302,0)),"미등록품번"))</f>
        <v/>
      </c>
      <c r="D2703" s="17" t="str">
        <f aca="false">IF($B2703="","",IFERROR(INDEX(품목마스터!$D$3:$D$302,MATCH($B2703,품목마스터!$A$3:$A$302,0)),""))</f>
        <v/>
      </c>
      <c r="E2703" s="12"/>
      <c r="F2703" s="10"/>
    </row>
    <row r="2704" customFormat="false" ht="15" hidden="false" customHeight="true" outlineLevel="0" collapsed="false">
      <c r="A2704" s="16"/>
      <c r="B2704" s="10"/>
      <c r="C2704" s="17" t="str">
        <f aca="false">IF($B2704="","",IFERROR(INDEX(품목마스터!$B$3:$B$302,MATCH($B2704,품목마스터!$A$3:$A$302,0)),"미등록품번"))</f>
        <v/>
      </c>
      <c r="D2704" s="17" t="str">
        <f aca="false">IF($B2704="","",IFERROR(INDEX(품목마스터!$D$3:$D$302,MATCH($B2704,품목마스터!$A$3:$A$302,0)),""))</f>
        <v/>
      </c>
      <c r="E2704" s="12"/>
      <c r="F2704" s="10"/>
    </row>
    <row r="2705" customFormat="false" ht="15" hidden="false" customHeight="true" outlineLevel="0" collapsed="false">
      <c r="A2705" s="16"/>
      <c r="B2705" s="10"/>
      <c r="C2705" s="17" t="str">
        <f aca="false">IF($B2705="","",IFERROR(INDEX(품목마스터!$B$3:$B$302,MATCH($B2705,품목마스터!$A$3:$A$302,0)),"미등록품번"))</f>
        <v/>
      </c>
      <c r="D2705" s="17" t="str">
        <f aca="false">IF($B2705="","",IFERROR(INDEX(품목마스터!$D$3:$D$302,MATCH($B2705,품목마스터!$A$3:$A$302,0)),""))</f>
        <v/>
      </c>
      <c r="E2705" s="12"/>
      <c r="F2705" s="10"/>
    </row>
    <row r="2706" customFormat="false" ht="15" hidden="false" customHeight="true" outlineLevel="0" collapsed="false">
      <c r="A2706" s="16"/>
      <c r="B2706" s="10"/>
      <c r="C2706" s="17" t="str">
        <f aca="false">IF($B2706="","",IFERROR(INDEX(품목마스터!$B$3:$B$302,MATCH($B2706,품목마스터!$A$3:$A$302,0)),"미등록품번"))</f>
        <v/>
      </c>
      <c r="D2706" s="17" t="str">
        <f aca="false">IF($B2706="","",IFERROR(INDEX(품목마스터!$D$3:$D$302,MATCH($B2706,품목마스터!$A$3:$A$302,0)),""))</f>
        <v/>
      </c>
      <c r="E2706" s="12"/>
      <c r="F2706" s="10"/>
    </row>
    <row r="2707" customFormat="false" ht="15" hidden="false" customHeight="true" outlineLevel="0" collapsed="false">
      <c r="A2707" s="16"/>
      <c r="B2707" s="10"/>
      <c r="C2707" s="17" t="str">
        <f aca="false">IF($B2707="","",IFERROR(INDEX(품목마스터!$B$3:$B$302,MATCH($B2707,품목마스터!$A$3:$A$302,0)),"미등록품번"))</f>
        <v/>
      </c>
      <c r="D2707" s="17" t="str">
        <f aca="false">IF($B2707="","",IFERROR(INDEX(품목마스터!$D$3:$D$302,MATCH($B2707,품목마스터!$A$3:$A$302,0)),""))</f>
        <v/>
      </c>
      <c r="E2707" s="12"/>
      <c r="F2707" s="10"/>
    </row>
    <row r="2708" customFormat="false" ht="15" hidden="false" customHeight="true" outlineLevel="0" collapsed="false">
      <c r="A2708" s="16"/>
      <c r="B2708" s="10"/>
      <c r="C2708" s="17" t="str">
        <f aca="false">IF($B2708="","",IFERROR(INDEX(품목마스터!$B$3:$B$302,MATCH($B2708,품목마스터!$A$3:$A$302,0)),"미등록품번"))</f>
        <v/>
      </c>
      <c r="D2708" s="17" t="str">
        <f aca="false">IF($B2708="","",IFERROR(INDEX(품목마스터!$D$3:$D$302,MATCH($B2708,품목마스터!$A$3:$A$302,0)),""))</f>
        <v/>
      </c>
      <c r="E2708" s="12"/>
      <c r="F2708" s="10"/>
    </row>
    <row r="2709" customFormat="false" ht="15" hidden="false" customHeight="true" outlineLevel="0" collapsed="false">
      <c r="A2709" s="16"/>
      <c r="B2709" s="10"/>
      <c r="C2709" s="17" t="str">
        <f aca="false">IF($B2709="","",IFERROR(INDEX(품목마스터!$B$3:$B$302,MATCH($B2709,품목마스터!$A$3:$A$302,0)),"미등록품번"))</f>
        <v/>
      </c>
      <c r="D2709" s="17" t="str">
        <f aca="false">IF($B2709="","",IFERROR(INDEX(품목마스터!$D$3:$D$302,MATCH($B2709,품목마스터!$A$3:$A$302,0)),""))</f>
        <v/>
      </c>
      <c r="E2709" s="12"/>
      <c r="F2709" s="10"/>
    </row>
    <row r="2710" customFormat="false" ht="15" hidden="false" customHeight="true" outlineLevel="0" collapsed="false">
      <c r="A2710" s="16"/>
      <c r="B2710" s="10"/>
      <c r="C2710" s="17" t="str">
        <f aca="false">IF($B2710="","",IFERROR(INDEX(품목마스터!$B$3:$B$302,MATCH($B2710,품목마스터!$A$3:$A$302,0)),"미등록품번"))</f>
        <v/>
      </c>
      <c r="D2710" s="17" t="str">
        <f aca="false">IF($B2710="","",IFERROR(INDEX(품목마스터!$D$3:$D$302,MATCH($B2710,품목마스터!$A$3:$A$302,0)),""))</f>
        <v/>
      </c>
      <c r="E2710" s="12"/>
      <c r="F2710" s="10"/>
    </row>
    <row r="2711" customFormat="false" ht="15" hidden="false" customHeight="true" outlineLevel="0" collapsed="false">
      <c r="A2711" s="16"/>
      <c r="B2711" s="10"/>
      <c r="C2711" s="17" t="str">
        <f aca="false">IF($B2711="","",IFERROR(INDEX(품목마스터!$B$3:$B$302,MATCH($B2711,품목마스터!$A$3:$A$302,0)),"미등록품번"))</f>
        <v/>
      </c>
      <c r="D2711" s="17" t="str">
        <f aca="false">IF($B2711="","",IFERROR(INDEX(품목마스터!$D$3:$D$302,MATCH($B2711,품목마스터!$A$3:$A$302,0)),""))</f>
        <v/>
      </c>
      <c r="E2711" s="12"/>
      <c r="F2711" s="10"/>
    </row>
    <row r="2712" customFormat="false" ht="15" hidden="false" customHeight="true" outlineLevel="0" collapsed="false">
      <c r="A2712" s="16"/>
      <c r="B2712" s="10"/>
      <c r="C2712" s="17" t="str">
        <f aca="false">IF($B2712="","",IFERROR(INDEX(품목마스터!$B$3:$B$302,MATCH($B2712,품목마스터!$A$3:$A$302,0)),"미등록품번"))</f>
        <v/>
      </c>
      <c r="D2712" s="17" t="str">
        <f aca="false">IF($B2712="","",IFERROR(INDEX(품목마스터!$D$3:$D$302,MATCH($B2712,품목마스터!$A$3:$A$302,0)),""))</f>
        <v/>
      </c>
      <c r="E2712" s="12"/>
      <c r="F2712" s="10"/>
    </row>
    <row r="2713" customFormat="false" ht="15" hidden="false" customHeight="true" outlineLevel="0" collapsed="false">
      <c r="A2713" s="16"/>
      <c r="B2713" s="10"/>
      <c r="C2713" s="17" t="str">
        <f aca="false">IF($B2713="","",IFERROR(INDEX(품목마스터!$B$3:$B$302,MATCH($B2713,품목마스터!$A$3:$A$302,0)),"미등록품번"))</f>
        <v/>
      </c>
      <c r="D2713" s="17" t="str">
        <f aca="false">IF($B2713="","",IFERROR(INDEX(품목마스터!$D$3:$D$302,MATCH($B2713,품목마스터!$A$3:$A$302,0)),""))</f>
        <v/>
      </c>
      <c r="E2713" s="12"/>
      <c r="F2713" s="10"/>
    </row>
    <row r="2714" customFormat="false" ht="15" hidden="false" customHeight="true" outlineLevel="0" collapsed="false">
      <c r="A2714" s="16"/>
      <c r="B2714" s="10"/>
      <c r="C2714" s="17" t="str">
        <f aca="false">IF($B2714="","",IFERROR(INDEX(품목마스터!$B$3:$B$302,MATCH($B2714,품목마스터!$A$3:$A$302,0)),"미등록품번"))</f>
        <v/>
      </c>
      <c r="D2714" s="17" t="str">
        <f aca="false">IF($B2714="","",IFERROR(INDEX(품목마스터!$D$3:$D$302,MATCH($B2714,품목마스터!$A$3:$A$302,0)),""))</f>
        <v/>
      </c>
      <c r="E2714" s="12"/>
      <c r="F2714" s="10"/>
    </row>
    <row r="2715" customFormat="false" ht="15" hidden="false" customHeight="true" outlineLevel="0" collapsed="false">
      <c r="A2715" s="16"/>
      <c r="B2715" s="10"/>
      <c r="C2715" s="17" t="str">
        <f aca="false">IF($B2715="","",IFERROR(INDEX(품목마스터!$B$3:$B$302,MATCH($B2715,품목마스터!$A$3:$A$302,0)),"미등록품번"))</f>
        <v/>
      </c>
      <c r="D2715" s="17" t="str">
        <f aca="false">IF($B2715="","",IFERROR(INDEX(품목마스터!$D$3:$D$302,MATCH($B2715,품목마스터!$A$3:$A$302,0)),""))</f>
        <v/>
      </c>
      <c r="E2715" s="12"/>
      <c r="F2715" s="10"/>
    </row>
    <row r="2716" customFormat="false" ht="15" hidden="false" customHeight="true" outlineLevel="0" collapsed="false">
      <c r="A2716" s="16"/>
      <c r="B2716" s="10"/>
      <c r="C2716" s="17" t="str">
        <f aca="false">IF($B2716="","",IFERROR(INDEX(품목마스터!$B$3:$B$302,MATCH($B2716,품목마스터!$A$3:$A$302,0)),"미등록품번"))</f>
        <v/>
      </c>
      <c r="D2716" s="17" t="str">
        <f aca="false">IF($B2716="","",IFERROR(INDEX(품목마스터!$D$3:$D$302,MATCH($B2716,품목마스터!$A$3:$A$302,0)),""))</f>
        <v/>
      </c>
      <c r="E2716" s="12"/>
      <c r="F2716" s="10"/>
    </row>
    <row r="2717" customFormat="false" ht="15" hidden="false" customHeight="true" outlineLevel="0" collapsed="false">
      <c r="A2717" s="16"/>
      <c r="B2717" s="10"/>
      <c r="C2717" s="17" t="str">
        <f aca="false">IF($B2717="","",IFERROR(INDEX(품목마스터!$B$3:$B$302,MATCH($B2717,품목마스터!$A$3:$A$302,0)),"미등록품번"))</f>
        <v/>
      </c>
      <c r="D2717" s="17" t="str">
        <f aca="false">IF($B2717="","",IFERROR(INDEX(품목마스터!$D$3:$D$302,MATCH($B2717,품목마스터!$A$3:$A$302,0)),""))</f>
        <v/>
      </c>
      <c r="E2717" s="12"/>
      <c r="F2717" s="10"/>
    </row>
    <row r="2718" customFormat="false" ht="15" hidden="false" customHeight="true" outlineLevel="0" collapsed="false">
      <c r="A2718" s="16"/>
      <c r="B2718" s="10"/>
      <c r="C2718" s="17" t="str">
        <f aca="false">IF($B2718="","",IFERROR(INDEX(품목마스터!$B$3:$B$302,MATCH($B2718,품목마스터!$A$3:$A$302,0)),"미등록품번"))</f>
        <v/>
      </c>
      <c r="D2718" s="17" t="str">
        <f aca="false">IF($B2718="","",IFERROR(INDEX(품목마스터!$D$3:$D$302,MATCH($B2718,품목마스터!$A$3:$A$302,0)),""))</f>
        <v/>
      </c>
      <c r="E2718" s="12"/>
      <c r="F2718" s="10"/>
    </row>
    <row r="2719" customFormat="false" ht="15" hidden="false" customHeight="true" outlineLevel="0" collapsed="false">
      <c r="A2719" s="16"/>
      <c r="B2719" s="10"/>
      <c r="C2719" s="17" t="str">
        <f aca="false">IF($B2719="","",IFERROR(INDEX(품목마스터!$B$3:$B$302,MATCH($B2719,품목마스터!$A$3:$A$302,0)),"미등록품번"))</f>
        <v/>
      </c>
      <c r="D2719" s="17" t="str">
        <f aca="false">IF($B2719="","",IFERROR(INDEX(품목마스터!$D$3:$D$302,MATCH($B2719,품목마스터!$A$3:$A$302,0)),""))</f>
        <v/>
      </c>
      <c r="E2719" s="12"/>
      <c r="F2719" s="10"/>
    </row>
    <row r="2720" customFormat="false" ht="15" hidden="false" customHeight="true" outlineLevel="0" collapsed="false">
      <c r="A2720" s="16"/>
      <c r="B2720" s="10"/>
      <c r="C2720" s="17" t="str">
        <f aca="false">IF($B2720="","",IFERROR(INDEX(품목마스터!$B$3:$B$302,MATCH($B2720,품목마스터!$A$3:$A$302,0)),"미등록품번"))</f>
        <v/>
      </c>
      <c r="D2720" s="17" t="str">
        <f aca="false">IF($B2720="","",IFERROR(INDEX(품목마스터!$D$3:$D$302,MATCH($B2720,품목마스터!$A$3:$A$302,0)),""))</f>
        <v/>
      </c>
      <c r="E2720" s="12"/>
      <c r="F2720" s="10"/>
    </row>
    <row r="2721" customFormat="false" ht="15" hidden="false" customHeight="true" outlineLevel="0" collapsed="false">
      <c r="A2721" s="16"/>
      <c r="B2721" s="10"/>
      <c r="C2721" s="17" t="str">
        <f aca="false">IF($B2721="","",IFERROR(INDEX(품목마스터!$B$3:$B$302,MATCH($B2721,품목마스터!$A$3:$A$302,0)),"미등록품번"))</f>
        <v/>
      </c>
      <c r="D2721" s="17" t="str">
        <f aca="false">IF($B2721="","",IFERROR(INDEX(품목마스터!$D$3:$D$302,MATCH($B2721,품목마스터!$A$3:$A$302,0)),""))</f>
        <v/>
      </c>
      <c r="E2721" s="12"/>
      <c r="F2721" s="10"/>
    </row>
    <row r="2722" customFormat="false" ht="15" hidden="false" customHeight="true" outlineLevel="0" collapsed="false">
      <c r="A2722" s="16"/>
      <c r="B2722" s="10"/>
      <c r="C2722" s="17" t="str">
        <f aca="false">IF($B2722="","",IFERROR(INDEX(품목마스터!$B$3:$B$302,MATCH($B2722,품목마스터!$A$3:$A$302,0)),"미등록품번"))</f>
        <v/>
      </c>
      <c r="D2722" s="17" t="str">
        <f aca="false">IF($B2722="","",IFERROR(INDEX(품목마스터!$D$3:$D$302,MATCH($B2722,품목마스터!$A$3:$A$302,0)),""))</f>
        <v/>
      </c>
      <c r="E2722" s="12"/>
      <c r="F2722" s="10"/>
    </row>
    <row r="2723" customFormat="false" ht="15" hidden="false" customHeight="true" outlineLevel="0" collapsed="false">
      <c r="A2723" s="16"/>
      <c r="B2723" s="10"/>
      <c r="C2723" s="17" t="str">
        <f aca="false">IF($B2723="","",IFERROR(INDEX(품목마스터!$B$3:$B$302,MATCH($B2723,품목마스터!$A$3:$A$302,0)),"미등록품번"))</f>
        <v/>
      </c>
      <c r="D2723" s="17" t="str">
        <f aca="false">IF($B2723="","",IFERROR(INDEX(품목마스터!$D$3:$D$302,MATCH($B2723,품목마스터!$A$3:$A$302,0)),""))</f>
        <v/>
      </c>
      <c r="E2723" s="12"/>
      <c r="F2723" s="10"/>
    </row>
    <row r="2724" customFormat="false" ht="15" hidden="false" customHeight="true" outlineLevel="0" collapsed="false">
      <c r="A2724" s="16"/>
      <c r="B2724" s="10"/>
      <c r="C2724" s="17" t="str">
        <f aca="false">IF($B2724="","",IFERROR(INDEX(품목마스터!$B$3:$B$302,MATCH($B2724,품목마스터!$A$3:$A$302,0)),"미등록품번"))</f>
        <v/>
      </c>
      <c r="D2724" s="17" t="str">
        <f aca="false">IF($B2724="","",IFERROR(INDEX(품목마스터!$D$3:$D$302,MATCH($B2724,품목마스터!$A$3:$A$302,0)),""))</f>
        <v/>
      </c>
      <c r="E2724" s="12"/>
      <c r="F2724" s="10"/>
    </row>
    <row r="2725" customFormat="false" ht="15" hidden="false" customHeight="true" outlineLevel="0" collapsed="false">
      <c r="A2725" s="16"/>
      <c r="B2725" s="10"/>
      <c r="C2725" s="17" t="str">
        <f aca="false">IF($B2725="","",IFERROR(INDEX(품목마스터!$B$3:$B$302,MATCH($B2725,품목마스터!$A$3:$A$302,0)),"미등록품번"))</f>
        <v/>
      </c>
      <c r="D2725" s="17" t="str">
        <f aca="false">IF($B2725="","",IFERROR(INDEX(품목마스터!$D$3:$D$302,MATCH($B2725,품목마스터!$A$3:$A$302,0)),""))</f>
        <v/>
      </c>
      <c r="E2725" s="12"/>
      <c r="F2725" s="10"/>
    </row>
    <row r="2726" customFormat="false" ht="15" hidden="false" customHeight="true" outlineLevel="0" collapsed="false">
      <c r="A2726" s="16"/>
      <c r="B2726" s="10"/>
      <c r="C2726" s="17" t="str">
        <f aca="false">IF($B2726="","",IFERROR(INDEX(품목마스터!$B$3:$B$302,MATCH($B2726,품목마스터!$A$3:$A$302,0)),"미등록품번"))</f>
        <v/>
      </c>
      <c r="D2726" s="17" t="str">
        <f aca="false">IF($B2726="","",IFERROR(INDEX(품목마스터!$D$3:$D$302,MATCH($B2726,품목마스터!$A$3:$A$302,0)),""))</f>
        <v/>
      </c>
      <c r="E2726" s="12"/>
      <c r="F2726" s="10"/>
    </row>
    <row r="2727" customFormat="false" ht="15" hidden="false" customHeight="true" outlineLevel="0" collapsed="false">
      <c r="A2727" s="16"/>
      <c r="B2727" s="10"/>
      <c r="C2727" s="17" t="str">
        <f aca="false">IF($B2727="","",IFERROR(INDEX(품목마스터!$B$3:$B$302,MATCH($B2727,품목마스터!$A$3:$A$302,0)),"미등록품번"))</f>
        <v/>
      </c>
      <c r="D2727" s="17" t="str">
        <f aca="false">IF($B2727="","",IFERROR(INDEX(품목마스터!$D$3:$D$302,MATCH($B2727,품목마스터!$A$3:$A$302,0)),""))</f>
        <v/>
      </c>
      <c r="E2727" s="12"/>
      <c r="F2727" s="10"/>
    </row>
    <row r="2728" customFormat="false" ht="15" hidden="false" customHeight="true" outlineLevel="0" collapsed="false">
      <c r="A2728" s="16"/>
      <c r="B2728" s="10"/>
      <c r="C2728" s="17" t="str">
        <f aca="false">IF($B2728="","",IFERROR(INDEX(품목마스터!$B$3:$B$302,MATCH($B2728,품목마스터!$A$3:$A$302,0)),"미등록품번"))</f>
        <v/>
      </c>
      <c r="D2728" s="17" t="str">
        <f aca="false">IF($B2728="","",IFERROR(INDEX(품목마스터!$D$3:$D$302,MATCH($B2728,품목마스터!$A$3:$A$302,0)),""))</f>
        <v/>
      </c>
      <c r="E2728" s="12"/>
      <c r="F2728" s="10"/>
    </row>
    <row r="2729" customFormat="false" ht="15" hidden="false" customHeight="true" outlineLevel="0" collapsed="false">
      <c r="A2729" s="16"/>
      <c r="B2729" s="10"/>
      <c r="C2729" s="17" t="str">
        <f aca="false">IF($B2729="","",IFERROR(INDEX(품목마스터!$B$3:$B$302,MATCH($B2729,품목마스터!$A$3:$A$302,0)),"미등록품번"))</f>
        <v/>
      </c>
      <c r="D2729" s="17" t="str">
        <f aca="false">IF($B2729="","",IFERROR(INDEX(품목마스터!$D$3:$D$302,MATCH($B2729,품목마스터!$A$3:$A$302,0)),""))</f>
        <v/>
      </c>
      <c r="E2729" s="12"/>
      <c r="F2729" s="10"/>
    </row>
    <row r="2730" customFormat="false" ht="15" hidden="false" customHeight="true" outlineLevel="0" collapsed="false">
      <c r="A2730" s="16"/>
      <c r="B2730" s="10"/>
      <c r="C2730" s="17" t="str">
        <f aca="false">IF($B2730="","",IFERROR(INDEX(품목마스터!$B$3:$B$302,MATCH($B2730,품목마스터!$A$3:$A$302,0)),"미등록품번"))</f>
        <v/>
      </c>
      <c r="D2730" s="17" t="str">
        <f aca="false">IF($B2730="","",IFERROR(INDEX(품목마스터!$D$3:$D$302,MATCH($B2730,품목마스터!$A$3:$A$302,0)),""))</f>
        <v/>
      </c>
      <c r="E2730" s="12"/>
      <c r="F2730" s="10"/>
    </row>
    <row r="2731" customFormat="false" ht="15" hidden="false" customHeight="true" outlineLevel="0" collapsed="false">
      <c r="A2731" s="16"/>
      <c r="B2731" s="10"/>
      <c r="C2731" s="17" t="str">
        <f aca="false">IF($B2731="","",IFERROR(INDEX(품목마스터!$B$3:$B$302,MATCH($B2731,품목마스터!$A$3:$A$302,0)),"미등록품번"))</f>
        <v/>
      </c>
      <c r="D2731" s="17" t="str">
        <f aca="false">IF($B2731="","",IFERROR(INDEX(품목마스터!$D$3:$D$302,MATCH($B2731,품목마스터!$A$3:$A$302,0)),""))</f>
        <v/>
      </c>
      <c r="E2731" s="12"/>
      <c r="F2731" s="10"/>
    </row>
    <row r="2732" customFormat="false" ht="15" hidden="false" customHeight="true" outlineLevel="0" collapsed="false">
      <c r="A2732" s="16"/>
      <c r="B2732" s="10"/>
      <c r="C2732" s="17" t="str">
        <f aca="false">IF($B2732="","",IFERROR(INDEX(품목마스터!$B$3:$B$302,MATCH($B2732,품목마스터!$A$3:$A$302,0)),"미등록품번"))</f>
        <v/>
      </c>
      <c r="D2732" s="17" t="str">
        <f aca="false">IF($B2732="","",IFERROR(INDEX(품목마스터!$D$3:$D$302,MATCH($B2732,품목마스터!$A$3:$A$302,0)),""))</f>
        <v/>
      </c>
      <c r="E2732" s="12"/>
      <c r="F2732" s="10"/>
    </row>
    <row r="2733" customFormat="false" ht="15" hidden="false" customHeight="true" outlineLevel="0" collapsed="false">
      <c r="A2733" s="16"/>
      <c r="B2733" s="10"/>
      <c r="C2733" s="17" t="str">
        <f aca="false">IF($B2733="","",IFERROR(INDEX(품목마스터!$B$3:$B$302,MATCH($B2733,품목마스터!$A$3:$A$302,0)),"미등록품번"))</f>
        <v/>
      </c>
      <c r="D2733" s="17" t="str">
        <f aca="false">IF($B2733="","",IFERROR(INDEX(품목마스터!$D$3:$D$302,MATCH($B2733,품목마스터!$A$3:$A$302,0)),""))</f>
        <v/>
      </c>
      <c r="E2733" s="12"/>
      <c r="F2733" s="10"/>
    </row>
    <row r="2734" customFormat="false" ht="15" hidden="false" customHeight="true" outlineLevel="0" collapsed="false">
      <c r="A2734" s="16"/>
      <c r="B2734" s="10"/>
      <c r="C2734" s="17" t="str">
        <f aca="false">IF($B2734="","",IFERROR(INDEX(품목마스터!$B$3:$B$302,MATCH($B2734,품목마스터!$A$3:$A$302,0)),"미등록품번"))</f>
        <v/>
      </c>
      <c r="D2734" s="17" t="str">
        <f aca="false">IF($B2734="","",IFERROR(INDEX(품목마스터!$D$3:$D$302,MATCH($B2734,품목마스터!$A$3:$A$302,0)),""))</f>
        <v/>
      </c>
      <c r="E2734" s="12"/>
      <c r="F2734" s="10"/>
    </row>
    <row r="2735" customFormat="false" ht="15" hidden="false" customHeight="true" outlineLevel="0" collapsed="false">
      <c r="A2735" s="16"/>
      <c r="B2735" s="10"/>
      <c r="C2735" s="17" t="str">
        <f aca="false">IF($B2735="","",IFERROR(INDEX(품목마스터!$B$3:$B$302,MATCH($B2735,품목마스터!$A$3:$A$302,0)),"미등록품번"))</f>
        <v/>
      </c>
      <c r="D2735" s="17" t="str">
        <f aca="false">IF($B2735="","",IFERROR(INDEX(품목마스터!$D$3:$D$302,MATCH($B2735,품목마스터!$A$3:$A$302,0)),""))</f>
        <v/>
      </c>
      <c r="E2735" s="12"/>
      <c r="F2735" s="10"/>
    </row>
    <row r="2736" customFormat="false" ht="15" hidden="false" customHeight="true" outlineLevel="0" collapsed="false">
      <c r="A2736" s="16"/>
      <c r="B2736" s="10"/>
      <c r="C2736" s="17" t="str">
        <f aca="false">IF($B2736="","",IFERROR(INDEX(품목마스터!$B$3:$B$302,MATCH($B2736,품목마스터!$A$3:$A$302,0)),"미등록품번"))</f>
        <v/>
      </c>
      <c r="D2736" s="17" t="str">
        <f aca="false">IF($B2736="","",IFERROR(INDEX(품목마스터!$D$3:$D$302,MATCH($B2736,품목마스터!$A$3:$A$302,0)),""))</f>
        <v/>
      </c>
      <c r="E2736" s="12"/>
      <c r="F2736" s="10"/>
    </row>
    <row r="2737" customFormat="false" ht="15" hidden="false" customHeight="true" outlineLevel="0" collapsed="false">
      <c r="A2737" s="16"/>
      <c r="B2737" s="10"/>
      <c r="C2737" s="17" t="str">
        <f aca="false">IF($B2737="","",IFERROR(INDEX(품목마스터!$B$3:$B$302,MATCH($B2737,품목마스터!$A$3:$A$302,0)),"미등록품번"))</f>
        <v/>
      </c>
      <c r="D2737" s="17" t="str">
        <f aca="false">IF($B2737="","",IFERROR(INDEX(품목마스터!$D$3:$D$302,MATCH($B2737,품목마스터!$A$3:$A$302,0)),""))</f>
        <v/>
      </c>
      <c r="E2737" s="12"/>
      <c r="F2737" s="10"/>
    </row>
    <row r="2738" customFormat="false" ht="15" hidden="false" customHeight="true" outlineLevel="0" collapsed="false">
      <c r="A2738" s="16"/>
      <c r="B2738" s="10"/>
      <c r="C2738" s="17" t="str">
        <f aca="false">IF($B2738="","",IFERROR(INDEX(품목마스터!$B$3:$B$302,MATCH($B2738,품목마스터!$A$3:$A$302,0)),"미등록품번"))</f>
        <v/>
      </c>
      <c r="D2738" s="17" t="str">
        <f aca="false">IF($B2738="","",IFERROR(INDEX(품목마스터!$D$3:$D$302,MATCH($B2738,품목마스터!$A$3:$A$302,0)),""))</f>
        <v/>
      </c>
      <c r="E2738" s="12"/>
      <c r="F2738" s="10"/>
    </row>
    <row r="2739" customFormat="false" ht="15" hidden="false" customHeight="true" outlineLevel="0" collapsed="false">
      <c r="A2739" s="16"/>
      <c r="B2739" s="10"/>
      <c r="C2739" s="17" t="str">
        <f aca="false">IF($B2739="","",IFERROR(INDEX(품목마스터!$B$3:$B$302,MATCH($B2739,품목마스터!$A$3:$A$302,0)),"미등록품번"))</f>
        <v/>
      </c>
      <c r="D2739" s="17" t="str">
        <f aca="false">IF($B2739="","",IFERROR(INDEX(품목마스터!$D$3:$D$302,MATCH($B2739,품목마스터!$A$3:$A$302,0)),""))</f>
        <v/>
      </c>
      <c r="E2739" s="12"/>
      <c r="F2739" s="10"/>
    </row>
    <row r="2740" customFormat="false" ht="15" hidden="false" customHeight="true" outlineLevel="0" collapsed="false">
      <c r="A2740" s="16"/>
      <c r="B2740" s="10"/>
      <c r="C2740" s="17" t="str">
        <f aca="false">IF($B2740="","",IFERROR(INDEX(품목마스터!$B$3:$B$302,MATCH($B2740,품목마스터!$A$3:$A$302,0)),"미등록품번"))</f>
        <v/>
      </c>
      <c r="D2740" s="17" t="str">
        <f aca="false">IF($B2740="","",IFERROR(INDEX(품목마스터!$D$3:$D$302,MATCH($B2740,품목마스터!$A$3:$A$302,0)),""))</f>
        <v/>
      </c>
      <c r="E2740" s="12"/>
      <c r="F2740" s="10"/>
    </row>
    <row r="2741" customFormat="false" ht="15" hidden="false" customHeight="true" outlineLevel="0" collapsed="false">
      <c r="A2741" s="16"/>
      <c r="B2741" s="10"/>
      <c r="C2741" s="17" t="str">
        <f aca="false">IF($B2741="","",IFERROR(INDEX(품목마스터!$B$3:$B$302,MATCH($B2741,품목마스터!$A$3:$A$302,0)),"미등록품번"))</f>
        <v/>
      </c>
      <c r="D2741" s="17" t="str">
        <f aca="false">IF($B2741="","",IFERROR(INDEX(품목마스터!$D$3:$D$302,MATCH($B2741,품목마스터!$A$3:$A$302,0)),""))</f>
        <v/>
      </c>
      <c r="E2741" s="12"/>
      <c r="F2741" s="10"/>
    </row>
    <row r="2742" customFormat="false" ht="15" hidden="false" customHeight="true" outlineLevel="0" collapsed="false">
      <c r="A2742" s="16"/>
      <c r="B2742" s="10"/>
      <c r="C2742" s="17" t="str">
        <f aca="false">IF($B2742="","",IFERROR(INDEX(품목마스터!$B$3:$B$302,MATCH($B2742,품목마스터!$A$3:$A$302,0)),"미등록품번"))</f>
        <v/>
      </c>
      <c r="D2742" s="17" t="str">
        <f aca="false">IF($B2742="","",IFERROR(INDEX(품목마스터!$D$3:$D$302,MATCH($B2742,품목마스터!$A$3:$A$302,0)),""))</f>
        <v/>
      </c>
      <c r="E2742" s="12"/>
      <c r="F2742" s="10"/>
    </row>
    <row r="2743" customFormat="false" ht="15" hidden="false" customHeight="true" outlineLevel="0" collapsed="false">
      <c r="A2743" s="16"/>
      <c r="B2743" s="10"/>
      <c r="C2743" s="17" t="str">
        <f aca="false">IF($B2743="","",IFERROR(INDEX(품목마스터!$B$3:$B$302,MATCH($B2743,품목마스터!$A$3:$A$302,0)),"미등록품번"))</f>
        <v/>
      </c>
      <c r="D2743" s="17" t="str">
        <f aca="false">IF($B2743="","",IFERROR(INDEX(품목마스터!$D$3:$D$302,MATCH($B2743,품목마스터!$A$3:$A$302,0)),""))</f>
        <v/>
      </c>
      <c r="E2743" s="12"/>
      <c r="F2743" s="10"/>
    </row>
    <row r="2744" customFormat="false" ht="15" hidden="false" customHeight="true" outlineLevel="0" collapsed="false">
      <c r="A2744" s="16"/>
      <c r="B2744" s="10"/>
      <c r="C2744" s="17" t="str">
        <f aca="false">IF($B2744="","",IFERROR(INDEX(품목마스터!$B$3:$B$302,MATCH($B2744,품목마스터!$A$3:$A$302,0)),"미등록품번"))</f>
        <v/>
      </c>
      <c r="D2744" s="17" t="str">
        <f aca="false">IF($B2744="","",IFERROR(INDEX(품목마스터!$D$3:$D$302,MATCH($B2744,품목마스터!$A$3:$A$302,0)),""))</f>
        <v/>
      </c>
      <c r="E2744" s="12"/>
      <c r="F2744" s="10"/>
    </row>
    <row r="2745" customFormat="false" ht="15" hidden="false" customHeight="true" outlineLevel="0" collapsed="false">
      <c r="A2745" s="16"/>
      <c r="B2745" s="10"/>
      <c r="C2745" s="17" t="str">
        <f aca="false">IF($B2745="","",IFERROR(INDEX(품목마스터!$B$3:$B$302,MATCH($B2745,품목마스터!$A$3:$A$302,0)),"미등록품번"))</f>
        <v/>
      </c>
      <c r="D2745" s="17" t="str">
        <f aca="false">IF($B2745="","",IFERROR(INDEX(품목마스터!$D$3:$D$302,MATCH($B2745,품목마스터!$A$3:$A$302,0)),""))</f>
        <v/>
      </c>
      <c r="E2745" s="12"/>
      <c r="F2745" s="10"/>
    </row>
    <row r="2746" customFormat="false" ht="15" hidden="false" customHeight="true" outlineLevel="0" collapsed="false">
      <c r="A2746" s="16"/>
      <c r="B2746" s="10"/>
      <c r="C2746" s="17" t="str">
        <f aca="false">IF($B2746="","",IFERROR(INDEX(품목마스터!$B$3:$B$302,MATCH($B2746,품목마스터!$A$3:$A$302,0)),"미등록품번"))</f>
        <v/>
      </c>
      <c r="D2746" s="17" t="str">
        <f aca="false">IF($B2746="","",IFERROR(INDEX(품목마스터!$D$3:$D$302,MATCH($B2746,품목마스터!$A$3:$A$302,0)),""))</f>
        <v/>
      </c>
      <c r="E2746" s="12"/>
      <c r="F2746" s="10"/>
    </row>
    <row r="2747" customFormat="false" ht="15" hidden="false" customHeight="true" outlineLevel="0" collapsed="false">
      <c r="A2747" s="16"/>
      <c r="B2747" s="10"/>
      <c r="C2747" s="17" t="str">
        <f aca="false">IF($B2747="","",IFERROR(INDEX(품목마스터!$B$3:$B$302,MATCH($B2747,품목마스터!$A$3:$A$302,0)),"미등록품번"))</f>
        <v/>
      </c>
      <c r="D2747" s="17" t="str">
        <f aca="false">IF($B2747="","",IFERROR(INDEX(품목마스터!$D$3:$D$302,MATCH($B2747,품목마스터!$A$3:$A$302,0)),""))</f>
        <v/>
      </c>
      <c r="E2747" s="12"/>
      <c r="F2747" s="10"/>
    </row>
    <row r="2748" customFormat="false" ht="15" hidden="false" customHeight="true" outlineLevel="0" collapsed="false">
      <c r="A2748" s="16"/>
      <c r="B2748" s="10"/>
      <c r="C2748" s="17" t="str">
        <f aca="false">IF($B2748="","",IFERROR(INDEX(품목마스터!$B$3:$B$302,MATCH($B2748,품목마스터!$A$3:$A$302,0)),"미등록품번"))</f>
        <v/>
      </c>
      <c r="D2748" s="17" t="str">
        <f aca="false">IF($B2748="","",IFERROR(INDEX(품목마스터!$D$3:$D$302,MATCH($B2748,품목마스터!$A$3:$A$302,0)),""))</f>
        <v/>
      </c>
      <c r="E2748" s="12"/>
      <c r="F2748" s="10"/>
    </row>
    <row r="2749" customFormat="false" ht="15" hidden="false" customHeight="true" outlineLevel="0" collapsed="false">
      <c r="A2749" s="16"/>
      <c r="B2749" s="10"/>
      <c r="C2749" s="17" t="str">
        <f aca="false">IF($B2749="","",IFERROR(INDEX(품목마스터!$B$3:$B$302,MATCH($B2749,품목마스터!$A$3:$A$302,0)),"미등록품번"))</f>
        <v/>
      </c>
      <c r="D2749" s="17" t="str">
        <f aca="false">IF($B2749="","",IFERROR(INDEX(품목마스터!$D$3:$D$302,MATCH($B2749,품목마스터!$A$3:$A$302,0)),""))</f>
        <v/>
      </c>
      <c r="E2749" s="12"/>
      <c r="F2749" s="10"/>
    </row>
    <row r="2750" customFormat="false" ht="15" hidden="false" customHeight="true" outlineLevel="0" collapsed="false">
      <c r="A2750" s="16"/>
      <c r="B2750" s="10"/>
      <c r="C2750" s="17" t="str">
        <f aca="false">IF($B2750="","",IFERROR(INDEX(품목마스터!$B$3:$B$302,MATCH($B2750,품목마스터!$A$3:$A$302,0)),"미등록품번"))</f>
        <v/>
      </c>
      <c r="D2750" s="17" t="str">
        <f aca="false">IF($B2750="","",IFERROR(INDEX(품목마스터!$D$3:$D$302,MATCH($B2750,품목마스터!$A$3:$A$302,0)),""))</f>
        <v/>
      </c>
      <c r="E2750" s="12"/>
      <c r="F2750" s="10"/>
    </row>
    <row r="2751" customFormat="false" ht="15" hidden="false" customHeight="true" outlineLevel="0" collapsed="false">
      <c r="A2751" s="16"/>
      <c r="B2751" s="10"/>
      <c r="C2751" s="17" t="str">
        <f aca="false">IF($B2751="","",IFERROR(INDEX(품목마스터!$B$3:$B$302,MATCH($B2751,품목마스터!$A$3:$A$302,0)),"미등록품번"))</f>
        <v/>
      </c>
      <c r="D2751" s="17" t="str">
        <f aca="false">IF($B2751="","",IFERROR(INDEX(품목마스터!$D$3:$D$302,MATCH($B2751,품목마스터!$A$3:$A$302,0)),""))</f>
        <v/>
      </c>
      <c r="E2751" s="12"/>
      <c r="F2751" s="10"/>
    </row>
    <row r="2752" customFormat="false" ht="15" hidden="false" customHeight="true" outlineLevel="0" collapsed="false">
      <c r="A2752" s="16"/>
      <c r="B2752" s="10"/>
      <c r="C2752" s="17" t="str">
        <f aca="false">IF($B2752="","",IFERROR(INDEX(품목마스터!$B$3:$B$302,MATCH($B2752,품목마스터!$A$3:$A$302,0)),"미등록품번"))</f>
        <v/>
      </c>
      <c r="D2752" s="17" t="str">
        <f aca="false">IF($B2752="","",IFERROR(INDEX(품목마스터!$D$3:$D$302,MATCH($B2752,품목마스터!$A$3:$A$302,0)),""))</f>
        <v/>
      </c>
      <c r="E2752" s="12"/>
      <c r="F2752" s="10"/>
    </row>
    <row r="2753" customFormat="false" ht="15" hidden="false" customHeight="true" outlineLevel="0" collapsed="false">
      <c r="A2753" s="16"/>
      <c r="B2753" s="10"/>
      <c r="C2753" s="17" t="str">
        <f aca="false">IF($B2753="","",IFERROR(INDEX(품목마스터!$B$3:$B$302,MATCH($B2753,품목마스터!$A$3:$A$302,0)),"미등록품번"))</f>
        <v/>
      </c>
      <c r="D2753" s="17" t="str">
        <f aca="false">IF($B2753="","",IFERROR(INDEX(품목마스터!$D$3:$D$302,MATCH($B2753,품목마스터!$A$3:$A$302,0)),""))</f>
        <v/>
      </c>
      <c r="E2753" s="12"/>
      <c r="F2753" s="10"/>
    </row>
    <row r="2754" customFormat="false" ht="15" hidden="false" customHeight="true" outlineLevel="0" collapsed="false">
      <c r="A2754" s="16"/>
      <c r="B2754" s="10"/>
      <c r="C2754" s="17" t="str">
        <f aca="false">IF($B2754="","",IFERROR(INDEX(품목마스터!$B$3:$B$302,MATCH($B2754,품목마스터!$A$3:$A$302,0)),"미등록품번"))</f>
        <v/>
      </c>
      <c r="D2754" s="17" t="str">
        <f aca="false">IF($B2754="","",IFERROR(INDEX(품목마스터!$D$3:$D$302,MATCH($B2754,품목마스터!$A$3:$A$302,0)),""))</f>
        <v/>
      </c>
      <c r="E2754" s="12"/>
      <c r="F2754" s="10"/>
    </row>
    <row r="2755" customFormat="false" ht="15" hidden="false" customHeight="true" outlineLevel="0" collapsed="false">
      <c r="A2755" s="16"/>
      <c r="B2755" s="10"/>
      <c r="C2755" s="17" t="str">
        <f aca="false">IF($B2755="","",IFERROR(INDEX(품목마스터!$B$3:$B$302,MATCH($B2755,품목마스터!$A$3:$A$302,0)),"미등록품번"))</f>
        <v/>
      </c>
      <c r="D2755" s="17" t="str">
        <f aca="false">IF($B2755="","",IFERROR(INDEX(품목마스터!$D$3:$D$302,MATCH($B2755,품목마스터!$A$3:$A$302,0)),""))</f>
        <v/>
      </c>
      <c r="E2755" s="12"/>
      <c r="F2755" s="10"/>
    </row>
    <row r="2756" customFormat="false" ht="15" hidden="false" customHeight="true" outlineLevel="0" collapsed="false">
      <c r="A2756" s="16"/>
      <c r="B2756" s="10"/>
      <c r="C2756" s="17" t="str">
        <f aca="false">IF($B2756="","",IFERROR(INDEX(품목마스터!$B$3:$B$302,MATCH($B2756,품목마스터!$A$3:$A$302,0)),"미등록품번"))</f>
        <v/>
      </c>
      <c r="D2756" s="17" t="str">
        <f aca="false">IF($B2756="","",IFERROR(INDEX(품목마스터!$D$3:$D$302,MATCH($B2756,품목마스터!$A$3:$A$302,0)),""))</f>
        <v/>
      </c>
      <c r="E2756" s="12"/>
      <c r="F2756" s="10"/>
    </row>
    <row r="2757" customFormat="false" ht="15" hidden="false" customHeight="true" outlineLevel="0" collapsed="false">
      <c r="A2757" s="16"/>
      <c r="B2757" s="10"/>
      <c r="C2757" s="17" t="str">
        <f aca="false">IF($B2757="","",IFERROR(INDEX(품목마스터!$B$3:$B$302,MATCH($B2757,품목마스터!$A$3:$A$302,0)),"미등록품번"))</f>
        <v/>
      </c>
      <c r="D2757" s="17" t="str">
        <f aca="false">IF($B2757="","",IFERROR(INDEX(품목마스터!$D$3:$D$302,MATCH($B2757,품목마스터!$A$3:$A$302,0)),""))</f>
        <v/>
      </c>
      <c r="E2757" s="12"/>
      <c r="F2757" s="10"/>
    </row>
    <row r="2758" customFormat="false" ht="15" hidden="false" customHeight="true" outlineLevel="0" collapsed="false">
      <c r="A2758" s="16"/>
      <c r="B2758" s="10"/>
      <c r="C2758" s="17" t="str">
        <f aca="false">IF($B2758="","",IFERROR(INDEX(품목마스터!$B$3:$B$302,MATCH($B2758,품목마스터!$A$3:$A$302,0)),"미등록품번"))</f>
        <v/>
      </c>
      <c r="D2758" s="17" t="str">
        <f aca="false">IF($B2758="","",IFERROR(INDEX(품목마스터!$D$3:$D$302,MATCH($B2758,품목마스터!$A$3:$A$302,0)),""))</f>
        <v/>
      </c>
      <c r="E2758" s="12"/>
      <c r="F2758" s="10"/>
    </row>
    <row r="2759" customFormat="false" ht="15" hidden="false" customHeight="true" outlineLevel="0" collapsed="false">
      <c r="A2759" s="16"/>
      <c r="B2759" s="10"/>
      <c r="C2759" s="17" t="str">
        <f aca="false">IF($B2759="","",IFERROR(INDEX(품목마스터!$B$3:$B$302,MATCH($B2759,품목마스터!$A$3:$A$302,0)),"미등록품번"))</f>
        <v/>
      </c>
      <c r="D2759" s="17" t="str">
        <f aca="false">IF($B2759="","",IFERROR(INDEX(품목마스터!$D$3:$D$302,MATCH($B2759,품목마스터!$A$3:$A$302,0)),""))</f>
        <v/>
      </c>
      <c r="E2759" s="12"/>
      <c r="F2759" s="10"/>
    </row>
    <row r="2760" customFormat="false" ht="15" hidden="false" customHeight="true" outlineLevel="0" collapsed="false">
      <c r="A2760" s="16"/>
      <c r="B2760" s="10"/>
      <c r="C2760" s="17" t="str">
        <f aca="false">IF($B2760="","",IFERROR(INDEX(품목마스터!$B$3:$B$302,MATCH($B2760,품목마스터!$A$3:$A$302,0)),"미등록품번"))</f>
        <v/>
      </c>
      <c r="D2760" s="17" t="str">
        <f aca="false">IF($B2760="","",IFERROR(INDEX(품목마스터!$D$3:$D$302,MATCH($B2760,품목마스터!$A$3:$A$302,0)),""))</f>
        <v/>
      </c>
      <c r="E2760" s="12"/>
      <c r="F2760" s="10"/>
    </row>
    <row r="2761" customFormat="false" ht="15" hidden="false" customHeight="true" outlineLevel="0" collapsed="false">
      <c r="A2761" s="16"/>
      <c r="B2761" s="10"/>
      <c r="C2761" s="17" t="str">
        <f aca="false">IF($B2761="","",IFERROR(INDEX(품목마스터!$B$3:$B$302,MATCH($B2761,품목마스터!$A$3:$A$302,0)),"미등록품번"))</f>
        <v/>
      </c>
      <c r="D2761" s="17" t="str">
        <f aca="false">IF($B2761="","",IFERROR(INDEX(품목마스터!$D$3:$D$302,MATCH($B2761,품목마스터!$A$3:$A$302,0)),""))</f>
        <v/>
      </c>
      <c r="E2761" s="12"/>
      <c r="F2761" s="10"/>
    </row>
    <row r="2762" customFormat="false" ht="15" hidden="false" customHeight="true" outlineLevel="0" collapsed="false">
      <c r="A2762" s="16"/>
      <c r="B2762" s="10"/>
      <c r="C2762" s="17" t="str">
        <f aca="false">IF($B2762="","",IFERROR(INDEX(품목마스터!$B$3:$B$302,MATCH($B2762,품목마스터!$A$3:$A$302,0)),"미등록품번"))</f>
        <v/>
      </c>
      <c r="D2762" s="17" t="str">
        <f aca="false">IF($B2762="","",IFERROR(INDEX(품목마스터!$D$3:$D$302,MATCH($B2762,품목마스터!$A$3:$A$302,0)),""))</f>
        <v/>
      </c>
      <c r="E2762" s="12"/>
      <c r="F2762" s="10"/>
    </row>
    <row r="2763" customFormat="false" ht="15" hidden="false" customHeight="true" outlineLevel="0" collapsed="false">
      <c r="A2763" s="16"/>
      <c r="B2763" s="10"/>
      <c r="C2763" s="17" t="str">
        <f aca="false">IF($B2763="","",IFERROR(INDEX(품목마스터!$B$3:$B$302,MATCH($B2763,품목마스터!$A$3:$A$302,0)),"미등록품번"))</f>
        <v/>
      </c>
      <c r="D2763" s="17" t="str">
        <f aca="false">IF($B2763="","",IFERROR(INDEX(품목마스터!$D$3:$D$302,MATCH($B2763,품목마스터!$A$3:$A$302,0)),""))</f>
        <v/>
      </c>
      <c r="E2763" s="12"/>
      <c r="F2763" s="10"/>
    </row>
    <row r="2764" customFormat="false" ht="15" hidden="false" customHeight="true" outlineLevel="0" collapsed="false">
      <c r="A2764" s="16"/>
      <c r="B2764" s="10"/>
      <c r="C2764" s="17" t="str">
        <f aca="false">IF($B2764="","",IFERROR(INDEX(품목마스터!$B$3:$B$302,MATCH($B2764,품목마스터!$A$3:$A$302,0)),"미등록품번"))</f>
        <v/>
      </c>
      <c r="D2764" s="17" t="str">
        <f aca="false">IF($B2764="","",IFERROR(INDEX(품목마스터!$D$3:$D$302,MATCH($B2764,품목마스터!$A$3:$A$302,0)),""))</f>
        <v/>
      </c>
      <c r="E2764" s="12"/>
      <c r="F2764" s="10"/>
    </row>
    <row r="2765" customFormat="false" ht="15" hidden="false" customHeight="true" outlineLevel="0" collapsed="false">
      <c r="A2765" s="16"/>
      <c r="B2765" s="10"/>
      <c r="C2765" s="17" t="str">
        <f aca="false">IF($B2765="","",IFERROR(INDEX(품목마스터!$B$3:$B$302,MATCH($B2765,품목마스터!$A$3:$A$302,0)),"미등록품번"))</f>
        <v/>
      </c>
      <c r="D2765" s="17" t="str">
        <f aca="false">IF($B2765="","",IFERROR(INDEX(품목마스터!$D$3:$D$302,MATCH($B2765,품목마스터!$A$3:$A$302,0)),""))</f>
        <v/>
      </c>
      <c r="E2765" s="12"/>
      <c r="F2765" s="10"/>
    </row>
    <row r="2766" customFormat="false" ht="15" hidden="false" customHeight="true" outlineLevel="0" collapsed="false">
      <c r="A2766" s="16"/>
      <c r="B2766" s="10"/>
      <c r="C2766" s="17" t="str">
        <f aca="false">IF($B2766="","",IFERROR(INDEX(품목마스터!$B$3:$B$302,MATCH($B2766,품목마스터!$A$3:$A$302,0)),"미등록품번"))</f>
        <v/>
      </c>
      <c r="D2766" s="17" t="str">
        <f aca="false">IF($B2766="","",IFERROR(INDEX(품목마스터!$D$3:$D$302,MATCH($B2766,품목마스터!$A$3:$A$302,0)),""))</f>
        <v/>
      </c>
      <c r="E2766" s="12"/>
      <c r="F2766" s="10"/>
    </row>
    <row r="2767" customFormat="false" ht="15" hidden="false" customHeight="true" outlineLevel="0" collapsed="false">
      <c r="A2767" s="16"/>
      <c r="B2767" s="10"/>
      <c r="C2767" s="17" t="str">
        <f aca="false">IF($B2767="","",IFERROR(INDEX(품목마스터!$B$3:$B$302,MATCH($B2767,품목마스터!$A$3:$A$302,0)),"미등록품번"))</f>
        <v/>
      </c>
      <c r="D2767" s="17" t="str">
        <f aca="false">IF($B2767="","",IFERROR(INDEX(품목마스터!$D$3:$D$302,MATCH($B2767,품목마스터!$A$3:$A$302,0)),""))</f>
        <v/>
      </c>
      <c r="E2767" s="12"/>
      <c r="F2767" s="10"/>
    </row>
    <row r="2768" customFormat="false" ht="15" hidden="false" customHeight="true" outlineLevel="0" collapsed="false">
      <c r="A2768" s="16"/>
      <c r="B2768" s="10"/>
      <c r="C2768" s="17" t="str">
        <f aca="false">IF($B2768="","",IFERROR(INDEX(품목마스터!$B$3:$B$302,MATCH($B2768,품목마스터!$A$3:$A$302,0)),"미등록품번"))</f>
        <v/>
      </c>
      <c r="D2768" s="17" t="str">
        <f aca="false">IF($B2768="","",IFERROR(INDEX(품목마스터!$D$3:$D$302,MATCH($B2768,품목마스터!$A$3:$A$302,0)),""))</f>
        <v/>
      </c>
      <c r="E2768" s="12"/>
      <c r="F2768" s="10"/>
    </row>
    <row r="2769" customFormat="false" ht="15" hidden="false" customHeight="true" outlineLevel="0" collapsed="false">
      <c r="A2769" s="16"/>
      <c r="B2769" s="10"/>
      <c r="C2769" s="17" t="str">
        <f aca="false">IF($B2769="","",IFERROR(INDEX(품목마스터!$B$3:$B$302,MATCH($B2769,품목마스터!$A$3:$A$302,0)),"미등록품번"))</f>
        <v/>
      </c>
      <c r="D2769" s="17" t="str">
        <f aca="false">IF($B2769="","",IFERROR(INDEX(품목마스터!$D$3:$D$302,MATCH($B2769,품목마스터!$A$3:$A$302,0)),""))</f>
        <v/>
      </c>
      <c r="E2769" s="12"/>
      <c r="F2769" s="10"/>
    </row>
    <row r="2770" customFormat="false" ht="15" hidden="false" customHeight="true" outlineLevel="0" collapsed="false">
      <c r="A2770" s="16"/>
      <c r="B2770" s="10"/>
      <c r="C2770" s="17" t="str">
        <f aca="false">IF($B2770="","",IFERROR(INDEX(품목마스터!$B$3:$B$302,MATCH($B2770,품목마스터!$A$3:$A$302,0)),"미등록품번"))</f>
        <v/>
      </c>
      <c r="D2770" s="17" t="str">
        <f aca="false">IF($B2770="","",IFERROR(INDEX(품목마스터!$D$3:$D$302,MATCH($B2770,품목마스터!$A$3:$A$302,0)),""))</f>
        <v/>
      </c>
      <c r="E2770" s="12"/>
      <c r="F2770" s="10"/>
    </row>
    <row r="2771" customFormat="false" ht="15" hidden="false" customHeight="true" outlineLevel="0" collapsed="false">
      <c r="A2771" s="16"/>
      <c r="B2771" s="10"/>
      <c r="C2771" s="17" t="str">
        <f aca="false">IF($B2771="","",IFERROR(INDEX(품목마스터!$B$3:$B$302,MATCH($B2771,품목마스터!$A$3:$A$302,0)),"미등록품번"))</f>
        <v/>
      </c>
      <c r="D2771" s="17" t="str">
        <f aca="false">IF($B2771="","",IFERROR(INDEX(품목마스터!$D$3:$D$302,MATCH($B2771,품목마스터!$A$3:$A$302,0)),""))</f>
        <v/>
      </c>
      <c r="E2771" s="12"/>
      <c r="F2771" s="10"/>
    </row>
    <row r="2772" customFormat="false" ht="15" hidden="false" customHeight="true" outlineLevel="0" collapsed="false">
      <c r="A2772" s="16"/>
      <c r="B2772" s="10"/>
      <c r="C2772" s="17" t="str">
        <f aca="false">IF($B2772="","",IFERROR(INDEX(품목마스터!$B$3:$B$302,MATCH($B2772,품목마스터!$A$3:$A$302,0)),"미등록품번"))</f>
        <v/>
      </c>
      <c r="D2772" s="17" t="str">
        <f aca="false">IF($B2772="","",IFERROR(INDEX(품목마스터!$D$3:$D$302,MATCH($B2772,품목마스터!$A$3:$A$302,0)),""))</f>
        <v/>
      </c>
      <c r="E2772" s="12"/>
      <c r="F2772" s="10"/>
    </row>
    <row r="2773" customFormat="false" ht="15" hidden="false" customHeight="true" outlineLevel="0" collapsed="false">
      <c r="A2773" s="16"/>
      <c r="B2773" s="10"/>
      <c r="C2773" s="17" t="str">
        <f aca="false">IF($B2773="","",IFERROR(INDEX(품목마스터!$B$3:$B$302,MATCH($B2773,품목마스터!$A$3:$A$302,0)),"미등록품번"))</f>
        <v/>
      </c>
      <c r="D2773" s="17" t="str">
        <f aca="false">IF($B2773="","",IFERROR(INDEX(품목마스터!$D$3:$D$302,MATCH($B2773,품목마스터!$A$3:$A$302,0)),""))</f>
        <v/>
      </c>
      <c r="E2773" s="12"/>
      <c r="F2773" s="10"/>
    </row>
    <row r="2774" customFormat="false" ht="15" hidden="false" customHeight="true" outlineLevel="0" collapsed="false">
      <c r="A2774" s="16"/>
      <c r="B2774" s="10"/>
      <c r="C2774" s="17" t="str">
        <f aca="false">IF($B2774="","",IFERROR(INDEX(품목마스터!$B$3:$B$302,MATCH($B2774,품목마스터!$A$3:$A$302,0)),"미등록품번"))</f>
        <v/>
      </c>
      <c r="D2774" s="17" t="str">
        <f aca="false">IF($B2774="","",IFERROR(INDEX(품목마스터!$D$3:$D$302,MATCH($B2774,품목마스터!$A$3:$A$302,0)),""))</f>
        <v/>
      </c>
      <c r="E2774" s="12"/>
      <c r="F2774" s="10"/>
    </row>
    <row r="2775" customFormat="false" ht="15" hidden="false" customHeight="true" outlineLevel="0" collapsed="false">
      <c r="A2775" s="16"/>
      <c r="B2775" s="10"/>
      <c r="C2775" s="17" t="str">
        <f aca="false">IF($B2775="","",IFERROR(INDEX(품목마스터!$B$3:$B$302,MATCH($B2775,품목마스터!$A$3:$A$302,0)),"미등록품번"))</f>
        <v/>
      </c>
      <c r="D2775" s="17" t="str">
        <f aca="false">IF($B2775="","",IFERROR(INDEX(품목마스터!$D$3:$D$302,MATCH($B2775,품목마스터!$A$3:$A$302,0)),""))</f>
        <v/>
      </c>
      <c r="E2775" s="12"/>
      <c r="F2775" s="10"/>
    </row>
    <row r="2776" customFormat="false" ht="15" hidden="false" customHeight="true" outlineLevel="0" collapsed="false">
      <c r="A2776" s="16"/>
      <c r="B2776" s="10"/>
      <c r="C2776" s="17" t="str">
        <f aca="false">IF($B2776="","",IFERROR(INDEX(품목마스터!$B$3:$B$302,MATCH($B2776,품목마스터!$A$3:$A$302,0)),"미등록품번"))</f>
        <v/>
      </c>
      <c r="D2776" s="17" t="str">
        <f aca="false">IF($B2776="","",IFERROR(INDEX(품목마스터!$D$3:$D$302,MATCH($B2776,품목마스터!$A$3:$A$302,0)),""))</f>
        <v/>
      </c>
      <c r="E2776" s="12"/>
      <c r="F2776" s="10"/>
    </row>
    <row r="2777" customFormat="false" ht="15" hidden="false" customHeight="true" outlineLevel="0" collapsed="false">
      <c r="A2777" s="16"/>
      <c r="B2777" s="10"/>
      <c r="C2777" s="17" t="str">
        <f aca="false">IF($B2777="","",IFERROR(INDEX(품목마스터!$B$3:$B$302,MATCH($B2777,품목마스터!$A$3:$A$302,0)),"미등록품번"))</f>
        <v/>
      </c>
      <c r="D2777" s="17" t="str">
        <f aca="false">IF($B2777="","",IFERROR(INDEX(품목마스터!$D$3:$D$302,MATCH($B2777,품목마스터!$A$3:$A$302,0)),""))</f>
        <v/>
      </c>
      <c r="E2777" s="12"/>
      <c r="F2777" s="10"/>
    </row>
    <row r="2778" customFormat="false" ht="15" hidden="false" customHeight="true" outlineLevel="0" collapsed="false">
      <c r="A2778" s="16"/>
      <c r="B2778" s="10"/>
      <c r="C2778" s="17" t="str">
        <f aca="false">IF($B2778="","",IFERROR(INDEX(품목마스터!$B$3:$B$302,MATCH($B2778,품목마스터!$A$3:$A$302,0)),"미등록품번"))</f>
        <v/>
      </c>
      <c r="D2778" s="17" t="str">
        <f aca="false">IF($B2778="","",IFERROR(INDEX(품목마스터!$D$3:$D$302,MATCH($B2778,품목마스터!$A$3:$A$302,0)),""))</f>
        <v/>
      </c>
      <c r="E2778" s="12"/>
      <c r="F2778" s="10"/>
    </row>
    <row r="2779" customFormat="false" ht="15" hidden="false" customHeight="true" outlineLevel="0" collapsed="false">
      <c r="A2779" s="16"/>
      <c r="B2779" s="10"/>
      <c r="C2779" s="17" t="str">
        <f aca="false">IF($B2779="","",IFERROR(INDEX(품목마스터!$B$3:$B$302,MATCH($B2779,품목마스터!$A$3:$A$302,0)),"미등록품번"))</f>
        <v/>
      </c>
      <c r="D2779" s="17" t="str">
        <f aca="false">IF($B2779="","",IFERROR(INDEX(품목마스터!$D$3:$D$302,MATCH($B2779,품목마스터!$A$3:$A$302,0)),""))</f>
        <v/>
      </c>
      <c r="E2779" s="12"/>
      <c r="F2779" s="10"/>
    </row>
    <row r="2780" customFormat="false" ht="15" hidden="false" customHeight="true" outlineLevel="0" collapsed="false">
      <c r="A2780" s="16"/>
      <c r="B2780" s="10"/>
      <c r="C2780" s="17" t="str">
        <f aca="false">IF($B2780="","",IFERROR(INDEX(품목마스터!$B$3:$B$302,MATCH($B2780,품목마스터!$A$3:$A$302,0)),"미등록품번"))</f>
        <v/>
      </c>
      <c r="D2780" s="17" t="str">
        <f aca="false">IF($B2780="","",IFERROR(INDEX(품목마스터!$D$3:$D$302,MATCH($B2780,품목마스터!$A$3:$A$302,0)),""))</f>
        <v/>
      </c>
      <c r="E2780" s="12"/>
      <c r="F2780" s="10"/>
    </row>
    <row r="2781" customFormat="false" ht="15" hidden="false" customHeight="true" outlineLevel="0" collapsed="false">
      <c r="A2781" s="16"/>
      <c r="B2781" s="10"/>
      <c r="C2781" s="17" t="str">
        <f aca="false">IF($B2781="","",IFERROR(INDEX(품목마스터!$B$3:$B$302,MATCH($B2781,품목마스터!$A$3:$A$302,0)),"미등록품번"))</f>
        <v/>
      </c>
      <c r="D2781" s="17" t="str">
        <f aca="false">IF($B2781="","",IFERROR(INDEX(품목마스터!$D$3:$D$302,MATCH($B2781,품목마스터!$A$3:$A$302,0)),""))</f>
        <v/>
      </c>
      <c r="E2781" s="12"/>
      <c r="F2781" s="10"/>
    </row>
    <row r="2782" customFormat="false" ht="15" hidden="false" customHeight="true" outlineLevel="0" collapsed="false">
      <c r="A2782" s="16"/>
      <c r="B2782" s="10"/>
      <c r="C2782" s="17" t="str">
        <f aca="false">IF($B2782="","",IFERROR(INDEX(품목마스터!$B$3:$B$302,MATCH($B2782,품목마스터!$A$3:$A$302,0)),"미등록품번"))</f>
        <v/>
      </c>
      <c r="D2782" s="17" t="str">
        <f aca="false">IF($B2782="","",IFERROR(INDEX(품목마스터!$D$3:$D$302,MATCH($B2782,품목마스터!$A$3:$A$302,0)),""))</f>
        <v/>
      </c>
      <c r="E2782" s="12"/>
      <c r="F2782" s="10"/>
    </row>
    <row r="2783" customFormat="false" ht="15" hidden="false" customHeight="true" outlineLevel="0" collapsed="false">
      <c r="A2783" s="16"/>
      <c r="B2783" s="10"/>
      <c r="C2783" s="17" t="str">
        <f aca="false">IF($B2783="","",IFERROR(INDEX(품목마스터!$B$3:$B$302,MATCH($B2783,품목마스터!$A$3:$A$302,0)),"미등록품번"))</f>
        <v/>
      </c>
      <c r="D2783" s="17" t="str">
        <f aca="false">IF($B2783="","",IFERROR(INDEX(품목마스터!$D$3:$D$302,MATCH($B2783,품목마스터!$A$3:$A$302,0)),""))</f>
        <v/>
      </c>
      <c r="E2783" s="12"/>
      <c r="F2783" s="10"/>
    </row>
    <row r="2784" customFormat="false" ht="15" hidden="false" customHeight="true" outlineLevel="0" collapsed="false">
      <c r="A2784" s="16"/>
      <c r="B2784" s="10"/>
      <c r="C2784" s="17" t="str">
        <f aca="false">IF($B2784="","",IFERROR(INDEX(품목마스터!$B$3:$B$302,MATCH($B2784,품목마스터!$A$3:$A$302,0)),"미등록품번"))</f>
        <v/>
      </c>
      <c r="D2784" s="17" t="str">
        <f aca="false">IF($B2784="","",IFERROR(INDEX(품목마스터!$D$3:$D$302,MATCH($B2784,품목마스터!$A$3:$A$302,0)),""))</f>
        <v/>
      </c>
      <c r="E2784" s="12"/>
      <c r="F2784" s="10"/>
    </row>
    <row r="2785" customFormat="false" ht="15" hidden="false" customHeight="true" outlineLevel="0" collapsed="false">
      <c r="A2785" s="16"/>
      <c r="B2785" s="10"/>
      <c r="C2785" s="17" t="str">
        <f aca="false">IF($B2785="","",IFERROR(INDEX(품목마스터!$B$3:$B$302,MATCH($B2785,품목마스터!$A$3:$A$302,0)),"미등록품번"))</f>
        <v/>
      </c>
      <c r="D2785" s="17" t="str">
        <f aca="false">IF($B2785="","",IFERROR(INDEX(품목마스터!$D$3:$D$302,MATCH($B2785,품목마스터!$A$3:$A$302,0)),""))</f>
        <v/>
      </c>
      <c r="E2785" s="12"/>
      <c r="F2785" s="10"/>
    </row>
    <row r="2786" customFormat="false" ht="15" hidden="false" customHeight="true" outlineLevel="0" collapsed="false">
      <c r="A2786" s="16"/>
      <c r="B2786" s="10"/>
      <c r="C2786" s="17" t="str">
        <f aca="false">IF($B2786="","",IFERROR(INDEX(품목마스터!$B$3:$B$302,MATCH($B2786,품목마스터!$A$3:$A$302,0)),"미등록품번"))</f>
        <v/>
      </c>
      <c r="D2786" s="17" t="str">
        <f aca="false">IF($B2786="","",IFERROR(INDEX(품목마스터!$D$3:$D$302,MATCH($B2786,품목마스터!$A$3:$A$302,0)),""))</f>
        <v/>
      </c>
      <c r="E2786" s="12"/>
      <c r="F2786" s="10"/>
    </row>
    <row r="2787" customFormat="false" ht="15" hidden="false" customHeight="true" outlineLevel="0" collapsed="false">
      <c r="A2787" s="16"/>
      <c r="B2787" s="10"/>
      <c r="C2787" s="17" t="str">
        <f aca="false">IF($B2787="","",IFERROR(INDEX(품목마스터!$B$3:$B$302,MATCH($B2787,품목마스터!$A$3:$A$302,0)),"미등록품번"))</f>
        <v/>
      </c>
      <c r="D2787" s="17" t="str">
        <f aca="false">IF($B2787="","",IFERROR(INDEX(품목마스터!$D$3:$D$302,MATCH($B2787,품목마스터!$A$3:$A$302,0)),""))</f>
        <v/>
      </c>
      <c r="E2787" s="12"/>
      <c r="F2787" s="10"/>
    </row>
    <row r="2788" customFormat="false" ht="15" hidden="false" customHeight="true" outlineLevel="0" collapsed="false">
      <c r="A2788" s="16"/>
      <c r="B2788" s="10"/>
      <c r="C2788" s="17" t="str">
        <f aca="false">IF($B2788="","",IFERROR(INDEX(품목마스터!$B$3:$B$302,MATCH($B2788,품목마스터!$A$3:$A$302,0)),"미등록품번"))</f>
        <v/>
      </c>
      <c r="D2788" s="17" t="str">
        <f aca="false">IF($B2788="","",IFERROR(INDEX(품목마스터!$D$3:$D$302,MATCH($B2788,품목마스터!$A$3:$A$302,0)),""))</f>
        <v/>
      </c>
      <c r="E2788" s="12"/>
      <c r="F2788" s="10"/>
    </row>
    <row r="2789" customFormat="false" ht="15" hidden="false" customHeight="true" outlineLevel="0" collapsed="false">
      <c r="A2789" s="16"/>
      <c r="B2789" s="10"/>
      <c r="C2789" s="17" t="str">
        <f aca="false">IF($B2789="","",IFERROR(INDEX(품목마스터!$B$3:$B$302,MATCH($B2789,품목마스터!$A$3:$A$302,0)),"미등록품번"))</f>
        <v/>
      </c>
      <c r="D2789" s="17" t="str">
        <f aca="false">IF($B2789="","",IFERROR(INDEX(품목마스터!$D$3:$D$302,MATCH($B2789,품목마스터!$A$3:$A$302,0)),""))</f>
        <v/>
      </c>
      <c r="E2789" s="12"/>
      <c r="F2789" s="10"/>
    </row>
    <row r="2790" customFormat="false" ht="15" hidden="false" customHeight="true" outlineLevel="0" collapsed="false">
      <c r="A2790" s="16"/>
      <c r="B2790" s="10"/>
      <c r="C2790" s="17" t="str">
        <f aca="false">IF($B2790="","",IFERROR(INDEX(품목마스터!$B$3:$B$302,MATCH($B2790,품목마스터!$A$3:$A$302,0)),"미등록품번"))</f>
        <v/>
      </c>
      <c r="D2790" s="17" t="str">
        <f aca="false">IF($B2790="","",IFERROR(INDEX(품목마스터!$D$3:$D$302,MATCH($B2790,품목마스터!$A$3:$A$302,0)),""))</f>
        <v/>
      </c>
      <c r="E2790" s="12"/>
      <c r="F2790" s="10"/>
    </row>
    <row r="2791" customFormat="false" ht="15" hidden="false" customHeight="true" outlineLevel="0" collapsed="false">
      <c r="A2791" s="16"/>
      <c r="B2791" s="10"/>
      <c r="C2791" s="17" t="str">
        <f aca="false">IF($B2791="","",IFERROR(INDEX(품목마스터!$B$3:$B$302,MATCH($B2791,품목마스터!$A$3:$A$302,0)),"미등록품번"))</f>
        <v/>
      </c>
      <c r="D2791" s="17" t="str">
        <f aca="false">IF($B2791="","",IFERROR(INDEX(품목마스터!$D$3:$D$302,MATCH($B2791,품목마스터!$A$3:$A$302,0)),""))</f>
        <v/>
      </c>
      <c r="E2791" s="12"/>
      <c r="F2791" s="10"/>
    </row>
    <row r="2792" customFormat="false" ht="15" hidden="false" customHeight="true" outlineLevel="0" collapsed="false">
      <c r="A2792" s="16"/>
      <c r="B2792" s="10"/>
      <c r="C2792" s="17" t="str">
        <f aca="false">IF($B2792="","",IFERROR(INDEX(품목마스터!$B$3:$B$302,MATCH($B2792,품목마스터!$A$3:$A$302,0)),"미등록품번"))</f>
        <v/>
      </c>
      <c r="D2792" s="17" t="str">
        <f aca="false">IF($B2792="","",IFERROR(INDEX(품목마스터!$D$3:$D$302,MATCH($B2792,품목마스터!$A$3:$A$302,0)),""))</f>
        <v/>
      </c>
      <c r="E2792" s="12"/>
      <c r="F2792" s="10"/>
    </row>
    <row r="2793" customFormat="false" ht="15" hidden="false" customHeight="true" outlineLevel="0" collapsed="false">
      <c r="A2793" s="16"/>
      <c r="B2793" s="10"/>
      <c r="C2793" s="17" t="str">
        <f aca="false">IF($B2793="","",IFERROR(INDEX(품목마스터!$B$3:$B$302,MATCH($B2793,품목마스터!$A$3:$A$302,0)),"미등록품번"))</f>
        <v/>
      </c>
      <c r="D2793" s="17" t="str">
        <f aca="false">IF($B2793="","",IFERROR(INDEX(품목마스터!$D$3:$D$302,MATCH($B2793,품목마스터!$A$3:$A$302,0)),""))</f>
        <v/>
      </c>
      <c r="E2793" s="12"/>
      <c r="F2793" s="10"/>
    </row>
    <row r="2794" customFormat="false" ht="15" hidden="false" customHeight="true" outlineLevel="0" collapsed="false">
      <c r="A2794" s="16"/>
      <c r="B2794" s="10"/>
      <c r="C2794" s="17" t="str">
        <f aca="false">IF($B2794="","",IFERROR(INDEX(품목마스터!$B$3:$B$302,MATCH($B2794,품목마스터!$A$3:$A$302,0)),"미등록품번"))</f>
        <v/>
      </c>
      <c r="D2794" s="17" t="str">
        <f aca="false">IF($B2794="","",IFERROR(INDEX(품목마스터!$D$3:$D$302,MATCH($B2794,품목마스터!$A$3:$A$302,0)),""))</f>
        <v/>
      </c>
      <c r="E2794" s="12"/>
      <c r="F2794" s="10"/>
    </row>
    <row r="2795" customFormat="false" ht="15" hidden="false" customHeight="true" outlineLevel="0" collapsed="false">
      <c r="A2795" s="16"/>
      <c r="B2795" s="10"/>
      <c r="C2795" s="17" t="str">
        <f aca="false">IF($B2795="","",IFERROR(INDEX(품목마스터!$B$3:$B$302,MATCH($B2795,품목마스터!$A$3:$A$302,0)),"미등록품번"))</f>
        <v/>
      </c>
      <c r="D2795" s="17" t="str">
        <f aca="false">IF($B2795="","",IFERROR(INDEX(품목마스터!$D$3:$D$302,MATCH($B2795,품목마스터!$A$3:$A$302,0)),""))</f>
        <v/>
      </c>
      <c r="E2795" s="12"/>
      <c r="F2795" s="10"/>
    </row>
    <row r="2796" customFormat="false" ht="15" hidden="false" customHeight="true" outlineLevel="0" collapsed="false">
      <c r="A2796" s="16"/>
      <c r="B2796" s="10"/>
      <c r="C2796" s="17" t="str">
        <f aca="false">IF($B2796="","",IFERROR(INDEX(품목마스터!$B$3:$B$302,MATCH($B2796,품목마스터!$A$3:$A$302,0)),"미등록품번"))</f>
        <v/>
      </c>
      <c r="D2796" s="17" t="str">
        <f aca="false">IF($B2796="","",IFERROR(INDEX(품목마스터!$D$3:$D$302,MATCH($B2796,품목마스터!$A$3:$A$302,0)),""))</f>
        <v/>
      </c>
      <c r="E2796" s="12"/>
      <c r="F2796" s="10"/>
    </row>
    <row r="2797" customFormat="false" ht="15" hidden="false" customHeight="true" outlineLevel="0" collapsed="false">
      <c r="A2797" s="16"/>
      <c r="B2797" s="10"/>
      <c r="C2797" s="17" t="str">
        <f aca="false">IF($B2797="","",IFERROR(INDEX(품목마스터!$B$3:$B$302,MATCH($B2797,품목마스터!$A$3:$A$302,0)),"미등록품번"))</f>
        <v/>
      </c>
      <c r="D2797" s="17" t="str">
        <f aca="false">IF($B2797="","",IFERROR(INDEX(품목마스터!$D$3:$D$302,MATCH($B2797,품목마스터!$A$3:$A$302,0)),""))</f>
        <v/>
      </c>
      <c r="E2797" s="12"/>
      <c r="F2797" s="10"/>
    </row>
    <row r="2798" customFormat="false" ht="15" hidden="false" customHeight="true" outlineLevel="0" collapsed="false">
      <c r="A2798" s="16"/>
      <c r="B2798" s="10"/>
      <c r="C2798" s="17" t="str">
        <f aca="false">IF($B2798="","",IFERROR(INDEX(품목마스터!$B$3:$B$302,MATCH($B2798,품목마스터!$A$3:$A$302,0)),"미등록품번"))</f>
        <v/>
      </c>
      <c r="D2798" s="17" t="str">
        <f aca="false">IF($B2798="","",IFERROR(INDEX(품목마스터!$D$3:$D$302,MATCH($B2798,품목마스터!$A$3:$A$302,0)),""))</f>
        <v/>
      </c>
      <c r="E2798" s="12"/>
      <c r="F2798" s="10"/>
    </row>
    <row r="2799" customFormat="false" ht="15" hidden="false" customHeight="true" outlineLevel="0" collapsed="false">
      <c r="A2799" s="16"/>
      <c r="B2799" s="10"/>
      <c r="C2799" s="17" t="str">
        <f aca="false">IF($B2799="","",IFERROR(INDEX(품목마스터!$B$3:$B$302,MATCH($B2799,품목마스터!$A$3:$A$302,0)),"미등록품번"))</f>
        <v/>
      </c>
      <c r="D2799" s="17" t="str">
        <f aca="false">IF($B2799="","",IFERROR(INDEX(품목마스터!$D$3:$D$302,MATCH($B2799,품목마스터!$A$3:$A$302,0)),""))</f>
        <v/>
      </c>
      <c r="E2799" s="12"/>
      <c r="F2799" s="10"/>
    </row>
    <row r="2800" customFormat="false" ht="15" hidden="false" customHeight="true" outlineLevel="0" collapsed="false">
      <c r="A2800" s="16"/>
      <c r="B2800" s="10"/>
      <c r="C2800" s="17" t="str">
        <f aca="false">IF($B2800="","",IFERROR(INDEX(품목마스터!$B$3:$B$302,MATCH($B2800,품목마스터!$A$3:$A$302,0)),"미등록품번"))</f>
        <v/>
      </c>
      <c r="D2800" s="17" t="str">
        <f aca="false">IF($B2800="","",IFERROR(INDEX(품목마스터!$D$3:$D$302,MATCH($B2800,품목마스터!$A$3:$A$302,0)),""))</f>
        <v/>
      </c>
      <c r="E2800" s="12"/>
      <c r="F2800" s="10"/>
    </row>
    <row r="2801" customFormat="false" ht="15" hidden="false" customHeight="true" outlineLevel="0" collapsed="false">
      <c r="A2801" s="16"/>
      <c r="B2801" s="10"/>
      <c r="C2801" s="17" t="str">
        <f aca="false">IF($B2801="","",IFERROR(INDEX(품목마스터!$B$3:$B$302,MATCH($B2801,품목마스터!$A$3:$A$302,0)),"미등록품번"))</f>
        <v/>
      </c>
      <c r="D2801" s="17" t="str">
        <f aca="false">IF($B2801="","",IFERROR(INDEX(품목마스터!$D$3:$D$302,MATCH($B2801,품목마스터!$A$3:$A$302,0)),""))</f>
        <v/>
      </c>
      <c r="E2801" s="12"/>
      <c r="F2801" s="10"/>
    </row>
    <row r="2802" customFormat="false" ht="15" hidden="false" customHeight="true" outlineLevel="0" collapsed="false">
      <c r="A2802" s="16"/>
      <c r="B2802" s="10"/>
      <c r="C2802" s="17" t="str">
        <f aca="false">IF($B2802="","",IFERROR(INDEX(품목마스터!$B$3:$B$302,MATCH($B2802,품목마스터!$A$3:$A$302,0)),"미등록품번"))</f>
        <v/>
      </c>
      <c r="D2802" s="17" t="str">
        <f aca="false">IF($B2802="","",IFERROR(INDEX(품목마스터!$D$3:$D$302,MATCH($B2802,품목마스터!$A$3:$A$302,0)),""))</f>
        <v/>
      </c>
      <c r="E2802" s="12"/>
      <c r="F2802" s="10"/>
    </row>
    <row r="2803" customFormat="false" ht="15" hidden="false" customHeight="true" outlineLevel="0" collapsed="false">
      <c r="A2803" s="16"/>
      <c r="B2803" s="10"/>
      <c r="C2803" s="17" t="str">
        <f aca="false">IF($B2803="","",IFERROR(INDEX(품목마스터!$B$3:$B$302,MATCH($B2803,품목마스터!$A$3:$A$302,0)),"미등록품번"))</f>
        <v/>
      </c>
      <c r="D2803" s="17" t="str">
        <f aca="false">IF($B2803="","",IFERROR(INDEX(품목마스터!$D$3:$D$302,MATCH($B2803,품목마스터!$A$3:$A$302,0)),""))</f>
        <v/>
      </c>
      <c r="E2803" s="12"/>
      <c r="F2803" s="10"/>
    </row>
    <row r="2804" customFormat="false" ht="15" hidden="false" customHeight="true" outlineLevel="0" collapsed="false">
      <c r="A2804" s="16"/>
      <c r="B2804" s="10"/>
      <c r="C2804" s="17" t="str">
        <f aca="false">IF($B2804="","",IFERROR(INDEX(품목마스터!$B$3:$B$302,MATCH($B2804,품목마스터!$A$3:$A$302,0)),"미등록품번"))</f>
        <v/>
      </c>
      <c r="D2804" s="17" t="str">
        <f aca="false">IF($B2804="","",IFERROR(INDEX(품목마스터!$D$3:$D$302,MATCH($B2804,품목마스터!$A$3:$A$302,0)),""))</f>
        <v/>
      </c>
      <c r="E2804" s="12"/>
      <c r="F2804" s="10"/>
    </row>
    <row r="2805" customFormat="false" ht="15" hidden="false" customHeight="true" outlineLevel="0" collapsed="false">
      <c r="A2805" s="16"/>
      <c r="B2805" s="10"/>
      <c r="C2805" s="17" t="str">
        <f aca="false">IF($B2805="","",IFERROR(INDEX(품목마스터!$B$3:$B$302,MATCH($B2805,품목마스터!$A$3:$A$302,0)),"미등록품번"))</f>
        <v/>
      </c>
      <c r="D2805" s="17" t="str">
        <f aca="false">IF($B2805="","",IFERROR(INDEX(품목마스터!$D$3:$D$302,MATCH($B2805,품목마스터!$A$3:$A$302,0)),""))</f>
        <v/>
      </c>
      <c r="E2805" s="12"/>
      <c r="F2805" s="10"/>
    </row>
    <row r="2806" customFormat="false" ht="15" hidden="false" customHeight="true" outlineLevel="0" collapsed="false">
      <c r="A2806" s="16"/>
      <c r="B2806" s="10"/>
      <c r="C2806" s="17" t="str">
        <f aca="false">IF($B2806="","",IFERROR(INDEX(품목마스터!$B$3:$B$302,MATCH($B2806,품목마스터!$A$3:$A$302,0)),"미등록품번"))</f>
        <v/>
      </c>
      <c r="D2806" s="17" t="str">
        <f aca="false">IF($B2806="","",IFERROR(INDEX(품목마스터!$D$3:$D$302,MATCH($B2806,품목마스터!$A$3:$A$302,0)),""))</f>
        <v/>
      </c>
      <c r="E2806" s="12"/>
      <c r="F2806" s="10"/>
    </row>
    <row r="2807" customFormat="false" ht="15" hidden="false" customHeight="true" outlineLevel="0" collapsed="false">
      <c r="A2807" s="16"/>
      <c r="B2807" s="10"/>
      <c r="C2807" s="17" t="str">
        <f aca="false">IF($B2807="","",IFERROR(INDEX(품목마스터!$B$3:$B$302,MATCH($B2807,품목마스터!$A$3:$A$302,0)),"미등록품번"))</f>
        <v/>
      </c>
      <c r="D2807" s="17" t="str">
        <f aca="false">IF($B2807="","",IFERROR(INDEX(품목마스터!$D$3:$D$302,MATCH($B2807,품목마스터!$A$3:$A$302,0)),""))</f>
        <v/>
      </c>
      <c r="E2807" s="12"/>
      <c r="F2807" s="10"/>
    </row>
    <row r="2808" customFormat="false" ht="15" hidden="false" customHeight="true" outlineLevel="0" collapsed="false">
      <c r="A2808" s="16"/>
      <c r="B2808" s="10"/>
      <c r="C2808" s="17" t="str">
        <f aca="false">IF($B2808="","",IFERROR(INDEX(품목마스터!$B$3:$B$302,MATCH($B2808,품목마스터!$A$3:$A$302,0)),"미등록품번"))</f>
        <v/>
      </c>
      <c r="D2808" s="17" t="str">
        <f aca="false">IF($B2808="","",IFERROR(INDEX(품목마스터!$D$3:$D$302,MATCH($B2808,품목마스터!$A$3:$A$302,0)),""))</f>
        <v/>
      </c>
      <c r="E2808" s="12"/>
      <c r="F2808" s="10"/>
    </row>
    <row r="2809" customFormat="false" ht="15" hidden="false" customHeight="true" outlineLevel="0" collapsed="false">
      <c r="A2809" s="16"/>
      <c r="B2809" s="10"/>
      <c r="C2809" s="17" t="str">
        <f aca="false">IF($B2809="","",IFERROR(INDEX(품목마스터!$B$3:$B$302,MATCH($B2809,품목마스터!$A$3:$A$302,0)),"미등록품번"))</f>
        <v/>
      </c>
      <c r="D2809" s="17" t="str">
        <f aca="false">IF($B2809="","",IFERROR(INDEX(품목마스터!$D$3:$D$302,MATCH($B2809,품목마스터!$A$3:$A$302,0)),""))</f>
        <v/>
      </c>
      <c r="E2809" s="12"/>
      <c r="F2809" s="10"/>
    </row>
    <row r="2810" customFormat="false" ht="15" hidden="false" customHeight="true" outlineLevel="0" collapsed="false">
      <c r="A2810" s="16"/>
      <c r="B2810" s="10"/>
      <c r="C2810" s="17" t="str">
        <f aca="false">IF($B2810="","",IFERROR(INDEX(품목마스터!$B$3:$B$302,MATCH($B2810,품목마스터!$A$3:$A$302,0)),"미등록품번"))</f>
        <v/>
      </c>
      <c r="D2810" s="17" t="str">
        <f aca="false">IF($B2810="","",IFERROR(INDEX(품목마스터!$D$3:$D$302,MATCH($B2810,품목마스터!$A$3:$A$302,0)),""))</f>
        <v/>
      </c>
      <c r="E2810" s="12"/>
      <c r="F2810" s="10"/>
    </row>
    <row r="2811" customFormat="false" ht="15" hidden="false" customHeight="true" outlineLevel="0" collapsed="false">
      <c r="A2811" s="16"/>
      <c r="B2811" s="10"/>
      <c r="C2811" s="17" t="str">
        <f aca="false">IF($B2811="","",IFERROR(INDEX(품목마스터!$B$3:$B$302,MATCH($B2811,품목마스터!$A$3:$A$302,0)),"미등록품번"))</f>
        <v/>
      </c>
      <c r="D2811" s="17" t="str">
        <f aca="false">IF($B2811="","",IFERROR(INDEX(품목마스터!$D$3:$D$302,MATCH($B2811,품목마스터!$A$3:$A$302,0)),""))</f>
        <v/>
      </c>
      <c r="E2811" s="12"/>
      <c r="F2811" s="10"/>
    </row>
    <row r="2812" customFormat="false" ht="15" hidden="false" customHeight="true" outlineLevel="0" collapsed="false">
      <c r="A2812" s="16"/>
      <c r="B2812" s="10"/>
      <c r="C2812" s="17" t="str">
        <f aca="false">IF($B2812="","",IFERROR(INDEX(품목마스터!$B$3:$B$302,MATCH($B2812,품목마스터!$A$3:$A$302,0)),"미등록품번"))</f>
        <v/>
      </c>
      <c r="D2812" s="17" t="str">
        <f aca="false">IF($B2812="","",IFERROR(INDEX(품목마스터!$D$3:$D$302,MATCH($B2812,품목마스터!$A$3:$A$302,0)),""))</f>
        <v/>
      </c>
      <c r="E2812" s="12"/>
      <c r="F2812" s="10"/>
    </row>
    <row r="2813" customFormat="false" ht="15" hidden="false" customHeight="true" outlineLevel="0" collapsed="false">
      <c r="A2813" s="16"/>
      <c r="B2813" s="10"/>
      <c r="C2813" s="17" t="str">
        <f aca="false">IF($B2813="","",IFERROR(INDEX(품목마스터!$B$3:$B$302,MATCH($B2813,품목마스터!$A$3:$A$302,0)),"미등록품번"))</f>
        <v/>
      </c>
      <c r="D2813" s="17" t="str">
        <f aca="false">IF($B2813="","",IFERROR(INDEX(품목마스터!$D$3:$D$302,MATCH($B2813,품목마스터!$A$3:$A$302,0)),""))</f>
        <v/>
      </c>
      <c r="E2813" s="12"/>
      <c r="F2813" s="10"/>
    </row>
    <row r="2814" customFormat="false" ht="15" hidden="false" customHeight="true" outlineLevel="0" collapsed="false">
      <c r="A2814" s="16"/>
      <c r="B2814" s="10"/>
      <c r="C2814" s="17" t="str">
        <f aca="false">IF($B2814="","",IFERROR(INDEX(품목마스터!$B$3:$B$302,MATCH($B2814,품목마스터!$A$3:$A$302,0)),"미등록품번"))</f>
        <v/>
      </c>
      <c r="D2814" s="17" t="str">
        <f aca="false">IF($B2814="","",IFERROR(INDEX(품목마스터!$D$3:$D$302,MATCH($B2814,품목마스터!$A$3:$A$302,0)),""))</f>
        <v/>
      </c>
      <c r="E2814" s="12"/>
      <c r="F2814" s="10"/>
    </row>
    <row r="2815" customFormat="false" ht="15" hidden="false" customHeight="true" outlineLevel="0" collapsed="false">
      <c r="A2815" s="16"/>
      <c r="B2815" s="10"/>
      <c r="C2815" s="17" t="str">
        <f aca="false">IF($B2815="","",IFERROR(INDEX(품목마스터!$B$3:$B$302,MATCH($B2815,품목마스터!$A$3:$A$302,0)),"미등록품번"))</f>
        <v/>
      </c>
      <c r="D2815" s="17" t="str">
        <f aca="false">IF($B2815="","",IFERROR(INDEX(품목마스터!$D$3:$D$302,MATCH($B2815,품목마스터!$A$3:$A$302,0)),""))</f>
        <v/>
      </c>
      <c r="E2815" s="12"/>
      <c r="F2815" s="10"/>
    </row>
    <row r="2816" customFormat="false" ht="15" hidden="false" customHeight="true" outlineLevel="0" collapsed="false">
      <c r="A2816" s="16"/>
      <c r="B2816" s="10"/>
      <c r="C2816" s="17" t="str">
        <f aca="false">IF($B2816="","",IFERROR(INDEX(품목마스터!$B$3:$B$302,MATCH($B2816,품목마스터!$A$3:$A$302,0)),"미등록품번"))</f>
        <v/>
      </c>
      <c r="D2816" s="17" t="str">
        <f aca="false">IF($B2816="","",IFERROR(INDEX(품목마스터!$D$3:$D$302,MATCH($B2816,품목마스터!$A$3:$A$302,0)),""))</f>
        <v/>
      </c>
      <c r="E2816" s="12"/>
      <c r="F2816" s="10"/>
    </row>
    <row r="2817" customFormat="false" ht="15" hidden="false" customHeight="true" outlineLevel="0" collapsed="false">
      <c r="A2817" s="16"/>
      <c r="B2817" s="10"/>
      <c r="C2817" s="17" t="str">
        <f aca="false">IF($B2817="","",IFERROR(INDEX(품목마스터!$B$3:$B$302,MATCH($B2817,품목마스터!$A$3:$A$302,0)),"미등록품번"))</f>
        <v/>
      </c>
      <c r="D2817" s="17" t="str">
        <f aca="false">IF($B2817="","",IFERROR(INDEX(품목마스터!$D$3:$D$302,MATCH($B2817,품목마스터!$A$3:$A$302,0)),""))</f>
        <v/>
      </c>
      <c r="E2817" s="12"/>
      <c r="F2817" s="10"/>
    </row>
    <row r="2818" customFormat="false" ht="15" hidden="false" customHeight="true" outlineLevel="0" collapsed="false">
      <c r="A2818" s="16"/>
      <c r="B2818" s="10"/>
      <c r="C2818" s="17" t="str">
        <f aca="false">IF($B2818="","",IFERROR(INDEX(품목마스터!$B$3:$B$302,MATCH($B2818,품목마스터!$A$3:$A$302,0)),"미등록품번"))</f>
        <v/>
      </c>
      <c r="D2818" s="17" t="str">
        <f aca="false">IF($B2818="","",IFERROR(INDEX(품목마스터!$D$3:$D$302,MATCH($B2818,품목마스터!$A$3:$A$302,0)),""))</f>
        <v/>
      </c>
      <c r="E2818" s="12"/>
      <c r="F2818" s="10"/>
    </row>
    <row r="2819" customFormat="false" ht="15" hidden="false" customHeight="true" outlineLevel="0" collapsed="false">
      <c r="A2819" s="16"/>
      <c r="B2819" s="10"/>
      <c r="C2819" s="17" t="str">
        <f aca="false">IF($B2819="","",IFERROR(INDEX(품목마스터!$B$3:$B$302,MATCH($B2819,품목마스터!$A$3:$A$302,0)),"미등록품번"))</f>
        <v/>
      </c>
      <c r="D2819" s="17" t="str">
        <f aca="false">IF($B2819="","",IFERROR(INDEX(품목마스터!$D$3:$D$302,MATCH($B2819,품목마스터!$A$3:$A$302,0)),""))</f>
        <v/>
      </c>
      <c r="E2819" s="12"/>
      <c r="F2819" s="10"/>
    </row>
    <row r="2820" customFormat="false" ht="15" hidden="false" customHeight="true" outlineLevel="0" collapsed="false">
      <c r="A2820" s="16"/>
      <c r="B2820" s="10"/>
      <c r="C2820" s="17" t="str">
        <f aca="false">IF($B2820="","",IFERROR(INDEX(품목마스터!$B$3:$B$302,MATCH($B2820,품목마스터!$A$3:$A$302,0)),"미등록품번"))</f>
        <v/>
      </c>
      <c r="D2820" s="17" t="str">
        <f aca="false">IF($B2820="","",IFERROR(INDEX(품목마스터!$D$3:$D$302,MATCH($B2820,품목마스터!$A$3:$A$302,0)),""))</f>
        <v/>
      </c>
      <c r="E2820" s="12"/>
      <c r="F2820" s="10"/>
    </row>
    <row r="2821" customFormat="false" ht="15" hidden="false" customHeight="true" outlineLevel="0" collapsed="false">
      <c r="A2821" s="16"/>
      <c r="B2821" s="10"/>
      <c r="C2821" s="17" t="str">
        <f aca="false">IF($B2821="","",IFERROR(INDEX(품목마스터!$B$3:$B$302,MATCH($B2821,품목마스터!$A$3:$A$302,0)),"미등록품번"))</f>
        <v/>
      </c>
      <c r="D2821" s="17" t="str">
        <f aca="false">IF($B2821="","",IFERROR(INDEX(품목마스터!$D$3:$D$302,MATCH($B2821,품목마스터!$A$3:$A$302,0)),""))</f>
        <v/>
      </c>
      <c r="E2821" s="12"/>
      <c r="F2821" s="10"/>
    </row>
    <row r="2822" customFormat="false" ht="15" hidden="false" customHeight="true" outlineLevel="0" collapsed="false">
      <c r="A2822" s="16"/>
      <c r="B2822" s="10"/>
      <c r="C2822" s="17" t="str">
        <f aca="false">IF($B2822="","",IFERROR(INDEX(품목마스터!$B$3:$B$302,MATCH($B2822,품목마스터!$A$3:$A$302,0)),"미등록품번"))</f>
        <v/>
      </c>
      <c r="D2822" s="17" t="str">
        <f aca="false">IF($B2822="","",IFERROR(INDEX(품목마스터!$D$3:$D$302,MATCH($B2822,품목마스터!$A$3:$A$302,0)),""))</f>
        <v/>
      </c>
      <c r="E2822" s="12"/>
      <c r="F2822" s="10"/>
    </row>
    <row r="2823" customFormat="false" ht="15" hidden="false" customHeight="true" outlineLevel="0" collapsed="false">
      <c r="A2823" s="16"/>
      <c r="B2823" s="10"/>
      <c r="C2823" s="17" t="str">
        <f aca="false">IF($B2823="","",IFERROR(INDEX(품목마스터!$B$3:$B$302,MATCH($B2823,품목마스터!$A$3:$A$302,0)),"미등록품번"))</f>
        <v/>
      </c>
      <c r="D2823" s="17" t="str">
        <f aca="false">IF($B2823="","",IFERROR(INDEX(품목마스터!$D$3:$D$302,MATCH($B2823,품목마스터!$A$3:$A$302,0)),""))</f>
        <v/>
      </c>
      <c r="E2823" s="12"/>
      <c r="F2823" s="10"/>
    </row>
    <row r="2824" customFormat="false" ht="15" hidden="false" customHeight="true" outlineLevel="0" collapsed="false">
      <c r="A2824" s="16"/>
      <c r="B2824" s="10"/>
      <c r="C2824" s="17" t="str">
        <f aca="false">IF($B2824="","",IFERROR(INDEX(품목마스터!$B$3:$B$302,MATCH($B2824,품목마스터!$A$3:$A$302,0)),"미등록품번"))</f>
        <v/>
      </c>
      <c r="D2824" s="17" t="str">
        <f aca="false">IF($B2824="","",IFERROR(INDEX(품목마스터!$D$3:$D$302,MATCH($B2824,품목마스터!$A$3:$A$302,0)),""))</f>
        <v/>
      </c>
      <c r="E2824" s="12"/>
      <c r="F2824" s="10"/>
    </row>
    <row r="2825" customFormat="false" ht="15" hidden="false" customHeight="true" outlineLevel="0" collapsed="false">
      <c r="A2825" s="16"/>
      <c r="B2825" s="10"/>
      <c r="C2825" s="17" t="str">
        <f aca="false">IF($B2825="","",IFERROR(INDEX(품목마스터!$B$3:$B$302,MATCH($B2825,품목마스터!$A$3:$A$302,0)),"미등록품번"))</f>
        <v/>
      </c>
      <c r="D2825" s="17" t="str">
        <f aca="false">IF($B2825="","",IFERROR(INDEX(품목마스터!$D$3:$D$302,MATCH($B2825,품목마스터!$A$3:$A$302,0)),""))</f>
        <v/>
      </c>
      <c r="E2825" s="12"/>
      <c r="F2825" s="10"/>
    </row>
    <row r="2826" customFormat="false" ht="15" hidden="false" customHeight="true" outlineLevel="0" collapsed="false">
      <c r="A2826" s="16"/>
      <c r="B2826" s="10"/>
      <c r="C2826" s="17" t="str">
        <f aca="false">IF($B2826="","",IFERROR(INDEX(품목마스터!$B$3:$B$302,MATCH($B2826,품목마스터!$A$3:$A$302,0)),"미등록품번"))</f>
        <v/>
      </c>
      <c r="D2826" s="17" t="str">
        <f aca="false">IF($B2826="","",IFERROR(INDEX(품목마스터!$D$3:$D$302,MATCH($B2826,품목마스터!$A$3:$A$302,0)),""))</f>
        <v/>
      </c>
      <c r="E2826" s="12"/>
      <c r="F2826" s="10"/>
    </row>
    <row r="2827" customFormat="false" ht="15" hidden="false" customHeight="true" outlineLevel="0" collapsed="false">
      <c r="A2827" s="16"/>
      <c r="B2827" s="10"/>
      <c r="C2827" s="17" t="str">
        <f aca="false">IF($B2827="","",IFERROR(INDEX(품목마스터!$B$3:$B$302,MATCH($B2827,품목마스터!$A$3:$A$302,0)),"미등록품번"))</f>
        <v/>
      </c>
      <c r="D2827" s="17" t="str">
        <f aca="false">IF($B2827="","",IFERROR(INDEX(품목마스터!$D$3:$D$302,MATCH($B2827,품목마스터!$A$3:$A$302,0)),""))</f>
        <v/>
      </c>
      <c r="E2827" s="12"/>
      <c r="F2827" s="10"/>
    </row>
    <row r="2828" customFormat="false" ht="15" hidden="false" customHeight="true" outlineLevel="0" collapsed="false">
      <c r="A2828" s="16"/>
      <c r="B2828" s="10"/>
      <c r="C2828" s="17" t="str">
        <f aca="false">IF($B2828="","",IFERROR(INDEX(품목마스터!$B$3:$B$302,MATCH($B2828,품목마스터!$A$3:$A$302,0)),"미등록품번"))</f>
        <v/>
      </c>
      <c r="D2828" s="17" t="str">
        <f aca="false">IF($B2828="","",IFERROR(INDEX(품목마스터!$D$3:$D$302,MATCH($B2828,품목마스터!$A$3:$A$302,0)),""))</f>
        <v/>
      </c>
      <c r="E2828" s="12"/>
      <c r="F2828" s="10"/>
    </row>
    <row r="2829" customFormat="false" ht="15" hidden="false" customHeight="true" outlineLevel="0" collapsed="false">
      <c r="A2829" s="16"/>
      <c r="B2829" s="10"/>
      <c r="C2829" s="17" t="str">
        <f aca="false">IF($B2829="","",IFERROR(INDEX(품목마스터!$B$3:$B$302,MATCH($B2829,품목마스터!$A$3:$A$302,0)),"미등록품번"))</f>
        <v/>
      </c>
      <c r="D2829" s="17" t="str">
        <f aca="false">IF($B2829="","",IFERROR(INDEX(품목마스터!$D$3:$D$302,MATCH($B2829,품목마스터!$A$3:$A$302,0)),""))</f>
        <v/>
      </c>
      <c r="E2829" s="12"/>
      <c r="F2829" s="10"/>
    </row>
    <row r="2830" customFormat="false" ht="15" hidden="false" customHeight="true" outlineLevel="0" collapsed="false">
      <c r="A2830" s="16"/>
      <c r="B2830" s="10"/>
      <c r="C2830" s="17" t="str">
        <f aca="false">IF($B2830="","",IFERROR(INDEX(품목마스터!$B$3:$B$302,MATCH($B2830,품목마스터!$A$3:$A$302,0)),"미등록품번"))</f>
        <v/>
      </c>
      <c r="D2830" s="17" t="str">
        <f aca="false">IF($B2830="","",IFERROR(INDEX(품목마스터!$D$3:$D$302,MATCH($B2830,품목마스터!$A$3:$A$302,0)),""))</f>
        <v/>
      </c>
      <c r="E2830" s="12"/>
      <c r="F2830" s="10"/>
    </row>
    <row r="2831" customFormat="false" ht="15" hidden="false" customHeight="true" outlineLevel="0" collapsed="false">
      <c r="A2831" s="16"/>
      <c r="B2831" s="10"/>
      <c r="C2831" s="17" t="str">
        <f aca="false">IF($B2831="","",IFERROR(INDEX(품목마스터!$B$3:$B$302,MATCH($B2831,품목마스터!$A$3:$A$302,0)),"미등록품번"))</f>
        <v/>
      </c>
      <c r="D2831" s="17" t="str">
        <f aca="false">IF($B2831="","",IFERROR(INDEX(품목마스터!$D$3:$D$302,MATCH($B2831,품목마스터!$A$3:$A$302,0)),""))</f>
        <v/>
      </c>
      <c r="E2831" s="12"/>
      <c r="F2831" s="10"/>
    </row>
    <row r="2832" customFormat="false" ht="15" hidden="false" customHeight="true" outlineLevel="0" collapsed="false">
      <c r="A2832" s="16"/>
      <c r="B2832" s="10"/>
      <c r="C2832" s="17" t="str">
        <f aca="false">IF($B2832="","",IFERROR(INDEX(품목마스터!$B$3:$B$302,MATCH($B2832,품목마스터!$A$3:$A$302,0)),"미등록품번"))</f>
        <v/>
      </c>
      <c r="D2832" s="17" t="str">
        <f aca="false">IF($B2832="","",IFERROR(INDEX(품목마스터!$D$3:$D$302,MATCH($B2832,품목마스터!$A$3:$A$302,0)),""))</f>
        <v/>
      </c>
      <c r="E2832" s="12"/>
      <c r="F2832" s="10"/>
    </row>
    <row r="2833" customFormat="false" ht="15" hidden="false" customHeight="true" outlineLevel="0" collapsed="false">
      <c r="A2833" s="16"/>
      <c r="B2833" s="10"/>
      <c r="C2833" s="17" t="str">
        <f aca="false">IF($B2833="","",IFERROR(INDEX(품목마스터!$B$3:$B$302,MATCH($B2833,품목마스터!$A$3:$A$302,0)),"미등록품번"))</f>
        <v/>
      </c>
      <c r="D2833" s="17" t="str">
        <f aca="false">IF($B2833="","",IFERROR(INDEX(품목마스터!$D$3:$D$302,MATCH($B2833,품목마스터!$A$3:$A$302,0)),""))</f>
        <v/>
      </c>
      <c r="E2833" s="12"/>
      <c r="F2833" s="10"/>
    </row>
    <row r="2834" customFormat="false" ht="15" hidden="false" customHeight="true" outlineLevel="0" collapsed="false">
      <c r="A2834" s="16"/>
      <c r="B2834" s="10"/>
      <c r="C2834" s="17" t="str">
        <f aca="false">IF($B2834="","",IFERROR(INDEX(품목마스터!$B$3:$B$302,MATCH($B2834,품목마스터!$A$3:$A$302,0)),"미등록품번"))</f>
        <v/>
      </c>
      <c r="D2834" s="17" t="str">
        <f aca="false">IF($B2834="","",IFERROR(INDEX(품목마스터!$D$3:$D$302,MATCH($B2834,품목마스터!$A$3:$A$302,0)),""))</f>
        <v/>
      </c>
      <c r="E2834" s="12"/>
      <c r="F2834" s="10"/>
    </row>
    <row r="2835" customFormat="false" ht="15" hidden="false" customHeight="true" outlineLevel="0" collapsed="false">
      <c r="A2835" s="16"/>
      <c r="B2835" s="10"/>
      <c r="C2835" s="17" t="str">
        <f aca="false">IF($B2835="","",IFERROR(INDEX(품목마스터!$B$3:$B$302,MATCH($B2835,품목마스터!$A$3:$A$302,0)),"미등록품번"))</f>
        <v/>
      </c>
      <c r="D2835" s="17" t="str">
        <f aca="false">IF($B2835="","",IFERROR(INDEX(품목마스터!$D$3:$D$302,MATCH($B2835,품목마스터!$A$3:$A$302,0)),""))</f>
        <v/>
      </c>
      <c r="E2835" s="12"/>
      <c r="F2835" s="10"/>
    </row>
    <row r="2836" customFormat="false" ht="15" hidden="false" customHeight="true" outlineLevel="0" collapsed="false">
      <c r="A2836" s="16"/>
      <c r="B2836" s="10"/>
      <c r="C2836" s="17" t="str">
        <f aca="false">IF($B2836="","",IFERROR(INDEX(품목마스터!$B$3:$B$302,MATCH($B2836,품목마스터!$A$3:$A$302,0)),"미등록품번"))</f>
        <v/>
      </c>
      <c r="D2836" s="17" t="str">
        <f aca="false">IF($B2836="","",IFERROR(INDEX(품목마스터!$D$3:$D$302,MATCH($B2836,품목마스터!$A$3:$A$302,0)),""))</f>
        <v/>
      </c>
      <c r="E2836" s="12"/>
      <c r="F2836" s="10"/>
    </row>
    <row r="2837" customFormat="false" ht="15" hidden="false" customHeight="true" outlineLevel="0" collapsed="false">
      <c r="A2837" s="16"/>
      <c r="B2837" s="10"/>
      <c r="C2837" s="17" t="str">
        <f aca="false">IF($B2837="","",IFERROR(INDEX(품목마스터!$B$3:$B$302,MATCH($B2837,품목마스터!$A$3:$A$302,0)),"미등록품번"))</f>
        <v/>
      </c>
      <c r="D2837" s="17" t="str">
        <f aca="false">IF($B2837="","",IFERROR(INDEX(품목마스터!$D$3:$D$302,MATCH($B2837,품목마스터!$A$3:$A$302,0)),""))</f>
        <v/>
      </c>
      <c r="E2837" s="12"/>
      <c r="F2837" s="10"/>
    </row>
    <row r="2838" customFormat="false" ht="15" hidden="false" customHeight="true" outlineLevel="0" collapsed="false">
      <c r="A2838" s="16"/>
      <c r="B2838" s="10"/>
      <c r="C2838" s="17" t="str">
        <f aca="false">IF($B2838="","",IFERROR(INDEX(품목마스터!$B$3:$B$302,MATCH($B2838,품목마스터!$A$3:$A$302,0)),"미등록품번"))</f>
        <v/>
      </c>
      <c r="D2838" s="17" t="str">
        <f aca="false">IF($B2838="","",IFERROR(INDEX(품목마스터!$D$3:$D$302,MATCH($B2838,품목마스터!$A$3:$A$302,0)),""))</f>
        <v/>
      </c>
      <c r="E2838" s="12"/>
      <c r="F2838" s="10"/>
    </row>
    <row r="2839" customFormat="false" ht="15" hidden="false" customHeight="true" outlineLevel="0" collapsed="false">
      <c r="A2839" s="16"/>
      <c r="B2839" s="10"/>
      <c r="C2839" s="17" t="str">
        <f aca="false">IF($B2839="","",IFERROR(INDEX(품목마스터!$B$3:$B$302,MATCH($B2839,품목마스터!$A$3:$A$302,0)),"미등록품번"))</f>
        <v/>
      </c>
      <c r="D2839" s="17" t="str">
        <f aca="false">IF($B2839="","",IFERROR(INDEX(품목마스터!$D$3:$D$302,MATCH($B2839,품목마스터!$A$3:$A$302,0)),""))</f>
        <v/>
      </c>
      <c r="E2839" s="12"/>
      <c r="F2839" s="10"/>
    </row>
    <row r="2840" customFormat="false" ht="15" hidden="false" customHeight="true" outlineLevel="0" collapsed="false">
      <c r="A2840" s="16"/>
      <c r="B2840" s="10"/>
      <c r="C2840" s="17" t="str">
        <f aca="false">IF($B2840="","",IFERROR(INDEX(품목마스터!$B$3:$B$302,MATCH($B2840,품목마스터!$A$3:$A$302,0)),"미등록품번"))</f>
        <v/>
      </c>
      <c r="D2840" s="17" t="str">
        <f aca="false">IF($B2840="","",IFERROR(INDEX(품목마스터!$D$3:$D$302,MATCH($B2840,품목마스터!$A$3:$A$302,0)),""))</f>
        <v/>
      </c>
      <c r="E2840" s="12"/>
      <c r="F2840" s="10"/>
    </row>
    <row r="2841" customFormat="false" ht="15" hidden="false" customHeight="true" outlineLevel="0" collapsed="false">
      <c r="A2841" s="16"/>
      <c r="B2841" s="10"/>
      <c r="C2841" s="17" t="str">
        <f aca="false">IF($B2841="","",IFERROR(INDEX(품목마스터!$B$3:$B$302,MATCH($B2841,품목마스터!$A$3:$A$302,0)),"미등록품번"))</f>
        <v/>
      </c>
      <c r="D2841" s="17" t="str">
        <f aca="false">IF($B2841="","",IFERROR(INDEX(품목마스터!$D$3:$D$302,MATCH($B2841,품목마스터!$A$3:$A$302,0)),""))</f>
        <v/>
      </c>
      <c r="E2841" s="12"/>
      <c r="F2841" s="10"/>
    </row>
    <row r="2842" customFormat="false" ht="15" hidden="false" customHeight="true" outlineLevel="0" collapsed="false">
      <c r="A2842" s="16"/>
      <c r="B2842" s="10"/>
      <c r="C2842" s="17" t="str">
        <f aca="false">IF($B2842="","",IFERROR(INDEX(품목마스터!$B$3:$B$302,MATCH($B2842,품목마스터!$A$3:$A$302,0)),"미등록품번"))</f>
        <v/>
      </c>
      <c r="D2842" s="17" t="str">
        <f aca="false">IF($B2842="","",IFERROR(INDEX(품목마스터!$D$3:$D$302,MATCH($B2842,품목마스터!$A$3:$A$302,0)),""))</f>
        <v/>
      </c>
      <c r="E2842" s="12"/>
      <c r="F2842" s="10"/>
    </row>
    <row r="2843" customFormat="false" ht="15" hidden="false" customHeight="true" outlineLevel="0" collapsed="false">
      <c r="A2843" s="16"/>
      <c r="B2843" s="10"/>
      <c r="C2843" s="17" t="str">
        <f aca="false">IF($B2843="","",IFERROR(INDEX(품목마스터!$B$3:$B$302,MATCH($B2843,품목마스터!$A$3:$A$302,0)),"미등록품번"))</f>
        <v/>
      </c>
      <c r="D2843" s="17" t="str">
        <f aca="false">IF($B2843="","",IFERROR(INDEX(품목마스터!$D$3:$D$302,MATCH($B2843,품목마스터!$A$3:$A$302,0)),""))</f>
        <v/>
      </c>
      <c r="E2843" s="12"/>
      <c r="F2843" s="10"/>
    </row>
    <row r="2844" customFormat="false" ht="15" hidden="false" customHeight="true" outlineLevel="0" collapsed="false">
      <c r="A2844" s="16"/>
      <c r="B2844" s="10"/>
      <c r="C2844" s="17" t="str">
        <f aca="false">IF($B2844="","",IFERROR(INDEX(품목마스터!$B$3:$B$302,MATCH($B2844,품목마스터!$A$3:$A$302,0)),"미등록품번"))</f>
        <v/>
      </c>
      <c r="D2844" s="17" t="str">
        <f aca="false">IF($B2844="","",IFERROR(INDEX(품목마스터!$D$3:$D$302,MATCH($B2844,품목마스터!$A$3:$A$302,0)),""))</f>
        <v/>
      </c>
      <c r="E2844" s="12"/>
      <c r="F2844" s="10"/>
    </row>
    <row r="2845" customFormat="false" ht="15" hidden="false" customHeight="true" outlineLevel="0" collapsed="false">
      <c r="A2845" s="16"/>
      <c r="B2845" s="10"/>
      <c r="C2845" s="17" t="str">
        <f aca="false">IF($B2845="","",IFERROR(INDEX(품목마스터!$B$3:$B$302,MATCH($B2845,품목마스터!$A$3:$A$302,0)),"미등록품번"))</f>
        <v/>
      </c>
      <c r="D2845" s="17" t="str">
        <f aca="false">IF($B2845="","",IFERROR(INDEX(품목마스터!$D$3:$D$302,MATCH($B2845,품목마스터!$A$3:$A$302,0)),""))</f>
        <v/>
      </c>
      <c r="E2845" s="12"/>
      <c r="F2845" s="10"/>
    </row>
    <row r="2846" customFormat="false" ht="15" hidden="false" customHeight="true" outlineLevel="0" collapsed="false">
      <c r="A2846" s="16"/>
      <c r="B2846" s="10"/>
      <c r="C2846" s="17" t="str">
        <f aca="false">IF($B2846="","",IFERROR(INDEX(품목마스터!$B$3:$B$302,MATCH($B2846,품목마스터!$A$3:$A$302,0)),"미등록품번"))</f>
        <v/>
      </c>
      <c r="D2846" s="17" t="str">
        <f aca="false">IF($B2846="","",IFERROR(INDEX(품목마스터!$D$3:$D$302,MATCH($B2846,품목마스터!$A$3:$A$302,0)),""))</f>
        <v/>
      </c>
      <c r="E2846" s="12"/>
      <c r="F2846" s="10"/>
    </row>
    <row r="2847" customFormat="false" ht="15" hidden="false" customHeight="true" outlineLevel="0" collapsed="false">
      <c r="A2847" s="16"/>
      <c r="B2847" s="10"/>
      <c r="C2847" s="17" t="str">
        <f aca="false">IF($B2847="","",IFERROR(INDEX(품목마스터!$B$3:$B$302,MATCH($B2847,품목마스터!$A$3:$A$302,0)),"미등록품번"))</f>
        <v/>
      </c>
      <c r="D2847" s="17" t="str">
        <f aca="false">IF($B2847="","",IFERROR(INDEX(품목마스터!$D$3:$D$302,MATCH($B2847,품목마스터!$A$3:$A$302,0)),""))</f>
        <v/>
      </c>
      <c r="E2847" s="12"/>
      <c r="F2847" s="10"/>
    </row>
    <row r="2848" customFormat="false" ht="15" hidden="false" customHeight="true" outlineLevel="0" collapsed="false">
      <c r="A2848" s="16"/>
      <c r="B2848" s="10"/>
      <c r="C2848" s="17" t="str">
        <f aca="false">IF($B2848="","",IFERROR(INDEX(품목마스터!$B$3:$B$302,MATCH($B2848,품목마스터!$A$3:$A$302,0)),"미등록품번"))</f>
        <v/>
      </c>
      <c r="D2848" s="17" t="str">
        <f aca="false">IF($B2848="","",IFERROR(INDEX(품목마스터!$D$3:$D$302,MATCH($B2848,품목마스터!$A$3:$A$302,0)),""))</f>
        <v/>
      </c>
      <c r="E2848" s="12"/>
      <c r="F2848" s="10"/>
    </row>
    <row r="2849" customFormat="false" ht="15" hidden="false" customHeight="true" outlineLevel="0" collapsed="false">
      <c r="A2849" s="16"/>
      <c r="B2849" s="10"/>
      <c r="C2849" s="17" t="str">
        <f aca="false">IF($B2849="","",IFERROR(INDEX(품목마스터!$B$3:$B$302,MATCH($B2849,품목마스터!$A$3:$A$302,0)),"미등록품번"))</f>
        <v/>
      </c>
      <c r="D2849" s="17" t="str">
        <f aca="false">IF($B2849="","",IFERROR(INDEX(품목마스터!$D$3:$D$302,MATCH($B2849,품목마스터!$A$3:$A$302,0)),""))</f>
        <v/>
      </c>
      <c r="E2849" s="12"/>
      <c r="F2849" s="10"/>
    </row>
    <row r="2850" customFormat="false" ht="15" hidden="false" customHeight="true" outlineLevel="0" collapsed="false">
      <c r="A2850" s="16"/>
      <c r="B2850" s="10"/>
      <c r="C2850" s="17" t="str">
        <f aca="false">IF($B2850="","",IFERROR(INDEX(품목마스터!$B$3:$B$302,MATCH($B2850,품목마스터!$A$3:$A$302,0)),"미등록품번"))</f>
        <v/>
      </c>
      <c r="D2850" s="17" t="str">
        <f aca="false">IF($B2850="","",IFERROR(INDEX(품목마스터!$D$3:$D$302,MATCH($B2850,품목마스터!$A$3:$A$302,0)),""))</f>
        <v/>
      </c>
      <c r="E2850" s="12"/>
      <c r="F2850" s="10"/>
    </row>
    <row r="2851" customFormat="false" ht="15" hidden="false" customHeight="true" outlineLevel="0" collapsed="false">
      <c r="A2851" s="16"/>
      <c r="B2851" s="10"/>
      <c r="C2851" s="17" t="str">
        <f aca="false">IF($B2851="","",IFERROR(INDEX(품목마스터!$B$3:$B$302,MATCH($B2851,품목마스터!$A$3:$A$302,0)),"미등록품번"))</f>
        <v/>
      </c>
      <c r="D2851" s="17" t="str">
        <f aca="false">IF($B2851="","",IFERROR(INDEX(품목마스터!$D$3:$D$302,MATCH($B2851,품목마스터!$A$3:$A$302,0)),""))</f>
        <v/>
      </c>
      <c r="E2851" s="12"/>
      <c r="F2851" s="10"/>
    </row>
    <row r="2852" customFormat="false" ht="15" hidden="false" customHeight="true" outlineLevel="0" collapsed="false">
      <c r="A2852" s="16"/>
      <c r="B2852" s="10"/>
      <c r="C2852" s="17" t="str">
        <f aca="false">IF($B2852="","",IFERROR(INDEX(품목마스터!$B$3:$B$302,MATCH($B2852,품목마스터!$A$3:$A$302,0)),"미등록품번"))</f>
        <v/>
      </c>
      <c r="D2852" s="17" t="str">
        <f aca="false">IF($B2852="","",IFERROR(INDEX(품목마스터!$D$3:$D$302,MATCH($B2852,품목마스터!$A$3:$A$302,0)),""))</f>
        <v/>
      </c>
      <c r="E2852" s="12"/>
      <c r="F2852" s="10"/>
    </row>
    <row r="2853" customFormat="false" ht="15" hidden="false" customHeight="true" outlineLevel="0" collapsed="false">
      <c r="A2853" s="16"/>
      <c r="B2853" s="10"/>
      <c r="C2853" s="17" t="str">
        <f aca="false">IF($B2853="","",IFERROR(INDEX(품목마스터!$B$3:$B$302,MATCH($B2853,품목마스터!$A$3:$A$302,0)),"미등록품번"))</f>
        <v/>
      </c>
      <c r="D2853" s="17" t="str">
        <f aca="false">IF($B2853="","",IFERROR(INDEX(품목마스터!$D$3:$D$302,MATCH($B2853,품목마스터!$A$3:$A$302,0)),""))</f>
        <v/>
      </c>
      <c r="E2853" s="12"/>
      <c r="F2853" s="10"/>
    </row>
    <row r="2854" customFormat="false" ht="15" hidden="false" customHeight="true" outlineLevel="0" collapsed="false">
      <c r="A2854" s="16"/>
      <c r="B2854" s="10"/>
      <c r="C2854" s="17" t="str">
        <f aca="false">IF($B2854="","",IFERROR(INDEX(품목마스터!$B$3:$B$302,MATCH($B2854,품목마스터!$A$3:$A$302,0)),"미등록품번"))</f>
        <v/>
      </c>
      <c r="D2854" s="17" t="str">
        <f aca="false">IF($B2854="","",IFERROR(INDEX(품목마스터!$D$3:$D$302,MATCH($B2854,품목마스터!$A$3:$A$302,0)),""))</f>
        <v/>
      </c>
      <c r="E2854" s="12"/>
      <c r="F2854" s="10"/>
    </row>
    <row r="2855" customFormat="false" ht="15" hidden="false" customHeight="true" outlineLevel="0" collapsed="false">
      <c r="A2855" s="16"/>
      <c r="B2855" s="10"/>
      <c r="C2855" s="17" t="str">
        <f aca="false">IF($B2855="","",IFERROR(INDEX(품목마스터!$B$3:$B$302,MATCH($B2855,품목마스터!$A$3:$A$302,0)),"미등록품번"))</f>
        <v/>
      </c>
      <c r="D2855" s="17" t="str">
        <f aca="false">IF($B2855="","",IFERROR(INDEX(품목마스터!$D$3:$D$302,MATCH($B2855,품목마스터!$A$3:$A$302,0)),""))</f>
        <v/>
      </c>
      <c r="E2855" s="12"/>
      <c r="F2855" s="10"/>
    </row>
    <row r="2856" customFormat="false" ht="15" hidden="false" customHeight="true" outlineLevel="0" collapsed="false">
      <c r="A2856" s="16"/>
      <c r="B2856" s="10"/>
      <c r="C2856" s="17" t="str">
        <f aca="false">IF($B2856="","",IFERROR(INDEX(품목마스터!$B$3:$B$302,MATCH($B2856,품목마스터!$A$3:$A$302,0)),"미등록품번"))</f>
        <v/>
      </c>
      <c r="D2856" s="17" t="str">
        <f aca="false">IF($B2856="","",IFERROR(INDEX(품목마스터!$D$3:$D$302,MATCH($B2856,품목마스터!$A$3:$A$302,0)),""))</f>
        <v/>
      </c>
      <c r="E2856" s="12"/>
      <c r="F2856" s="10"/>
    </row>
    <row r="2857" customFormat="false" ht="15" hidden="false" customHeight="true" outlineLevel="0" collapsed="false">
      <c r="A2857" s="16"/>
      <c r="B2857" s="10"/>
      <c r="C2857" s="17" t="str">
        <f aca="false">IF($B2857="","",IFERROR(INDEX(품목마스터!$B$3:$B$302,MATCH($B2857,품목마스터!$A$3:$A$302,0)),"미등록품번"))</f>
        <v/>
      </c>
      <c r="D2857" s="17" t="str">
        <f aca="false">IF($B2857="","",IFERROR(INDEX(품목마스터!$D$3:$D$302,MATCH($B2857,품목마스터!$A$3:$A$302,0)),""))</f>
        <v/>
      </c>
      <c r="E2857" s="12"/>
      <c r="F2857" s="10"/>
    </row>
    <row r="2858" customFormat="false" ht="15" hidden="false" customHeight="true" outlineLevel="0" collapsed="false">
      <c r="A2858" s="16"/>
      <c r="B2858" s="10"/>
      <c r="C2858" s="17" t="str">
        <f aca="false">IF($B2858="","",IFERROR(INDEX(품목마스터!$B$3:$B$302,MATCH($B2858,품목마스터!$A$3:$A$302,0)),"미등록품번"))</f>
        <v/>
      </c>
      <c r="D2858" s="17" t="str">
        <f aca="false">IF($B2858="","",IFERROR(INDEX(품목마스터!$D$3:$D$302,MATCH($B2858,품목마스터!$A$3:$A$302,0)),""))</f>
        <v/>
      </c>
      <c r="E2858" s="12"/>
      <c r="F2858" s="10"/>
    </row>
    <row r="2859" customFormat="false" ht="15" hidden="false" customHeight="true" outlineLevel="0" collapsed="false">
      <c r="A2859" s="16"/>
      <c r="B2859" s="10"/>
      <c r="C2859" s="17" t="str">
        <f aca="false">IF($B2859="","",IFERROR(INDEX(품목마스터!$B$3:$B$302,MATCH($B2859,품목마스터!$A$3:$A$302,0)),"미등록품번"))</f>
        <v/>
      </c>
      <c r="D2859" s="17" t="str">
        <f aca="false">IF($B2859="","",IFERROR(INDEX(품목마스터!$D$3:$D$302,MATCH($B2859,품목마스터!$A$3:$A$302,0)),""))</f>
        <v/>
      </c>
      <c r="E2859" s="12"/>
      <c r="F2859" s="10"/>
    </row>
    <row r="2860" customFormat="false" ht="15" hidden="false" customHeight="true" outlineLevel="0" collapsed="false">
      <c r="A2860" s="16"/>
      <c r="B2860" s="10"/>
      <c r="C2860" s="17" t="str">
        <f aca="false">IF($B2860="","",IFERROR(INDEX(품목마스터!$B$3:$B$302,MATCH($B2860,품목마스터!$A$3:$A$302,0)),"미등록품번"))</f>
        <v/>
      </c>
      <c r="D2860" s="17" t="str">
        <f aca="false">IF($B2860="","",IFERROR(INDEX(품목마스터!$D$3:$D$302,MATCH($B2860,품목마스터!$A$3:$A$302,0)),""))</f>
        <v/>
      </c>
      <c r="E2860" s="12"/>
      <c r="F2860" s="10"/>
    </row>
    <row r="2861" customFormat="false" ht="15" hidden="false" customHeight="true" outlineLevel="0" collapsed="false">
      <c r="A2861" s="16"/>
      <c r="B2861" s="10"/>
      <c r="C2861" s="17" t="str">
        <f aca="false">IF($B2861="","",IFERROR(INDEX(품목마스터!$B$3:$B$302,MATCH($B2861,품목마스터!$A$3:$A$302,0)),"미등록품번"))</f>
        <v/>
      </c>
      <c r="D2861" s="17" t="str">
        <f aca="false">IF($B2861="","",IFERROR(INDEX(품목마스터!$D$3:$D$302,MATCH($B2861,품목마스터!$A$3:$A$302,0)),""))</f>
        <v/>
      </c>
      <c r="E2861" s="12"/>
      <c r="F2861" s="10"/>
    </row>
    <row r="2862" customFormat="false" ht="15" hidden="false" customHeight="true" outlineLevel="0" collapsed="false">
      <c r="A2862" s="16"/>
      <c r="B2862" s="10"/>
      <c r="C2862" s="17" t="str">
        <f aca="false">IF($B2862="","",IFERROR(INDEX(품목마스터!$B$3:$B$302,MATCH($B2862,품목마스터!$A$3:$A$302,0)),"미등록품번"))</f>
        <v/>
      </c>
      <c r="D2862" s="17" t="str">
        <f aca="false">IF($B2862="","",IFERROR(INDEX(품목마스터!$D$3:$D$302,MATCH($B2862,품목마스터!$A$3:$A$302,0)),""))</f>
        <v/>
      </c>
      <c r="E2862" s="12"/>
      <c r="F2862" s="10"/>
    </row>
    <row r="2863" customFormat="false" ht="15" hidden="false" customHeight="true" outlineLevel="0" collapsed="false">
      <c r="A2863" s="16"/>
      <c r="B2863" s="10"/>
      <c r="C2863" s="17" t="str">
        <f aca="false">IF($B2863="","",IFERROR(INDEX(품목마스터!$B$3:$B$302,MATCH($B2863,품목마스터!$A$3:$A$302,0)),"미등록품번"))</f>
        <v/>
      </c>
      <c r="D2863" s="17" t="str">
        <f aca="false">IF($B2863="","",IFERROR(INDEX(품목마스터!$D$3:$D$302,MATCH($B2863,품목마스터!$A$3:$A$302,0)),""))</f>
        <v/>
      </c>
      <c r="E2863" s="12"/>
      <c r="F2863" s="10"/>
    </row>
    <row r="2864" customFormat="false" ht="15" hidden="false" customHeight="true" outlineLevel="0" collapsed="false">
      <c r="A2864" s="16"/>
      <c r="B2864" s="10"/>
      <c r="C2864" s="17" t="str">
        <f aca="false">IF($B2864="","",IFERROR(INDEX(품목마스터!$B$3:$B$302,MATCH($B2864,품목마스터!$A$3:$A$302,0)),"미등록품번"))</f>
        <v/>
      </c>
      <c r="D2864" s="17" t="str">
        <f aca="false">IF($B2864="","",IFERROR(INDEX(품목마스터!$D$3:$D$302,MATCH($B2864,품목마스터!$A$3:$A$302,0)),""))</f>
        <v/>
      </c>
      <c r="E2864" s="12"/>
      <c r="F2864" s="10"/>
    </row>
    <row r="2865" customFormat="false" ht="15" hidden="false" customHeight="true" outlineLevel="0" collapsed="false">
      <c r="A2865" s="16"/>
      <c r="B2865" s="10"/>
      <c r="C2865" s="17" t="str">
        <f aca="false">IF($B2865="","",IFERROR(INDEX(품목마스터!$B$3:$B$302,MATCH($B2865,품목마스터!$A$3:$A$302,0)),"미등록품번"))</f>
        <v/>
      </c>
      <c r="D2865" s="17" t="str">
        <f aca="false">IF($B2865="","",IFERROR(INDEX(품목마스터!$D$3:$D$302,MATCH($B2865,품목마스터!$A$3:$A$302,0)),""))</f>
        <v/>
      </c>
      <c r="E2865" s="12"/>
      <c r="F2865" s="10"/>
    </row>
    <row r="2866" customFormat="false" ht="15" hidden="false" customHeight="true" outlineLevel="0" collapsed="false">
      <c r="A2866" s="16"/>
      <c r="B2866" s="10"/>
      <c r="C2866" s="17" t="str">
        <f aca="false">IF($B2866="","",IFERROR(INDEX(품목마스터!$B$3:$B$302,MATCH($B2866,품목마스터!$A$3:$A$302,0)),"미등록품번"))</f>
        <v/>
      </c>
      <c r="D2866" s="17" t="str">
        <f aca="false">IF($B2866="","",IFERROR(INDEX(품목마스터!$D$3:$D$302,MATCH($B2866,품목마스터!$A$3:$A$302,0)),""))</f>
        <v/>
      </c>
      <c r="E2866" s="12"/>
      <c r="F2866" s="10"/>
    </row>
    <row r="2867" customFormat="false" ht="15" hidden="false" customHeight="true" outlineLevel="0" collapsed="false">
      <c r="A2867" s="16"/>
      <c r="B2867" s="10"/>
      <c r="C2867" s="17" t="str">
        <f aca="false">IF($B2867="","",IFERROR(INDEX(품목마스터!$B$3:$B$302,MATCH($B2867,품목마스터!$A$3:$A$302,0)),"미등록품번"))</f>
        <v/>
      </c>
      <c r="D2867" s="17" t="str">
        <f aca="false">IF($B2867="","",IFERROR(INDEX(품목마스터!$D$3:$D$302,MATCH($B2867,품목마스터!$A$3:$A$302,0)),""))</f>
        <v/>
      </c>
      <c r="E2867" s="12"/>
      <c r="F2867" s="10"/>
    </row>
    <row r="2868" customFormat="false" ht="15" hidden="false" customHeight="true" outlineLevel="0" collapsed="false">
      <c r="A2868" s="16"/>
      <c r="B2868" s="10"/>
      <c r="C2868" s="17" t="str">
        <f aca="false">IF($B2868="","",IFERROR(INDEX(품목마스터!$B$3:$B$302,MATCH($B2868,품목마스터!$A$3:$A$302,0)),"미등록품번"))</f>
        <v/>
      </c>
      <c r="D2868" s="17" t="str">
        <f aca="false">IF($B2868="","",IFERROR(INDEX(품목마스터!$D$3:$D$302,MATCH($B2868,품목마스터!$A$3:$A$302,0)),""))</f>
        <v/>
      </c>
      <c r="E2868" s="12"/>
      <c r="F2868" s="10"/>
    </row>
    <row r="2869" customFormat="false" ht="15" hidden="false" customHeight="true" outlineLevel="0" collapsed="false">
      <c r="A2869" s="16"/>
      <c r="B2869" s="10"/>
      <c r="C2869" s="17" t="str">
        <f aca="false">IF($B2869="","",IFERROR(INDEX(품목마스터!$B$3:$B$302,MATCH($B2869,품목마스터!$A$3:$A$302,0)),"미등록품번"))</f>
        <v/>
      </c>
      <c r="D2869" s="17" t="str">
        <f aca="false">IF($B2869="","",IFERROR(INDEX(품목마스터!$D$3:$D$302,MATCH($B2869,품목마스터!$A$3:$A$302,0)),""))</f>
        <v/>
      </c>
      <c r="E2869" s="12"/>
      <c r="F2869" s="10"/>
    </row>
    <row r="2870" customFormat="false" ht="15" hidden="false" customHeight="true" outlineLevel="0" collapsed="false">
      <c r="A2870" s="16"/>
      <c r="B2870" s="10"/>
      <c r="C2870" s="17" t="str">
        <f aca="false">IF($B2870="","",IFERROR(INDEX(품목마스터!$B$3:$B$302,MATCH($B2870,품목마스터!$A$3:$A$302,0)),"미등록품번"))</f>
        <v/>
      </c>
      <c r="D2870" s="17" t="str">
        <f aca="false">IF($B2870="","",IFERROR(INDEX(품목마스터!$D$3:$D$302,MATCH($B2870,품목마스터!$A$3:$A$302,0)),""))</f>
        <v/>
      </c>
      <c r="E2870" s="12"/>
      <c r="F2870" s="10"/>
    </row>
    <row r="2871" customFormat="false" ht="15" hidden="false" customHeight="true" outlineLevel="0" collapsed="false">
      <c r="A2871" s="16"/>
      <c r="B2871" s="10"/>
      <c r="C2871" s="17" t="str">
        <f aca="false">IF($B2871="","",IFERROR(INDEX(품목마스터!$B$3:$B$302,MATCH($B2871,품목마스터!$A$3:$A$302,0)),"미등록품번"))</f>
        <v/>
      </c>
      <c r="D2871" s="17" t="str">
        <f aca="false">IF($B2871="","",IFERROR(INDEX(품목마스터!$D$3:$D$302,MATCH($B2871,품목마스터!$A$3:$A$302,0)),""))</f>
        <v/>
      </c>
      <c r="E2871" s="12"/>
      <c r="F2871" s="10"/>
    </row>
    <row r="2872" customFormat="false" ht="15" hidden="false" customHeight="true" outlineLevel="0" collapsed="false">
      <c r="A2872" s="16"/>
      <c r="B2872" s="10"/>
      <c r="C2872" s="17" t="str">
        <f aca="false">IF($B2872="","",IFERROR(INDEX(품목마스터!$B$3:$B$302,MATCH($B2872,품목마스터!$A$3:$A$302,0)),"미등록품번"))</f>
        <v/>
      </c>
      <c r="D2872" s="17" t="str">
        <f aca="false">IF($B2872="","",IFERROR(INDEX(품목마스터!$D$3:$D$302,MATCH($B2872,품목마스터!$A$3:$A$302,0)),""))</f>
        <v/>
      </c>
      <c r="E2872" s="12"/>
      <c r="F2872" s="10"/>
    </row>
    <row r="2873" customFormat="false" ht="15" hidden="false" customHeight="true" outlineLevel="0" collapsed="false">
      <c r="A2873" s="16"/>
      <c r="B2873" s="10"/>
      <c r="C2873" s="17" t="str">
        <f aca="false">IF($B2873="","",IFERROR(INDEX(품목마스터!$B$3:$B$302,MATCH($B2873,품목마스터!$A$3:$A$302,0)),"미등록품번"))</f>
        <v/>
      </c>
      <c r="D2873" s="17" t="str">
        <f aca="false">IF($B2873="","",IFERROR(INDEX(품목마스터!$D$3:$D$302,MATCH($B2873,품목마스터!$A$3:$A$302,0)),""))</f>
        <v/>
      </c>
      <c r="E2873" s="12"/>
      <c r="F2873" s="10"/>
    </row>
    <row r="2874" customFormat="false" ht="15" hidden="false" customHeight="true" outlineLevel="0" collapsed="false">
      <c r="A2874" s="16"/>
      <c r="B2874" s="10"/>
      <c r="C2874" s="17" t="str">
        <f aca="false">IF($B2874="","",IFERROR(INDEX(품목마스터!$B$3:$B$302,MATCH($B2874,품목마스터!$A$3:$A$302,0)),"미등록품번"))</f>
        <v/>
      </c>
      <c r="D2874" s="17" t="str">
        <f aca="false">IF($B2874="","",IFERROR(INDEX(품목마스터!$D$3:$D$302,MATCH($B2874,품목마스터!$A$3:$A$302,0)),""))</f>
        <v/>
      </c>
      <c r="E2874" s="12"/>
      <c r="F2874" s="10"/>
    </row>
    <row r="2875" customFormat="false" ht="15" hidden="false" customHeight="true" outlineLevel="0" collapsed="false">
      <c r="A2875" s="16"/>
      <c r="B2875" s="10"/>
      <c r="C2875" s="17" t="str">
        <f aca="false">IF($B2875="","",IFERROR(INDEX(품목마스터!$B$3:$B$302,MATCH($B2875,품목마스터!$A$3:$A$302,0)),"미등록품번"))</f>
        <v/>
      </c>
      <c r="D2875" s="17" t="str">
        <f aca="false">IF($B2875="","",IFERROR(INDEX(품목마스터!$D$3:$D$302,MATCH($B2875,품목마스터!$A$3:$A$302,0)),""))</f>
        <v/>
      </c>
      <c r="E2875" s="12"/>
      <c r="F2875" s="10"/>
    </row>
    <row r="2876" customFormat="false" ht="15" hidden="false" customHeight="true" outlineLevel="0" collapsed="false">
      <c r="A2876" s="16"/>
      <c r="B2876" s="10"/>
      <c r="C2876" s="17" t="str">
        <f aca="false">IF($B2876="","",IFERROR(INDEX(품목마스터!$B$3:$B$302,MATCH($B2876,품목마스터!$A$3:$A$302,0)),"미등록품번"))</f>
        <v/>
      </c>
      <c r="D2876" s="17" t="str">
        <f aca="false">IF($B2876="","",IFERROR(INDEX(품목마스터!$D$3:$D$302,MATCH($B2876,품목마스터!$A$3:$A$302,0)),""))</f>
        <v/>
      </c>
      <c r="E2876" s="12"/>
      <c r="F2876" s="10"/>
    </row>
    <row r="2877" customFormat="false" ht="15" hidden="false" customHeight="true" outlineLevel="0" collapsed="false">
      <c r="A2877" s="16"/>
      <c r="B2877" s="10"/>
      <c r="C2877" s="17" t="str">
        <f aca="false">IF($B2877="","",IFERROR(INDEX(품목마스터!$B$3:$B$302,MATCH($B2877,품목마스터!$A$3:$A$302,0)),"미등록품번"))</f>
        <v/>
      </c>
      <c r="D2877" s="17" t="str">
        <f aca="false">IF($B2877="","",IFERROR(INDEX(품목마스터!$D$3:$D$302,MATCH($B2877,품목마스터!$A$3:$A$302,0)),""))</f>
        <v/>
      </c>
      <c r="E2877" s="12"/>
      <c r="F2877" s="10"/>
    </row>
    <row r="2878" customFormat="false" ht="15" hidden="false" customHeight="true" outlineLevel="0" collapsed="false">
      <c r="A2878" s="16"/>
      <c r="B2878" s="10"/>
      <c r="C2878" s="17" t="str">
        <f aca="false">IF($B2878="","",IFERROR(INDEX(품목마스터!$B$3:$B$302,MATCH($B2878,품목마스터!$A$3:$A$302,0)),"미등록품번"))</f>
        <v/>
      </c>
      <c r="D2878" s="17" t="str">
        <f aca="false">IF($B2878="","",IFERROR(INDEX(품목마스터!$D$3:$D$302,MATCH($B2878,품목마스터!$A$3:$A$302,0)),""))</f>
        <v/>
      </c>
      <c r="E2878" s="12"/>
      <c r="F2878" s="10"/>
    </row>
    <row r="2879" customFormat="false" ht="15" hidden="false" customHeight="true" outlineLevel="0" collapsed="false">
      <c r="A2879" s="16"/>
      <c r="B2879" s="10"/>
      <c r="C2879" s="17" t="str">
        <f aca="false">IF($B2879="","",IFERROR(INDEX(품목마스터!$B$3:$B$302,MATCH($B2879,품목마스터!$A$3:$A$302,0)),"미등록품번"))</f>
        <v/>
      </c>
      <c r="D2879" s="17" t="str">
        <f aca="false">IF($B2879="","",IFERROR(INDEX(품목마스터!$D$3:$D$302,MATCH($B2879,품목마스터!$A$3:$A$302,0)),""))</f>
        <v/>
      </c>
      <c r="E2879" s="12"/>
      <c r="F2879" s="10"/>
    </row>
    <row r="2880" customFormat="false" ht="15" hidden="false" customHeight="true" outlineLevel="0" collapsed="false">
      <c r="A2880" s="16"/>
      <c r="B2880" s="10"/>
      <c r="C2880" s="17" t="str">
        <f aca="false">IF($B2880="","",IFERROR(INDEX(품목마스터!$B$3:$B$302,MATCH($B2880,품목마스터!$A$3:$A$302,0)),"미등록품번"))</f>
        <v/>
      </c>
      <c r="D2880" s="17" t="str">
        <f aca="false">IF($B2880="","",IFERROR(INDEX(품목마스터!$D$3:$D$302,MATCH($B2880,품목마스터!$A$3:$A$302,0)),""))</f>
        <v/>
      </c>
      <c r="E2880" s="12"/>
      <c r="F2880" s="10"/>
    </row>
    <row r="2881" customFormat="false" ht="15" hidden="false" customHeight="true" outlineLevel="0" collapsed="false">
      <c r="A2881" s="16"/>
      <c r="B2881" s="10"/>
      <c r="C2881" s="17" t="str">
        <f aca="false">IF($B2881="","",IFERROR(INDEX(품목마스터!$B$3:$B$302,MATCH($B2881,품목마스터!$A$3:$A$302,0)),"미등록품번"))</f>
        <v/>
      </c>
      <c r="D2881" s="17" t="str">
        <f aca="false">IF($B2881="","",IFERROR(INDEX(품목마스터!$D$3:$D$302,MATCH($B2881,품목마스터!$A$3:$A$302,0)),""))</f>
        <v/>
      </c>
      <c r="E2881" s="12"/>
      <c r="F2881" s="10"/>
    </row>
    <row r="2882" customFormat="false" ht="15" hidden="false" customHeight="true" outlineLevel="0" collapsed="false">
      <c r="A2882" s="16"/>
      <c r="B2882" s="10"/>
      <c r="C2882" s="17" t="str">
        <f aca="false">IF($B2882="","",IFERROR(INDEX(품목마스터!$B$3:$B$302,MATCH($B2882,품목마스터!$A$3:$A$302,0)),"미등록품번"))</f>
        <v/>
      </c>
      <c r="D2882" s="17" t="str">
        <f aca="false">IF($B2882="","",IFERROR(INDEX(품목마스터!$D$3:$D$302,MATCH($B2882,품목마스터!$A$3:$A$302,0)),""))</f>
        <v/>
      </c>
      <c r="E2882" s="12"/>
      <c r="F2882" s="10"/>
    </row>
    <row r="2883" customFormat="false" ht="15" hidden="false" customHeight="true" outlineLevel="0" collapsed="false">
      <c r="A2883" s="16"/>
      <c r="B2883" s="10"/>
      <c r="C2883" s="17" t="str">
        <f aca="false">IF($B2883="","",IFERROR(INDEX(품목마스터!$B$3:$B$302,MATCH($B2883,품목마스터!$A$3:$A$302,0)),"미등록품번"))</f>
        <v/>
      </c>
      <c r="D2883" s="17" t="str">
        <f aca="false">IF($B2883="","",IFERROR(INDEX(품목마스터!$D$3:$D$302,MATCH($B2883,품목마스터!$A$3:$A$302,0)),""))</f>
        <v/>
      </c>
      <c r="E2883" s="12"/>
      <c r="F2883" s="10"/>
    </row>
    <row r="2884" customFormat="false" ht="15" hidden="false" customHeight="true" outlineLevel="0" collapsed="false">
      <c r="A2884" s="16"/>
      <c r="B2884" s="10"/>
      <c r="C2884" s="17" t="str">
        <f aca="false">IF($B2884="","",IFERROR(INDEX(품목마스터!$B$3:$B$302,MATCH($B2884,품목마스터!$A$3:$A$302,0)),"미등록품번"))</f>
        <v/>
      </c>
      <c r="D2884" s="17" t="str">
        <f aca="false">IF($B2884="","",IFERROR(INDEX(품목마스터!$D$3:$D$302,MATCH($B2884,품목마스터!$A$3:$A$302,0)),""))</f>
        <v/>
      </c>
      <c r="E2884" s="12"/>
      <c r="F2884" s="10"/>
    </row>
    <row r="2885" customFormat="false" ht="15" hidden="false" customHeight="true" outlineLevel="0" collapsed="false">
      <c r="A2885" s="16"/>
      <c r="B2885" s="10"/>
      <c r="C2885" s="17" t="str">
        <f aca="false">IF($B2885="","",IFERROR(INDEX(품목마스터!$B$3:$B$302,MATCH($B2885,품목마스터!$A$3:$A$302,0)),"미등록품번"))</f>
        <v/>
      </c>
      <c r="D2885" s="17" t="str">
        <f aca="false">IF($B2885="","",IFERROR(INDEX(품목마스터!$D$3:$D$302,MATCH($B2885,품목마스터!$A$3:$A$302,0)),""))</f>
        <v/>
      </c>
      <c r="E2885" s="12"/>
      <c r="F2885" s="10"/>
    </row>
    <row r="2886" customFormat="false" ht="15" hidden="false" customHeight="true" outlineLevel="0" collapsed="false">
      <c r="A2886" s="16"/>
      <c r="B2886" s="10"/>
      <c r="C2886" s="17" t="str">
        <f aca="false">IF($B2886="","",IFERROR(INDEX(품목마스터!$B$3:$B$302,MATCH($B2886,품목마스터!$A$3:$A$302,0)),"미등록품번"))</f>
        <v/>
      </c>
      <c r="D2886" s="17" t="str">
        <f aca="false">IF($B2886="","",IFERROR(INDEX(품목마스터!$D$3:$D$302,MATCH($B2886,품목마스터!$A$3:$A$302,0)),""))</f>
        <v/>
      </c>
      <c r="E2886" s="12"/>
      <c r="F2886" s="10"/>
    </row>
    <row r="2887" customFormat="false" ht="15" hidden="false" customHeight="true" outlineLevel="0" collapsed="false">
      <c r="A2887" s="16"/>
      <c r="B2887" s="10"/>
      <c r="C2887" s="17" t="str">
        <f aca="false">IF($B2887="","",IFERROR(INDEX(품목마스터!$B$3:$B$302,MATCH($B2887,품목마스터!$A$3:$A$302,0)),"미등록품번"))</f>
        <v/>
      </c>
      <c r="D2887" s="17" t="str">
        <f aca="false">IF($B2887="","",IFERROR(INDEX(품목마스터!$D$3:$D$302,MATCH($B2887,품목마스터!$A$3:$A$302,0)),""))</f>
        <v/>
      </c>
      <c r="E2887" s="12"/>
      <c r="F2887" s="10"/>
    </row>
    <row r="2888" customFormat="false" ht="15" hidden="false" customHeight="true" outlineLevel="0" collapsed="false">
      <c r="A2888" s="16"/>
      <c r="B2888" s="10"/>
      <c r="C2888" s="17" t="str">
        <f aca="false">IF($B2888="","",IFERROR(INDEX(품목마스터!$B$3:$B$302,MATCH($B2888,품목마스터!$A$3:$A$302,0)),"미등록품번"))</f>
        <v/>
      </c>
      <c r="D2888" s="17" t="str">
        <f aca="false">IF($B2888="","",IFERROR(INDEX(품목마스터!$D$3:$D$302,MATCH($B2888,품목마스터!$A$3:$A$302,0)),""))</f>
        <v/>
      </c>
      <c r="E2888" s="12"/>
      <c r="F2888" s="10"/>
    </row>
    <row r="2889" customFormat="false" ht="15" hidden="false" customHeight="true" outlineLevel="0" collapsed="false">
      <c r="A2889" s="16"/>
      <c r="B2889" s="10"/>
      <c r="C2889" s="17" t="str">
        <f aca="false">IF($B2889="","",IFERROR(INDEX(품목마스터!$B$3:$B$302,MATCH($B2889,품목마스터!$A$3:$A$302,0)),"미등록품번"))</f>
        <v/>
      </c>
      <c r="D2889" s="17" t="str">
        <f aca="false">IF($B2889="","",IFERROR(INDEX(품목마스터!$D$3:$D$302,MATCH($B2889,품목마스터!$A$3:$A$302,0)),""))</f>
        <v/>
      </c>
      <c r="E2889" s="12"/>
      <c r="F2889" s="10"/>
    </row>
    <row r="2890" customFormat="false" ht="15" hidden="false" customHeight="true" outlineLevel="0" collapsed="false">
      <c r="A2890" s="16"/>
      <c r="B2890" s="10"/>
      <c r="C2890" s="17" t="str">
        <f aca="false">IF($B2890="","",IFERROR(INDEX(품목마스터!$B$3:$B$302,MATCH($B2890,품목마스터!$A$3:$A$302,0)),"미등록품번"))</f>
        <v/>
      </c>
      <c r="D2890" s="17" t="str">
        <f aca="false">IF($B2890="","",IFERROR(INDEX(품목마스터!$D$3:$D$302,MATCH($B2890,품목마스터!$A$3:$A$302,0)),""))</f>
        <v/>
      </c>
      <c r="E2890" s="12"/>
      <c r="F2890" s="10"/>
    </row>
    <row r="2891" customFormat="false" ht="15" hidden="false" customHeight="true" outlineLevel="0" collapsed="false">
      <c r="A2891" s="16"/>
      <c r="B2891" s="10"/>
      <c r="C2891" s="17" t="str">
        <f aca="false">IF($B2891="","",IFERROR(INDEX(품목마스터!$B$3:$B$302,MATCH($B2891,품목마스터!$A$3:$A$302,0)),"미등록품번"))</f>
        <v/>
      </c>
      <c r="D2891" s="17" t="str">
        <f aca="false">IF($B2891="","",IFERROR(INDEX(품목마스터!$D$3:$D$302,MATCH($B2891,품목마스터!$A$3:$A$302,0)),""))</f>
        <v/>
      </c>
      <c r="E2891" s="12"/>
      <c r="F2891" s="10"/>
    </row>
    <row r="2892" customFormat="false" ht="15" hidden="false" customHeight="true" outlineLevel="0" collapsed="false">
      <c r="A2892" s="16"/>
      <c r="B2892" s="10"/>
      <c r="C2892" s="17" t="str">
        <f aca="false">IF($B2892="","",IFERROR(INDEX(품목마스터!$B$3:$B$302,MATCH($B2892,품목마스터!$A$3:$A$302,0)),"미등록품번"))</f>
        <v/>
      </c>
      <c r="D2892" s="17" t="str">
        <f aca="false">IF($B2892="","",IFERROR(INDEX(품목마스터!$D$3:$D$302,MATCH($B2892,품목마스터!$A$3:$A$302,0)),""))</f>
        <v/>
      </c>
      <c r="E2892" s="12"/>
      <c r="F2892" s="10"/>
    </row>
    <row r="2893" customFormat="false" ht="15" hidden="false" customHeight="true" outlineLevel="0" collapsed="false">
      <c r="A2893" s="16"/>
      <c r="B2893" s="10"/>
      <c r="C2893" s="17" t="str">
        <f aca="false">IF($B2893="","",IFERROR(INDEX(품목마스터!$B$3:$B$302,MATCH($B2893,품목마스터!$A$3:$A$302,0)),"미등록품번"))</f>
        <v/>
      </c>
      <c r="D2893" s="17" t="str">
        <f aca="false">IF($B2893="","",IFERROR(INDEX(품목마스터!$D$3:$D$302,MATCH($B2893,품목마스터!$A$3:$A$302,0)),""))</f>
        <v/>
      </c>
      <c r="E2893" s="12"/>
      <c r="F2893" s="10"/>
    </row>
    <row r="2894" customFormat="false" ht="15" hidden="false" customHeight="true" outlineLevel="0" collapsed="false">
      <c r="A2894" s="16"/>
      <c r="B2894" s="10"/>
      <c r="C2894" s="17" t="str">
        <f aca="false">IF($B2894="","",IFERROR(INDEX(품목마스터!$B$3:$B$302,MATCH($B2894,품목마스터!$A$3:$A$302,0)),"미등록품번"))</f>
        <v/>
      </c>
      <c r="D2894" s="17" t="str">
        <f aca="false">IF($B2894="","",IFERROR(INDEX(품목마스터!$D$3:$D$302,MATCH($B2894,품목마스터!$A$3:$A$302,0)),""))</f>
        <v/>
      </c>
      <c r="E2894" s="12"/>
      <c r="F2894" s="10"/>
    </row>
    <row r="2895" customFormat="false" ht="15" hidden="false" customHeight="true" outlineLevel="0" collapsed="false">
      <c r="A2895" s="16"/>
      <c r="B2895" s="10"/>
      <c r="C2895" s="17" t="str">
        <f aca="false">IF($B2895="","",IFERROR(INDEX(품목마스터!$B$3:$B$302,MATCH($B2895,품목마스터!$A$3:$A$302,0)),"미등록품번"))</f>
        <v/>
      </c>
      <c r="D2895" s="17" t="str">
        <f aca="false">IF($B2895="","",IFERROR(INDEX(품목마스터!$D$3:$D$302,MATCH($B2895,품목마스터!$A$3:$A$302,0)),""))</f>
        <v/>
      </c>
      <c r="E2895" s="12"/>
      <c r="F2895" s="10"/>
    </row>
    <row r="2896" customFormat="false" ht="15" hidden="false" customHeight="true" outlineLevel="0" collapsed="false">
      <c r="A2896" s="16"/>
      <c r="B2896" s="10"/>
      <c r="C2896" s="17" t="str">
        <f aca="false">IF($B2896="","",IFERROR(INDEX(품목마스터!$B$3:$B$302,MATCH($B2896,품목마스터!$A$3:$A$302,0)),"미등록품번"))</f>
        <v/>
      </c>
      <c r="D2896" s="17" t="str">
        <f aca="false">IF($B2896="","",IFERROR(INDEX(품목마스터!$D$3:$D$302,MATCH($B2896,품목마스터!$A$3:$A$302,0)),""))</f>
        <v/>
      </c>
      <c r="E2896" s="12"/>
      <c r="F2896" s="10"/>
    </row>
    <row r="2897" customFormat="false" ht="15" hidden="false" customHeight="true" outlineLevel="0" collapsed="false">
      <c r="A2897" s="16"/>
      <c r="B2897" s="10"/>
      <c r="C2897" s="17" t="str">
        <f aca="false">IF($B2897="","",IFERROR(INDEX(품목마스터!$B$3:$B$302,MATCH($B2897,품목마스터!$A$3:$A$302,0)),"미등록품번"))</f>
        <v/>
      </c>
      <c r="D2897" s="17" t="str">
        <f aca="false">IF($B2897="","",IFERROR(INDEX(품목마스터!$D$3:$D$302,MATCH($B2897,품목마스터!$A$3:$A$302,0)),""))</f>
        <v/>
      </c>
      <c r="E2897" s="12"/>
      <c r="F2897" s="10"/>
    </row>
    <row r="2898" customFormat="false" ht="15" hidden="false" customHeight="true" outlineLevel="0" collapsed="false">
      <c r="A2898" s="16"/>
      <c r="B2898" s="10"/>
      <c r="C2898" s="17" t="str">
        <f aca="false">IF($B2898="","",IFERROR(INDEX(품목마스터!$B$3:$B$302,MATCH($B2898,품목마스터!$A$3:$A$302,0)),"미등록품번"))</f>
        <v/>
      </c>
      <c r="D2898" s="17" t="str">
        <f aca="false">IF($B2898="","",IFERROR(INDEX(품목마스터!$D$3:$D$302,MATCH($B2898,품목마스터!$A$3:$A$302,0)),""))</f>
        <v/>
      </c>
      <c r="E2898" s="12"/>
      <c r="F2898" s="10"/>
    </row>
    <row r="2899" customFormat="false" ht="15" hidden="false" customHeight="true" outlineLevel="0" collapsed="false">
      <c r="A2899" s="16"/>
      <c r="B2899" s="10"/>
      <c r="C2899" s="17" t="str">
        <f aca="false">IF($B2899="","",IFERROR(INDEX(품목마스터!$B$3:$B$302,MATCH($B2899,품목마스터!$A$3:$A$302,0)),"미등록품번"))</f>
        <v/>
      </c>
      <c r="D2899" s="17" t="str">
        <f aca="false">IF($B2899="","",IFERROR(INDEX(품목마스터!$D$3:$D$302,MATCH($B2899,품목마스터!$A$3:$A$302,0)),""))</f>
        <v/>
      </c>
      <c r="E2899" s="12"/>
      <c r="F2899" s="10"/>
    </row>
    <row r="2900" customFormat="false" ht="15" hidden="false" customHeight="true" outlineLevel="0" collapsed="false">
      <c r="A2900" s="16"/>
      <c r="B2900" s="10"/>
      <c r="C2900" s="17" t="str">
        <f aca="false">IF($B2900="","",IFERROR(INDEX(품목마스터!$B$3:$B$302,MATCH($B2900,품목마스터!$A$3:$A$302,0)),"미등록품번"))</f>
        <v/>
      </c>
      <c r="D2900" s="17" t="str">
        <f aca="false">IF($B2900="","",IFERROR(INDEX(품목마스터!$D$3:$D$302,MATCH($B2900,품목마스터!$A$3:$A$302,0)),""))</f>
        <v/>
      </c>
      <c r="E2900" s="12"/>
      <c r="F2900" s="10"/>
    </row>
    <row r="2901" customFormat="false" ht="15" hidden="false" customHeight="true" outlineLevel="0" collapsed="false">
      <c r="A2901" s="16"/>
      <c r="B2901" s="10"/>
      <c r="C2901" s="17" t="str">
        <f aca="false">IF($B2901="","",IFERROR(INDEX(품목마스터!$B$3:$B$302,MATCH($B2901,품목마스터!$A$3:$A$302,0)),"미등록품번"))</f>
        <v/>
      </c>
      <c r="D2901" s="17" t="str">
        <f aca="false">IF($B2901="","",IFERROR(INDEX(품목마스터!$D$3:$D$302,MATCH($B2901,품목마스터!$A$3:$A$302,0)),""))</f>
        <v/>
      </c>
      <c r="E2901" s="12"/>
      <c r="F2901" s="10"/>
    </row>
    <row r="2902" customFormat="false" ht="15" hidden="false" customHeight="true" outlineLevel="0" collapsed="false">
      <c r="A2902" s="16"/>
      <c r="B2902" s="10"/>
      <c r="C2902" s="17" t="str">
        <f aca="false">IF($B2902="","",IFERROR(INDEX(품목마스터!$B$3:$B$302,MATCH($B2902,품목마스터!$A$3:$A$302,0)),"미등록품번"))</f>
        <v/>
      </c>
      <c r="D2902" s="17" t="str">
        <f aca="false">IF($B2902="","",IFERROR(INDEX(품목마스터!$D$3:$D$302,MATCH($B2902,품목마스터!$A$3:$A$302,0)),""))</f>
        <v/>
      </c>
      <c r="E2902" s="12"/>
      <c r="F2902" s="10"/>
    </row>
    <row r="2903" customFormat="false" ht="15" hidden="false" customHeight="true" outlineLevel="0" collapsed="false">
      <c r="A2903" s="16"/>
      <c r="B2903" s="10"/>
      <c r="C2903" s="17" t="str">
        <f aca="false">IF($B2903="","",IFERROR(INDEX(품목마스터!$B$3:$B$302,MATCH($B2903,품목마스터!$A$3:$A$302,0)),"미등록품번"))</f>
        <v/>
      </c>
      <c r="D2903" s="17" t="str">
        <f aca="false">IF($B2903="","",IFERROR(INDEX(품목마스터!$D$3:$D$302,MATCH($B2903,품목마스터!$A$3:$A$302,0)),""))</f>
        <v/>
      </c>
      <c r="E2903" s="12"/>
      <c r="F2903" s="10"/>
    </row>
    <row r="2904" customFormat="false" ht="15" hidden="false" customHeight="true" outlineLevel="0" collapsed="false">
      <c r="A2904" s="16"/>
      <c r="B2904" s="10"/>
      <c r="C2904" s="17" t="str">
        <f aca="false">IF($B2904="","",IFERROR(INDEX(품목마스터!$B$3:$B$302,MATCH($B2904,품목마스터!$A$3:$A$302,0)),"미등록품번"))</f>
        <v/>
      </c>
      <c r="D2904" s="17" t="str">
        <f aca="false">IF($B2904="","",IFERROR(INDEX(품목마스터!$D$3:$D$302,MATCH($B2904,품목마스터!$A$3:$A$302,0)),""))</f>
        <v/>
      </c>
      <c r="E2904" s="12"/>
      <c r="F2904" s="10"/>
    </row>
    <row r="2905" customFormat="false" ht="15" hidden="false" customHeight="true" outlineLevel="0" collapsed="false">
      <c r="A2905" s="16"/>
      <c r="B2905" s="10"/>
      <c r="C2905" s="17" t="str">
        <f aca="false">IF($B2905="","",IFERROR(INDEX(품목마스터!$B$3:$B$302,MATCH($B2905,품목마스터!$A$3:$A$302,0)),"미등록품번"))</f>
        <v/>
      </c>
      <c r="D2905" s="17" t="str">
        <f aca="false">IF($B2905="","",IFERROR(INDEX(품목마스터!$D$3:$D$302,MATCH($B2905,품목마스터!$A$3:$A$302,0)),""))</f>
        <v/>
      </c>
      <c r="E2905" s="12"/>
      <c r="F2905" s="10"/>
    </row>
    <row r="2906" customFormat="false" ht="15" hidden="false" customHeight="true" outlineLevel="0" collapsed="false">
      <c r="A2906" s="16"/>
      <c r="B2906" s="10"/>
      <c r="C2906" s="17" t="str">
        <f aca="false">IF($B2906="","",IFERROR(INDEX(품목마스터!$B$3:$B$302,MATCH($B2906,품목마스터!$A$3:$A$302,0)),"미등록품번"))</f>
        <v/>
      </c>
      <c r="D2906" s="17" t="str">
        <f aca="false">IF($B2906="","",IFERROR(INDEX(품목마스터!$D$3:$D$302,MATCH($B2906,품목마스터!$A$3:$A$302,0)),""))</f>
        <v/>
      </c>
      <c r="E2906" s="12"/>
      <c r="F2906" s="10"/>
    </row>
    <row r="2907" customFormat="false" ht="15" hidden="false" customHeight="true" outlineLevel="0" collapsed="false">
      <c r="A2907" s="16"/>
      <c r="B2907" s="10"/>
      <c r="C2907" s="17" t="str">
        <f aca="false">IF($B2907="","",IFERROR(INDEX(품목마스터!$B$3:$B$302,MATCH($B2907,품목마스터!$A$3:$A$302,0)),"미등록품번"))</f>
        <v/>
      </c>
      <c r="D2907" s="17" t="str">
        <f aca="false">IF($B2907="","",IFERROR(INDEX(품목마스터!$D$3:$D$302,MATCH($B2907,품목마스터!$A$3:$A$302,0)),""))</f>
        <v/>
      </c>
      <c r="E2907" s="12"/>
      <c r="F2907" s="10"/>
    </row>
    <row r="2908" customFormat="false" ht="15" hidden="false" customHeight="true" outlineLevel="0" collapsed="false">
      <c r="A2908" s="16"/>
      <c r="B2908" s="10"/>
      <c r="C2908" s="17" t="str">
        <f aca="false">IF($B2908="","",IFERROR(INDEX(품목마스터!$B$3:$B$302,MATCH($B2908,품목마스터!$A$3:$A$302,0)),"미등록품번"))</f>
        <v/>
      </c>
      <c r="D2908" s="17" t="str">
        <f aca="false">IF($B2908="","",IFERROR(INDEX(품목마스터!$D$3:$D$302,MATCH($B2908,품목마스터!$A$3:$A$302,0)),""))</f>
        <v/>
      </c>
      <c r="E2908" s="12"/>
      <c r="F2908" s="10"/>
    </row>
    <row r="2909" customFormat="false" ht="15" hidden="false" customHeight="true" outlineLevel="0" collapsed="false">
      <c r="A2909" s="16"/>
      <c r="B2909" s="10"/>
      <c r="C2909" s="17" t="str">
        <f aca="false">IF($B2909="","",IFERROR(INDEX(품목마스터!$B$3:$B$302,MATCH($B2909,품목마스터!$A$3:$A$302,0)),"미등록품번"))</f>
        <v/>
      </c>
      <c r="D2909" s="17" t="str">
        <f aca="false">IF($B2909="","",IFERROR(INDEX(품목마스터!$D$3:$D$302,MATCH($B2909,품목마스터!$A$3:$A$302,0)),""))</f>
        <v/>
      </c>
      <c r="E2909" s="12"/>
      <c r="F2909" s="10"/>
    </row>
    <row r="2910" customFormat="false" ht="15" hidden="false" customHeight="true" outlineLevel="0" collapsed="false">
      <c r="A2910" s="16"/>
      <c r="B2910" s="10"/>
      <c r="C2910" s="17" t="str">
        <f aca="false">IF($B2910="","",IFERROR(INDEX(품목마스터!$B$3:$B$302,MATCH($B2910,품목마스터!$A$3:$A$302,0)),"미등록품번"))</f>
        <v/>
      </c>
      <c r="D2910" s="17" t="str">
        <f aca="false">IF($B2910="","",IFERROR(INDEX(품목마스터!$D$3:$D$302,MATCH($B2910,품목마스터!$A$3:$A$302,0)),""))</f>
        <v/>
      </c>
      <c r="E2910" s="12"/>
      <c r="F2910" s="10"/>
    </row>
    <row r="2911" customFormat="false" ht="15" hidden="false" customHeight="true" outlineLevel="0" collapsed="false">
      <c r="A2911" s="16"/>
      <c r="B2911" s="10"/>
      <c r="C2911" s="17" t="str">
        <f aca="false">IF($B2911="","",IFERROR(INDEX(품목마스터!$B$3:$B$302,MATCH($B2911,품목마스터!$A$3:$A$302,0)),"미등록품번"))</f>
        <v/>
      </c>
      <c r="D2911" s="17" t="str">
        <f aca="false">IF($B2911="","",IFERROR(INDEX(품목마스터!$D$3:$D$302,MATCH($B2911,품목마스터!$A$3:$A$302,0)),""))</f>
        <v/>
      </c>
      <c r="E2911" s="12"/>
      <c r="F2911" s="10"/>
    </row>
    <row r="2912" customFormat="false" ht="15" hidden="false" customHeight="true" outlineLevel="0" collapsed="false">
      <c r="A2912" s="16"/>
      <c r="B2912" s="10"/>
      <c r="C2912" s="17" t="str">
        <f aca="false">IF($B2912="","",IFERROR(INDEX(품목마스터!$B$3:$B$302,MATCH($B2912,품목마스터!$A$3:$A$302,0)),"미등록품번"))</f>
        <v/>
      </c>
      <c r="D2912" s="17" t="str">
        <f aca="false">IF($B2912="","",IFERROR(INDEX(품목마스터!$D$3:$D$302,MATCH($B2912,품목마스터!$A$3:$A$302,0)),""))</f>
        <v/>
      </c>
      <c r="E2912" s="12"/>
      <c r="F2912" s="10"/>
    </row>
    <row r="2913" customFormat="false" ht="15" hidden="false" customHeight="true" outlineLevel="0" collapsed="false">
      <c r="A2913" s="16"/>
      <c r="B2913" s="10"/>
      <c r="C2913" s="17" t="str">
        <f aca="false">IF($B2913="","",IFERROR(INDEX(품목마스터!$B$3:$B$302,MATCH($B2913,품목마스터!$A$3:$A$302,0)),"미등록품번"))</f>
        <v/>
      </c>
      <c r="D2913" s="17" t="str">
        <f aca="false">IF($B2913="","",IFERROR(INDEX(품목마스터!$D$3:$D$302,MATCH($B2913,품목마스터!$A$3:$A$302,0)),""))</f>
        <v/>
      </c>
      <c r="E2913" s="12"/>
      <c r="F2913" s="10"/>
    </row>
    <row r="2914" customFormat="false" ht="15" hidden="false" customHeight="true" outlineLevel="0" collapsed="false">
      <c r="A2914" s="16"/>
      <c r="B2914" s="10"/>
      <c r="C2914" s="17" t="str">
        <f aca="false">IF($B2914="","",IFERROR(INDEX(품목마스터!$B$3:$B$302,MATCH($B2914,품목마스터!$A$3:$A$302,0)),"미등록품번"))</f>
        <v/>
      </c>
      <c r="D2914" s="17" t="str">
        <f aca="false">IF($B2914="","",IFERROR(INDEX(품목마스터!$D$3:$D$302,MATCH($B2914,품목마스터!$A$3:$A$302,0)),""))</f>
        <v/>
      </c>
      <c r="E2914" s="12"/>
      <c r="F2914" s="10"/>
    </row>
    <row r="2915" customFormat="false" ht="15" hidden="false" customHeight="true" outlineLevel="0" collapsed="false">
      <c r="A2915" s="16"/>
      <c r="B2915" s="10"/>
      <c r="C2915" s="17" t="str">
        <f aca="false">IF($B2915="","",IFERROR(INDEX(품목마스터!$B$3:$B$302,MATCH($B2915,품목마스터!$A$3:$A$302,0)),"미등록품번"))</f>
        <v/>
      </c>
      <c r="D2915" s="17" t="str">
        <f aca="false">IF($B2915="","",IFERROR(INDEX(품목마스터!$D$3:$D$302,MATCH($B2915,품목마스터!$A$3:$A$302,0)),""))</f>
        <v/>
      </c>
      <c r="E2915" s="12"/>
      <c r="F2915" s="10"/>
    </row>
    <row r="2916" customFormat="false" ht="15" hidden="false" customHeight="true" outlineLevel="0" collapsed="false">
      <c r="A2916" s="16"/>
      <c r="B2916" s="10"/>
      <c r="C2916" s="17" t="str">
        <f aca="false">IF($B2916="","",IFERROR(INDEX(품목마스터!$B$3:$B$302,MATCH($B2916,품목마스터!$A$3:$A$302,0)),"미등록품번"))</f>
        <v/>
      </c>
      <c r="D2916" s="17" t="str">
        <f aca="false">IF($B2916="","",IFERROR(INDEX(품목마스터!$D$3:$D$302,MATCH($B2916,품목마스터!$A$3:$A$302,0)),""))</f>
        <v/>
      </c>
      <c r="E2916" s="12"/>
      <c r="F2916" s="10"/>
    </row>
    <row r="2917" customFormat="false" ht="15" hidden="false" customHeight="true" outlineLevel="0" collapsed="false">
      <c r="A2917" s="16"/>
      <c r="B2917" s="10"/>
      <c r="C2917" s="17" t="str">
        <f aca="false">IF($B2917="","",IFERROR(INDEX(품목마스터!$B$3:$B$302,MATCH($B2917,품목마스터!$A$3:$A$302,0)),"미등록품번"))</f>
        <v/>
      </c>
      <c r="D2917" s="17" t="str">
        <f aca="false">IF($B2917="","",IFERROR(INDEX(품목마스터!$D$3:$D$302,MATCH($B2917,품목마스터!$A$3:$A$302,0)),""))</f>
        <v/>
      </c>
      <c r="E2917" s="12"/>
      <c r="F2917" s="10"/>
    </row>
    <row r="2918" customFormat="false" ht="15" hidden="false" customHeight="true" outlineLevel="0" collapsed="false">
      <c r="A2918" s="16"/>
      <c r="B2918" s="10"/>
      <c r="C2918" s="17" t="str">
        <f aca="false">IF($B2918="","",IFERROR(INDEX(품목마스터!$B$3:$B$302,MATCH($B2918,품목마스터!$A$3:$A$302,0)),"미등록품번"))</f>
        <v/>
      </c>
      <c r="D2918" s="17" t="str">
        <f aca="false">IF($B2918="","",IFERROR(INDEX(품목마스터!$D$3:$D$302,MATCH($B2918,품목마스터!$A$3:$A$302,0)),""))</f>
        <v/>
      </c>
      <c r="E2918" s="12"/>
      <c r="F2918" s="10"/>
    </row>
    <row r="2919" customFormat="false" ht="15" hidden="false" customHeight="true" outlineLevel="0" collapsed="false">
      <c r="A2919" s="16"/>
      <c r="B2919" s="10"/>
      <c r="C2919" s="17" t="str">
        <f aca="false">IF($B2919="","",IFERROR(INDEX(품목마스터!$B$3:$B$302,MATCH($B2919,품목마스터!$A$3:$A$302,0)),"미등록품번"))</f>
        <v/>
      </c>
      <c r="D2919" s="17" t="str">
        <f aca="false">IF($B2919="","",IFERROR(INDEX(품목마스터!$D$3:$D$302,MATCH($B2919,품목마스터!$A$3:$A$302,0)),""))</f>
        <v/>
      </c>
      <c r="E2919" s="12"/>
      <c r="F2919" s="10"/>
    </row>
    <row r="2920" customFormat="false" ht="15" hidden="false" customHeight="true" outlineLevel="0" collapsed="false">
      <c r="A2920" s="16"/>
      <c r="B2920" s="10"/>
      <c r="C2920" s="17" t="str">
        <f aca="false">IF($B2920="","",IFERROR(INDEX(품목마스터!$B$3:$B$302,MATCH($B2920,품목마스터!$A$3:$A$302,0)),"미등록품번"))</f>
        <v/>
      </c>
      <c r="D2920" s="17" t="str">
        <f aca="false">IF($B2920="","",IFERROR(INDEX(품목마스터!$D$3:$D$302,MATCH($B2920,품목마스터!$A$3:$A$302,0)),""))</f>
        <v/>
      </c>
      <c r="E2920" s="12"/>
      <c r="F2920" s="10"/>
    </row>
    <row r="2921" customFormat="false" ht="15" hidden="false" customHeight="true" outlineLevel="0" collapsed="false">
      <c r="A2921" s="16"/>
      <c r="B2921" s="10"/>
      <c r="C2921" s="17" t="str">
        <f aca="false">IF($B2921="","",IFERROR(INDEX(품목마스터!$B$3:$B$302,MATCH($B2921,품목마스터!$A$3:$A$302,0)),"미등록품번"))</f>
        <v/>
      </c>
      <c r="D2921" s="17" t="str">
        <f aca="false">IF($B2921="","",IFERROR(INDEX(품목마스터!$D$3:$D$302,MATCH($B2921,품목마스터!$A$3:$A$302,0)),""))</f>
        <v/>
      </c>
      <c r="E2921" s="12"/>
      <c r="F2921" s="10"/>
    </row>
    <row r="2922" customFormat="false" ht="15" hidden="false" customHeight="true" outlineLevel="0" collapsed="false">
      <c r="A2922" s="16"/>
      <c r="B2922" s="10"/>
      <c r="C2922" s="17" t="str">
        <f aca="false">IF($B2922="","",IFERROR(INDEX(품목마스터!$B$3:$B$302,MATCH($B2922,품목마스터!$A$3:$A$302,0)),"미등록품번"))</f>
        <v/>
      </c>
      <c r="D2922" s="17" t="str">
        <f aca="false">IF($B2922="","",IFERROR(INDEX(품목마스터!$D$3:$D$302,MATCH($B2922,품목마스터!$A$3:$A$302,0)),""))</f>
        <v/>
      </c>
      <c r="E2922" s="12"/>
      <c r="F2922" s="10"/>
    </row>
    <row r="2923" customFormat="false" ht="15" hidden="false" customHeight="true" outlineLevel="0" collapsed="false">
      <c r="A2923" s="16"/>
      <c r="B2923" s="10"/>
      <c r="C2923" s="17" t="str">
        <f aca="false">IF($B2923="","",IFERROR(INDEX(품목마스터!$B$3:$B$302,MATCH($B2923,품목마스터!$A$3:$A$302,0)),"미등록품번"))</f>
        <v/>
      </c>
      <c r="D2923" s="17" t="str">
        <f aca="false">IF($B2923="","",IFERROR(INDEX(품목마스터!$D$3:$D$302,MATCH($B2923,품목마스터!$A$3:$A$302,0)),""))</f>
        <v/>
      </c>
      <c r="E2923" s="12"/>
      <c r="F2923" s="10"/>
    </row>
    <row r="2924" customFormat="false" ht="15" hidden="false" customHeight="true" outlineLevel="0" collapsed="false">
      <c r="A2924" s="16"/>
      <c r="B2924" s="10"/>
      <c r="C2924" s="17" t="str">
        <f aca="false">IF($B2924="","",IFERROR(INDEX(품목마스터!$B$3:$B$302,MATCH($B2924,품목마스터!$A$3:$A$302,0)),"미등록품번"))</f>
        <v/>
      </c>
      <c r="D2924" s="17" t="str">
        <f aca="false">IF($B2924="","",IFERROR(INDEX(품목마스터!$D$3:$D$302,MATCH($B2924,품목마스터!$A$3:$A$302,0)),""))</f>
        <v/>
      </c>
      <c r="E2924" s="12"/>
      <c r="F2924" s="10"/>
    </row>
    <row r="2925" customFormat="false" ht="15" hidden="false" customHeight="true" outlineLevel="0" collapsed="false">
      <c r="A2925" s="16"/>
      <c r="B2925" s="10"/>
      <c r="C2925" s="17" t="str">
        <f aca="false">IF($B2925="","",IFERROR(INDEX(품목마스터!$B$3:$B$302,MATCH($B2925,품목마스터!$A$3:$A$302,0)),"미등록품번"))</f>
        <v/>
      </c>
      <c r="D2925" s="17" t="str">
        <f aca="false">IF($B2925="","",IFERROR(INDEX(품목마스터!$D$3:$D$302,MATCH($B2925,품목마스터!$A$3:$A$302,0)),""))</f>
        <v/>
      </c>
      <c r="E2925" s="12"/>
      <c r="F2925" s="10"/>
    </row>
    <row r="2926" customFormat="false" ht="15" hidden="false" customHeight="true" outlineLevel="0" collapsed="false">
      <c r="A2926" s="16"/>
      <c r="B2926" s="10"/>
      <c r="C2926" s="17" t="str">
        <f aca="false">IF($B2926="","",IFERROR(INDEX(품목마스터!$B$3:$B$302,MATCH($B2926,품목마스터!$A$3:$A$302,0)),"미등록품번"))</f>
        <v/>
      </c>
      <c r="D2926" s="17" t="str">
        <f aca="false">IF($B2926="","",IFERROR(INDEX(품목마스터!$D$3:$D$302,MATCH($B2926,품목마스터!$A$3:$A$302,0)),""))</f>
        <v/>
      </c>
      <c r="E2926" s="12"/>
      <c r="F2926" s="10"/>
    </row>
    <row r="2927" customFormat="false" ht="15" hidden="false" customHeight="true" outlineLevel="0" collapsed="false">
      <c r="A2927" s="16"/>
      <c r="B2927" s="10"/>
      <c r="C2927" s="17" t="str">
        <f aca="false">IF($B2927="","",IFERROR(INDEX(품목마스터!$B$3:$B$302,MATCH($B2927,품목마스터!$A$3:$A$302,0)),"미등록품번"))</f>
        <v/>
      </c>
      <c r="D2927" s="17" t="str">
        <f aca="false">IF($B2927="","",IFERROR(INDEX(품목마스터!$D$3:$D$302,MATCH($B2927,품목마스터!$A$3:$A$302,0)),""))</f>
        <v/>
      </c>
      <c r="E2927" s="12"/>
      <c r="F2927" s="10"/>
    </row>
    <row r="2928" customFormat="false" ht="15" hidden="false" customHeight="true" outlineLevel="0" collapsed="false">
      <c r="A2928" s="16"/>
      <c r="B2928" s="10"/>
      <c r="C2928" s="17" t="str">
        <f aca="false">IF($B2928="","",IFERROR(INDEX(품목마스터!$B$3:$B$302,MATCH($B2928,품목마스터!$A$3:$A$302,0)),"미등록품번"))</f>
        <v/>
      </c>
      <c r="D2928" s="17" t="str">
        <f aca="false">IF($B2928="","",IFERROR(INDEX(품목마스터!$D$3:$D$302,MATCH($B2928,품목마스터!$A$3:$A$302,0)),""))</f>
        <v/>
      </c>
      <c r="E2928" s="12"/>
      <c r="F2928" s="10"/>
    </row>
    <row r="2929" customFormat="false" ht="15" hidden="false" customHeight="true" outlineLevel="0" collapsed="false">
      <c r="A2929" s="16"/>
      <c r="B2929" s="10"/>
      <c r="C2929" s="17" t="str">
        <f aca="false">IF($B2929="","",IFERROR(INDEX(품목마스터!$B$3:$B$302,MATCH($B2929,품목마스터!$A$3:$A$302,0)),"미등록품번"))</f>
        <v/>
      </c>
      <c r="D2929" s="17" t="str">
        <f aca="false">IF($B2929="","",IFERROR(INDEX(품목마스터!$D$3:$D$302,MATCH($B2929,품목마스터!$A$3:$A$302,0)),""))</f>
        <v/>
      </c>
      <c r="E2929" s="12"/>
      <c r="F2929" s="10"/>
    </row>
    <row r="2930" customFormat="false" ht="15" hidden="false" customHeight="true" outlineLevel="0" collapsed="false">
      <c r="A2930" s="16"/>
      <c r="B2930" s="10"/>
      <c r="C2930" s="17" t="str">
        <f aca="false">IF($B2930="","",IFERROR(INDEX(품목마스터!$B$3:$B$302,MATCH($B2930,품목마스터!$A$3:$A$302,0)),"미등록품번"))</f>
        <v/>
      </c>
      <c r="D2930" s="17" t="str">
        <f aca="false">IF($B2930="","",IFERROR(INDEX(품목마스터!$D$3:$D$302,MATCH($B2930,품목마스터!$A$3:$A$302,0)),""))</f>
        <v/>
      </c>
      <c r="E2930" s="12"/>
      <c r="F2930" s="10"/>
    </row>
    <row r="2931" customFormat="false" ht="15" hidden="false" customHeight="true" outlineLevel="0" collapsed="false">
      <c r="A2931" s="16"/>
      <c r="B2931" s="10"/>
      <c r="C2931" s="17" t="str">
        <f aca="false">IF($B2931="","",IFERROR(INDEX(품목마스터!$B$3:$B$302,MATCH($B2931,품목마스터!$A$3:$A$302,0)),"미등록품번"))</f>
        <v/>
      </c>
      <c r="D2931" s="17" t="str">
        <f aca="false">IF($B2931="","",IFERROR(INDEX(품목마스터!$D$3:$D$302,MATCH($B2931,품목마스터!$A$3:$A$302,0)),""))</f>
        <v/>
      </c>
      <c r="E2931" s="12"/>
      <c r="F2931" s="10"/>
    </row>
    <row r="2932" customFormat="false" ht="15" hidden="false" customHeight="true" outlineLevel="0" collapsed="false">
      <c r="A2932" s="16"/>
      <c r="B2932" s="10"/>
      <c r="C2932" s="17" t="str">
        <f aca="false">IF($B2932="","",IFERROR(INDEX(품목마스터!$B$3:$B$302,MATCH($B2932,품목마스터!$A$3:$A$302,0)),"미등록품번"))</f>
        <v/>
      </c>
      <c r="D2932" s="17" t="str">
        <f aca="false">IF($B2932="","",IFERROR(INDEX(품목마스터!$D$3:$D$302,MATCH($B2932,품목마스터!$A$3:$A$302,0)),""))</f>
        <v/>
      </c>
      <c r="E2932" s="12"/>
      <c r="F2932" s="10"/>
    </row>
    <row r="2933" customFormat="false" ht="15" hidden="false" customHeight="true" outlineLevel="0" collapsed="false">
      <c r="A2933" s="16"/>
      <c r="B2933" s="10"/>
      <c r="C2933" s="17" t="str">
        <f aca="false">IF($B2933="","",IFERROR(INDEX(품목마스터!$B$3:$B$302,MATCH($B2933,품목마스터!$A$3:$A$302,0)),"미등록품번"))</f>
        <v/>
      </c>
      <c r="D2933" s="17" t="str">
        <f aca="false">IF($B2933="","",IFERROR(INDEX(품목마스터!$D$3:$D$302,MATCH($B2933,품목마스터!$A$3:$A$302,0)),""))</f>
        <v/>
      </c>
      <c r="E2933" s="12"/>
      <c r="F2933" s="10"/>
    </row>
    <row r="2934" customFormat="false" ht="15" hidden="false" customHeight="true" outlineLevel="0" collapsed="false">
      <c r="A2934" s="16"/>
      <c r="B2934" s="10"/>
      <c r="C2934" s="17" t="str">
        <f aca="false">IF($B2934="","",IFERROR(INDEX(품목마스터!$B$3:$B$302,MATCH($B2934,품목마스터!$A$3:$A$302,0)),"미등록품번"))</f>
        <v/>
      </c>
      <c r="D2934" s="17" t="str">
        <f aca="false">IF($B2934="","",IFERROR(INDEX(품목마스터!$D$3:$D$302,MATCH($B2934,품목마스터!$A$3:$A$302,0)),""))</f>
        <v/>
      </c>
      <c r="E2934" s="12"/>
      <c r="F2934" s="10"/>
    </row>
    <row r="2935" customFormat="false" ht="15" hidden="false" customHeight="true" outlineLevel="0" collapsed="false">
      <c r="A2935" s="16"/>
      <c r="B2935" s="10"/>
      <c r="C2935" s="17" t="str">
        <f aca="false">IF($B2935="","",IFERROR(INDEX(품목마스터!$B$3:$B$302,MATCH($B2935,품목마스터!$A$3:$A$302,0)),"미등록품번"))</f>
        <v/>
      </c>
      <c r="D2935" s="17" t="str">
        <f aca="false">IF($B2935="","",IFERROR(INDEX(품목마스터!$D$3:$D$302,MATCH($B2935,품목마스터!$A$3:$A$302,0)),""))</f>
        <v/>
      </c>
      <c r="E2935" s="12"/>
      <c r="F2935" s="10"/>
    </row>
    <row r="2936" customFormat="false" ht="15" hidden="false" customHeight="true" outlineLevel="0" collapsed="false">
      <c r="A2936" s="16"/>
      <c r="B2936" s="10"/>
      <c r="C2936" s="17" t="str">
        <f aca="false">IF($B2936="","",IFERROR(INDEX(품목마스터!$B$3:$B$302,MATCH($B2936,품목마스터!$A$3:$A$302,0)),"미등록품번"))</f>
        <v/>
      </c>
      <c r="D2936" s="17" t="str">
        <f aca="false">IF($B2936="","",IFERROR(INDEX(품목마스터!$D$3:$D$302,MATCH($B2936,품목마스터!$A$3:$A$302,0)),""))</f>
        <v/>
      </c>
      <c r="E2936" s="12"/>
      <c r="F2936" s="10"/>
    </row>
    <row r="2937" customFormat="false" ht="15" hidden="false" customHeight="true" outlineLevel="0" collapsed="false">
      <c r="A2937" s="16"/>
      <c r="B2937" s="10"/>
      <c r="C2937" s="17" t="str">
        <f aca="false">IF($B2937="","",IFERROR(INDEX(품목마스터!$B$3:$B$302,MATCH($B2937,품목마스터!$A$3:$A$302,0)),"미등록품번"))</f>
        <v/>
      </c>
      <c r="D2937" s="17" t="str">
        <f aca="false">IF($B2937="","",IFERROR(INDEX(품목마스터!$D$3:$D$302,MATCH($B2937,품목마스터!$A$3:$A$302,0)),""))</f>
        <v/>
      </c>
      <c r="E2937" s="12"/>
      <c r="F2937" s="10"/>
    </row>
    <row r="2938" customFormat="false" ht="15" hidden="false" customHeight="true" outlineLevel="0" collapsed="false">
      <c r="A2938" s="16"/>
      <c r="B2938" s="10"/>
      <c r="C2938" s="17" t="str">
        <f aca="false">IF($B2938="","",IFERROR(INDEX(품목마스터!$B$3:$B$302,MATCH($B2938,품목마스터!$A$3:$A$302,0)),"미등록품번"))</f>
        <v/>
      </c>
      <c r="D2938" s="17" t="str">
        <f aca="false">IF($B2938="","",IFERROR(INDEX(품목마스터!$D$3:$D$302,MATCH($B2938,품목마스터!$A$3:$A$302,0)),""))</f>
        <v/>
      </c>
      <c r="E2938" s="12"/>
      <c r="F2938" s="10"/>
    </row>
    <row r="2939" customFormat="false" ht="15" hidden="false" customHeight="true" outlineLevel="0" collapsed="false">
      <c r="A2939" s="16"/>
      <c r="B2939" s="10"/>
      <c r="C2939" s="17" t="str">
        <f aca="false">IF($B2939="","",IFERROR(INDEX(품목마스터!$B$3:$B$302,MATCH($B2939,품목마스터!$A$3:$A$302,0)),"미등록품번"))</f>
        <v/>
      </c>
      <c r="D2939" s="17" t="str">
        <f aca="false">IF($B2939="","",IFERROR(INDEX(품목마스터!$D$3:$D$302,MATCH($B2939,품목마스터!$A$3:$A$302,0)),""))</f>
        <v/>
      </c>
      <c r="E2939" s="12"/>
      <c r="F2939" s="10"/>
    </row>
    <row r="2940" customFormat="false" ht="15" hidden="false" customHeight="true" outlineLevel="0" collapsed="false">
      <c r="A2940" s="16"/>
      <c r="B2940" s="10"/>
      <c r="C2940" s="17" t="str">
        <f aca="false">IF($B2940="","",IFERROR(INDEX(품목마스터!$B$3:$B$302,MATCH($B2940,품목마스터!$A$3:$A$302,0)),"미등록품번"))</f>
        <v/>
      </c>
      <c r="D2940" s="17" t="str">
        <f aca="false">IF($B2940="","",IFERROR(INDEX(품목마스터!$D$3:$D$302,MATCH($B2940,품목마스터!$A$3:$A$302,0)),""))</f>
        <v/>
      </c>
      <c r="E2940" s="12"/>
      <c r="F2940" s="10"/>
    </row>
    <row r="2941" customFormat="false" ht="15" hidden="false" customHeight="true" outlineLevel="0" collapsed="false">
      <c r="A2941" s="16"/>
      <c r="B2941" s="10"/>
      <c r="C2941" s="17" t="str">
        <f aca="false">IF($B2941="","",IFERROR(INDEX(품목마스터!$B$3:$B$302,MATCH($B2941,품목마스터!$A$3:$A$302,0)),"미등록품번"))</f>
        <v/>
      </c>
      <c r="D2941" s="17" t="str">
        <f aca="false">IF($B2941="","",IFERROR(INDEX(품목마스터!$D$3:$D$302,MATCH($B2941,품목마스터!$A$3:$A$302,0)),""))</f>
        <v/>
      </c>
      <c r="E2941" s="12"/>
      <c r="F2941" s="10"/>
    </row>
    <row r="2942" customFormat="false" ht="15" hidden="false" customHeight="true" outlineLevel="0" collapsed="false">
      <c r="A2942" s="16"/>
      <c r="B2942" s="10"/>
      <c r="C2942" s="17" t="str">
        <f aca="false">IF($B2942="","",IFERROR(INDEX(품목마스터!$B$3:$B$302,MATCH($B2942,품목마스터!$A$3:$A$302,0)),"미등록품번"))</f>
        <v/>
      </c>
      <c r="D2942" s="17" t="str">
        <f aca="false">IF($B2942="","",IFERROR(INDEX(품목마스터!$D$3:$D$302,MATCH($B2942,품목마스터!$A$3:$A$302,0)),""))</f>
        <v/>
      </c>
      <c r="E2942" s="12"/>
      <c r="F2942" s="10"/>
    </row>
    <row r="2943" customFormat="false" ht="15" hidden="false" customHeight="true" outlineLevel="0" collapsed="false">
      <c r="A2943" s="16"/>
      <c r="B2943" s="10"/>
      <c r="C2943" s="17" t="str">
        <f aca="false">IF($B2943="","",IFERROR(INDEX(품목마스터!$B$3:$B$302,MATCH($B2943,품목마스터!$A$3:$A$302,0)),"미등록품번"))</f>
        <v/>
      </c>
      <c r="D2943" s="17" t="str">
        <f aca="false">IF($B2943="","",IFERROR(INDEX(품목마스터!$D$3:$D$302,MATCH($B2943,품목마스터!$A$3:$A$302,0)),""))</f>
        <v/>
      </c>
      <c r="E2943" s="12"/>
      <c r="F2943" s="10"/>
    </row>
    <row r="2944" customFormat="false" ht="15" hidden="false" customHeight="true" outlineLevel="0" collapsed="false">
      <c r="A2944" s="16"/>
      <c r="B2944" s="10"/>
      <c r="C2944" s="17" t="str">
        <f aca="false">IF($B2944="","",IFERROR(INDEX(품목마스터!$B$3:$B$302,MATCH($B2944,품목마스터!$A$3:$A$302,0)),"미등록품번"))</f>
        <v/>
      </c>
      <c r="D2944" s="17" t="str">
        <f aca="false">IF($B2944="","",IFERROR(INDEX(품목마스터!$D$3:$D$302,MATCH($B2944,품목마스터!$A$3:$A$302,0)),""))</f>
        <v/>
      </c>
      <c r="E2944" s="12"/>
      <c r="F2944" s="10"/>
    </row>
    <row r="2945" customFormat="false" ht="15" hidden="false" customHeight="true" outlineLevel="0" collapsed="false">
      <c r="A2945" s="16"/>
      <c r="B2945" s="10"/>
      <c r="C2945" s="17" t="str">
        <f aca="false">IF($B2945="","",IFERROR(INDEX(품목마스터!$B$3:$B$302,MATCH($B2945,품목마스터!$A$3:$A$302,0)),"미등록품번"))</f>
        <v/>
      </c>
      <c r="D2945" s="17" t="str">
        <f aca="false">IF($B2945="","",IFERROR(INDEX(품목마스터!$D$3:$D$302,MATCH($B2945,품목마스터!$A$3:$A$302,0)),""))</f>
        <v/>
      </c>
      <c r="E2945" s="12"/>
      <c r="F2945" s="10"/>
    </row>
    <row r="2946" customFormat="false" ht="15" hidden="false" customHeight="true" outlineLevel="0" collapsed="false">
      <c r="A2946" s="16"/>
      <c r="B2946" s="10"/>
      <c r="C2946" s="17" t="str">
        <f aca="false">IF($B2946="","",IFERROR(INDEX(품목마스터!$B$3:$B$302,MATCH($B2946,품목마스터!$A$3:$A$302,0)),"미등록품번"))</f>
        <v/>
      </c>
      <c r="D2946" s="17" t="str">
        <f aca="false">IF($B2946="","",IFERROR(INDEX(품목마스터!$D$3:$D$302,MATCH($B2946,품목마스터!$A$3:$A$302,0)),""))</f>
        <v/>
      </c>
      <c r="E2946" s="12"/>
      <c r="F2946" s="10"/>
    </row>
    <row r="2947" customFormat="false" ht="15" hidden="false" customHeight="true" outlineLevel="0" collapsed="false">
      <c r="A2947" s="16"/>
      <c r="B2947" s="10"/>
      <c r="C2947" s="17" t="str">
        <f aca="false">IF($B2947="","",IFERROR(INDEX(품목마스터!$B$3:$B$302,MATCH($B2947,품목마스터!$A$3:$A$302,0)),"미등록품번"))</f>
        <v/>
      </c>
      <c r="D2947" s="17" t="str">
        <f aca="false">IF($B2947="","",IFERROR(INDEX(품목마스터!$D$3:$D$302,MATCH($B2947,품목마스터!$A$3:$A$302,0)),""))</f>
        <v/>
      </c>
      <c r="E2947" s="12"/>
      <c r="F2947" s="10"/>
    </row>
    <row r="2948" customFormat="false" ht="15" hidden="false" customHeight="true" outlineLevel="0" collapsed="false">
      <c r="A2948" s="16"/>
      <c r="B2948" s="10"/>
      <c r="C2948" s="17" t="str">
        <f aca="false">IF($B2948="","",IFERROR(INDEX(품목마스터!$B$3:$B$302,MATCH($B2948,품목마스터!$A$3:$A$302,0)),"미등록품번"))</f>
        <v/>
      </c>
      <c r="D2948" s="17" t="str">
        <f aca="false">IF($B2948="","",IFERROR(INDEX(품목마스터!$D$3:$D$302,MATCH($B2948,품목마스터!$A$3:$A$302,0)),""))</f>
        <v/>
      </c>
      <c r="E2948" s="12"/>
      <c r="F2948" s="10"/>
    </row>
    <row r="2949" customFormat="false" ht="15" hidden="false" customHeight="true" outlineLevel="0" collapsed="false">
      <c r="A2949" s="16"/>
      <c r="B2949" s="10"/>
      <c r="C2949" s="17" t="str">
        <f aca="false">IF($B2949="","",IFERROR(INDEX(품목마스터!$B$3:$B$302,MATCH($B2949,품목마스터!$A$3:$A$302,0)),"미등록품번"))</f>
        <v/>
      </c>
      <c r="D2949" s="17" t="str">
        <f aca="false">IF($B2949="","",IFERROR(INDEX(품목마스터!$D$3:$D$302,MATCH($B2949,품목마스터!$A$3:$A$302,0)),""))</f>
        <v/>
      </c>
      <c r="E2949" s="12"/>
      <c r="F2949" s="10"/>
    </row>
    <row r="2950" customFormat="false" ht="15" hidden="false" customHeight="true" outlineLevel="0" collapsed="false">
      <c r="A2950" s="16"/>
      <c r="B2950" s="10"/>
      <c r="C2950" s="17" t="str">
        <f aca="false">IF($B2950="","",IFERROR(INDEX(품목마스터!$B$3:$B$302,MATCH($B2950,품목마스터!$A$3:$A$302,0)),"미등록품번"))</f>
        <v/>
      </c>
      <c r="D2950" s="17" t="str">
        <f aca="false">IF($B2950="","",IFERROR(INDEX(품목마스터!$D$3:$D$302,MATCH($B2950,품목마스터!$A$3:$A$302,0)),""))</f>
        <v/>
      </c>
      <c r="E2950" s="12"/>
      <c r="F2950" s="10"/>
    </row>
    <row r="2951" customFormat="false" ht="15" hidden="false" customHeight="true" outlineLevel="0" collapsed="false">
      <c r="A2951" s="16"/>
      <c r="B2951" s="10"/>
      <c r="C2951" s="17" t="str">
        <f aca="false">IF($B2951="","",IFERROR(INDEX(품목마스터!$B$3:$B$302,MATCH($B2951,품목마스터!$A$3:$A$302,0)),"미등록품번"))</f>
        <v/>
      </c>
      <c r="D2951" s="17" t="str">
        <f aca="false">IF($B2951="","",IFERROR(INDEX(품목마스터!$D$3:$D$302,MATCH($B2951,품목마스터!$A$3:$A$302,0)),""))</f>
        <v/>
      </c>
      <c r="E2951" s="12"/>
      <c r="F2951" s="10"/>
    </row>
    <row r="2952" customFormat="false" ht="15" hidden="false" customHeight="true" outlineLevel="0" collapsed="false">
      <c r="A2952" s="16"/>
      <c r="B2952" s="10"/>
      <c r="C2952" s="17" t="str">
        <f aca="false">IF($B2952="","",IFERROR(INDEX(품목마스터!$B$3:$B$302,MATCH($B2952,품목마스터!$A$3:$A$302,0)),"미등록품번"))</f>
        <v/>
      </c>
      <c r="D2952" s="17" t="str">
        <f aca="false">IF($B2952="","",IFERROR(INDEX(품목마스터!$D$3:$D$302,MATCH($B2952,품목마스터!$A$3:$A$302,0)),""))</f>
        <v/>
      </c>
      <c r="E2952" s="12"/>
      <c r="F2952" s="10"/>
    </row>
    <row r="2953" customFormat="false" ht="15" hidden="false" customHeight="true" outlineLevel="0" collapsed="false">
      <c r="A2953" s="16"/>
      <c r="B2953" s="10"/>
      <c r="C2953" s="17" t="str">
        <f aca="false">IF($B2953="","",IFERROR(INDEX(품목마스터!$B$3:$B$302,MATCH($B2953,품목마스터!$A$3:$A$302,0)),"미등록품번"))</f>
        <v/>
      </c>
      <c r="D2953" s="17" t="str">
        <f aca="false">IF($B2953="","",IFERROR(INDEX(품목마스터!$D$3:$D$302,MATCH($B2953,품목마스터!$A$3:$A$302,0)),""))</f>
        <v/>
      </c>
      <c r="E2953" s="12"/>
      <c r="F2953" s="10"/>
    </row>
    <row r="2954" customFormat="false" ht="15" hidden="false" customHeight="true" outlineLevel="0" collapsed="false">
      <c r="A2954" s="16"/>
      <c r="B2954" s="10"/>
      <c r="C2954" s="17" t="str">
        <f aca="false">IF($B2954="","",IFERROR(INDEX(품목마스터!$B$3:$B$302,MATCH($B2954,품목마스터!$A$3:$A$302,0)),"미등록품번"))</f>
        <v/>
      </c>
      <c r="D2954" s="17" t="str">
        <f aca="false">IF($B2954="","",IFERROR(INDEX(품목마스터!$D$3:$D$302,MATCH($B2954,품목마스터!$A$3:$A$302,0)),""))</f>
        <v/>
      </c>
      <c r="E2954" s="12"/>
      <c r="F2954" s="10"/>
    </row>
    <row r="2955" customFormat="false" ht="15" hidden="false" customHeight="true" outlineLevel="0" collapsed="false">
      <c r="A2955" s="16"/>
      <c r="B2955" s="10"/>
      <c r="C2955" s="17" t="str">
        <f aca="false">IF($B2955="","",IFERROR(INDEX(품목마스터!$B$3:$B$302,MATCH($B2955,품목마스터!$A$3:$A$302,0)),"미등록품번"))</f>
        <v/>
      </c>
      <c r="D2955" s="17" t="str">
        <f aca="false">IF($B2955="","",IFERROR(INDEX(품목마스터!$D$3:$D$302,MATCH($B2955,품목마스터!$A$3:$A$302,0)),""))</f>
        <v/>
      </c>
      <c r="E2955" s="12"/>
      <c r="F2955" s="10"/>
    </row>
    <row r="2956" customFormat="false" ht="15" hidden="false" customHeight="true" outlineLevel="0" collapsed="false">
      <c r="A2956" s="16"/>
      <c r="B2956" s="10"/>
      <c r="C2956" s="17" t="str">
        <f aca="false">IF($B2956="","",IFERROR(INDEX(품목마스터!$B$3:$B$302,MATCH($B2956,품목마스터!$A$3:$A$302,0)),"미등록품번"))</f>
        <v/>
      </c>
      <c r="D2956" s="17" t="str">
        <f aca="false">IF($B2956="","",IFERROR(INDEX(품목마스터!$D$3:$D$302,MATCH($B2956,품목마스터!$A$3:$A$302,0)),""))</f>
        <v/>
      </c>
      <c r="E2956" s="12"/>
      <c r="F2956" s="10"/>
    </row>
    <row r="2957" customFormat="false" ht="15" hidden="false" customHeight="true" outlineLevel="0" collapsed="false">
      <c r="A2957" s="16"/>
      <c r="B2957" s="10"/>
      <c r="C2957" s="17" t="str">
        <f aca="false">IF($B2957="","",IFERROR(INDEX(품목마스터!$B$3:$B$302,MATCH($B2957,품목마스터!$A$3:$A$302,0)),"미등록품번"))</f>
        <v/>
      </c>
      <c r="D2957" s="17" t="str">
        <f aca="false">IF($B2957="","",IFERROR(INDEX(품목마스터!$D$3:$D$302,MATCH($B2957,품목마스터!$A$3:$A$302,0)),""))</f>
        <v/>
      </c>
      <c r="E2957" s="12"/>
      <c r="F2957" s="10"/>
    </row>
    <row r="2958" customFormat="false" ht="15" hidden="false" customHeight="true" outlineLevel="0" collapsed="false">
      <c r="A2958" s="16"/>
      <c r="B2958" s="10"/>
      <c r="C2958" s="17" t="str">
        <f aca="false">IF($B2958="","",IFERROR(INDEX(품목마스터!$B$3:$B$302,MATCH($B2958,품목마스터!$A$3:$A$302,0)),"미등록품번"))</f>
        <v/>
      </c>
      <c r="D2958" s="17" t="str">
        <f aca="false">IF($B2958="","",IFERROR(INDEX(품목마스터!$D$3:$D$302,MATCH($B2958,품목마스터!$A$3:$A$302,0)),""))</f>
        <v/>
      </c>
      <c r="E2958" s="12"/>
      <c r="F2958" s="10"/>
    </row>
    <row r="2959" customFormat="false" ht="15" hidden="false" customHeight="true" outlineLevel="0" collapsed="false">
      <c r="A2959" s="16"/>
      <c r="B2959" s="10"/>
      <c r="C2959" s="17" t="str">
        <f aca="false">IF($B2959="","",IFERROR(INDEX(품목마스터!$B$3:$B$302,MATCH($B2959,품목마스터!$A$3:$A$302,0)),"미등록품번"))</f>
        <v/>
      </c>
      <c r="D2959" s="17" t="str">
        <f aca="false">IF($B2959="","",IFERROR(INDEX(품목마스터!$D$3:$D$302,MATCH($B2959,품목마스터!$A$3:$A$302,0)),""))</f>
        <v/>
      </c>
      <c r="E2959" s="12"/>
      <c r="F2959" s="10"/>
    </row>
    <row r="2960" customFormat="false" ht="15" hidden="false" customHeight="true" outlineLevel="0" collapsed="false">
      <c r="A2960" s="16"/>
      <c r="B2960" s="10"/>
      <c r="C2960" s="17" t="str">
        <f aca="false">IF($B2960="","",IFERROR(INDEX(품목마스터!$B$3:$B$302,MATCH($B2960,품목마스터!$A$3:$A$302,0)),"미등록품번"))</f>
        <v/>
      </c>
      <c r="D2960" s="17" t="str">
        <f aca="false">IF($B2960="","",IFERROR(INDEX(품목마스터!$D$3:$D$302,MATCH($B2960,품목마스터!$A$3:$A$302,0)),""))</f>
        <v/>
      </c>
      <c r="E2960" s="12"/>
      <c r="F2960" s="10"/>
    </row>
    <row r="2961" customFormat="false" ht="15" hidden="false" customHeight="true" outlineLevel="0" collapsed="false">
      <c r="A2961" s="16"/>
      <c r="B2961" s="10"/>
      <c r="C2961" s="17" t="str">
        <f aca="false">IF($B2961="","",IFERROR(INDEX(품목마스터!$B$3:$B$302,MATCH($B2961,품목마스터!$A$3:$A$302,0)),"미등록품번"))</f>
        <v/>
      </c>
      <c r="D2961" s="17" t="str">
        <f aca="false">IF($B2961="","",IFERROR(INDEX(품목마스터!$D$3:$D$302,MATCH($B2961,품목마스터!$A$3:$A$302,0)),""))</f>
        <v/>
      </c>
      <c r="E2961" s="12"/>
      <c r="F2961" s="10"/>
    </row>
    <row r="2962" customFormat="false" ht="15" hidden="false" customHeight="true" outlineLevel="0" collapsed="false">
      <c r="A2962" s="16"/>
      <c r="B2962" s="10"/>
      <c r="C2962" s="17" t="str">
        <f aca="false">IF($B2962="","",IFERROR(INDEX(품목마스터!$B$3:$B$302,MATCH($B2962,품목마스터!$A$3:$A$302,0)),"미등록품번"))</f>
        <v/>
      </c>
      <c r="D2962" s="17" t="str">
        <f aca="false">IF($B2962="","",IFERROR(INDEX(품목마스터!$D$3:$D$302,MATCH($B2962,품목마스터!$A$3:$A$302,0)),""))</f>
        <v/>
      </c>
      <c r="E2962" s="12"/>
      <c r="F2962" s="10"/>
    </row>
    <row r="2963" customFormat="false" ht="15" hidden="false" customHeight="true" outlineLevel="0" collapsed="false">
      <c r="A2963" s="16"/>
      <c r="B2963" s="10"/>
      <c r="C2963" s="17" t="str">
        <f aca="false">IF($B2963="","",IFERROR(INDEX(품목마스터!$B$3:$B$302,MATCH($B2963,품목마스터!$A$3:$A$302,0)),"미등록품번"))</f>
        <v/>
      </c>
      <c r="D2963" s="17" t="str">
        <f aca="false">IF($B2963="","",IFERROR(INDEX(품목마스터!$D$3:$D$302,MATCH($B2963,품목마스터!$A$3:$A$302,0)),""))</f>
        <v/>
      </c>
      <c r="E2963" s="12"/>
      <c r="F2963" s="10"/>
    </row>
    <row r="2964" customFormat="false" ht="15" hidden="false" customHeight="true" outlineLevel="0" collapsed="false">
      <c r="A2964" s="16"/>
      <c r="B2964" s="10"/>
      <c r="C2964" s="17" t="str">
        <f aca="false">IF($B2964="","",IFERROR(INDEX(품목마스터!$B$3:$B$302,MATCH($B2964,품목마스터!$A$3:$A$302,0)),"미등록품번"))</f>
        <v/>
      </c>
      <c r="D2964" s="17" t="str">
        <f aca="false">IF($B2964="","",IFERROR(INDEX(품목마스터!$D$3:$D$302,MATCH($B2964,품목마스터!$A$3:$A$302,0)),""))</f>
        <v/>
      </c>
      <c r="E2964" s="12"/>
      <c r="F2964" s="10"/>
    </row>
    <row r="2965" customFormat="false" ht="15" hidden="false" customHeight="true" outlineLevel="0" collapsed="false">
      <c r="A2965" s="16"/>
      <c r="B2965" s="10"/>
      <c r="C2965" s="17" t="str">
        <f aca="false">IF($B2965="","",IFERROR(INDEX(품목마스터!$B$3:$B$302,MATCH($B2965,품목마스터!$A$3:$A$302,0)),"미등록품번"))</f>
        <v/>
      </c>
      <c r="D2965" s="17" t="str">
        <f aca="false">IF($B2965="","",IFERROR(INDEX(품목마스터!$D$3:$D$302,MATCH($B2965,품목마스터!$A$3:$A$302,0)),""))</f>
        <v/>
      </c>
      <c r="E2965" s="12"/>
      <c r="F2965" s="10"/>
    </row>
    <row r="2966" customFormat="false" ht="15" hidden="false" customHeight="true" outlineLevel="0" collapsed="false">
      <c r="A2966" s="16"/>
      <c r="B2966" s="10"/>
      <c r="C2966" s="17" t="str">
        <f aca="false">IF($B2966="","",IFERROR(INDEX(품목마스터!$B$3:$B$302,MATCH($B2966,품목마스터!$A$3:$A$302,0)),"미등록품번"))</f>
        <v/>
      </c>
      <c r="D2966" s="17" t="str">
        <f aca="false">IF($B2966="","",IFERROR(INDEX(품목마스터!$D$3:$D$302,MATCH($B2966,품목마스터!$A$3:$A$302,0)),""))</f>
        <v/>
      </c>
      <c r="E2966" s="12"/>
      <c r="F2966" s="10"/>
    </row>
    <row r="2967" customFormat="false" ht="15" hidden="false" customHeight="true" outlineLevel="0" collapsed="false">
      <c r="A2967" s="16"/>
      <c r="B2967" s="10"/>
      <c r="C2967" s="17" t="str">
        <f aca="false">IF($B2967="","",IFERROR(INDEX(품목마스터!$B$3:$B$302,MATCH($B2967,품목마스터!$A$3:$A$302,0)),"미등록품번"))</f>
        <v/>
      </c>
      <c r="D2967" s="17" t="str">
        <f aca="false">IF($B2967="","",IFERROR(INDEX(품목마스터!$D$3:$D$302,MATCH($B2967,품목마스터!$A$3:$A$302,0)),""))</f>
        <v/>
      </c>
      <c r="E2967" s="12"/>
      <c r="F2967" s="10"/>
    </row>
    <row r="2968" customFormat="false" ht="15" hidden="false" customHeight="true" outlineLevel="0" collapsed="false">
      <c r="A2968" s="16"/>
      <c r="B2968" s="10"/>
      <c r="C2968" s="17" t="str">
        <f aca="false">IF($B2968="","",IFERROR(INDEX(품목마스터!$B$3:$B$302,MATCH($B2968,품목마스터!$A$3:$A$302,0)),"미등록품번"))</f>
        <v/>
      </c>
      <c r="D2968" s="17" t="str">
        <f aca="false">IF($B2968="","",IFERROR(INDEX(품목마스터!$D$3:$D$302,MATCH($B2968,품목마스터!$A$3:$A$302,0)),""))</f>
        <v/>
      </c>
      <c r="E2968" s="12"/>
      <c r="F2968" s="10"/>
    </row>
    <row r="2969" customFormat="false" ht="15" hidden="false" customHeight="true" outlineLevel="0" collapsed="false">
      <c r="A2969" s="16"/>
      <c r="B2969" s="10"/>
      <c r="C2969" s="17" t="str">
        <f aca="false">IF($B2969="","",IFERROR(INDEX(품목마스터!$B$3:$B$302,MATCH($B2969,품목마스터!$A$3:$A$302,0)),"미등록품번"))</f>
        <v/>
      </c>
      <c r="D2969" s="17" t="str">
        <f aca="false">IF($B2969="","",IFERROR(INDEX(품목마스터!$D$3:$D$302,MATCH($B2969,품목마스터!$A$3:$A$302,0)),""))</f>
        <v/>
      </c>
      <c r="E2969" s="12"/>
      <c r="F2969" s="10"/>
    </row>
    <row r="2970" customFormat="false" ht="15" hidden="false" customHeight="true" outlineLevel="0" collapsed="false">
      <c r="A2970" s="16"/>
      <c r="B2970" s="10"/>
      <c r="C2970" s="17" t="str">
        <f aca="false">IF($B2970="","",IFERROR(INDEX(품목마스터!$B$3:$B$302,MATCH($B2970,품목마스터!$A$3:$A$302,0)),"미등록품번"))</f>
        <v/>
      </c>
      <c r="D2970" s="17" t="str">
        <f aca="false">IF($B2970="","",IFERROR(INDEX(품목마스터!$D$3:$D$302,MATCH($B2970,품목마스터!$A$3:$A$302,0)),""))</f>
        <v/>
      </c>
      <c r="E2970" s="12"/>
      <c r="F2970" s="10"/>
    </row>
    <row r="2971" customFormat="false" ht="15" hidden="false" customHeight="true" outlineLevel="0" collapsed="false">
      <c r="A2971" s="16"/>
      <c r="B2971" s="10"/>
      <c r="C2971" s="17" t="str">
        <f aca="false">IF($B2971="","",IFERROR(INDEX(품목마스터!$B$3:$B$302,MATCH($B2971,품목마스터!$A$3:$A$302,0)),"미등록품번"))</f>
        <v/>
      </c>
      <c r="D2971" s="17" t="str">
        <f aca="false">IF($B2971="","",IFERROR(INDEX(품목마스터!$D$3:$D$302,MATCH($B2971,품목마스터!$A$3:$A$302,0)),""))</f>
        <v/>
      </c>
      <c r="E2971" s="12"/>
      <c r="F2971" s="10"/>
    </row>
    <row r="2972" customFormat="false" ht="15" hidden="false" customHeight="true" outlineLevel="0" collapsed="false">
      <c r="A2972" s="16"/>
      <c r="B2972" s="10"/>
      <c r="C2972" s="17" t="str">
        <f aca="false">IF($B2972="","",IFERROR(INDEX(품목마스터!$B$3:$B$302,MATCH($B2972,품목마스터!$A$3:$A$302,0)),"미등록품번"))</f>
        <v/>
      </c>
      <c r="D2972" s="17" t="str">
        <f aca="false">IF($B2972="","",IFERROR(INDEX(품목마스터!$D$3:$D$302,MATCH($B2972,품목마스터!$A$3:$A$302,0)),""))</f>
        <v/>
      </c>
      <c r="E2972" s="12"/>
      <c r="F2972" s="10"/>
    </row>
    <row r="2973" customFormat="false" ht="15" hidden="false" customHeight="true" outlineLevel="0" collapsed="false">
      <c r="A2973" s="16"/>
      <c r="B2973" s="10"/>
      <c r="C2973" s="17" t="str">
        <f aca="false">IF($B2973="","",IFERROR(INDEX(품목마스터!$B$3:$B$302,MATCH($B2973,품목마스터!$A$3:$A$302,0)),"미등록품번"))</f>
        <v/>
      </c>
      <c r="D2973" s="17" t="str">
        <f aca="false">IF($B2973="","",IFERROR(INDEX(품목마스터!$D$3:$D$302,MATCH($B2973,품목마스터!$A$3:$A$302,0)),""))</f>
        <v/>
      </c>
      <c r="E2973" s="12"/>
      <c r="F2973" s="10"/>
    </row>
    <row r="2974" customFormat="false" ht="15" hidden="false" customHeight="true" outlineLevel="0" collapsed="false">
      <c r="A2974" s="16"/>
      <c r="B2974" s="10"/>
      <c r="C2974" s="17" t="str">
        <f aca="false">IF($B2974="","",IFERROR(INDEX(품목마스터!$B$3:$B$302,MATCH($B2974,품목마스터!$A$3:$A$302,0)),"미등록품번"))</f>
        <v/>
      </c>
      <c r="D2974" s="17" t="str">
        <f aca="false">IF($B2974="","",IFERROR(INDEX(품목마스터!$D$3:$D$302,MATCH($B2974,품목마스터!$A$3:$A$302,0)),""))</f>
        <v/>
      </c>
      <c r="E2974" s="12"/>
      <c r="F2974" s="10"/>
    </row>
    <row r="2975" customFormat="false" ht="15" hidden="false" customHeight="true" outlineLevel="0" collapsed="false">
      <c r="A2975" s="16"/>
      <c r="B2975" s="10"/>
      <c r="C2975" s="17" t="str">
        <f aca="false">IF($B2975="","",IFERROR(INDEX(품목마스터!$B$3:$B$302,MATCH($B2975,품목마스터!$A$3:$A$302,0)),"미등록품번"))</f>
        <v/>
      </c>
      <c r="D2975" s="17" t="str">
        <f aca="false">IF($B2975="","",IFERROR(INDEX(품목마스터!$D$3:$D$302,MATCH($B2975,품목마스터!$A$3:$A$302,0)),""))</f>
        <v/>
      </c>
      <c r="E2975" s="12"/>
      <c r="F2975" s="10"/>
    </row>
    <row r="2976" customFormat="false" ht="15" hidden="false" customHeight="true" outlineLevel="0" collapsed="false">
      <c r="A2976" s="16"/>
      <c r="B2976" s="10"/>
      <c r="C2976" s="17" t="str">
        <f aca="false">IF($B2976="","",IFERROR(INDEX(품목마스터!$B$3:$B$302,MATCH($B2976,품목마스터!$A$3:$A$302,0)),"미등록품번"))</f>
        <v/>
      </c>
      <c r="D2976" s="17" t="str">
        <f aca="false">IF($B2976="","",IFERROR(INDEX(품목마스터!$D$3:$D$302,MATCH($B2976,품목마스터!$A$3:$A$302,0)),""))</f>
        <v/>
      </c>
      <c r="E2976" s="12"/>
      <c r="F2976" s="10"/>
    </row>
    <row r="2977" customFormat="false" ht="15" hidden="false" customHeight="true" outlineLevel="0" collapsed="false">
      <c r="A2977" s="16"/>
      <c r="B2977" s="10"/>
      <c r="C2977" s="17" t="str">
        <f aca="false">IF($B2977="","",IFERROR(INDEX(품목마스터!$B$3:$B$302,MATCH($B2977,품목마스터!$A$3:$A$302,0)),"미등록품번"))</f>
        <v/>
      </c>
      <c r="D2977" s="17" t="str">
        <f aca="false">IF($B2977="","",IFERROR(INDEX(품목마스터!$D$3:$D$302,MATCH($B2977,품목마스터!$A$3:$A$302,0)),""))</f>
        <v/>
      </c>
      <c r="E2977" s="12"/>
      <c r="F2977" s="10"/>
    </row>
    <row r="2978" customFormat="false" ht="15" hidden="false" customHeight="true" outlineLevel="0" collapsed="false">
      <c r="A2978" s="16"/>
      <c r="B2978" s="10"/>
      <c r="C2978" s="17" t="str">
        <f aca="false">IF($B2978="","",IFERROR(INDEX(품목마스터!$B$3:$B$302,MATCH($B2978,품목마스터!$A$3:$A$302,0)),"미등록품번"))</f>
        <v/>
      </c>
      <c r="D2978" s="17" t="str">
        <f aca="false">IF($B2978="","",IFERROR(INDEX(품목마스터!$D$3:$D$302,MATCH($B2978,품목마스터!$A$3:$A$302,0)),""))</f>
        <v/>
      </c>
      <c r="E2978" s="12"/>
      <c r="F2978" s="10"/>
    </row>
    <row r="2979" customFormat="false" ht="15" hidden="false" customHeight="true" outlineLevel="0" collapsed="false">
      <c r="A2979" s="16"/>
      <c r="B2979" s="10"/>
      <c r="C2979" s="17" t="str">
        <f aca="false">IF($B2979="","",IFERROR(INDEX(품목마스터!$B$3:$B$302,MATCH($B2979,품목마스터!$A$3:$A$302,0)),"미등록품번"))</f>
        <v/>
      </c>
      <c r="D2979" s="17" t="str">
        <f aca="false">IF($B2979="","",IFERROR(INDEX(품목마스터!$D$3:$D$302,MATCH($B2979,품목마스터!$A$3:$A$302,0)),""))</f>
        <v/>
      </c>
      <c r="E2979" s="12"/>
      <c r="F2979" s="10"/>
    </row>
    <row r="2980" customFormat="false" ht="15" hidden="false" customHeight="true" outlineLevel="0" collapsed="false">
      <c r="A2980" s="16"/>
      <c r="B2980" s="10"/>
      <c r="C2980" s="17" t="str">
        <f aca="false">IF($B2980="","",IFERROR(INDEX(품목마스터!$B$3:$B$302,MATCH($B2980,품목마스터!$A$3:$A$302,0)),"미등록품번"))</f>
        <v/>
      </c>
      <c r="D2980" s="17" t="str">
        <f aca="false">IF($B2980="","",IFERROR(INDEX(품목마스터!$D$3:$D$302,MATCH($B2980,품목마스터!$A$3:$A$302,0)),""))</f>
        <v/>
      </c>
      <c r="E2980" s="12"/>
      <c r="F2980" s="10"/>
    </row>
    <row r="2981" customFormat="false" ht="15" hidden="false" customHeight="true" outlineLevel="0" collapsed="false">
      <c r="A2981" s="16"/>
      <c r="B2981" s="10"/>
      <c r="C2981" s="17" t="str">
        <f aca="false">IF($B2981="","",IFERROR(INDEX(품목마스터!$B$3:$B$302,MATCH($B2981,품목마스터!$A$3:$A$302,0)),"미등록품번"))</f>
        <v/>
      </c>
      <c r="D2981" s="17" t="str">
        <f aca="false">IF($B2981="","",IFERROR(INDEX(품목마스터!$D$3:$D$302,MATCH($B2981,품목마스터!$A$3:$A$302,0)),""))</f>
        <v/>
      </c>
      <c r="E2981" s="12"/>
      <c r="F2981" s="10"/>
    </row>
    <row r="2982" customFormat="false" ht="15" hidden="false" customHeight="true" outlineLevel="0" collapsed="false">
      <c r="A2982" s="16"/>
      <c r="B2982" s="10"/>
      <c r="C2982" s="17" t="str">
        <f aca="false">IF($B2982="","",IFERROR(INDEX(품목마스터!$B$3:$B$302,MATCH($B2982,품목마스터!$A$3:$A$302,0)),"미등록품번"))</f>
        <v/>
      </c>
      <c r="D2982" s="17" t="str">
        <f aca="false">IF($B2982="","",IFERROR(INDEX(품목마스터!$D$3:$D$302,MATCH($B2982,품목마스터!$A$3:$A$302,0)),""))</f>
        <v/>
      </c>
      <c r="E2982" s="12"/>
      <c r="F2982" s="10"/>
    </row>
    <row r="2983" customFormat="false" ht="15" hidden="false" customHeight="true" outlineLevel="0" collapsed="false">
      <c r="A2983" s="16"/>
      <c r="B2983" s="10"/>
      <c r="C2983" s="17" t="str">
        <f aca="false">IF($B2983="","",IFERROR(INDEX(품목마스터!$B$3:$B$302,MATCH($B2983,품목마스터!$A$3:$A$302,0)),"미등록품번"))</f>
        <v/>
      </c>
      <c r="D2983" s="17" t="str">
        <f aca="false">IF($B2983="","",IFERROR(INDEX(품목마스터!$D$3:$D$302,MATCH($B2983,품목마스터!$A$3:$A$302,0)),""))</f>
        <v/>
      </c>
      <c r="E2983" s="12"/>
      <c r="F2983" s="10"/>
    </row>
    <row r="2984" customFormat="false" ht="15" hidden="false" customHeight="true" outlineLevel="0" collapsed="false">
      <c r="A2984" s="16"/>
      <c r="B2984" s="10"/>
      <c r="C2984" s="17" t="str">
        <f aca="false">IF($B2984="","",IFERROR(INDEX(품목마스터!$B$3:$B$302,MATCH($B2984,품목마스터!$A$3:$A$302,0)),"미등록품번"))</f>
        <v/>
      </c>
      <c r="D2984" s="17" t="str">
        <f aca="false">IF($B2984="","",IFERROR(INDEX(품목마스터!$D$3:$D$302,MATCH($B2984,품목마스터!$A$3:$A$302,0)),""))</f>
        <v/>
      </c>
      <c r="E2984" s="12"/>
      <c r="F2984" s="10"/>
    </row>
    <row r="2985" customFormat="false" ht="15" hidden="false" customHeight="true" outlineLevel="0" collapsed="false">
      <c r="A2985" s="16"/>
      <c r="B2985" s="10"/>
      <c r="C2985" s="17" t="str">
        <f aca="false">IF($B2985="","",IFERROR(INDEX(품목마스터!$B$3:$B$302,MATCH($B2985,품목마스터!$A$3:$A$302,0)),"미등록품번"))</f>
        <v/>
      </c>
      <c r="D2985" s="17" t="str">
        <f aca="false">IF($B2985="","",IFERROR(INDEX(품목마스터!$D$3:$D$302,MATCH($B2985,품목마스터!$A$3:$A$302,0)),""))</f>
        <v/>
      </c>
      <c r="E2985" s="12"/>
      <c r="F2985" s="10"/>
    </row>
    <row r="2986" customFormat="false" ht="15" hidden="false" customHeight="true" outlineLevel="0" collapsed="false">
      <c r="A2986" s="16"/>
      <c r="B2986" s="10"/>
      <c r="C2986" s="17" t="str">
        <f aca="false">IF($B2986="","",IFERROR(INDEX(품목마스터!$B$3:$B$302,MATCH($B2986,품목마스터!$A$3:$A$302,0)),"미등록품번"))</f>
        <v/>
      </c>
      <c r="D2986" s="17" t="str">
        <f aca="false">IF($B2986="","",IFERROR(INDEX(품목마스터!$D$3:$D$302,MATCH($B2986,품목마스터!$A$3:$A$302,0)),""))</f>
        <v/>
      </c>
      <c r="E2986" s="12"/>
      <c r="F2986" s="10"/>
    </row>
    <row r="2987" customFormat="false" ht="15" hidden="false" customHeight="true" outlineLevel="0" collapsed="false">
      <c r="A2987" s="16"/>
      <c r="B2987" s="10"/>
      <c r="C2987" s="17" t="str">
        <f aca="false">IF($B2987="","",IFERROR(INDEX(품목마스터!$B$3:$B$302,MATCH($B2987,품목마스터!$A$3:$A$302,0)),"미등록품번"))</f>
        <v/>
      </c>
      <c r="D2987" s="17" t="str">
        <f aca="false">IF($B2987="","",IFERROR(INDEX(품목마스터!$D$3:$D$302,MATCH($B2987,품목마스터!$A$3:$A$302,0)),""))</f>
        <v/>
      </c>
      <c r="E2987" s="12"/>
      <c r="F2987" s="10"/>
    </row>
    <row r="2988" customFormat="false" ht="15" hidden="false" customHeight="true" outlineLevel="0" collapsed="false">
      <c r="A2988" s="16"/>
      <c r="B2988" s="10"/>
      <c r="C2988" s="17" t="str">
        <f aca="false">IF($B2988="","",IFERROR(INDEX(품목마스터!$B$3:$B$302,MATCH($B2988,품목마스터!$A$3:$A$302,0)),"미등록품번"))</f>
        <v/>
      </c>
      <c r="D2988" s="17" t="str">
        <f aca="false">IF($B2988="","",IFERROR(INDEX(품목마스터!$D$3:$D$302,MATCH($B2988,품목마스터!$A$3:$A$302,0)),""))</f>
        <v/>
      </c>
      <c r="E2988" s="12"/>
      <c r="F2988" s="10"/>
    </row>
    <row r="2989" customFormat="false" ht="15" hidden="false" customHeight="true" outlineLevel="0" collapsed="false">
      <c r="A2989" s="16"/>
      <c r="B2989" s="10"/>
      <c r="C2989" s="17" t="str">
        <f aca="false">IF($B2989="","",IFERROR(INDEX(품목마스터!$B$3:$B$302,MATCH($B2989,품목마스터!$A$3:$A$302,0)),"미등록품번"))</f>
        <v/>
      </c>
      <c r="D2989" s="17" t="str">
        <f aca="false">IF($B2989="","",IFERROR(INDEX(품목마스터!$D$3:$D$302,MATCH($B2989,품목마스터!$A$3:$A$302,0)),""))</f>
        <v/>
      </c>
      <c r="E2989" s="12"/>
      <c r="F2989" s="10"/>
    </row>
    <row r="2990" customFormat="false" ht="15" hidden="false" customHeight="true" outlineLevel="0" collapsed="false">
      <c r="A2990" s="16"/>
      <c r="B2990" s="10"/>
      <c r="C2990" s="17" t="str">
        <f aca="false">IF($B2990="","",IFERROR(INDEX(품목마스터!$B$3:$B$302,MATCH($B2990,품목마스터!$A$3:$A$302,0)),"미등록품번"))</f>
        <v/>
      </c>
      <c r="D2990" s="17" t="str">
        <f aca="false">IF($B2990="","",IFERROR(INDEX(품목마스터!$D$3:$D$302,MATCH($B2990,품목마스터!$A$3:$A$302,0)),""))</f>
        <v/>
      </c>
      <c r="E2990" s="12"/>
      <c r="F2990" s="10"/>
    </row>
    <row r="2991" customFormat="false" ht="15" hidden="false" customHeight="true" outlineLevel="0" collapsed="false">
      <c r="A2991" s="16"/>
      <c r="B2991" s="10"/>
      <c r="C2991" s="17" t="str">
        <f aca="false">IF($B2991="","",IFERROR(INDEX(품목마스터!$B$3:$B$302,MATCH($B2991,품목마스터!$A$3:$A$302,0)),"미등록품번"))</f>
        <v/>
      </c>
      <c r="D2991" s="17" t="str">
        <f aca="false">IF($B2991="","",IFERROR(INDEX(품목마스터!$D$3:$D$302,MATCH($B2991,품목마스터!$A$3:$A$302,0)),""))</f>
        <v/>
      </c>
      <c r="E2991" s="12"/>
      <c r="F2991" s="10"/>
    </row>
    <row r="2992" customFormat="false" ht="15" hidden="false" customHeight="true" outlineLevel="0" collapsed="false">
      <c r="A2992" s="16"/>
      <c r="B2992" s="10"/>
      <c r="C2992" s="17" t="str">
        <f aca="false">IF($B2992="","",IFERROR(INDEX(품목마스터!$B$3:$B$302,MATCH($B2992,품목마스터!$A$3:$A$302,0)),"미등록품번"))</f>
        <v/>
      </c>
      <c r="D2992" s="17" t="str">
        <f aca="false">IF($B2992="","",IFERROR(INDEX(품목마스터!$D$3:$D$302,MATCH($B2992,품목마스터!$A$3:$A$302,0)),""))</f>
        <v/>
      </c>
      <c r="E2992" s="12"/>
      <c r="F2992" s="10"/>
    </row>
    <row r="2993" customFormat="false" ht="15" hidden="false" customHeight="true" outlineLevel="0" collapsed="false">
      <c r="A2993" s="16"/>
      <c r="B2993" s="10"/>
      <c r="C2993" s="17" t="str">
        <f aca="false">IF($B2993="","",IFERROR(INDEX(품목마스터!$B$3:$B$302,MATCH($B2993,품목마스터!$A$3:$A$302,0)),"미등록품번"))</f>
        <v/>
      </c>
      <c r="D2993" s="17" t="str">
        <f aca="false">IF($B2993="","",IFERROR(INDEX(품목마스터!$D$3:$D$302,MATCH($B2993,품목마스터!$A$3:$A$302,0)),""))</f>
        <v/>
      </c>
      <c r="E2993" s="12"/>
      <c r="F2993" s="10"/>
    </row>
    <row r="2994" customFormat="false" ht="15" hidden="false" customHeight="true" outlineLevel="0" collapsed="false">
      <c r="A2994" s="16"/>
      <c r="B2994" s="10"/>
      <c r="C2994" s="17" t="str">
        <f aca="false">IF($B2994="","",IFERROR(INDEX(품목마스터!$B$3:$B$302,MATCH($B2994,품목마스터!$A$3:$A$302,0)),"미등록품번"))</f>
        <v/>
      </c>
      <c r="D2994" s="17" t="str">
        <f aca="false">IF($B2994="","",IFERROR(INDEX(품목마스터!$D$3:$D$302,MATCH($B2994,품목마스터!$A$3:$A$302,0)),""))</f>
        <v/>
      </c>
      <c r="E2994" s="12"/>
      <c r="F2994" s="10"/>
    </row>
    <row r="2995" customFormat="false" ht="15" hidden="false" customHeight="true" outlineLevel="0" collapsed="false">
      <c r="A2995" s="16"/>
      <c r="B2995" s="10"/>
      <c r="C2995" s="17" t="str">
        <f aca="false">IF($B2995="","",IFERROR(INDEX(품목마스터!$B$3:$B$302,MATCH($B2995,품목마스터!$A$3:$A$302,0)),"미등록품번"))</f>
        <v/>
      </c>
      <c r="D2995" s="17" t="str">
        <f aca="false">IF($B2995="","",IFERROR(INDEX(품목마스터!$D$3:$D$302,MATCH($B2995,품목마스터!$A$3:$A$302,0)),""))</f>
        <v/>
      </c>
      <c r="E2995" s="12"/>
      <c r="F2995" s="10"/>
    </row>
    <row r="2996" customFormat="false" ht="15" hidden="false" customHeight="true" outlineLevel="0" collapsed="false">
      <c r="A2996" s="16"/>
      <c r="B2996" s="10"/>
      <c r="C2996" s="17" t="str">
        <f aca="false">IF($B2996="","",IFERROR(INDEX(품목마스터!$B$3:$B$302,MATCH($B2996,품목마스터!$A$3:$A$302,0)),"미등록품번"))</f>
        <v/>
      </c>
      <c r="D2996" s="17" t="str">
        <f aca="false">IF($B2996="","",IFERROR(INDEX(품목마스터!$D$3:$D$302,MATCH($B2996,품목마스터!$A$3:$A$302,0)),""))</f>
        <v/>
      </c>
      <c r="E2996" s="12"/>
      <c r="F2996" s="10"/>
    </row>
    <row r="2997" customFormat="false" ht="15" hidden="false" customHeight="true" outlineLevel="0" collapsed="false">
      <c r="A2997" s="16"/>
      <c r="B2997" s="10"/>
      <c r="C2997" s="17" t="str">
        <f aca="false">IF($B2997="","",IFERROR(INDEX(품목마스터!$B$3:$B$302,MATCH($B2997,품목마스터!$A$3:$A$302,0)),"미등록품번"))</f>
        <v/>
      </c>
      <c r="D2997" s="17" t="str">
        <f aca="false">IF($B2997="","",IFERROR(INDEX(품목마스터!$D$3:$D$302,MATCH($B2997,품목마스터!$A$3:$A$302,0)),""))</f>
        <v/>
      </c>
      <c r="E2997" s="12"/>
      <c r="F2997" s="10"/>
    </row>
    <row r="2998" customFormat="false" ht="15" hidden="false" customHeight="true" outlineLevel="0" collapsed="false">
      <c r="A2998" s="16"/>
      <c r="B2998" s="10"/>
      <c r="C2998" s="17" t="str">
        <f aca="false">IF($B2998="","",IFERROR(INDEX(품목마스터!$B$3:$B$302,MATCH($B2998,품목마스터!$A$3:$A$302,0)),"미등록품번"))</f>
        <v/>
      </c>
      <c r="D2998" s="17" t="str">
        <f aca="false">IF($B2998="","",IFERROR(INDEX(품목마스터!$D$3:$D$302,MATCH($B2998,품목마스터!$A$3:$A$302,0)),""))</f>
        <v/>
      </c>
      <c r="E2998" s="12"/>
      <c r="F2998" s="10"/>
    </row>
    <row r="2999" customFormat="false" ht="15" hidden="false" customHeight="true" outlineLevel="0" collapsed="false">
      <c r="A2999" s="16"/>
      <c r="B2999" s="10"/>
      <c r="C2999" s="17" t="str">
        <f aca="false">IF($B2999="","",IFERROR(INDEX(품목마스터!$B$3:$B$302,MATCH($B2999,품목마스터!$A$3:$A$302,0)),"미등록품번"))</f>
        <v/>
      </c>
      <c r="D2999" s="17" t="str">
        <f aca="false">IF($B2999="","",IFERROR(INDEX(품목마스터!$D$3:$D$302,MATCH($B2999,품목마스터!$A$3:$A$302,0)),""))</f>
        <v/>
      </c>
      <c r="E2999" s="12"/>
      <c r="F2999" s="10"/>
    </row>
    <row r="3000" customFormat="false" ht="15" hidden="false" customHeight="true" outlineLevel="0" collapsed="false">
      <c r="A3000" s="16"/>
      <c r="B3000" s="10"/>
      <c r="C3000" s="17" t="str">
        <f aca="false">IF($B3000="","",IFERROR(INDEX(품목마스터!$B$3:$B$302,MATCH($B3000,품목마스터!$A$3:$A$302,0)),"미등록품번"))</f>
        <v/>
      </c>
      <c r="D3000" s="17" t="str">
        <f aca="false">IF($B3000="","",IFERROR(INDEX(품목마스터!$D$3:$D$302,MATCH($B3000,품목마스터!$A$3:$A$302,0)),""))</f>
        <v/>
      </c>
      <c r="E3000" s="12"/>
      <c r="F3000" s="10"/>
    </row>
    <row r="3001" customFormat="false" ht="15" hidden="false" customHeight="true" outlineLevel="0" collapsed="false">
      <c r="A3001" s="16"/>
      <c r="B3001" s="10"/>
      <c r="C3001" s="17" t="str">
        <f aca="false">IF($B3001="","",IFERROR(INDEX(품목마스터!$B$3:$B$302,MATCH($B3001,품목마스터!$A$3:$A$302,0)),"미등록품번"))</f>
        <v/>
      </c>
      <c r="D3001" s="17" t="str">
        <f aca="false">IF($B3001="","",IFERROR(INDEX(품목마스터!$D$3:$D$302,MATCH($B3001,품목마스터!$A$3:$A$302,0)),""))</f>
        <v/>
      </c>
      <c r="E3001" s="12"/>
      <c r="F3001" s="10"/>
    </row>
    <row r="3002" customFormat="false" ht="15" hidden="false" customHeight="true" outlineLevel="0" collapsed="false">
      <c r="A3002" s="16"/>
      <c r="B3002" s="10"/>
      <c r="C3002" s="17" t="str">
        <f aca="false">IF($B3002="","",IFERROR(INDEX(품목마스터!$B$3:$B$302,MATCH($B3002,품목마스터!$A$3:$A$302,0)),"미등록품번"))</f>
        <v/>
      </c>
      <c r="D3002" s="17" t="str">
        <f aca="false">IF($B3002="","",IFERROR(INDEX(품목마스터!$D$3:$D$302,MATCH($B3002,품목마스터!$A$3:$A$302,0)),""))</f>
        <v/>
      </c>
      <c r="E3002" s="12"/>
      <c r="F3002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B3:B3002" type="list">
      <formula1>품목마스터!$A$3:$A$302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1" min="10" style="1" width="14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6.5" hidden="false" customHeight="true" outlineLevel="0" collapsed="false">
      <c r="A3" s="3" t="s">
        <v>62</v>
      </c>
      <c r="B3" s="18" t="n">
        <f aca="true">TODAY()</f>
        <v>46279</v>
      </c>
      <c r="D3" s="3" t="s">
        <v>63</v>
      </c>
      <c r="E3" s="19" t="str">
        <f aca="false">사용안내!$C$16&amp;"일"</f>
        <v>90일</v>
      </c>
      <c r="G3" s="3" t="s">
        <v>64</v>
      </c>
      <c r="H3" s="20" t="n">
        <f aca="false">SUMPRODUCT(($A$6:$A$305&lt;&gt;"")*($L$6:$L$305="발주"))</f>
        <v>2</v>
      </c>
    </row>
    <row r="5" customFormat="false" ht="15" hidden="false" customHeight="true" outlineLevel="0" collapsed="false">
      <c r="A5" s="9" t="s">
        <v>27</v>
      </c>
      <c r="B5" s="9" t="s">
        <v>28</v>
      </c>
      <c r="C5" s="9" t="s">
        <v>30</v>
      </c>
      <c r="D5" s="9" t="s">
        <v>31</v>
      </c>
      <c r="E5" s="9" t="s">
        <v>65</v>
      </c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18</v>
      </c>
      <c r="L5" s="9" t="s">
        <v>71</v>
      </c>
    </row>
    <row r="6" customFormat="false" ht="15" hidden="false" customHeight="true" outlineLevel="0" collapsed="false">
      <c r="A6" s="17" t="str">
        <f aca="false">IF(품목마스터!$A3="","",품목마스터!$A3)</f>
        <v>M001</v>
      </c>
      <c r="B6" s="17" t="str">
        <f aca="false">IF($A6="","",품목마스터!$B3)</f>
        <v>생리식염수 500ml</v>
      </c>
      <c r="C6" s="21" t="str">
        <f aca="false">IF($A6="","",품목마스터!$D3)</f>
        <v>병</v>
      </c>
      <c r="D6" s="22" t="n">
        <f aca="false">IF($A6="","",IF(품목마스터!$E3="",0,품목마스터!$E3))</f>
        <v>120</v>
      </c>
      <c r="E6" s="22" t="n">
        <f aca="false">IF($A6="","",SUMIFS(사용내역!$E$3:$E$3002,사용내역!$B$3:$B$3002,$A6,사용내역!$A$3:$A$3002,"&gt;"&amp;($B$3-사용안내!$C$16),사용내역!$A$3:$A$3002,"&lt;="&amp;$B$3))</f>
        <v>75</v>
      </c>
      <c r="F6" s="23" t="n">
        <f aca="false">IF($A6="","",IF(사용안내!$C$16=0,0,ROUND($E6/사용안내!$C$16,3)))</f>
        <v>0.833</v>
      </c>
      <c r="G6" s="24" t="n">
        <f aca="false">IF($A6="","",IF($F6&lt;=0,"사용기록없음",ROUND($D6/$F6,0)))</f>
        <v>144</v>
      </c>
      <c r="H6" s="25" t="n">
        <f aca="false">IF(OR($A6="",$F6&lt;=0),"",$B$3+$G6)</f>
        <v>46423</v>
      </c>
      <c r="I6" s="26" t="n">
        <f aca="false">IF($A6="","",IF(품목마스터!$F3="",0,품목마스터!$F3))</f>
        <v>5</v>
      </c>
      <c r="J6" s="25" t="n">
        <f aca="false">IF(OR($A6="",$F6&lt;=0),"",$H6-$I6)</f>
        <v>46418</v>
      </c>
      <c r="K6" s="22" t="n">
        <f aca="false">IF(OR($A6="",$F6&lt;=0),0,MAX(0,CEILING(MAX(0,($I6+사용안내!$C$17)*$F6-$D6),MAX(1,IF(품목마스터!$H3="",1,품목마스터!$H3)))))</f>
        <v>0</v>
      </c>
      <c r="L6" s="21" t="str">
        <f aca="false">IF($A6="","",IF($F6&lt;=0,"-",IF($J6&lt;=$B$3,"발주",IF($J6&lt;=$B$3+7,"임박","정상"))))</f>
        <v>정상</v>
      </c>
    </row>
    <row r="7" customFormat="false" ht="15" hidden="false" customHeight="true" outlineLevel="0" collapsed="false">
      <c r="A7" s="17" t="str">
        <f aca="false">IF(품목마스터!$A4="","",품목마스터!$A4)</f>
        <v>M002</v>
      </c>
      <c r="B7" s="17" t="str">
        <f aca="false">IF($A7="","",품목마스터!$B4)</f>
        <v>일회용 주사기 10cc</v>
      </c>
      <c r="C7" s="21" t="str">
        <f aca="false">IF($A7="","",품목마스터!$D4)</f>
        <v>개</v>
      </c>
      <c r="D7" s="22" t="n">
        <f aca="false">IF($A7="","",IF(품목마스터!$E4="",0,품목마스터!$E4))</f>
        <v>800</v>
      </c>
      <c r="E7" s="22" t="n">
        <f aca="false">IF($A7="","",SUMIFS(사용내역!$E$3:$E$3002,사용내역!$B$3:$B$3002,$A7,사용내역!$A$3:$A$3002,"&gt;"&amp;($B$3-사용안내!$C$16),사용내역!$A$3:$A$3002,"&lt;="&amp;$B$3))</f>
        <v>400</v>
      </c>
      <c r="F7" s="23" t="n">
        <f aca="false">IF($A7="","",IF(사용안내!$C$16=0,0,ROUND($E7/사용안내!$C$16,3)))</f>
        <v>4.444</v>
      </c>
      <c r="G7" s="24" t="n">
        <f aca="false">IF($A7="","",IF($F7&lt;=0,"사용기록없음",ROUND($D7/$F7,0)))</f>
        <v>180</v>
      </c>
      <c r="H7" s="25" t="n">
        <f aca="false">IF(OR($A7="",$F7&lt;=0),"",$B$3+$G7)</f>
        <v>46459</v>
      </c>
      <c r="I7" s="26" t="n">
        <f aca="false">IF($A7="","",IF(품목마스터!$F4="",0,품목마스터!$F4))</f>
        <v>7</v>
      </c>
      <c r="J7" s="25" t="n">
        <f aca="false">IF(OR($A7="",$F7&lt;=0),"",$H7-$I7)</f>
        <v>46452</v>
      </c>
      <c r="K7" s="22" t="n">
        <f aca="false">IF(OR($A7="",$F7&lt;=0),0,MAX(0,CEILING(MAX(0,($I7+사용안내!$C$17)*$F7-$D7),MAX(1,IF(품목마스터!$H4="",1,품목마스터!$H4)))))</f>
        <v>0</v>
      </c>
      <c r="L7" s="21" t="str">
        <f aca="false">IF($A7="","",IF($F7&lt;=0,"-",IF($J7&lt;=$B$3,"발주",IF($J7&lt;=$B$3+7,"임박","정상"))))</f>
        <v>정상</v>
      </c>
    </row>
    <row r="8" customFormat="false" ht="15" hidden="false" customHeight="true" outlineLevel="0" collapsed="false">
      <c r="A8" s="17" t="str">
        <f aca="false">IF(품목마스터!$A5="","",품목마스터!$A5)</f>
        <v>M003</v>
      </c>
      <c r="B8" s="17" t="str">
        <f aca="false">IF($A8="","",품목마스터!$B5)</f>
        <v>소독용 알코올</v>
      </c>
      <c r="C8" s="21" t="str">
        <f aca="false">IF($A8="","",품목마스터!$D5)</f>
        <v>통</v>
      </c>
      <c r="D8" s="22" t="n">
        <f aca="false">IF($A8="","",IF(품목마스터!$E5="",0,품목마스터!$E5))</f>
        <v>3</v>
      </c>
      <c r="E8" s="22" t="n">
        <f aca="false">IF($A8="","",SUMIFS(사용내역!$E$3:$E$3002,사용내역!$B$3:$B$3002,$A8,사용내역!$A$3:$A$3002,"&gt;"&amp;($B$3-사용안내!$C$16),사용내역!$A$3:$A$3002,"&lt;="&amp;$B$3))</f>
        <v>80</v>
      </c>
      <c r="F8" s="23" t="n">
        <f aca="false">IF($A8="","",IF(사용안내!$C$16=0,0,ROUND($E8/사용안내!$C$16,3)))</f>
        <v>0.889</v>
      </c>
      <c r="G8" s="24" t="n">
        <f aca="false">IF($A8="","",IF($F8&lt;=0,"사용기록없음",ROUND($D8/$F8,0)))</f>
        <v>3</v>
      </c>
      <c r="H8" s="25" t="n">
        <f aca="false">IF(OR($A8="",$F8&lt;=0),"",$B$3+$G8)</f>
        <v>46282</v>
      </c>
      <c r="I8" s="26" t="n">
        <f aca="false">IF($A8="","",IF(품목마스터!$F5="",0,품목마스터!$F5))</f>
        <v>3</v>
      </c>
      <c r="J8" s="25" t="n">
        <f aca="false">IF(OR($A8="",$F8&lt;=0),"",$H8-$I8)</f>
        <v>46279</v>
      </c>
      <c r="K8" s="22" t="n">
        <f aca="false">IF(OR($A8="",$F8&lt;=0),0,MAX(0,CEILING(MAX(0,($I8+사용안내!$C$17)*$F8-$D8),MAX(1,IF(품목마스터!$H5="",1,품목마스터!$H5)))))</f>
        <v>18</v>
      </c>
      <c r="L8" s="21" t="str">
        <f aca="false">IF($A8="","",IF($F8&lt;=0,"-",IF($J8&lt;=$B$3,"발주",IF($J8&lt;=$B$3+7,"임박","정상"))))</f>
        <v>발주</v>
      </c>
    </row>
    <row r="9" customFormat="false" ht="15" hidden="false" customHeight="true" outlineLevel="0" collapsed="false">
      <c r="A9" s="17" t="str">
        <f aca="false">IF(품목마스터!$A6="","",품목마스터!$A6)</f>
        <v>M004</v>
      </c>
      <c r="B9" s="17" t="str">
        <f aca="false">IF($A9="","",품목마스터!$B6)</f>
        <v>라텍스 장갑 M</v>
      </c>
      <c r="C9" s="21" t="str">
        <f aca="false">IF($A9="","",품목마스터!$D6)</f>
        <v>박스</v>
      </c>
      <c r="D9" s="22" t="n">
        <f aca="false">IF($A9="","",IF(품목마스터!$E6="",0,품목마스터!$E6))</f>
        <v>2</v>
      </c>
      <c r="E9" s="22" t="n">
        <f aca="false">IF($A9="","",SUMIFS(사용내역!$E$3:$E$3002,사용내역!$B$3:$B$3002,$A9,사용내역!$A$3:$A$3002,"&gt;"&amp;($B$3-사용안내!$C$16),사용내역!$A$3:$A$3002,"&lt;="&amp;$B$3))</f>
        <v>25</v>
      </c>
      <c r="F9" s="23" t="n">
        <f aca="false">IF($A9="","",IF(사용안내!$C$16=0,0,ROUND($E9/사용안내!$C$16,3)))</f>
        <v>0.278</v>
      </c>
      <c r="G9" s="24" t="n">
        <f aca="false">IF($A9="","",IF($F9&lt;=0,"사용기록없음",ROUND($D9/$F9,0)))</f>
        <v>7</v>
      </c>
      <c r="H9" s="25" t="n">
        <f aca="false">IF(OR($A9="",$F9&lt;=0),"",$B$3+$G9)</f>
        <v>46286</v>
      </c>
      <c r="I9" s="26" t="n">
        <f aca="false">IF($A9="","",IF(품목마스터!$F6="",0,품목마스터!$F6))</f>
        <v>10</v>
      </c>
      <c r="J9" s="25" t="n">
        <f aca="false">IF(OR($A9="",$F9&lt;=0),"",$H9-$I9)</f>
        <v>46276</v>
      </c>
      <c r="K9" s="22" t="n">
        <f aca="false">IF(OR($A9="",$F9&lt;=0),0,MAX(0,CEILING(MAX(0,($I9+사용안내!$C$17)*$F9-$D9),MAX(1,IF(품목마스터!$H6="",1,품목마스터!$H6)))))</f>
        <v>5</v>
      </c>
      <c r="L9" s="21" t="str">
        <f aca="false">IF($A9="","",IF($F9&lt;=0,"-",IF($J9&lt;=$B$3,"발주",IF($J9&lt;=$B$3+7,"임박","정상"))))</f>
        <v>발주</v>
      </c>
    </row>
    <row r="10" customFormat="false" ht="15" hidden="false" customHeight="true" outlineLevel="0" collapsed="false">
      <c r="A10" s="17" t="str">
        <f aca="false">IF(품목마스터!$A7="","",품목마스터!$A7)</f>
        <v/>
      </c>
      <c r="B10" s="17" t="str">
        <f aca="false">IF($A10="","",품목마스터!$B7)</f>
        <v/>
      </c>
      <c r="C10" s="21" t="str">
        <f aca="false">IF($A10="","",품목마스터!$D7)</f>
        <v/>
      </c>
      <c r="D10" s="22" t="str">
        <f aca="false">IF($A10="","",IF(품목마스터!$E7="",0,품목마스터!$E7))</f>
        <v/>
      </c>
      <c r="E10" s="22" t="str">
        <f aca="false">IF($A10="","",SUMIFS(사용내역!$E$3:$E$3002,사용내역!$B$3:$B$3002,$A10,사용내역!$A$3:$A$3002,"&gt;"&amp;($B$3-사용안내!$C$16),사용내역!$A$3:$A$3002,"&lt;="&amp;$B$3))</f>
        <v/>
      </c>
      <c r="F10" s="23" t="str">
        <f aca="false">IF($A10="","",IF(사용안내!$C$16=0,0,ROUND($E10/사용안내!$C$16,3)))</f>
        <v/>
      </c>
      <c r="G10" s="24" t="str">
        <f aca="false">IF($A10="","",IF($F10&lt;=0,"사용기록없음",ROUND($D10/$F10,0)))</f>
        <v/>
      </c>
      <c r="H10" s="25" t="str">
        <f aca="false">IF(OR($A10="",$F10&lt;=0),"",$B$3+$G10)</f>
        <v/>
      </c>
      <c r="I10" s="21" t="str">
        <f aca="false">IF($A10="","",IF(품목마스터!$F7="",0,품목마스터!$F7))</f>
        <v/>
      </c>
      <c r="J10" s="25" t="str">
        <f aca="false">IF(OR($A10="",$F10&lt;=0),"",$H10-$I10)</f>
        <v/>
      </c>
      <c r="K10" s="22" t="n">
        <f aca="false">IF(OR($A10="",$F10&lt;=0),0,MAX(0,CEILING(MAX(0,($I10+사용안내!$C$17)*$F10-$D10),MAX(1,IF(품목마스터!$H7="",1,품목마스터!$H7)))))</f>
        <v>0</v>
      </c>
      <c r="L10" s="21" t="str">
        <f aca="false">IF($A10="","",IF($F10&lt;=0,"-",IF($J10&lt;=$B$3,"발주",IF($J10&lt;=$B$3+7,"임박","정상"))))</f>
        <v/>
      </c>
    </row>
    <row r="11" customFormat="false" ht="15" hidden="false" customHeight="true" outlineLevel="0" collapsed="false">
      <c r="A11" s="17" t="str">
        <f aca="false">IF(품목마스터!$A8="","",품목마스터!$A8)</f>
        <v/>
      </c>
      <c r="B11" s="17" t="str">
        <f aca="false">IF($A11="","",품목마스터!$B8)</f>
        <v/>
      </c>
      <c r="C11" s="21" t="str">
        <f aca="false">IF($A11="","",품목마스터!$D8)</f>
        <v/>
      </c>
      <c r="D11" s="22" t="str">
        <f aca="false">IF($A11="","",IF(품목마스터!$E8="",0,품목마스터!$E8))</f>
        <v/>
      </c>
      <c r="E11" s="22" t="str">
        <f aca="false">IF($A11="","",SUMIFS(사용내역!$E$3:$E$3002,사용내역!$B$3:$B$3002,$A11,사용내역!$A$3:$A$3002,"&gt;"&amp;($B$3-사용안내!$C$16),사용내역!$A$3:$A$3002,"&lt;="&amp;$B$3))</f>
        <v/>
      </c>
      <c r="F11" s="23" t="str">
        <f aca="false">IF($A11="","",IF(사용안내!$C$16=0,0,ROUND($E11/사용안내!$C$16,3)))</f>
        <v/>
      </c>
      <c r="G11" s="24" t="str">
        <f aca="false">IF($A11="","",IF($F11&lt;=0,"사용기록없음",ROUND($D11/$F11,0)))</f>
        <v/>
      </c>
      <c r="H11" s="25" t="str">
        <f aca="false">IF(OR($A11="",$F11&lt;=0),"",$B$3+$G11)</f>
        <v/>
      </c>
      <c r="I11" s="21" t="str">
        <f aca="false">IF($A11="","",IF(품목마스터!$F8="",0,품목마스터!$F8))</f>
        <v/>
      </c>
      <c r="J11" s="25" t="str">
        <f aca="false">IF(OR($A11="",$F11&lt;=0),"",$H11-$I11)</f>
        <v/>
      </c>
      <c r="K11" s="22" t="n">
        <f aca="false">IF(OR($A11="",$F11&lt;=0),0,MAX(0,CEILING(MAX(0,($I11+사용안내!$C$17)*$F11-$D11),MAX(1,IF(품목마스터!$H8="",1,품목마스터!$H8)))))</f>
        <v>0</v>
      </c>
      <c r="L11" s="21" t="str">
        <f aca="false">IF($A11="","",IF($F11&lt;=0,"-",IF($J11&lt;=$B$3,"발주",IF($J11&lt;=$B$3+7,"임박","정상"))))</f>
        <v/>
      </c>
    </row>
    <row r="12" customFormat="false" ht="15" hidden="false" customHeight="true" outlineLevel="0" collapsed="false">
      <c r="A12" s="17" t="str">
        <f aca="false">IF(품목마스터!$A9="","",품목마스터!$A9)</f>
        <v/>
      </c>
      <c r="B12" s="17" t="str">
        <f aca="false">IF($A12="","",품목마스터!$B9)</f>
        <v/>
      </c>
      <c r="C12" s="21" t="str">
        <f aca="false">IF($A12="","",품목마스터!$D9)</f>
        <v/>
      </c>
      <c r="D12" s="22" t="str">
        <f aca="false">IF($A12="","",IF(품목마스터!$E9="",0,품목마스터!$E9))</f>
        <v/>
      </c>
      <c r="E12" s="22" t="str">
        <f aca="false">IF($A12="","",SUMIFS(사용내역!$E$3:$E$3002,사용내역!$B$3:$B$3002,$A12,사용내역!$A$3:$A$3002,"&gt;"&amp;($B$3-사용안내!$C$16),사용내역!$A$3:$A$3002,"&lt;="&amp;$B$3))</f>
        <v/>
      </c>
      <c r="F12" s="23" t="str">
        <f aca="false">IF($A12="","",IF(사용안내!$C$16=0,0,ROUND($E12/사용안내!$C$16,3)))</f>
        <v/>
      </c>
      <c r="G12" s="24" t="str">
        <f aca="false">IF($A12="","",IF($F12&lt;=0,"사용기록없음",ROUND($D12/$F12,0)))</f>
        <v/>
      </c>
      <c r="H12" s="25" t="str">
        <f aca="false">IF(OR($A12="",$F12&lt;=0),"",$B$3+$G12)</f>
        <v/>
      </c>
      <c r="I12" s="21" t="str">
        <f aca="false">IF($A12="","",IF(품목마스터!$F9="",0,품목마스터!$F9))</f>
        <v/>
      </c>
      <c r="J12" s="25" t="str">
        <f aca="false">IF(OR($A12="",$F12&lt;=0),"",$H12-$I12)</f>
        <v/>
      </c>
      <c r="K12" s="22" t="n">
        <f aca="false">IF(OR($A12="",$F12&lt;=0),0,MAX(0,CEILING(MAX(0,($I12+사용안내!$C$17)*$F12-$D12),MAX(1,IF(품목마스터!$H9="",1,품목마스터!$H9)))))</f>
        <v>0</v>
      </c>
      <c r="L12" s="21" t="str">
        <f aca="false">IF($A12="","",IF($F12&lt;=0,"-",IF($J12&lt;=$B$3,"발주",IF($J12&lt;=$B$3+7,"임박","정상"))))</f>
        <v/>
      </c>
    </row>
    <row r="13" customFormat="false" ht="15" hidden="false" customHeight="true" outlineLevel="0" collapsed="false">
      <c r="A13" s="17" t="str">
        <f aca="false">IF(품목마스터!$A10="","",품목마스터!$A10)</f>
        <v/>
      </c>
      <c r="B13" s="17" t="str">
        <f aca="false">IF($A13="","",품목마스터!$B10)</f>
        <v/>
      </c>
      <c r="C13" s="21" t="str">
        <f aca="false">IF($A13="","",품목마스터!$D10)</f>
        <v/>
      </c>
      <c r="D13" s="22" t="str">
        <f aca="false">IF($A13="","",IF(품목마스터!$E10="",0,품목마스터!$E10))</f>
        <v/>
      </c>
      <c r="E13" s="22" t="str">
        <f aca="false">IF($A13="","",SUMIFS(사용내역!$E$3:$E$3002,사용내역!$B$3:$B$3002,$A13,사용내역!$A$3:$A$3002,"&gt;"&amp;($B$3-사용안내!$C$16),사용내역!$A$3:$A$3002,"&lt;="&amp;$B$3))</f>
        <v/>
      </c>
      <c r="F13" s="23" t="str">
        <f aca="false">IF($A13="","",IF(사용안내!$C$16=0,0,ROUND($E13/사용안내!$C$16,3)))</f>
        <v/>
      </c>
      <c r="G13" s="24" t="str">
        <f aca="false">IF($A13="","",IF($F13&lt;=0,"사용기록없음",ROUND($D13/$F13,0)))</f>
        <v/>
      </c>
      <c r="H13" s="25" t="str">
        <f aca="false">IF(OR($A13="",$F13&lt;=0),"",$B$3+$G13)</f>
        <v/>
      </c>
      <c r="I13" s="21" t="str">
        <f aca="false">IF($A13="","",IF(품목마스터!$F10="",0,품목마스터!$F10))</f>
        <v/>
      </c>
      <c r="J13" s="25" t="str">
        <f aca="false">IF(OR($A13="",$F13&lt;=0),"",$H13-$I13)</f>
        <v/>
      </c>
      <c r="K13" s="22" t="n">
        <f aca="false">IF(OR($A13="",$F13&lt;=0),0,MAX(0,CEILING(MAX(0,($I13+사용안내!$C$17)*$F13-$D13),MAX(1,IF(품목마스터!$H10="",1,품목마스터!$H10)))))</f>
        <v>0</v>
      </c>
      <c r="L13" s="21" t="str">
        <f aca="false">IF($A13="","",IF($F13&lt;=0,"-",IF($J13&lt;=$B$3,"발주",IF($J13&lt;=$B$3+7,"임박","정상"))))</f>
        <v/>
      </c>
    </row>
    <row r="14" customFormat="false" ht="15" hidden="false" customHeight="true" outlineLevel="0" collapsed="false">
      <c r="A14" s="17" t="str">
        <f aca="false">IF(품목마스터!$A11="","",품목마스터!$A11)</f>
        <v/>
      </c>
      <c r="B14" s="17" t="str">
        <f aca="false">IF($A14="","",품목마스터!$B11)</f>
        <v/>
      </c>
      <c r="C14" s="21" t="str">
        <f aca="false">IF($A14="","",품목마스터!$D11)</f>
        <v/>
      </c>
      <c r="D14" s="22" t="str">
        <f aca="false">IF($A14="","",IF(품목마스터!$E11="",0,품목마스터!$E11))</f>
        <v/>
      </c>
      <c r="E14" s="22" t="str">
        <f aca="false">IF($A14="","",SUMIFS(사용내역!$E$3:$E$3002,사용내역!$B$3:$B$3002,$A14,사용내역!$A$3:$A$3002,"&gt;"&amp;($B$3-사용안내!$C$16),사용내역!$A$3:$A$3002,"&lt;="&amp;$B$3))</f>
        <v/>
      </c>
      <c r="F14" s="23" t="str">
        <f aca="false">IF($A14="","",IF(사용안내!$C$16=0,0,ROUND($E14/사용안내!$C$16,3)))</f>
        <v/>
      </c>
      <c r="G14" s="24" t="str">
        <f aca="false">IF($A14="","",IF($F14&lt;=0,"사용기록없음",ROUND($D14/$F14,0)))</f>
        <v/>
      </c>
      <c r="H14" s="25" t="str">
        <f aca="false">IF(OR($A14="",$F14&lt;=0),"",$B$3+$G14)</f>
        <v/>
      </c>
      <c r="I14" s="21" t="str">
        <f aca="false">IF($A14="","",IF(품목마스터!$F11="",0,품목마스터!$F11))</f>
        <v/>
      </c>
      <c r="J14" s="25" t="str">
        <f aca="false">IF(OR($A14="",$F14&lt;=0),"",$H14-$I14)</f>
        <v/>
      </c>
      <c r="K14" s="22" t="n">
        <f aca="false">IF(OR($A14="",$F14&lt;=0),0,MAX(0,CEILING(MAX(0,($I14+사용안내!$C$17)*$F14-$D14),MAX(1,IF(품목마스터!$H11="",1,품목마스터!$H11)))))</f>
        <v>0</v>
      </c>
      <c r="L14" s="21" t="str">
        <f aca="false">IF($A14="","",IF($F14&lt;=0,"-",IF($J14&lt;=$B$3,"발주",IF($J14&lt;=$B$3+7,"임박","정상"))))</f>
        <v/>
      </c>
    </row>
    <row r="15" customFormat="false" ht="15" hidden="false" customHeight="true" outlineLevel="0" collapsed="false">
      <c r="A15" s="17" t="str">
        <f aca="false">IF(품목마스터!$A12="","",품목마스터!$A12)</f>
        <v/>
      </c>
      <c r="B15" s="17" t="str">
        <f aca="false">IF($A15="","",품목마스터!$B12)</f>
        <v/>
      </c>
      <c r="C15" s="21" t="str">
        <f aca="false">IF($A15="","",품목마스터!$D12)</f>
        <v/>
      </c>
      <c r="D15" s="22" t="str">
        <f aca="false">IF($A15="","",IF(품목마스터!$E12="",0,품목마스터!$E12))</f>
        <v/>
      </c>
      <c r="E15" s="22" t="str">
        <f aca="false">IF($A15="","",SUMIFS(사용내역!$E$3:$E$3002,사용내역!$B$3:$B$3002,$A15,사용내역!$A$3:$A$3002,"&gt;"&amp;($B$3-사용안내!$C$16),사용내역!$A$3:$A$3002,"&lt;="&amp;$B$3))</f>
        <v/>
      </c>
      <c r="F15" s="23" t="str">
        <f aca="false">IF($A15="","",IF(사용안내!$C$16=0,0,ROUND($E15/사용안내!$C$16,3)))</f>
        <v/>
      </c>
      <c r="G15" s="24" t="str">
        <f aca="false">IF($A15="","",IF($F15&lt;=0,"사용기록없음",ROUND($D15/$F15,0)))</f>
        <v/>
      </c>
      <c r="H15" s="25" t="str">
        <f aca="false">IF(OR($A15="",$F15&lt;=0),"",$B$3+$G15)</f>
        <v/>
      </c>
      <c r="I15" s="21" t="str">
        <f aca="false">IF($A15="","",IF(품목마스터!$F12="",0,품목마스터!$F12))</f>
        <v/>
      </c>
      <c r="J15" s="25" t="str">
        <f aca="false">IF(OR($A15="",$F15&lt;=0),"",$H15-$I15)</f>
        <v/>
      </c>
      <c r="K15" s="22" t="n">
        <f aca="false">IF(OR($A15="",$F15&lt;=0),0,MAX(0,CEILING(MAX(0,($I15+사용안내!$C$17)*$F15-$D15),MAX(1,IF(품목마스터!$H12="",1,품목마스터!$H12)))))</f>
        <v>0</v>
      </c>
      <c r="L15" s="21" t="str">
        <f aca="false">IF($A15="","",IF($F15&lt;=0,"-",IF($J15&lt;=$B$3,"발주",IF($J15&lt;=$B$3+7,"임박","정상"))))</f>
        <v/>
      </c>
    </row>
    <row r="16" customFormat="false" ht="15" hidden="false" customHeight="true" outlineLevel="0" collapsed="false">
      <c r="A16" s="17" t="str">
        <f aca="false">IF(품목마스터!$A13="","",품목마스터!$A13)</f>
        <v/>
      </c>
      <c r="B16" s="17" t="str">
        <f aca="false">IF($A16="","",품목마스터!$B13)</f>
        <v/>
      </c>
      <c r="C16" s="21" t="str">
        <f aca="false">IF($A16="","",품목마스터!$D13)</f>
        <v/>
      </c>
      <c r="D16" s="22" t="str">
        <f aca="false">IF($A16="","",IF(품목마스터!$E13="",0,품목마스터!$E13))</f>
        <v/>
      </c>
      <c r="E16" s="22" t="str">
        <f aca="false">IF($A16="","",SUMIFS(사용내역!$E$3:$E$3002,사용내역!$B$3:$B$3002,$A16,사용내역!$A$3:$A$3002,"&gt;"&amp;($B$3-사용안내!$C$16),사용내역!$A$3:$A$3002,"&lt;="&amp;$B$3))</f>
        <v/>
      </c>
      <c r="F16" s="23" t="str">
        <f aca="false">IF($A16="","",IF(사용안내!$C$16=0,0,ROUND($E16/사용안내!$C$16,3)))</f>
        <v/>
      </c>
      <c r="G16" s="24" t="str">
        <f aca="false">IF($A16="","",IF($F16&lt;=0,"사용기록없음",ROUND($D16/$F16,0)))</f>
        <v/>
      </c>
      <c r="H16" s="25" t="str">
        <f aca="false">IF(OR($A16="",$F16&lt;=0),"",$B$3+$G16)</f>
        <v/>
      </c>
      <c r="I16" s="21" t="str">
        <f aca="false">IF($A16="","",IF(품목마스터!$F13="",0,품목마스터!$F13))</f>
        <v/>
      </c>
      <c r="J16" s="25" t="str">
        <f aca="false">IF(OR($A16="",$F16&lt;=0),"",$H16-$I16)</f>
        <v/>
      </c>
      <c r="K16" s="22" t="n">
        <f aca="false">IF(OR($A16="",$F16&lt;=0),0,MAX(0,CEILING(MAX(0,($I16+사용안내!$C$17)*$F16-$D16),MAX(1,IF(품목마스터!$H13="",1,품목마스터!$H13)))))</f>
        <v>0</v>
      </c>
      <c r="L16" s="21" t="str">
        <f aca="false">IF($A16="","",IF($F16&lt;=0,"-",IF($J16&lt;=$B$3,"발주",IF($J16&lt;=$B$3+7,"임박","정상"))))</f>
        <v/>
      </c>
    </row>
    <row r="17" customFormat="false" ht="15" hidden="false" customHeight="true" outlineLevel="0" collapsed="false">
      <c r="A17" s="17" t="str">
        <f aca="false">IF(품목마스터!$A14="","",품목마스터!$A14)</f>
        <v/>
      </c>
      <c r="B17" s="17" t="str">
        <f aca="false">IF($A17="","",품목마스터!$B14)</f>
        <v/>
      </c>
      <c r="C17" s="21" t="str">
        <f aca="false">IF($A17="","",품목마스터!$D14)</f>
        <v/>
      </c>
      <c r="D17" s="22" t="str">
        <f aca="false">IF($A17="","",IF(품목마스터!$E14="",0,품목마스터!$E14))</f>
        <v/>
      </c>
      <c r="E17" s="22" t="str">
        <f aca="false">IF($A17="","",SUMIFS(사용내역!$E$3:$E$3002,사용내역!$B$3:$B$3002,$A17,사용내역!$A$3:$A$3002,"&gt;"&amp;($B$3-사용안내!$C$16),사용내역!$A$3:$A$3002,"&lt;="&amp;$B$3))</f>
        <v/>
      </c>
      <c r="F17" s="23" t="str">
        <f aca="false">IF($A17="","",IF(사용안내!$C$16=0,0,ROUND($E17/사용안내!$C$16,3)))</f>
        <v/>
      </c>
      <c r="G17" s="24" t="str">
        <f aca="false">IF($A17="","",IF($F17&lt;=0,"사용기록없음",ROUND($D17/$F17,0)))</f>
        <v/>
      </c>
      <c r="H17" s="25" t="str">
        <f aca="false">IF(OR($A17="",$F17&lt;=0),"",$B$3+$G17)</f>
        <v/>
      </c>
      <c r="I17" s="21" t="str">
        <f aca="false">IF($A17="","",IF(품목마스터!$F14="",0,품목마스터!$F14))</f>
        <v/>
      </c>
      <c r="J17" s="25" t="str">
        <f aca="false">IF(OR($A17="",$F17&lt;=0),"",$H17-$I17)</f>
        <v/>
      </c>
      <c r="K17" s="22" t="n">
        <f aca="false">IF(OR($A17="",$F17&lt;=0),0,MAX(0,CEILING(MAX(0,($I17+사용안내!$C$17)*$F17-$D17),MAX(1,IF(품목마스터!$H14="",1,품목마스터!$H14)))))</f>
        <v>0</v>
      </c>
      <c r="L17" s="21" t="str">
        <f aca="false">IF($A17="","",IF($F17&lt;=0,"-",IF($J17&lt;=$B$3,"발주",IF($J17&lt;=$B$3+7,"임박","정상"))))</f>
        <v/>
      </c>
    </row>
    <row r="18" customFormat="false" ht="15" hidden="false" customHeight="true" outlineLevel="0" collapsed="false">
      <c r="A18" s="17" t="str">
        <f aca="false">IF(품목마스터!$A15="","",품목마스터!$A15)</f>
        <v/>
      </c>
      <c r="B18" s="17" t="str">
        <f aca="false">IF($A18="","",품목마스터!$B15)</f>
        <v/>
      </c>
      <c r="C18" s="21" t="str">
        <f aca="false">IF($A18="","",품목마스터!$D15)</f>
        <v/>
      </c>
      <c r="D18" s="22" t="str">
        <f aca="false">IF($A18="","",IF(품목마스터!$E15="",0,품목마스터!$E15))</f>
        <v/>
      </c>
      <c r="E18" s="22" t="str">
        <f aca="false">IF($A18="","",SUMIFS(사용내역!$E$3:$E$3002,사용내역!$B$3:$B$3002,$A18,사용내역!$A$3:$A$3002,"&gt;"&amp;($B$3-사용안내!$C$16),사용내역!$A$3:$A$3002,"&lt;="&amp;$B$3))</f>
        <v/>
      </c>
      <c r="F18" s="23" t="str">
        <f aca="false">IF($A18="","",IF(사용안내!$C$16=0,0,ROUND($E18/사용안내!$C$16,3)))</f>
        <v/>
      </c>
      <c r="G18" s="24" t="str">
        <f aca="false">IF($A18="","",IF($F18&lt;=0,"사용기록없음",ROUND($D18/$F18,0)))</f>
        <v/>
      </c>
      <c r="H18" s="25" t="str">
        <f aca="false">IF(OR($A18="",$F18&lt;=0),"",$B$3+$G18)</f>
        <v/>
      </c>
      <c r="I18" s="21" t="str">
        <f aca="false">IF($A18="","",IF(품목마스터!$F15="",0,품목마스터!$F15))</f>
        <v/>
      </c>
      <c r="J18" s="25" t="str">
        <f aca="false">IF(OR($A18="",$F18&lt;=0),"",$H18-$I18)</f>
        <v/>
      </c>
      <c r="K18" s="22" t="n">
        <f aca="false">IF(OR($A18="",$F18&lt;=0),0,MAX(0,CEILING(MAX(0,($I18+사용안내!$C$17)*$F18-$D18),MAX(1,IF(품목마스터!$H15="",1,품목마스터!$H15)))))</f>
        <v>0</v>
      </c>
      <c r="L18" s="21" t="str">
        <f aca="false">IF($A18="","",IF($F18&lt;=0,"-",IF($J18&lt;=$B$3,"발주",IF($J18&lt;=$B$3+7,"임박","정상"))))</f>
        <v/>
      </c>
    </row>
    <row r="19" customFormat="false" ht="15" hidden="false" customHeight="true" outlineLevel="0" collapsed="false">
      <c r="A19" s="17" t="str">
        <f aca="false">IF(품목마스터!$A16="","",품목마스터!$A16)</f>
        <v/>
      </c>
      <c r="B19" s="17" t="str">
        <f aca="false">IF($A19="","",품목마스터!$B16)</f>
        <v/>
      </c>
      <c r="C19" s="21" t="str">
        <f aca="false">IF($A19="","",품목마스터!$D16)</f>
        <v/>
      </c>
      <c r="D19" s="22" t="str">
        <f aca="false">IF($A19="","",IF(품목마스터!$E16="",0,품목마스터!$E16))</f>
        <v/>
      </c>
      <c r="E19" s="22" t="str">
        <f aca="false">IF($A19="","",SUMIFS(사용내역!$E$3:$E$3002,사용내역!$B$3:$B$3002,$A19,사용내역!$A$3:$A$3002,"&gt;"&amp;($B$3-사용안내!$C$16),사용내역!$A$3:$A$3002,"&lt;="&amp;$B$3))</f>
        <v/>
      </c>
      <c r="F19" s="23" t="str">
        <f aca="false">IF($A19="","",IF(사용안내!$C$16=0,0,ROUND($E19/사용안내!$C$16,3)))</f>
        <v/>
      </c>
      <c r="G19" s="24" t="str">
        <f aca="false">IF($A19="","",IF($F19&lt;=0,"사용기록없음",ROUND($D19/$F19,0)))</f>
        <v/>
      </c>
      <c r="H19" s="25" t="str">
        <f aca="false">IF(OR($A19="",$F19&lt;=0),"",$B$3+$G19)</f>
        <v/>
      </c>
      <c r="I19" s="21" t="str">
        <f aca="false">IF($A19="","",IF(품목마스터!$F16="",0,품목마스터!$F16))</f>
        <v/>
      </c>
      <c r="J19" s="25" t="str">
        <f aca="false">IF(OR($A19="",$F19&lt;=0),"",$H19-$I19)</f>
        <v/>
      </c>
      <c r="K19" s="22" t="n">
        <f aca="false">IF(OR($A19="",$F19&lt;=0),0,MAX(0,CEILING(MAX(0,($I19+사용안내!$C$17)*$F19-$D19),MAX(1,IF(품목마스터!$H16="",1,품목마스터!$H16)))))</f>
        <v>0</v>
      </c>
      <c r="L19" s="21" t="str">
        <f aca="false">IF($A19="","",IF($F19&lt;=0,"-",IF($J19&lt;=$B$3,"발주",IF($J19&lt;=$B$3+7,"임박","정상"))))</f>
        <v/>
      </c>
    </row>
    <row r="20" customFormat="false" ht="15" hidden="false" customHeight="true" outlineLevel="0" collapsed="false">
      <c r="A20" s="17" t="str">
        <f aca="false">IF(품목마스터!$A17="","",품목마스터!$A17)</f>
        <v/>
      </c>
      <c r="B20" s="17" t="str">
        <f aca="false">IF($A20="","",품목마스터!$B17)</f>
        <v/>
      </c>
      <c r="C20" s="21" t="str">
        <f aca="false">IF($A20="","",품목마스터!$D17)</f>
        <v/>
      </c>
      <c r="D20" s="22" t="str">
        <f aca="false">IF($A20="","",IF(품목마스터!$E17="",0,품목마스터!$E17))</f>
        <v/>
      </c>
      <c r="E20" s="22" t="str">
        <f aca="false">IF($A20="","",SUMIFS(사용내역!$E$3:$E$3002,사용내역!$B$3:$B$3002,$A20,사용내역!$A$3:$A$3002,"&gt;"&amp;($B$3-사용안내!$C$16),사용내역!$A$3:$A$3002,"&lt;="&amp;$B$3))</f>
        <v/>
      </c>
      <c r="F20" s="23" t="str">
        <f aca="false">IF($A20="","",IF(사용안내!$C$16=0,0,ROUND($E20/사용안내!$C$16,3)))</f>
        <v/>
      </c>
      <c r="G20" s="24" t="str">
        <f aca="false">IF($A20="","",IF($F20&lt;=0,"사용기록없음",ROUND($D20/$F20,0)))</f>
        <v/>
      </c>
      <c r="H20" s="25" t="str">
        <f aca="false">IF(OR($A20="",$F20&lt;=0),"",$B$3+$G20)</f>
        <v/>
      </c>
      <c r="I20" s="21" t="str">
        <f aca="false">IF($A20="","",IF(품목마스터!$F17="",0,품목마스터!$F17))</f>
        <v/>
      </c>
      <c r="J20" s="25" t="str">
        <f aca="false">IF(OR($A20="",$F20&lt;=0),"",$H20-$I20)</f>
        <v/>
      </c>
      <c r="K20" s="22" t="n">
        <f aca="false">IF(OR($A20="",$F20&lt;=0),0,MAX(0,CEILING(MAX(0,($I20+사용안내!$C$17)*$F20-$D20),MAX(1,IF(품목마스터!$H17="",1,품목마스터!$H17)))))</f>
        <v>0</v>
      </c>
      <c r="L20" s="21" t="str">
        <f aca="false">IF($A20="","",IF($F20&lt;=0,"-",IF($J20&lt;=$B$3,"발주",IF($J20&lt;=$B$3+7,"임박","정상"))))</f>
        <v/>
      </c>
    </row>
    <row r="21" customFormat="false" ht="15" hidden="false" customHeight="true" outlineLevel="0" collapsed="false">
      <c r="A21" s="17" t="str">
        <f aca="false">IF(품목마스터!$A18="","",품목마스터!$A18)</f>
        <v/>
      </c>
      <c r="B21" s="17" t="str">
        <f aca="false">IF($A21="","",품목마스터!$B18)</f>
        <v/>
      </c>
      <c r="C21" s="21" t="str">
        <f aca="false">IF($A21="","",품목마스터!$D18)</f>
        <v/>
      </c>
      <c r="D21" s="22" t="str">
        <f aca="false">IF($A21="","",IF(품목마스터!$E18="",0,품목마스터!$E18))</f>
        <v/>
      </c>
      <c r="E21" s="22" t="str">
        <f aca="false">IF($A21="","",SUMIFS(사용내역!$E$3:$E$3002,사용내역!$B$3:$B$3002,$A21,사용내역!$A$3:$A$3002,"&gt;"&amp;($B$3-사용안내!$C$16),사용내역!$A$3:$A$3002,"&lt;="&amp;$B$3))</f>
        <v/>
      </c>
      <c r="F21" s="23" t="str">
        <f aca="false">IF($A21="","",IF(사용안내!$C$16=0,0,ROUND($E21/사용안내!$C$16,3)))</f>
        <v/>
      </c>
      <c r="G21" s="24" t="str">
        <f aca="false">IF($A21="","",IF($F21&lt;=0,"사용기록없음",ROUND($D21/$F21,0)))</f>
        <v/>
      </c>
      <c r="H21" s="25" t="str">
        <f aca="false">IF(OR($A21="",$F21&lt;=0),"",$B$3+$G21)</f>
        <v/>
      </c>
      <c r="I21" s="21" t="str">
        <f aca="false">IF($A21="","",IF(품목마스터!$F18="",0,품목마스터!$F18))</f>
        <v/>
      </c>
      <c r="J21" s="25" t="str">
        <f aca="false">IF(OR($A21="",$F21&lt;=0),"",$H21-$I21)</f>
        <v/>
      </c>
      <c r="K21" s="22" t="n">
        <f aca="false">IF(OR($A21="",$F21&lt;=0),0,MAX(0,CEILING(MAX(0,($I21+사용안내!$C$17)*$F21-$D21),MAX(1,IF(품목마스터!$H18="",1,품목마스터!$H18)))))</f>
        <v>0</v>
      </c>
      <c r="L21" s="21" t="str">
        <f aca="false">IF($A21="","",IF($F21&lt;=0,"-",IF($J21&lt;=$B$3,"발주",IF($J21&lt;=$B$3+7,"임박","정상"))))</f>
        <v/>
      </c>
    </row>
    <row r="22" customFormat="false" ht="15" hidden="false" customHeight="true" outlineLevel="0" collapsed="false">
      <c r="A22" s="17" t="str">
        <f aca="false">IF(품목마스터!$A19="","",품목마스터!$A19)</f>
        <v/>
      </c>
      <c r="B22" s="17" t="str">
        <f aca="false">IF($A22="","",품목마스터!$B19)</f>
        <v/>
      </c>
      <c r="C22" s="21" t="str">
        <f aca="false">IF($A22="","",품목마스터!$D19)</f>
        <v/>
      </c>
      <c r="D22" s="22" t="str">
        <f aca="false">IF($A22="","",IF(품목마스터!$E19="",0,품목마스터!$E19))</f>
        <v/>
      </c>
      <c r="E22" s="22" t="str">
        <f aca="false">IF($A22="","",SUMIFS(사용내역!$E$3:$E$3002,사용내역!$B$3:$B$3002,$A22,사용내역!$A$3:$A$3002,"&gt;"&amp;($B$3-사용안내!$C$16),사용내역!$A$3:$A$3002,"&lt;="&amp;$B$3))</f>
        <v/>
      </c>
      <c r="F22" s="23" t="str">
        <f aca="false">IF($A22="","",IF(사용안내!$C$16=0,0,ROUND($E22/사용안내!$C$16,3)))</f>
        <v/>
      </c>
      <c r="G22" s="24" t="str">
        <f aca="false">IF($A22="","",IF($F22&lt;=0,"사용기록없음",ROUND($D22/$F22,0)))</f>
        <v/>
      </c>
      <c r="H22" s="25" t="str">
        <f aca="false">IF(OR($A22="",$F22&lt;=0),"",$B$3+$G22)</f>
        <v/>
      </c>
      <c r="I22" s="21" t="str">
        <f aca="false">IF($A22="","",IF(품목마스터!$F19="",0,품목마스터!$F19))</f>
        <v/>
      </c>
      <c r="J22" s="25" t="str">
        <f aca="false">IF(OR($A22="",$F22&lt;=0),"",$H22-$I22)</f>
        <v/>
      </c>
      <c r="K22" s="22" t="n">
        <f aca="false">IF(OR($A22="",$F22&lt;=0),0,MAX(0,CEILING(MAX(0,($I22+사용안내!$C$17)*$F22-$D22),MAX(1,IF(품목마스터!$H19="",1,품목마스터!$H19)))))</f>
        <v>0</v>
      </c>
      <c r="L22" s="21" t="str">
        <f aca="false">IF($A22="","",IF($F22&lt;=0,"-",IF($J22&lt;=$B$3,"발주",IF($J22&lt;=$B$3+7,"임박","정상"))))</f>
        <v/>
      </c>
    </row>
    <row r="23" customFormat="false" ht="15" hidden="false" customHeight="true" outlineLevel="0" collapsed="false">
      <c r="A23" s="17" t="str">
        <f aca="false">IF(품목마스터!$A20="","",품목마스터!$A20)</f>
        <v/>
      </c>
      <c r="B23" s="17" t="str">
        <f aca="false">IF($A23="","",품목마스터!$B20)</f>
        <v/>
      </c>
      <c r="C23" s="21" t="str">
        <f aca="false">IF($A23="","",품목마스터!$D20)</f>
        <v/>
      </c>
      <c r="D23" s="22" t="str">
        <f aca="false">IF($A23="","",IF(품목마스터!$E20="",0,품목마스터!$E20))</f>
        <v/>
      </c>
      <c r="E23" s="22" t="str">
        <f aca="false">IF($A23="","",SUMIFS(사용내역!$E$3:$E$3002,사용내역!$B$3:$B$3002,$A23,사용내역!$A$3:$A$3002,"&gt;"&amp;($B$3-사용안내!$C$16),사용내역!$A$3:$A$3002,"&lt;="&amp;$B$3))</f>
        <v/>
      </c>
      <c r="F23" s="23" t="str">
        <f aca="false">IF($A23="","",IF(사용안내!$C$16=0,0,ROUND($E23/사용안내!$C$16,3)))</f>
        <v/>
      </c>
      <c r="G23" s="24" t="str">
        <f aca="false">IF($A23="","",IF($F23&lt;=0,"사용기록없음",ROUND($D23/$F23,0)))</f>
        <v/>
      </c>
      <c r="H23" s="25" t="str">
        <f aca="false">IF(OR($A23="",$F23&lt;=0),"",$B$3+$G23)</f>
        <v/>
      </c>
      <c r="I23" s="21" t="str">
        <f aca="false">IF($A23="","",IF(품목마스터!$F20="",0,품목마스터!$F20))</f>
        <v/>
      </c>
      <c r="J23" s="25" t="str">
        <f aca="false">IF(OR($A23="",$F23&lt;=0),"",$H23-$I23)</f>
        <v/>
      </c>
      <c r="K23" s="22" t="n">
        <f aca="false">IF(OR($A23="",$F23&lt;=0),0,MAX(0,CEILING(MAX(0,($I23+사용안내!$C$17)*$F23-$D23),MAX(1,IF(품목마스터!$H20="",1,품목마스터!$H20)))))</f>
        <v>0</v>
      </c>
      <c r="L23" s="21" t="str">
        <f aca="false">IF($A23="","",IF($F23&lt;=0,"-",IF($J23&lt;=$B$3,"발주",IF($J23&lt;=$B$3+7,"임박","정상"))))</f>
        <v/>
      </c>
    </row>
    <row r="24" customFormat="false" ht="15" hidden="false" customHeight="true" outlineLevel="0" collapsed="false">
      <c r="A24" s="17" t="str">
        <f aca="false">IF(품목마스터!$A21="","",품목마스터!$A21)</f>
        <v/>
      </c>
      <c r="B24" s="17" t="str">
        <f aca="false">IF($A24="","",품목마스터!$B21)</f>
        <v/>
      </c>
      <c r="C24" s="21" t="str">
        <f aca="false">IF($A24="","",품목마스터!$D21)</f>
        <v/>
      </c>
      <c r="D24" s="22" t="str">
        <f aca="false">IF($A24="","",IF(품목마스터!$E21="",0,품목마스터!$E21))</f>
        <v/>
      </c>
      <c r="E24" s="22" t="str">
        <f aca="false">IF($A24="","",SUMIFS(사용내역!$E$3:$E$3002,사용내역!$B$3:$B$3002,$A24,사용내역!$A$3:$A$3002,"&gt;"&amp;($B$3-사용안내!$C$16),사용내역!$A$3:$A$3002,"&lt;="&amp;$B$3))</f>
        <v/>
      </c>
      <c r="F24" s="23" t="str">
        <f aca="false">IF($A24="","",IF(사용안내!$C$16=0,0,ROUND($E24/사용안내!$C$16,3)))</f>
        <v/>
      </c>
      <c r="G24" s="24" t="str">
        <f aca="false">IF($A24="","",IF($F24&lt;=0,"사용기록없음",ROUND($D24/$F24,0)))</f>
        <v/>
      </c>
      <c r="H24" s="25" t="str">
        <f aca="false">IF(OR($A24="",$F24&lt;=0),"",$B$3+$G24)</f>
        <v/>
      </c>
      <c r="I24" s="21" t="str">
        <f aca="false">IF($A24="","",IF(품목마스터!$F21="",0,품목마스터!$F21))</f>
        <v/>
      </c>
      <c r="J24" s="25" t="str">
        <f aca="false">IF(OR($A24="",$F24&lt;=0),"",$H24-$I24)</f>
        <v/>
      </c>
      <c r="K24" s="22" t="n">
        <f aca="false">IF(OR($A24="",$F24&lt;=0),0,MAX(0,CEILING(MAX(0,($I24+사용안내!$C$17)*$F24-$D24),MAX(1,IF(품목마스터!$H21="",1,품목마스터!$H21)))))</f>
        <v>0</v>
      </c>
      <c r="L24" s="21" t="str">
        <f aca="false">IF($A24="","",IF($F24&lt;=0,"-",IF($J24&lt;=$B$3,"발주",IF($J24&lt;=$B$3+7,"임박","정상"))))</f>
        <v/>
      </c>
    </row>
    <row r="25" customFormat="false" ht="15" hidden="false" customHeight="true" outlineLevel="0" collapsed="false">
      <c r="A25" s="17" t="str">
        <f aca="false">IF(품목마스터!$A22="","",품목마스터!$A22)</f>
        <v/>
      </c>
      <c r="B25" s="17" t="str">
        <f aca="false">IF($A25="","",품목마스터!$B22)</f>
        <v/>
      </c>
      <c r="C25" s="21" t="str">
        <f aca="false">IF($A25="","",품목마스터!$D22)</f>
        <v/>
      </c>
      <c r="D25" s="22" t="str">
        <f aca="false">IF($A25="","",IF(품목마스터!$E22="",0,품목마스터!$E22))</f>
        <v/>
      </c>
      <c r="E25" s="22" t="str">
        <f aca="false">IF($A25="","",SUMIFS(사용내역!$E$3:$E$3002,사용내역!$B$3:$B$3002,$A25,사용내역!$A$3:$A$3002,"&gt;"&amp;($B$3-사용안내!$C$16),사용내역!$A$3:$A$3002,"&lt;="&amp;$B$3))</f>
        <v/>
      </c>
      <c r="F25" s="23" t="str">
        <f aca="false">IF($A25="","",IF(사용안내!$C$16=0,0,ROUND($E25/사용안내!$C$16,3)))</f>
        <v/>
      </c>
      <c r="G25" s="24" t="str">
        <f aca="false">IF($A25="","",IF($F25&lt;=0,"사용기록없음",ROUND($D25/$F25,0)))</f>
        <v/>
      </c>
      <c r="H25" s="25" t="str">
        <f aca="false">IF(OR($A25="",$F25&lt;=0),"",$B$3+$G25)</f>
        <v/>
      </c>
      <c r="I25" s="21" t="str">
        <f aca="false">IF($A25="","",IF(품목마스터!$F22="",0,품목마스터!$F22))</f>
        <v/>
      </c>
      <c r="J25" s="25" t="str">
        <f aca="false">IF(OR($A25="",$F25&lt;=0),"",$H25-$I25)</f>
        <v/>
      </c>
      <c r="K25" s="22" t="n">
        <f aca="false">IF(OR($A25="",$F25&lt;=0),0,MAX(0,CEILING(MAX(0,($I25+사용안내!$C$17)*$F25-$D25),MAX(1,IF(품목마스터!$H22="",1,품목마스터!$H22)))))</f>
        <v>0</v>
      </c>
      <c r="L25" s="21" t="str">
        <f aca="false">IF($A25="","",IF($F25&lt;=0,"-",IF($J25&lt;=$B$3,"발주",IF($J25&lt;=$B$3+7,"임박","정상"))))</f>
        <v/>
      </c>
    </row>
    <row r="26" customFormat="false" ht="15" hidden="false" customHeight="true" outlineLevel="0" collapsed="false">
      <c r="A26" s="17" t="str">
        <f aca="false">IF(품목마스터!$A23="","",품목마스터!$A23)</f>
        <v/>
      </c>
      <c r="B26" s="17" t="str">
        <f aca="false">IF($A26="","",품목마스터!$B23)</f>
        <v/>
      </c>
      <c r="C26" s="21" t="str">
        <f aca="false">IF($A26="","",품목마스터!$D23)</f>
        <v/>
      </c>
      <c r="D26" s="22" t="str">
        <f aca="false">IF($A26="","",IF(품목마스터!$E23="",0,품목마스터!$E23))</f>
        <v/>
      </c>
      <c r="E26" s="22" t="str">
        <f aca="false">IF($A26="","",SUMIFS(사용내역!$E$3:$E$3002,사용내역!$B$3:$B$3002,$A26,사용내역!$A$3:$A$3002,"&gt;"&amp;($B$3-사용안내!$C$16),사용내역!$A$3:$A$3002,"&lt;="&amp;$B$3))</f>
        <v/>
      </c>
      <c r="F26" s="23" t="str">
        <f aca="false">IF($A26="","",IF(사용안내!$C$16=0,0,ROUND($E26/사용안내!$C$16,3)))</f>
        <v/>
      </c>
      <c r="G26" s="24" t="str">
        <f aca="false">IF($A26="","",IF($F26&lt;=0,"사용기록없음",ROUND($D26/$F26,0)))</f>
        <v/>
      </c>
      <c r="H26" s="25" t="str">
        <f aca="false">IF(OR($A26="",$F26&lt;=0),"",$B$3+$G26)</f>
        <v/>
      </c>
      <c r="I26" s="21" t="str">
        <f aca="false">IF($A26="","",IF(품목마스터!$F23="",0,품목마스터!$F23))</f>
        <v/>
      </c>
      <c r="J26" s="25" t="str">
        <f aca="false">IF(OR($A26="",$F26&lt;=0),"",$H26-$I26)</f>
        <v/>
      </c>
      <c r="K26" s="22" t="n">
        <f aca="false">IF(OR($A26="",$F26&lt;=0),0,MAX(0,CEILING(MAX(0,($I26+사용안내!$C$17)*$F26-$D26),MAX(1,IF(품목마스터!$H23="",1,품목마스터!$H23)))))</f>
        <v>0</v>
      </c>
      <c r="L26" s="21" t="str">
        <f aca="false">IF($A26="","",IF($F26&lt;=0,"-",IF($J26&lt;=$B$3,"발주",IF($J26&lt;=$B$3+7,"임박","정상"))))</f>
        <v/>
      </c>
    </row>
    <row r="27" customFormat="false" ht="15" hidden="false" customHeight="true" outlineLevel="0" collapsed="false">
      <c r="A27" s="17" t="str">
        <f aca="false">IF(품목마스터!$A24="","",품목마스터!$A24)</f>
        <v/>
      </c>
      <c r="B27" s="17" t="str">
        <f aca="false">IF($A27="","",품목마스터!$B24)</f>
        <v/>
      </c>
      <c r="C27" s="21" t="str">
        <f aca="false">IF($A27="","",품목마스터!$D24)</f>
        <v/>
      </c>
      <c r="D27" s="22" t="str">
        <f aca="false">IF($A27="","",IF(품목마스터!$E24="",0,품목마스터!$E24))</f>
        <v/>
      </c>
      <c r="E27" s="22" t="str">
        <f aca="false">IF($A27="","",SUMIFS(사용내역!$E$3:$E$3002,사용내역!$B$3:$B$3002,$A27,사용내역!$A$3:$A$3002,"&gt;"&amp;($B$3-사용안내!$C$16),사용내역!$A$3:$A$3002,"&lt;="&amp;$B$3))</f>
        <v/>
      </c>
      <c r="F27" s="23" t="str">
        <f aca="false">IF($A27="","",IF(사용안내!$C$16=0,0,ROUND($E27/사용안내!$C$16,3)))</f>
        <v/>
      </c>
      <c r="G27" s="24" t="str">
        <f aca="false">IF($A27="","",IF($F27&lt;=0,"사용기록없음",ROUND($D27/$F27,0)))</f>
        <v/>
      </c>
      <c r="H27" s="25" t="str">
        <f aca="false">IF(OR($A27="",$F27&lt;=0),"",$B$3+$G27)</f>
        <v/>
      </c>
      <c r="I27" s="21" t="str">
        <f aca="false">IF($A27="","",IF(품목마스터!$F24="",0,품목마스터!$F24))</f>
        <v/>
      </c>
      <c r="J27" s="25" t="str">
        <f aca="false">IF(OR($A27="",$F27&lt;=0),"",$H27-$I27)</f>
        <v/>
      </c>
      <c r="K27" s="22" t="n">
        <f aca="false">IF(OR($A27="",$F27&lt;=0),0,MAX(0,CEILING(MAX(0,($I27+사용안내!$C$17)*$F27-$D27),MAX(1,IF(품목마스터!$H24="",1,품목마스터!$H24)))))</f>
        <v>0</v>
      </c>
      <c r="L27" s="21" t="str">
        <f aca="false">IF($A27="","",IF($F27&lt;=0,"-",IF($J27&lt;=$B$3,"발주",IF($J27&lt;=$B$3+7,"임박","정상"))))</f>
        <v/>
      </c>
    </row>
    <row r="28" customFormat="false" ht="15" hidden="false" customHeight="true" outlineLevel="0" collapsed="false">
      <c r="A28" s="17" t="str">
        <f aca="false">IF(품목마스터!$A25="","",품목마스터!$A25)</f>
        <v/>
      </c>
      <c r="B28" s="17" t="str">
        <f aca="false">IF($A28="","",품목마스터!$B25)</f>
        <v/>
      </c>
      <c r="C28" s="21" t="str">
        <f aca="false">IF($A28="","",품목마스터!$D25)</f>
        <v/>
      </c>
      <c r="D28" s="22" t="str">
        <f aca="false">IF($A28="","",IF(품목마스터!$E25="",0,품목마스터!$E25))</f>
        <v/>
      </c>
      <c r="E28" s="22" t="str">
        <f aca="false">IF($A28="","",SUMIFS(사용내역!$E$3:$E$3002,사용내역!$B$3:$B$3002,$A28,사용내역!$A$3:$A$3002,"&gt;"&amp;($B$3-사용안내!$C$16),사용내역!$A$3:$A$3002,"&lt;="&amp;$B$3))</f>
        <v/>
      </c>
      <c r="F28" s="23" t="str">
        <f aca="false">IF($A28="","",IF(사용안내!$C$16=0,0,ROUND($E28/사용안내!$C$16,3)))</f>
        <v/>
      </c>
      <c r="G28" s="24" t="str">
        <f aca="false">IF($A28="","",IF($F28&lt;=0,"사용기록없음",ROUND($D28/$F28,0)))</f>
        <v/>
      </c>
      <c r="H28" s="25" t="str">
        <f aca="false">IF(OR($A28="",$F28&lt;=0),"",$B$3+$G28)</f>
        <v/>
      </c>
      <c r="I28" s="21" t="str">
        <f aca="false">IF($A28="","",IF(품목마스터!$F25="",0,품목마스터!$F25))</f>
        <v/>
      </c>
      <c r="J28" s="25" t="str">
        <f aca="false">IF(OR($A28="",$F28&lt;=0),"",$H28-$I28)</f>
        <v/>
      </c>
      <c r="K28" s="22" t="n">
        <f aca="false">IF(OR($A28="",$F28&lt;=0),0,MAX(0,CEILING(MAX(0,($I28+사용안내!$C$17)*$F28-$D28),MAX(1,IF(품목마스터!$H25="",1,품목마스터!$H25)))))</f>
        <v>0</v>
      </c>
      <c r="L28" s="21" t="str">
        <f aca="false">IF($A28="","",IF($F28&lt;=0,"-",IF($J28&lt;=$B$3,"발주",IF($J28&lt;=$B$3+7,"임박","정상"))))</f>
        <v/>
      </c>
    </row>
    <row r="29" customFormat="false" ht="15" hidden="false" customHeight="true" outlineLevel="0" collapsed="false">
      <c r="A29" s="17" t="str">
        <f aca="false">IF(품목마스터!$A26="","",품목마스터!$A26)</f>
        <v/>
      </c>
      <c r="B29" s="17" t="str">
        <f aca="false">IF($A29="","",품목마스터!$B26)</f>
        <v/>
      </c>
      <c r="C29" s="21" t="str">
        <f aca="false">IF($A29="","",품목마스터!$D26)</f>
        <v/>
      </c>
      <c r="D29" s="22" t="str">
        <f aca="false">IF($A29="","",IF(품목마스터!$E26="",0,품목마스터!$E26))</f>
        <v/>
      </c>
      <c r="E29" s="22" t="str">
        <f aca="false">IF($A29="","",SUMIFS(사용내역!$E$3:$E$3002,사용내역!$B$3:$B$3002,$A29,사용내역!$A$3:$A$3002,"&gt;"&amp;($B$3-사용안내!$C$16),사용내역!$A$3:$A$3002,"&lt;="&amp;$B$3))</f>
        <v/>
      </c>
      <c r="F29" s="23" t="str">
        <f aca="false">IF($A29="","",IF(사용안내!$C$16=0,0,ROUND($E29/사용안내!$C$16,3)))</f>
        <v/>
      </c>
      <c r="G29" s="24" t="str">
        <f aca="false">IF($A29="","",IF($F29&lt;=0,"사용기록없음",ROUND($D29/$F29,0)))</f>
        <v/>
      </c>
      <c r="H29" s="25" t="str">
        <f aca="false">IF(OR($A29="",$F29&lt;=0),"",$B$3+$G29)</f>
        <v/>
      </c>
      <c r="I29" s="21" t="str">
        <f aca="false">IF($A29="","",IF(품목마스터!$F26="",0,품목마스터!$F26))</f>
        <v/>
      </c>
      <c r="J29" s="25" t="str">
        <f aca="false">IF(OR($A29="",$F29&lt;=0),"",$H29-$I29)</f>
        <v/>
      </c>
      <c r="K29" s="22" t="n">
        <f aca="false">IF(OR($A29="",$F29&lt;=0),0,MAX(0,CEILING(MAX(0,($I29+사용안내!$C$17)*$F29-$D29),MAX(1,IF(품목마스터!$H26="",1,품목마스터!$H26)))))</f>
        <v>0</v>
      </c>
      <c r="L29" s="21" t="str">
        <f aca="false">IF($A29="","",IF($F29&lt;=0,"-",IF($J29&lt;=$B$3,"발주",IF($J29&lt;=$B$3+7,"임박","정상"))))</f>
        <v/>
      </c>
    </row>
    <row r="30" customFormat="false" ht="15" hidden="false" customHeight="true" outlineLevel="0" collapsed="false">
      <c r="A30" s="17" t="str">
        <f aca="false">IF(품목마스터!$A27="","",품목마스터!$A27)</f>
        <v/>
      </c>
      <c r="B30" s="17" t="str">
        <f aca="false">IF($A30="","",품목마스터!$B27)</f>
        <v/>
      </c>
      <c r="C30" s="21" t="str">
        <f aca="false">IF($A30="","",품목마스터!$D27)</f>
        <v/>
      </c>
      <c r="D30" s="22" t="str">
        <f aca="false">IF($A30="","",IF(품목마스터!$E27="",0,품목마스터!$E27))</f>
        <v/>
      </c>
      <c r="E30" s="22" t="str">
        <f aca="false">IF($A30="","",SUMIFS(사용내역!$E$3:$E$3002,사용내역!$B$3:$B$3002,$A30,사용내역!$A$3:$A$3002,"&gt;"&amp;($B$3-사용안내!$C$16),사용내역!$A$3:$A$3002,"&lt;="&amp;$B$3))</f>
        <v/>
      </c>
      <c r="F30" s="23" t="str">
        <f aca="false">IF($A30="","",IF(사용안내!$C$16=0,0,ROUND($E30/사용안내!$C$16,3)))</f>
        <v/>
      </c>
      <c r="G30" s="24" t="str">
        <f aca="false">IF($A30="","",IF($F30&lt;=0,"사용기록없음",ROUND($D30/$F30,0)))</f>
        <v/>
      </c>
      <c r="H30" s="25" t="str">
        <f aca="false">IF(OR($A30="",$F30&lt;=0),"",$B$3+$G30)</f>
        <v/>
      </c>
      <c r="I30" s="21" t="str">
        <f aca="false">IF($A30="","",IF(품목마스터!$F27="",0,품목마스터!$F27))</f>
        <v/>
      </c>
      <c r="J30" s="25" t="str">
        <f aca="false">IF(OR($A30="",$F30&lt;=0),"",$H30-$I30)</f>
        <v/>
      </c>
      <c r="K30" s="22" t="n">
        <f aca="false">IF(OR($A30="",$F30&lt;=0),0,MAX(0,CEILING(MAX(0,($I30+사용안내!$C$17)*$F30-$D30),MAX(1,IF(품목마스터!$H27="",1,품목마스터!$H27)))))</f>
        <v>0</v>
      </c>
      <c r="L30" s="21" t="str">
        <f aca="false">IF($A30="","",IF($F30&lt;=0,"-",IF($J30&lt;=$B$3,"발주",IF($J30&lt;=$B$3+7,"임박","정상"))))</f>
        <v/>
      </c>
    </row>
    <row r="31" customFormat="false" ht="15" hidden="false" customHeight="true" outlineLevel="0" collapsed="false">
      <c r="A31" s="17" t="str">
        <f aca="false">IF(품목마스터!$A28="","",품목마스터!$A28)</f>
        <v/>
      </c>
      <c r="B31" s="17" t="str">
        <f aca="false">IF($A31="","",품목마스터!$B28)</f>
        <v/>
      </c>
      <c r="C31" s="21" t="str">
        <f aca="false">IF($A31="","",품목마스터!$D28)</f>
        <v/>
      </c>
      <c r="D31" s="22" t="str">
        <f aca="false">IF($A31="","",IF(품목마스터!$E28="",0,품목마스터!$E28))</f>
        <v/>
      </c>
      <c r="E31" s="22" t="str">
        <f aca="false">IF($A31="","",SUMIFS(사용내역!$E$3:$E$3002,사용내역!$B$3:$B$3002,$A31,사용내역!$A$3:$A$3002,"&gt;"&amp;($B$3-사용안내!$C$16),사용내역!$A$3:$A$3002,"&lt;="&amp;$B$3))</f>
        <v/>
      </c>
      <c r="F31" s="23" t="str">
        <f aca="false">IF($A31="","",IF(사용안내!$C$16=0,0,ROUND($E31/사용안내!$C$16,3)))</f>
        <v/>
      </c>
      <c r="G31" s="24" t="str">
        <f aca="false">IF($A31="","",IF($F31&lt;=0,"사용기록없음",ROUND($D31/$F31,0)))</f>
        <v/>
      </c>
      <c r="H31" s="25" t="str">
        <f aca="false">IF(OR($A31="",$F31&lt;=0),"",$B$3+$G31)</f>
        <v/>
      </c>
      <c r="I31" s="21" t="str">
        <f aca="false">IF($A31="","",IF(품목마스터!$F28="",0,품목마스터!$F28))</f>
        <v/>
      </c>
      <c r="J31" s="25" t="str">
        <f aca="false">IF(OR($A31="",$F31&lt;=0),"",$H31-$I31)</f>
        <v/>
      </c>
      <c r="K31" s="22" t="n">
        <f aca="false">IF(OR($A31="",$F31&lt;=0),0,MAX(0,CEILING(MAX(0,($I31+사용안내!$C$17)*$F31-$D31),MAX(1,IF(품목마스터!$H28="",1,품목마스터!$H28)))))</f>
        <v>0</v>
      </c>
      <c r="L31" s="21" t="str">
        <f aca="false">IF($A31="","",IF($F31&lt;=0,"-",IF($J31&lt;=$B$3,"발주",IF($J31&lt;=$B$3+7,"임박","정상"))))</f>
        <v/>
      </c>
    </row>
    <row r="32" customFormat="false" ht="15" hidden="false" customHeight="true" outlineLevel="0" collapsed="false">
      <c r="A32" s="17" t="str">
        <f aca="false">IF(품목마스터!$A29="","",품목마스터!$A29)</f>
        <v/>
      </c>
      <c r="B32" s="17" t="str">
        <f aca="false">IF($A32="","",품목마스터!$B29)</f>
        <v/>
      </c>
      <c r="C32" s="21" t="str">
        <f aca="false">IF($A32="","",품목마스터!$D29)</f>
        <v/>
      </c>
      <c r="D32" s="22" t="str">
        <f aca="false">IF($A32="","",IF(품목마스터!$E29="",0,품목마스터!$E29))</f>
        <v/>
      </c>
      <c r="E32" s="22" t="str">
        <f aca="false">IF($A32="","",SUMIFS(사용내역!$E$3:$E$3002,사용내역!$B$3:$B$3002,$A32,사용내역!$A$3:$A$3002,"&gt;"&amp;($B$3-사용안내!$C$16),사용내역!$A$3:$A$3002,"&lt;="&amp;$B$3))</f>
        <v/>
      </c>
      <c r="F32" s="23" t="str">
        <f aca="false">IF($A32="","",IF(사용안내!$C$16=0,0,ROUND($E32/사용안내!$C$16,3)))</f>
        <v/>
      </c>
      <c r="G32" s="24" t="str">
        <f aca="false">IF($A32="","",IF($F32&lt;=0,"사용기록없음",ROUND($D32/$F32,0)))</f>
        <v/>
      </c>
      <c r="H32" s="25" t="str">
        <f aca="false">IF(OR($A32="",$F32&lt;=0),"",$B$3+$G32)</f>
        <v/>
      </c>
      <c r="I32" s="21" t="str">
        <f aca="false">IF($A32="","",IF(품목마스터!$F29="",0,품목마스터!$F29))</f>
        <v/>
      </c>
      <c r="J32" s="25" t="str">
        <f aca="false">IF(OR($A32="",$F32&lt;=0),"",$H32-$I32)</f>
        <v/>
      </c>
      <c r="K32" s="22" t="n">
        <f aca="false">IF(OR($A32="",$F32&lt;=0),0,MAX(0,CEILING(MAX(0,($I32+사용안내!$C$17)*$F32-$D32),MAX(1,IF(품목마스터!$H29="",1,품목마스터!$H29)))))</f>
        <v>0</v>
      </c>
      <c r="L32" s="21" t="str">
        <f aca="false">IF($A32="","",IF($F32&lt;=0,"-",IF($J32&lt;=$B$3,"발주",IF($J32&lt;=$B$3+7,"임박","정상"))))</f>
        <v/>
      </c>
    </row>
    <row r="33" customFormat="false" ht="15" hidden="false" customHeight="true" outlineLevel="0" collapsed="false">
      <c r="A33" s="17" t="str">
        <f aca="false">IF(품목마스터!$A30="","",품목마스터!$A30)</f>
        <v/>
      </c>
      <c r="B33" s="17" t="str">
        <f aca="false">IF($A33="","",품목마스터!$B30)</f>
        <v/>
      </c>
      <c r="C33" s="21" t="str">
        <f aca="false">IF($A33="","",품목마스터!$D30)</f>
        <v/>
      </c>
      <c r="D33" s="22" t="str">
        <f aca="false">IF($A33="","",IF(품목마스터!$E30="",0,품목마스터!$E30))</f>
        <v/>
      </c>
      <c r="E33" s="22" t="str">
        <f aca="false">IF($A33="","",SUMIFS(사용내역!$E$3:$E$3002,사용내역!$B$3:$B$3002,$A33,사용내역!$A$3:$A$3002,"&gt;"&amp;($B$3-사용안내!$C$16),사용내역!$A$3:$A$3002,"&lt;="&amp;$B$3))</f>
        <v/>
      </c>
      <c r="F33" s="23" t="str">
        <f aca="false">IF($A33="","",IF(사용안내!$C$16=0,0,ROUND($E33/사용안내!$C$16,3)))</f>
        <v/>
      </c>
      <c r="G33" s="24" t="str">
        <f aca="false">IF($A33="","",IF($F33&lt;=0,"사용기록없음",ROUND($D33/$F33,0)))</f>
        <v/>
      </c>
      <c r="H33" s="25" t="str">
        <f aca="false">IF(OR($A33="",$F33&lt;=0),"",$B$3+$G33)</f>
        <v/>
      </c>
      <c r="I33" s="21" t="str">
        <f aca="false">IF($A33="","",IF(품목마스터!$F30="",0,품목마스터!$F30))</f>
        <v/>
      </c>
      <c r="J33" s="25" t="str">
        <f aca="false">IF(OR($A33="",$F33&lt;=0),"",$H33-$I33)</f>
        <v/>
      </c>
      <c r="K33" s="22" t="n">
        <f aca="false">IF(OR($A33="",$F33&lt;=0),0,MAX(0,CEILING(MAX(0,($I33+사용안내!$C$17)*$F33-$D33),MAX(1,IF(품목마스터!$H30="",1,품목마스터!$H30)))))</f>
        <v>0</v>
      </c>
      <c r="L33" s="21" t="str">
        <f aca="false">IF($A33="","",IF($F33&lt;=0,"-",IF($J33&lt;=$B$3,"발주",IF($J33&lt;=$B$3+7,"임박","정상"))))</f>
        <v/>
      </c>
    </row>
    <row r="34" customFormat="false" ht="15" hidden="false" customHeight="true" outlineLevel="0" collapsed="false">
      <c r="A34" s="17" t="str">
        <f aca="false">IF(품목마스터!$A31="","",품목마스터!$A31)</f>
        <v/>
      </c>
      <c r="B34" s="17" t="str">
        <f aca="false">IF($A34="","",품목마스터!$B31)</f>
        <v/>
      </c>
      <c r="C34" s="21" t="str">
        <f aca="false">IF($A34="","",품목마스터!$D31)</f>
        <v/>
      </c>
      <c r="D34" s="22" t="str">
        <f aca="false">IF($A34="","",IF(품목마스터!$E31="",0,품목마스터!$E31))</f>
        <v/>
      </c>
      <c r="E34" s="22" t="str">
        <f aca="false">IF($A34="","",SUMIFS(사용내역!$E$3:$E$3002,사용내역!$B$3:$B$3002,$A34,사용내역!$A$3:$A$3002,"&gt;"&amp;($B$3-사용안내!$C$16),사용내역!$A$3:$A$3002,"&lt;="&amp;$B$3))</f>
        <v/>
      </c>
      <c r="F34" s="23" t="str">
        <f aca="false">IF($A34="","",IF(사용안내!$C$16=0,0,ROUND($E34/사용안내!$C$16,3)))</f>
        <v/>
      </c>
      <c r="G34" s="24" t="str">
        <f aca="false">IF($A34="","",IF($F34&lt;=0,"사용기록없음",ROUND($D34/$F34,0)))</f>
        <v/>
      </c>
      <c r="H34" s="25" t="str">
        <f aca="false">IF(OR($A34="",$F34&lt;=0),"",$B$3+$G34)</f>
        <v/>
      </c>
      <c r="I34" s="21" t="str">
        <f aca="false">IF($A34="","",IF(품목마스터!$F31="",0,품목마스터!$F31))</f>
        <v/>
      </c>
      <c r="J34" s="25" t="str">
        <f aca="false">IF(OR($A34="",$F34&lt;=0),"",$H34-$I34)</f>
        <v/>
      </c>
      <c r="K34" s="22" t="n">
        <f aca="false">IF(OR($A34="",$F34&lt;=0),0,MAX(0,CEILING(MAX(0,($I34+사용안내!$C$17)*$F34-$D34),MAX(1,IF(품목마스터!$H31="",1,품목마스터!$H31)))))</f>
        <v>0</v>
      </c>
      <c r="L34" s="21" t="str">
        <f aca="false">IF($A34="","",IF($F34&lt;=0,"-",IF($J34&lt;=$B$3,"발주",IF($J34&lt;=$B$3+7,"임박","정상"))))</f>
        <v/>
      </c>
    </row>
    <row r="35" customFormat="false" ht="15" hidden="false" customHeight="true" outlineLevel="0" collapsed="false">
      <c r="A35" s="17" t="str">
        <f aca="false">IF(품목마스터!$A32="","",품목마스터!$A32)</f>
        <v/>
      </c>
      <c r="B35" s="17" t="str">
        <f aca="false">IF($A35="","",품목마스터!$B32)</f>
        <v/>
      </c>
      <c r="C35" s="21" t="str">
        <f aca="false">IF($A35="","",품목마스터!$D32)</f>
        <v/>
      </c>
      <c r="D35" s="22" t="str">
        <f aca="false">IF($A35="","",IF(품목마스터!$E32="",0,품목마스터!$E32))</f>
        <v/>
      </c>
      <c r="E35" s="22" t="str">
        <f aca="false">IF($A35="","",SUMIFS(사용내역!$E$3:$E$3002,사용내역!$B$3:$B$3002,$A35,사용내역!$A$3:$A$3002,"&gt;"&amp;($B$3-사용안내!$C$16),사용내역!$A$3:$A$3002,"&lt;="&amp;$B$3))</f>
        <v/>
      </c>
      <c r="F35" s="23" t="str">
        <f aca="false">IF($A35="","",IF(사용안내!$C$16=0,0,ROUND($E35/사용안내!$C$16,3)))</f>
        <v/>
      </c>
      <c r="G35" s="24" t="str">
        <f aca="false">IF($A35="","",IF($F35&lt;=0,"사용기록없음",ROUND($D35/$F35,0)))</f>
        <v/>
      </c>
      <c r="H35" s="25" t="str">
        <f aca="false">IF(OR($A35="",$F35&lt;=0),"",$B$3+$G35)</f>
        <v/>
      </c>
      <c r="I35" s="21" t="str">
        <f aca="false">IF($A35="","",IF(품목마스터!$F32="",0,품목마스터!$F32))</f>
        <v/>
      </c>
      <c r="J35" s="25" t="str">
        <f aca="false">IF(OR($A35="",$F35&lt;=0),"",$H35-$I35)</f>
        <v/>
      </c>
      <c r="K35" s="22" t="n">
        <f aca="false">IF(OR($A35="",$F35&lt;=0),0,MAX(0,CEILING(MAX(0,($I35+사용안내!$C$17)*$F35-$D35),MAX(1,IF(품목마스터!$H32="",1,품목마스터!$H32)))))</f>
        <v>0</v>
      </c>
      <c r="L35" s="21" t="str">
        <f aca="false">IF($A35="","",IF($F35&lt;=0,"-",IF($J35&lt;=$B$3,"발주",IF($J35&lt;=$B$3+7,"임박","정상"))))</f>
        <v/>
      </c>
    </row>
    <row r="36" customFormat="false" ht="15" hidden="false" customHeight="true" outlineLevel="0" collapsed="false">
      <c r="A36" s="17" t="str">
        <f aca="false">IF(품목마스터!$A33="","",품목마스터!$A33)</f>
        <v/>
      </c>
      <c r="B36" s="17" t="str">
        <f aca="false">IF($A36="","",품목마스터!$B33)</f>
        <v/>
      </c>
      <c r="C36" s="21" t="str">
        <f aca="false">IF($A36="","",품목마스터!$D33)</f>
        <v/>
      </c>
      <c r="D36" s="22" t="str">
        <f aca="false">IF($A36="","",IF(품목마스터!$E33="",0,품목마스터!$E33))</f>
        <v/>
      </c>
      <c r="E36" s="22" t="str">
        <f aca="false">IF($A36="","",SUMIFS(사용내역!$E$3:$E$3002,사용내역!$B$3:$B$3002,$A36,사용내역!$A$3:$A$3002,"&gt;"&amp;($B$3-사용안내!$C$16),사용내역!$A$3:$A$3002,"&lt;="&amp;$B$3))</f>
        <v/>
      </c>
      <c r="F36" s="23" t="str">
        <f aca="false">IF($A36="","",IF(사용안내!$C$16=0,0,ROUND($E36/사용안내!$C$16,3)))</f>
        <v/>
      </c>
      <c r="G36" s="24" t="str">
        <f aca="false">IF($A36="","",IF($F36&lt;=0,"사용기록없음",ROUND($D36/$F36,0)))</f>
        <v/>
      </c>
      <c r="H36" s="25" t="str">
        <f aca="false">IF(OR($A36="",$F36&lt;=0),"",$B$3+$G36)</f>
        <v/>
      </c>
      <c r="I36" s="21" t="str">
        <f aca="false">IF($A36="","",IF(품목마스터!$F33="",0,품목마스터!$F33))</f>
        <v/>
      </c>
      <c r="J36" s="25" t="str">
        <f aca="false">IF(OR($A36="",$F36&lt;=0),"",$H36-$I36)</f>
        <v/>
      </c>
      <c r="K36" s="22" t="n">
        <f aca="false">IF(OR($A36="",$F36&lt;=0),0,MAX(0,CEILING(MAX(0,($I36+사용안내!$C$17)*$F36-$D36),MAX(1,IF(품목마스터!$H33="",1,품목마스터!$H33)))))</f>
        <v>0</v>
      </c>
      <c r="L36" s="21" t="str">
        <f aca="false">IF($A36="","",IF($F36&lt;=0,"-",IF($J36&lt;=$B$3,"발주",IF($J36&lt;=$B$3+7,"임박","정상"))))</f>
        <v/>
      </c>
    </row>
    <row r="37" customFormat="false" ht="15" hidden="false" customHeight="true" outlineLevel="0" collapsed="false">
      <c r="A37" s="17" t="str">
        <f aca="false">IF(품목마스터!$A34="","",품목마스터!$A34)</f>
        <v/>
      </c>
      <c r="B37" s="17" t="str">
        <f aca="false">IF($A37="","",품목마스터!$B34)</f>
        <v/>
      </c>
      <c r="C37" s="21" t="str">
        <f aca="false">IF($A37="","",품목마스터!$D34)</f>
        <v/>
      </c>
      <c r="D37" s="22" t="str">
        <f aca="false">IF($A37="","",IF(품목마스터!$E34="",0,품목마스터!$E34))</f>
        <v/>
      </c>
      <c r="E37" s="22" t="str">
        <f aca="false">IF($A37="","",SUMIFS(사용내역!$E$3:$E$3002,사용내역!$B$3:$B$3002,$A37,사용내역!$A$3:$A$3002,"&gt;"&amp;($B$3-사용안내!$C$16),사용내역!$A$3:$A$3002,"&lt;="&amp;$B$3))</f>
        <v/>
      </c>
      <c r="F37" s="23" t="str">
        <f aca="false">IF($A37="","",IF(사용안내!$C$16=0,0,ROUND($E37/사용안내!$C$16,3)))</f>
        <v/>
      </c>
      <c r="G37" s="24" t="str">
        <f aca="false">IF($A37="","",IF($F37&lt;=0,"사용기록없음",ROUND($D37/$F37,0)))</f>
        <v/>
      </c>
      <c r="H37" s="25" t="str">
        <f aca="false">IF(OR($A37="",$F37&lt;=0),"",$B$3+$G37)</f>
        <v/>
      </c>
      <c r="I37" s="21" t="str">
        <f aca="false">IF($A37="","",IF(품목마스터!$F34="",0,품목마스터!$F34))</f>
        <v/>
      </c>
      <c r="J37" s="25" t="str">
        <f aca="false">IF(OR($A37="",$F37&lt;=0),"",$H37-$I37)</f>
        <v/>
      </c>
      <c r="K37" s="22" t="n">
        <f aca="false">IF(OR($A37="",$F37&lt;=0),0,MAX(0,CEILING(MAX(0,($I37+사용안내!$C$17)*$F37-$D37),MAX(1,IF(품목마스터!$H34="",1,품목마스터!$H34)))))</f>
        <v>0</v>
      </c>
      <c r="L37" s="21" t="str">
        <f aca="false">IF($A37="","",IF($F37&lt;=0,"-",IF($J37&lt;=$B$3,"발주",IF($J37&lt;=$B$3+7,"임박","정상"))))</f>
        <v/>
      </c>
    </row>
    <row r="38" customFormat="false" ht="15" hidden="false" customHeight="true" outlineLevel="0" collapsed="false">
      <c r="A38" s="17" t="str">
        <f aca="false">IF(품목마스터!$A35="","",품목마스터!$A35)</f>
        <v/>
      </c>
      <c r="B38" s="17" t="str">
        <f aca="false">IF($A38="","",품목마스터!$B35)</f>
        <v/>
      </c>
      <c r="C38" s="21" t="str">
        <f aca="false">IF($A38="","",품목마스터!$D35)</f>
        <v/>
      </c>
      <c r="D38" s="22" t="str">
        <f aca="false">IF($A38="","",IF(품목마스터!$E35="",0,품목마스터!$E35))</f>
        <v/>
      </c>
      <c r="E38" s="22" t="str">
        <f aca="false">IF($A38="","",SUMIFS(사용내역!$E$3:$E$3002,사용내역!$B$3:$B$3002,$A38,사용내역!$A$3:$A$3002,"&gt;"&amp;($B$3-사용안내!$C$16),사용내역!$A$3:$A$3002,"&lt;="&amp;$B$3))</f>
        <v/>
      </c>
      <c r="F38" s="23" t="str">
        <f aca="false">IF($A38="","",IF(사용안내!$C$16=0,0,ROUND($E38/사용안내!$C$16,3)))</f>
        <v/>
      </c>
      <c r="G38" s="24" t="str">
        <f aca="false">IF($A38="","",IF($F38&lt;=0,"사용기록없음",ROUND($D38/$F38,0)))</f>
        <v/>
      </c>
      <c r="H38" s="25" t="str">
        <f aca="false">IF(OR($A38="",$F38&lt;=0),"",$B$3+$G38)</f>
        <v/>
      </c>
      <c r="I38" s="21" t="str">
        <f aca="false">IF($A38="","",IF(품목마스터!$F35="",0,품목마스터!$F35))</f>
        <v/>
      </c>
      <c r="J38" s="25" t="str">
        <f aca="false">IF(OR($A38="",$F38&lt;=0),"",$H38-$I38)</f>
        <v/>
      </c>
      <c r="K38" s="22" t="n">
        <f aca="false">IF(OR($A38="",$F38&lt;=0),0,MAX(0,CEILING(MAX(0,($I38+사용안내!$C$17)*$F38-$D38),MAX(1,IF(품목마스터!$H35="",1,품목마스터!$H35)))))</f>
        <v>0</v>
      </c>
      <c r="L38" s="21" t="str">
        <f aca="false">IF($A38="","",IF($F38&lt;=0,"-",IF($J38&lt;=$B$3,"발주",IF($J38&lt;=$B$3+7,"임박","정상"))))</f>
        <v/>
      </c>
    </row>
    <row r="39" customFormat="false" ht="15" hidden="false" customHeight="true" outlineLevel="0" collapsed="false">
      <c r="A39" s="17" t="str">
        <f aca="false">IF(품목마스터!$A36="","",품목마스터!$A36)</f>
        <v/>
      </c>
      <c r="B39" s="17" t="str">
        <f aca="false">IF($A39="","",품목마스터!$B36)</f>
        <v/>
      </c>
      <c r="C39" s="21" t="str">
        <f aca="false">IF($A39="","",품목마스터!$D36)</f>
        <v/>
      </c>
      <c r="D39" s="22" t="str">
        <f aca="false">IF($A39="","",IF(품목마스터!$E36="",0,품목마스터!$E36))</f>
        <v/>
      </c>
      <c r="E39" s="22" t="str">
        <f aca="false">IF($A39="","",SUMIFS(사용내역!$E$3:$E$3002,사용내역!$B$3:$B$3002,$A39,사용내역!$A$3:$A$3002,"&gt;"&amp;($B$3-사용안내!$C$16),사용내역!$A$3:$A$3002,"&lt;="&amp;$B$3))</f>
        <v/>
      </c>
      <c r="F39" s="23" t="str">
        <f aca="false">IF($A39="","",IF(사용안내!$C$16=0,0,ROUND($E39/사용안내!$C$16,3)))</f>
        <v/>
      </c>
      <c r="G39" s="24" t="str">
        <f aca="false">IF($A39="","",IF($F39&lt;=0,"사용기록없음",ROUND($D39/$F39,0)))</f>
        <v/>
      </c>
      <c r="H39" s="25" t="str">
        <f aca="false">IF(OR($A39="",$F39&lt;=0),"",$B$3+$G39)</f>
        <v/>
      </c>
      <c r="I39" s="21" t="str">
        <f aca="false">IF($A39="","",IF(품목마스터!$F36="",0,품목마스터!$F36))</f>
        <v/>
      </c>
      <c r="J39" s="25" t="str">
        <f aca="false">IF(OR($A39="",$F39&lt;=0),"",$H39-$I39)</f>
        <v/>
      </c>
      <c r="K39" s="22" t="n">
        <f aca="false">IF(OR($A39="",$F39&lt;=0),0,MAX(0,CEILING(MAX(0,($I39+사용안내!$C$17)*$F39-$D39),MAX(1,IF(품목마스터!$H36="",1,품목마스터!$H36)))))</f>
        <v>0</v>
      </c>
      <c r="L39" s="21" t="str">
        <f aca="false">IF($A39="","",IF($F39&lt;=0,"-",IF($J39&lt;=$B$3,"발주",IF($J39&lt;=$B$3+7,"임박","정상"))))</f>
        <v/>
      </c>
    </row>
    <row r="40" customFormat="false" ht="15" hidden="false" customHeight="true" outlineLevel="0" collapsed="false">
      <c r="A40" s="17" t="str">
        <f aca="false">IF(품목마스터!$A37="","",품목마스터!$A37)</f>
        <v/>
      </c>
      <c r="B40" s="17" t="str">
        <f aca="false">IF($A40="","",품목마스터!$B37)</f>
        <v/>
      </c>
      <c r="C40" s="21" t="str">
        <f aca="false">IF($A40="","",품목마스터!$D37)</f>
        <v/>
      </c>
      <c r="D40" s="22" t="str">
        <f aca="false">IF($A40="","",IF(품목마스터!$E37="",0,품목마스터!$E37))</f>
        <v/>
      </c>
      <c r="E40" s="22" t="str">
        <f aca="false">IF($A40="","",SUMIFS(사용내역!$E$3:$E$3002,사용내역!$B$3:$B$3002,$A40,사용내역!$A$3:$A$3002,"&gt;"&amp;($B$3-사용안내!$C$16),사용내역!$A$3:$A$3002,"&lt;="&amp;$B$3))</f>
        <v/>
      </c>
      <c r="F40" s="23" t="str">
        <f aca="false">IF($A40="","",IF(사용안내!$C$16=0,0,ROUND($E40/사용안내!$C$16,3)))</f>
        <v/>
      </c>
      <c r="G40" s="24" t="str">
        <f aca="false">IF($A40="","",IF($F40&lt;=0,"사용기록없음",ROUND($D40/$F40,0)))</f>
        <v/>
      </c>
      <c r="H40" s="25" t="str">
        <f aca="false">IF(OR($A40="",$F40&lt;=0),"",$B$3+$G40)</f>
        <v/>
      </c>
      <c r="I40" s="21" t="str">
        <f aca="false">IF($A40="","",IF(품목마스터!$F37="",0,품목마스터!$F37))</f>
        <v/>
      </c>
      <c r="J40" s="25" t="str">
        <f aca="false">IF(OR($A40="",$F40&lt;=0),"",$H40-$I40)</f>
        <v/>
      </c>
      <c r="K40" s="22" t="n">
        <f aca="false">IF(OR($A40="",$F40&lt;=0),0,MAX(0,CEILING(MAX(0,($I40+사용안내!$C$17)*$F40-$D40),MAX(1,IF(품목마스터!$H37="",1,품목마스터!$H37)))))</f>
        <v>0</v>
      </c>
      <c r="L40" s="21" t="str">
        <f aca="false">IF($A40="","",IF($F40&lt;=0,"-",IF($J40&lt;=$B$3,"발주",IF($J40&lt;=$B$3+7,"임박","정상"))))</f>
        <v/>
      </c>
    </row>
    <row r="41" customFormat="false" ht="15" hidden="false" customHeight="true" outlineLevel="0" collapsed="false">
      <c r="A41" s="17" t="str">
        <f aca="false">IF(품목마스터!$A38="","",품목마스터!$A38)</f>
        <v/>
      </c>
      <c r="B41" s="17" t="str">
        <f aca="false">IF($A41="","",품목마스터!$B38)</f>
        <v/>
      </c>
      <c r="C41" s="21" t="str">
        <f aca="false">IF($A41="","",품목마스터!$D38)</f>
        <v/>
      </c>
      <c r="D41" s="22" t="str">
        <f aca="false">IF($A41="","",IF(품목마스터!$E38="",0,품목마스터!$E38))</f>
        <v/>
      </c>
      <c r="E41" s="22" t="str">
        <f aca="false">IF($A41="","",SUMIFS(사용내역!$E$3:$E$3002,사용내역!$B$3:$B$3002,$A41,사용내역!$A$3:$A$3002,"&gt;"&amp;($B$3-사용안내!$C$16),사용내역!$A$3:$A$3002,"&lt;="&amp;$B$3))</f>
        <v/>
      </c>
      <c r="F41" s="23" t="str">
        <f aca="false">IF($A41="","",IF(사용안내!$C$16=0,0,ROUND($E41/사용안내!$C$16,3)))</f>
        <v/>
      </c>
      <c r="G41" s="24" t="str">
        <f aca="false">IF($A41="","",IF($F41&lt;=0,"사용기록없음",ROUND($D41/$F41,0)))</f>
        <v/>
      </c>
      <c r="H41" s="25" t="str">
        <f aca="false">IF(OR($A41="",$F41&lt;=0),"",$B$3+$G41)</f>
        <v/>
      </c>
      <c r="I41" s="21" t="str">
        <f aca="false">IF($A41="","",IF(품목마스터!$F38="",0,품목마스터!$F38))</f>
        <v/>
      </c>
      <c r="J41" s="25" t="str">
        <f aca="false">IF(OR($A41="",$F41&lt;=0),"",$H41-$I41)</f>
        <v/>
      </c>
      <c r="K41" s="22" t="n">
        <f aca="false">IF(OR($A41="",$F41&lt;=0),0,MAX(0,CEILING(MAX(0,($I41+사용안내!$C$17)*$F41-$D41),MAX(1,IF(품목마스터!$H38="",1,품목마스터!$H38)))))</f>
        <v>0</v>
      </c>
      <c r="L41" s="21" t="str">
        <f aca="false">IF($A41="","",IF($F41&lt;=0,"-",IF($J41&lt;=$B$3,"발주",IF($J41&lt;=$B$3+7,"임박","정상"))))</f>
        <v/>
      </c>
    </row>
    <row r="42" customFormat="false" ht="15" hidden="false" customHeight="true" outlineLevel="0" collapsed="false">
      <c r="A42" s="17" t="str">
        <f aca="false">IF(품목마스터!$A39="","",품목마스터!$A39)</f>
        <v/>
      </c>
      <c r="B42" s="17" t="str">
        <f aca="false">IF($A42="","",품목마스터!$B39)</f>
        <v/>
      </c>
      <c r="C42" s="21" t="str">
        <f aca="false">IF($A42="","",품목마스터!$D39)</f>
        <v/>
      </c>
      <c r="D42" s="22" t="str">
        <f aca="false">IF($A42="","",IF(품목마스터!$E39="",0,품목마스터!$E39))</f>
        <v/>
      </c>
      <c r="E42" s="22" t="str">
        <f aca="false">IF($A42="","",SUMIFS(사용내역!$E$3:$E$3002,사용내역!$B$3:$B$3002,$A42,사용내역!$A$3:$A$3002,"&gt;"&amp;($B$3-사용안내!$C$16),사용내역!$A$3:$A$3002,"&lt;="&amp;$B$3))</f>
        <v/>
      </c>
      <c r="F42" s="23" t="str">
        <f aca="false">IF($A42="","",IF(사용안내!$C$16=0,0,ROUND($E42/사용안내!$C$16,3)))</f>
        <v/>
      </c>
      <c r="G42" s="24" t="str">
        <f aca="false">IF($A42="","",IF($F42&lt;=0,"사용기록없음",ROUND($D42/$F42,0)))</f>
        <v/>
      </c>
      <c r="H42" s="25" t="str">
        <f aca="false">IF(OR($A42="",$F42&lt;=0),"",$B$3+$G42)</f>
        <v/>
      </c>
      <c r="I42" s="21" t="str">
        <f aca="false">IF($A42="","",IF(품목마스터!$F39="",0,품목마스터!$F39))</f>
        <v/>
      </c>
      <c r="J42" s="25" t="str">
        <f aca="false">IF(OR($A42="",$F42&lt;=0),"",$H42-$I42)</f>
        <v/>
      </c>
      <c r="K42" s="22" t="n">
        <f aca="false">IF(OR($A42="",$F42&lt;=0),0,MAX(0,CEILING(MAX(0,($I42+사용안내!$C$17)*$F42-$D42),MAX(1,IF(품목마스터!$H39="",1,품목마스터!$H39)))))</f>
        <v>0</v>
      </c>
      <c r="L42" s="21" t="str">
        <f aca="false">IF($A42="","",IF($F42&lt;=0,"-",IF($J42&lt;=$B$3,"발주",IF($J42&lt;=$B$3+7,"임박","정상"))))</f>
        <v/>
      </c>
    </row>
    <row r="43" customFormat="false" ht="15" hidden="false" customHeight="true" outlineLevel="0" collapsed="false">
      <c r="A43" s="17" t="str">
        <f aca="false">IF(품목마스터!$A40="","",품목마스터!$A40)</f>
        <v/>
      </c>
      <c r="B43" s="17" t="str">
        <f aca="false">IF($A43="","",품목마스터!$B40)</f>
        <v/>
      </c>
      <c r="C43" s="21" t="str">
        <f aca="false">IF($A43="","",품목마스터!$D40)</f>
        <v/>
      </c>
      <c r="D43" s="22" t="str">
        <f aca="false">IF($A43="","",IF(품목마스터!$E40="",0,품목마스터!$E40))</f>
        <v/>
      </c>
      <c r="E43" s="22" t="str">
        <f aca="false">IF($A43="","",SUMIFS(사용내역!$E$3:$E$3002,사용내역!$B$3:$B$3002,$A43,사용내역!$A$3:$A$3002,"&gt;"&amp;($B$3-사용안내!$C$16),사용내역!$A$3:$A$3002,"&lt;="&amp;$B$3))</f>
        <v/>
      </c>
      <c r="F43" s="23" t="str">
        <f aca="false">IF($A43="","",IF(사용안내!$C$16=0,0,ROUND($E43/사용안내!$C$16,3)))</f>
        <v/>
      </c>
      <c r="G43" s="24" t="str">
        <f aca="false">IF($A43="","",IF($F43&lt;=0,"사용기록없음",ROUND($D43/$F43,0)))</f>
        <v/>
      </c>
      <c r="H43" s="25" t="str">
        <f aca="false">IF(OR($A43="",$F43&lt;=0),"",$B$3+$G43)</f>
        <v/>
      </c>
      <c r="I43" s="21" t="str">
        <f aca="false">IF($A43="","",IF(품목마스터!$F40="",0,품목마스터!$F40))</f>
        <v/>
      </c>
      <c r="J43" s="25" t="str">
        <f aca="false">IF(OR($A43="",$F43&lt;=0),"",$H43-$I43)</f>
        <v/>
      </c>
      <c r="K43" s="22" t="n">
        <f aca="false">IF(OR($A43="",$F43&lt;=0),0,MAX(0,CEILING(MAX(0,($I43+사용안내!$C$17)*$F43-$D43),MAX(1,IF(품목마스터!$H40="",1,품목마스터!$H40)))))</f>
        <v>0</v>
      </c>
      <c r="L43" s="21" t="str">
        <f aca="false">IF($A43="","",IF($F43&lt;=0,"-",IF($J43&lt;=$B$3,"발주",IF($J43&lt;=$B$3+7,"임박","정상"))))</f>
        <v/>
      </c>
    </row>
    <row r="44" customFormat="false" ht="15" hidden="false" customHeight="true" outlineLevel="0" collapsed="false">
      <c r="A44" s="17" t="str">
        <f aca="false">IF(품목마스터!$A41="","",품목마스터!$A41)</f>
        <v/>
      </c>
      <c r="B44" s="17" t="str">
        <f aca="false">IF($A44="","",품목마스터!$B41)</f>
        <v/>
      </c>
      <c r="C44" s="21" t="str">
        <f aca="false">IF($A44="","",품목마스터!$D41)</f>
        <v/>
      </c>
      <c r="D44" s="22" t="str">
        <f aca="false">IF($A44="","",IF(품목마스터!$E41="",0,품목마스터!$E41))</f>
        <v/>
      </c>
      <c r="E44" s="22" t="str">
        <f aca="false">IF($A44="","",SUMIFS(사용내역!$E$3:$E$3002,사용내역!$B$3:$B$3002,$A44,사용내역!$A$3:$A$3002,"&gt;"&amp;($B$3-사용안내!$C$16),사용내역!$A$3:$A$3002,"&lt;="&amp;$B$3))</f>
        <v/>
      </c>
      <c r="F44" s="23" t="str">
        <f aca="false">IF($A44="","",IF(사용안내!$C$16=0,0,ROUND($E44/사용안내!$C$16,3)))</f>
        <v/>
      </c>
      <c r="G44" s="24" t="str">
        <f aca="false">IF($A44="","",IF($F44&lt;=0,"사용기록없음",ROUND($D44/$F44,0)))</f>
        <v/>
      </c>
      <c r="H44" s="25" t="str">
        <f aca="false">IF(OR($A44="",$F44&lt;=0),"",$B$3+$G44)</f>
        <v/>
      </c>
      <c r="I44" s="21" t="str">
        <f aca="false">IF($A44="","",IF(품목마스터!$F41="",0,품목마스터!$F41))</f>
        <v/>
      </c>
      <c r="J44" s="25" t="str">
        <f aca="false">IF(OR($A44="",$F44&lt;=0),"",$H44-$I44)</f>
        <v/>
      </c>
      <c r="K44" s="22" t="n">
        <f aca="false">IF(OR($A44="",$F44&lt;=0),0,MAX(0,CEILING(MAX(0,($I44+사용안내!$C$17)*$F44-$D44),MAX(1,IF(품목마스터!$H41="",1,품목마스터!$H41)))))</f>
        <v>0</v>
      </c>
      <c r="L44" s="21" t="str">
        <f aca="false">IF($A44="","",IF($F44&lt;=0,"-",IF($J44&lt;=$B$3,"발주",IF($J44&lt;=$B$3+7,"임박","정상"))))</f>
        <v/>
      </c>
    </row>
    <row r="45" customFormat="false" ht="15" hidden="false" customHeight="true" outlineLevel="0" collapsed="false">
      <c r="A45" s="17" t="str">
        <f aca="false">IF(품목마스터!$A42="","",품목마스터!$A42)</f>
        <v/>
      </c>
      <c r="B45" s="17" t="str">
        <f aca="false">IF($A45="","",품목마스터!$B42)</f>
        <v/>
      </c>
      <c r="C45" s="21" t="str">
        <f aca="false">IF($A45="","",품목마스터!$D42)</f>
        <v/>
      </c>
      <c r="D45" s="22" t="str">
        <f aca="false">IF($A45="","",IF(품목마스터!$E42="",0,품목마스터!$E42))</f>
        <v/>
      </c>
      <c r="E45" s="22" t="str">
        <f aca="false">IF($A45="","",SUMIFS(사용내역!$E$3:$E$3002,사용내역!$B$3:$B$3002,$A45,사용내역!$A$3:$A$3002,"&gt;"&amp;($B$3-사용안내!$C$16),사용내역!$A$3:$A$3002,"&lt;="&amp;$B$3))</f>
        <v/>
      </c>
      <c r="F45" s="23" t="str">
        <f aca="false">IF($A45="","",IF(사용안내!$C$16=0,0,ROUND($E45/사용안내!$C$16,3)))</f>
        <v/>
      </c>
      <c r="G45" s="24" t="str">
        <f aca="false">IF($A45="","",IF($F45&lt;=0,"사용기록없음",ROUND($D45/$F45,0)))</f>
        <v/>
      </c>
      <c r="H45" s="25" t="str">
        <f aca="false">IF(OR($A45="",$F45&lt;=0),"",$B$3+$G45)</f>
        <v/>
      </c>
      <c r="I45" s="21" t="str">
        <f aca="false">IF($A45="","",IF(품목마스터!$F42="",0,품목마스터!$F42))</f>
        <v/>
      </c>
      <c r="J45" s="25" t="str">
        <f aca="false">IF(OR($A45="",$F45&lt;=0),"",$H45-$I45)</f>
        <v/>
      </c>
      <c r="K45" s="22" t="n">
        <f aca="false">IF(OR($A45="",$F45&lt;=0),0,MAX(0,CEILING(MAX(0,($I45+사용안내!$C$17)*$F45-$D45),MAX(1,IF(품목마스터!$H42="",1,품목마스터!$H42)))))</f>
        <v>0</v>
      </c>
      <c r="L45" s="21" t="str">
        <f aca="false">IF($A45="","",IF($F45&lt;=0,"-",IF($J45&lt;=$B$3,"발주",IF($J45&lt;=$B$3+7,"임박","정상"))))</f>
        <v/>
      </c>
    </row>
    <row r="46" customFormat="false" ht="15" hidden="false" customHeight="true" outlineLevel="0" collapsed="false">
      <c r="A46" s="17" t="str">
        <f aca="false">IF(품목마스터!$A43="","",품목마스터!$A43)</f>
        <v/>
      </c>
      <c r="B46" s="17" t="str">
        <f aca="false">IF($A46="","",품목마스터!$B43)</f>
        <v/>
      </c>
      <c r="C46" s="21" t="str">
        <f aca="false">IF($A46="","",품목마스터!$D43)</f>
        <v/>
      </c>
      <c r="D46" s="22" t="str">
        <f aca="false">IF($A46="","",IF(품목마스터!$E43="",0,품목마스터!$E43))</f>
        <v/>
      </c>
      <c r="E46" s="22" t="str">
        <f aca="false">IF($A46="","",SUMIFS(사용내역!$E$3:$E$3002,사용내역!$B$3:$B$3002,$A46,사용내역!$A$3:$A$3002,"&gt;"&amp;($B$3-사용안내!$C$16),사용내역!$A$3:$A$3002,"&lt;="&amp;$B$3))</f>
        <v/>
      </c>
      <c r="F46" s="23" t="str">
        <f aca="false">IF($A46="","",IF(사용안내!$C$16=0,0,ROUND($E46/사용안내!$C$16,3)))</f>
        <v/>
      </c>
      <c r="G46" s="24" t="str">
        <f aca="false">IF($A46="","",IF($F46&lt;=0,"사용기록없음",ROUND($D46/$F46,0)))</f>
        <v/>
      </c>
      <c r="H46" s="25" t="str">
        <f aca="false">IF(OR($A46="",$F46&lt;=0),"",$B$3+$G46)</f>
        <v/>
      </c>
      <c r="I46" s="21" t="str">
        <f aca="false">IF($A46="","",IF(품목마스터!$F43="",0,품목마스터!$F43))</f>
        <v/>
      </c>
      <c r="J46" s="25" t="str">
        <f aca="false">IF(OR($A46="",$F46&lt;=0),"",$H46-$I46)</f>
        <v/>
      </c>
      <c r="K46" s="22" t="n">
        <f aca="false">IF(OR($A46="",$F46&lt;=0),0,MAX(0,CEILING(MAX(0,($I46+사용안내!$C$17)*$F46-$D46),MAX(1,IF(품목마스터!$H43="",1,품목마스터!$H43)))))</f>
        <v>0</v>
      </c>
      <c r="L46" s="21" t="str">
        <f aca="false">IF($A46="","",IF($F46&lt;=0,"-",IF($J46&lt;=$B$3,"발주",IF($J46&lt;=$B$3+7,"임박","정상"))))</f>
        <v/>
      </c>
    </row>
    <row r="47" customFormat="false" ht="15" hidden="false" customHeight="true" outlineLevel="0" collapsed="false">
      <c r="A47" s="17" t="str">
        <f aca="false">IF(품목마스터!$A44="","",품목마스터!$A44)</f>
        <v/>
      </c>
      <c r="B47" s="17" t="str">
        <f aca="false">IF($A47="","",품목마스터!$B44)</f>
        <v/>
      </c>
      <c r="C47" s="21" t="str">
        <f aca="false">IF($A47="","",품목마스터!$D44)</f>
        <v/>
      </c>
      <c r="D47" s="22" t="str">
        <f aca="false">IF($A47="","",IF(품목마스터!$E44="",0,품목마스터!$E44))</f>
        <v/>
      </c>
      <c r="E47" s="22" t="str">
        <f aca="false">IF($A47="","",SUMIFS(사용내역!$E$3:$E$3002,사용내역!$B$3:$B$3002,$A47,사용내역!$A$3:$A$3002,"&gt;"&amp;($B$3-사용안내!$C$16),사용내역!$A$3:$A$3002,"&lt;="&amp;$B$3))</f>
        <v/>
      </c>
      <c r="F47" s="23" t="str">
        <f aca="false">IF($A47="","",IF(사용안내!$C$16=0,0,ROUND($E47/사용안내!$C$16,3)))</f>
        <v/>
      </c>
      <c r="G47" s="24" t="str">
        <f aca="false">IF($A47="","",IF($F47&lt;=0,"사용기록없음",ROUND($D47/$F47,0)))</f>
        <v/>
      </c>
      <c r="H47" s="25" t="str">
        <f aca="false">IF(OR($A47="",$F47&lt;=0),"",$B$3+$G47)</f>
        <v/>
      </c>
      <c r="I47" s="21" t="str">
        <f aca="false">IF($A47="","",IF(품목마스터!$F44="",0,품목마스터!$F44))</f>
        <v/>
      </c>
      <c r="J47" s="25" t="str">
        <f aca="false">IF(OR($A47="",$F47&lt;=0),"",$H47-$I47)</f>
        <v/>
      </c>
      <c r="K47" s="22" t="n">
        <f aca="false">IF(OR($A47="",$F47&lt;=0),0,MAX(0,CEILING(MAX(0,($I47+사용안내!$C$17)*$F47-$D47),MAX(1,IF(품목마스터!$H44="",1,품목마스터!$H44)))))</f>
        <v>0</v>
      </c>
      <c r="L47" s="21" t="str">
        <f aca="false">IF($A47="","",IF($F47&lt;=0,"-",IF($J47&lt;=$B$3,"발주",IF($J47&lt;=$B$3+7,"임박","정상"))))</f>
        <v/>
      </c>
    </row>
    <row r="48" customFormat="false" ht="15" hidden="false" customHeight="true" outlineLevel="0" collapsed="false">
      <c r="A48" s="17" t="str">
        <f aca="false">IF(품목마스터!$A45="","",품목마스터!$A45)</f>
        <v/>
      </c>
      <c r="B48" s="17" t="str">
        <f aca="false">IF($A48="","",품목마스터!$B45)</f>
        <v/>
      </c>
      <c r="C48" s="21" t="str">
        <f aca="false">IF($A48="","",품목마스터!$D45)</f>
        <v/>
      </c>
      <c r="D48" s="22" t="str">
        <f aca="false">IF($A48="","",IF(품목마스터!$E45="",0,품목마스터!$E45))</f>
        <v/>
      </c>
      <c r="E48" s="22" t="str">
        <f aca="false">IF($A48="","",SUMIFS(사용내역!$E$3:$E$3002,사용내역!$B$3:$B$3002,$A48,사용내역!$A$3:$A$3002,"&gt;"&amp;($B$3-사용안내!$C$16),사용내역!$A$3:$A$3002,"&lt;="&amp;$B$3))</f>
        <v/>
      </c>
      <c r="F48" s="23" t="str">
        <f aca="false">IF($A48="","",IF(사용안내!$C$16=0,0,ROUND($E48/사용안내!$C$16,3)))</f>
        <v/>
      </c>
      <c r="G48" s="24" t="str">
        <f aca="false">IF($A48="","",IF($F48&lt;=0,"사용기록없음",ROUND($D48/$F48,0)))</f>
        <v/>
      </c>
      <c r="H48" s="25" t="str">
        <f aca="false">IF(OR($A48="",$F48&lt;=0),"",$B$3+$G48)</f>
        <v/>
      </c>
      <c r="I48" s="21" t="str">
        <f aca="false">IF($A48="","",IF(품목마스터!$F45="",0,품목마스터!$F45))</f>
        <v/>
      </c>
      <c r="J48" s="25" t="str">
        <f aca="false">IF(OR($A48="",$F48&lt;=0),"",$H48-$I48)</f>
        <v/>
      </c>
      <c r="K48" s="22" t="n">
        <f aca="false">IF(OR($A48="",$F48&lt;=0),0,MAX(0,CEILING(MAX(0,($I48+사용안내!$C$17)*$F48-$D48),MAX(1,IF(품목마스터!$H45="",1,품목마스터!$H45)))))</f>
        <v>0</v>
      </c>
      <c r="L48" s="21" t="str">
        <f aca="false">IF($A48="","",IF($F48&lt;=0,"-",IF($J48&lt;=$B$3,"발주",IF($J48&lt;=$B$3+7,"임박","정상"))))</f>
        <v/>
      </c>
    </row>
    <row r="49" customFormat="false" ht="15" hidden="false" customHeight="true" outlineLevel="0" collapsed="false">
      <c r="A49" s="17" t="str">
        <f aca="false">IF(품목마스터!$A46="","",품목마스터!$A46)</f>
        <v/>
      </c>
      <c r="B49" s="17" t="str">
        <f aca="false">IF($A49="","",품목마스터!$B46)</f>
        <v/>
      </c>
      <c r="C49" s="21" t="str">
        <f aca="false">IF($A49="","",품목마스터!$D46)</f>
        <v/>
      </c>
      <c r="D49" s="22" t="str">
        <f aca="false">IF($A49="","",IF(품목마스터!$E46="",0,품목마스터!$E46))</f>
        <v/>
      </c>
      <c r="E49" s="22" t="str">
        <f aca="false">IF($A49="","",SUMIFS(사용내역!$E$3:$E$3002,사용내역!$B$3:$B$3002,$A49,사용내역!$A$3:$A$3002,"&gt;"&amp;($B$3-사용안내!$C$16),사용내역!$A$3:$A$3002,"&lt;="&amp;$B$3))</f>
        <v/>
      </c>
      <c r="F49" s="23" t="str">
        <f aca="false">IF($A49="","",IF(사용안내!$C$16=0,0,ROUND($E49/사용안내!$C$16,3)))</f>
        <v/>
      </c>
      <c r="G49" s="24" t="str">
        <f aca="false">IF($A49="","",IF($F49&lt;=0,"사용기록없음",ROUND($D49/$F49,0)))</f>
        <v/>
      </c>
      <c r="H49" s="25" t="str">
        <f aca="false">IF(OR($A49="",$F49&lt;=0),"",$B$3+$G49)</f>
        <v/>
      </c>
      <c r="I49" s="21" t="str">
        <f aca="false">IF($A49="","",IF(품목마스터!$F46="",0,품목마스터!$F46))</f>
        <v/>
      </c>
      <c r="J49" s="25" t="str">
        <f aca="false">IF(OR($A49="",$F49&lt;=0),"",$H49-$I49)</f>
        <v/>
      </c>
      <c r="K49" s="22" t="n">
        <f aca="false">IF(OR($A49="",$F49&lt;=0),0,MAX(0,CEILING(MAX(0,($I49+사용안내!$C$17)*$F49-$D49),MAX(1,IF(품목마스터!$H46="",1,품목마스터!$H46)))))</f>
        <v>0</v>
      </c>
      <c r="L49" s="21" t="str">
        <f aca="false">IF($A49="","",IF($F49&lt;=0,"-",IF($J49&lt;=$B$3,"발주",IF($J49&lt;=$B$3+7,"임박","정상"))))</f>
        <v/>
      </c>
    </row>
    <row r="50" customFormat="false" ht="15" hidden="false" customHeight="true" outlineLevel="0" collapsed="false">
      <c r="A50" s="17" t="str">
        <f aca="false">IF(품목마스터!$A47="","",품목마스터!$A47)</f>
        <v/>
      </c>
      <c r="B50" s="17" t="str">
        <f aca="false">IF($A50="","",품목마스터!$B47)</f>
        <v/>
      </c>
      <c r="C50" s="21" t="str">
        <f aca="false">IF($A50="","",품목마스터!$D47)</f>
        <v/>
      </c>
      <c r="D50" s="22" t="str">
        <f aca="false">IF($A50="","",IF(품목마스터!$E47="",0,품목마스터!$E47))</f>
        <v/>
      </c>
      <c r="E50" s="22" t="str">
        <f aca="false">IF($A50="","",SUMIFS(사용내역!$E$3:$E$3002,사용내역!$B$3:$B$3002,$A50,사용내역!$A$3:$A$3002,"&gt;"&amp;($B$3-사용안내!$C$16),사용내역!$A$3:$A$3002,"&lt;="&amp;$B$3))</f>
        <v/>
      </c>
      <c r="F50" s="23" t="str">
        <f aca="false">IF($A50="","",IF(사용안내!$C$16=0,0,ROUND($E50/사용안내!$C$16,3)))</f>
        <v/>
      </c>
      <c r="G50" s="24" t="str">
        <f aca="false">IF($A50="","",IF($F50&lt;=0,"사용기록없음",ROUND($D50/$F50,0)))</f>
        <v/>
      </c>
      <c r="H50" s="25" t="str">
        <f aca="false">IF(OR($A50="",$F50&lt;=0),"",$B$3+$G50)</f>
        <v/>
      </c>
      <c r="I50" s="21" t="str">
        <f aca="false">IF($A50="","",IF(품목마스터!$F47="",0,품목마스터!$F47))</f>
        <v/>
      </c>
      <c r="J50" s="25" t="str">
        <f aca="false">IF(OR($A50="",$F50&lt;=0),"",$H50-$I50)</f>
        <v/>
      </c>
      <c r="K50" s="22" t="n">
        <f aca="false">IF(OR($A50="",$F50&lt;=0),0,MAX(0,CEILING(MAX(0,($I50+사용안내!$C$17)*$F50-$D50),MAX(1,IF(품목마스터!$H47="",1,품목마스터!$H47)))))</f>
        <v>0</v>
      </c>
      <c r="L50" s="21" t="str">
        <f aca="false">IF($A50="","",IF($F50&lt;=0,"-",IF($J50&lt;=$B$3,"발주",IF($J50&lt;=$B$3+7,"임박","정상"))))</f>
        <v/>
      </c>
    </row>
    <row r="51" customFormat="false" ht="15" hidden="false" customHeight="true" outlineLevel="0" collapsed="false">
      <c r="A51" s="17" t="str">
        <f aca="false">IF(품목마스터!$A48="","",품목마스터!$A48)</f>
        <v/>
      </c>
      <c r="B51" s="17" t="str">
        <f aca="false">IF($A51="","",품목마스터!$B48)</f>
        <v/>
      </c>
      <c r="C51" s="21" t="str">
        <f aca="false">IF($A51="","",품목마스터!$D48)</f>
        <v/>
      </c>
      <c r="D51" s="22" t="str">
        <f aca="false">IF($A51="","",IF(품목마스터!$E48="",0,품목마스터!$E48))</f>
        <v/>
      </c>
      <c r="E51" s="22" t="str">
        <f aca="false">IF($A51="","",SUMIFS(사용내역!$E$3:$E$3002,사용내역!$B$3:$B$3002,$A51,사용내역!$A$3:$A$3002,"&gt;"&amp;($B$3-사용안내!$C$16),사용내역!$A$3:$A$3002,"&lt;="&amp;$B$3))</f>
        <v/>
      </c>
      <c r="F51" s="23" t="str">
        <f aca="false">IF($A51="","",IF(사용안내!$C$16=0,0,ROUND($E51/사용안내!$C$16,3)))</f>
        <v/>
      </c>
      <c r="G51" s="24" t="str">
        <f aca="false">IF($A51="","",IF($F51&lt;=0,"사용기록없음",ROUND($D51/$F51,0)))</f>
        <v/>
      </c>
      <c r="H51" s="25" t="str">
        <f aca="false">IF(OR($A51="",$F51&lt;=0),"",$B$3+$G51)</f>
        <v/>
      </c>
      <c r="I51" s="21" t="str">
        <f aca="false">IF($A51="","",IF(품목마스터!$F48="",0,품목마스터!$F48))</f>
        <v/>
      </c>
      <c r="J51" s="25" t="str">
        <f aca="false">IF(OR($A51="",$F51&lt;=0),"",$H51-$I51)</f>
        <v/>
      </c>
      <c r="K51" s="22" t="n">
        <f aca="false">IF(OR($A51="",$F51&lt;=0),0,MAX(0,CEILING(MAX(0,($I51+사용안내!$C$17)*$F51-$D51),MAX(1,IF(품목마스터!$H48="",1,품목마스터!$H48)))))</f>
        <v>0</v>
      </c>
      <c r="L51" s="21" t="str">
        <f aca="false">IF($A51="","",IF($F51&lt;=0,"-",IF($J51&lt;=$B$3,"발주",IF($J51&lt;=$B$3+7,"임박","정상"))))</f>
        <v/>
      </c>
    </row>
    <row r="52" customFormat="false" ht="15" hidden="false" customHeight="true" outlineLevel="0" collapsed="false">
      <c r="A52" s="17" t="str">
        <f aca="false">IF(품목마스터!$A49="","",품목마스터!$A49)</f>
        <v/>
      </c>
      <c r="B52" s="17" t="str">
        <f aca="false">IF($A52="","",품목마스터!$B49)</f>
        <v/>
      </c>
      <c r="C52" s="21" t="str">
        <f aca="false">IF($A52="","",품목마스터!$D49)</f>
        <v/>
      </c>
      <c r="D52" s="22" t="str">
        <f aca="false">IF($A52="","",IF(품목마스터!$E49="",0,품목마스터!$E49))</f>
        <v/>
      </c>
      <c r="E52" s="22" t="str">
        <f aca="false">IF($A52="","",SUMIFS(사용내역!$E$3:$E$3002,사용내역!$B$3:$B$3002,$A52,사용내역!$A$3:$A$3002,"&gt;"&amp;($B$3-사용안내!$C$16),사용내역!$A$3:$A$3002,"&lt;="&amp;$B$3))</f>
        <v/>
      </c>
      <c r="F52" s="23" t="str">
        <f aca="false">IF($A52="","",IF(사용안내!$C$16=0,0,ROUND($E52/사용안내!$C$16,3)))</f>
        <v/>
      </c>
      <c r="G52" s="24" t="str">
        <f aca="false">IF($A52="","",IF($F52&lt;=0,"사용기록없음",ROUND($D52/$F52,0)))</f>
        <v/>
      </c>
      <c r="H52" s="25" t="str">
        <f aca="false">IF(OR($A52="",$F52&lt;=0),"",$B$3+$G52)</f>
        <v/>
      </c>
      <c r="I52" s="21" t="str">
        <f aca="false">IF($A52="","",IF(품목마스터!$F49="",0,품목마스터!$F49))</f>
        <v/>
      </c>
      <c r="J52" s="25" t="str">
        <f aca="false">IF(OR($A52="",$F52&lt;=0),"",$H52-$I52)</f>
        <v/>
      </c>
      <c r="K52" s="22" t="n">
        <f aca="false">IF(OR($A52="",$F52&lt;=0),0,MAX(0,CEILING(MAX(0,($I52+사용안내!$C$17)*$F52-$D52),MAX(1,IF(품목마스터!$H49="",1,품목마스터!$H49)))))</f>
        <v>0</v>
      </c>
      <c r="L52" s="21" t="str">
        <f aca="false">IF($A52="","",IF($F52&lt;=0,"-",IF($J52&lt;=$B$3,"발주",IF($J52&lt;=$B$3+7,"임박","정상"))))</f>
        <v/>
      </c>
    </row>
    <row r="53" customFormat="false" ht="15" hidden="false" customHeight="true" outlineLevel="0" collapsed="false">
      <c r="A53" s="17" t="str">
        <f aca="false">IF(품목마스터!$A50="","",품목마스터!$A50)</f>
        <v/>
      </c>
      <c r="B53" s="17" t="str">
        <f aca="false">IF($A53="","",품목마스터!$B50)</f>
        <v/>
      </c>
      <c r="C53" s="21" t="str">
        <f aca="false">IF($A53="","",품목마스터!$D50)</f>
        <v/>
      </c>
      <c r="D53" s="22" t="str">
        <f aca="false">IF($A53="","",IF(품목마스터!$E50="",0,품목마스터!$E50))</f>
        <v/>
      </c>
      <c r="E53" s="22" t="str">
        <f aca="false">IF($A53="","",SUMIFS(사용내역!$E$3:$E$3002,사용내역!$B$3:$B$3002,$A53,사용내역!$A$3:$A$3002,"&gt;"&amp;($B$3-사용안내!$C$16),사용내역!$A$3:$A$3002,"&lt;="&amp;$B$3))</f>
        <v/>
      </c>
      <c r="F53" s="23" t="str">
        <f aca="false">IF($A53="","",IF(사용안내!$C$16=0,0,ROUND($E53/사용안내!$C$16,3)))</f>
        <v/>
      </c>
      <c r="G53" s="24" t="str">
        <f aca="false">IF($A53="","",IF($F53&lt;=0,"사용기록없음",ROUND($D53/$F53,0)))</f>
        <v/>
      </c>
      <c r="H53" s="25" t="str">
        <f aca="false">IF(OR($A53="",$F53&lt;=0),"",$B$3+$G53)</f>
        <v/>
      </c>
      <c r="I53" s="21" t="str">
        <f aca="false">IF($A53="","",IF(품목마스터!$F50="",0,품목마스터!$F50))</f>
        <v/>
      </c>
      <c r="J53" s="25" t="str">
        <f aca="false">IF(OR($A53="",$F53&lt;=0),"",$H53-$I53)</f>
        <v/>
      </c>
      <c r="K53" s="22" t="n">
        <f aca="false">IF(OR($A53="",$F53&lt;=0),0,MAX(0,CEILING(MAX(0,($I53+사용안내!$C$17)*$F53-$D53),MAX(1,IF(품목마스터!$H50="",1,품목마스터!$H50)))))</f>
        <v>0</v>
      </c>
      <c r="L53" s="21" t="str">
        <f aca="false">IF($A53="","",IF($F53&lt;=0,"-",IF($J53&lt;=$B$3,"발주",IF($J53&lt;=$B$3+7,"임박","정상"))))</f>
        <v/>
      </c>
    </row>
    <row r="54" customFormat="false" ht="15" hidden="false" customHeight="true" outlineLevel="0" collapsed="false">
      <c r="A54" s="17" t="str">
        <f aca="false">IF(품목마스터!$A51="","",품목마스터!$A51)</f>
        <v/>
      </c>
      <c r="B54" s="17" t="str">
        <f aca="false">IF($A54="","",품목마스터!$B51)</f>
        <v/>
      </c>
      <c r="C54" s="21" t="str">
        <f aca="false">IF($A54="","",품목마스터!$D51)</f>
        <v/>
      </c>
      <c r="D54" s="22" t="str">
        <f aca="false">IF($A54="","",IF(품목마스터!$E51="",0,품목마스터!$E51))</f>
        <v/>
      </c>
      <c r="E54" s="22" t="str">
        <f aca="false">IF($A54="","",SUMIFS(사용내역!$E$3:$E$3002,사용내역!$B$3:$B$3002,$A54,사용내역!$A$3:$A$3002,"&gt;"&amp;($B$3-사용안내!$C$16),사용내역!$A$3:$A$3002,"&lt;="&amp;$B$3))</f>
        <v/>
      </c>
      <c r="F54" s="23" t="str">
        <f aca="false">IF($A54="","",IF(사용안내!$C$16=0,0,ROUND($E54/사용안내!$C$16,3)))</f>
        <v/>
      </c>
      <c r="G54" s="24" t="str">
        <f aca="false">IF($A54="","",IF($F54&lt;=0,"사용기록없음",ROUND($D54/$F54,0)))</f>
        <v/>
      </c>
      <c r="H54" s="25" t="str">
        <f aca="false">IF(OR($A54="",$F54&lt;=0),"",$B$3+$G54)</f>
        <v/>
      </c>
      <c r="I54" s="21" t="str">
        <f aca="false">IF($A54="","",IF(품목마스터!$F51="",0,품목마스터!$F51))</f>
        <v/>
      </c>
      <c r="J54" s="25" t="str">
        <f aca="false">IF(OR($A54="",$F54&lt;=0),"",$H54-$I54)</f>
        <v/>
      </c>
      <c r="K54" s="22" t="n">
        <f aca="false">IF(OR($A54="",$F54&lt;=0),0,MAX(0,CEILING(MAX(0,($I54+사용안내!$C$17)*$F54-$D54),MAX(1,IF(품목마스터!$H51="",1,품목마스터!$H51)))))</f>
        <v>0</v>
      </c>
      <c r="L54" s="21" t="str">
        <f aca="false">IF($A54="","",IF($F54&lt;=0,"-",IF($J54&lt;=$B$3,"발주",IF($J54&lt;=$B$3+7,"임박","정상"))))</f>
        <v/>
      </c>
    </row>
    <row r="55" customFormat="false" ht="15" hidden="false" customHeight="true" outlineLevel="0" collapsed="false">
      <c r="A55" s="17" t="str">
        <f aca="false">IF(품목마스터!$A52="","",품목마스터!$A52)</f>
        <v/>
      </c>
      <c r="B55" s="17" t="str">
        <f aca="false">IF($A55="","",품목마스터!$B52)</f>
        <v/>
      </c>
      <c r="C55" s="21" t="str">
        <f aca="false">IF($A55="","",품목마스터!$D52)</f>
        <v/>
      </c>
      <c r="D55" s="22" t="str">
        <f aca="false">IF($A55="","",IF(품목마스터!$E52="",0,품목마스터!$E52))</f>
        <v/>
      </c>
      <c r="E55" s="22" t="str">
        <f aca="false">IF($A55="","",SUMIFS(사용내역!$E$3:$E$3002,사용내역!$B$3:$B$3002,$A55,사용내역!$A$3:$A$3002,"&gt;"&amp;($B$3-사용안내!$C$16),사용내역!$A$3:$A$3002,"&lt;="&amp;$B$3))</f>
        <v/>
      </c>
      <c r="F55" s="23" t="str">
        <f aca="false">IF($A55="","",IF(사용안내!$C$16=0,0,ROUND($E55/사용안내!$C$16,3)))</f>
        <v/>
      </c>
      <c r="G55" s="24" t="str">
        <f aca="false">IF($A55="","",IF($F55&lt;=0,"사용기록없음",ROUND($D55/$F55,0)))</f>
        <v/>
      </c>
      <c r="H55" s="25" t="str">
        <f aca="false">IF(OR($A55="",$F55&lt;=0),"",$B$3+$G55)</f>
        <v/>
      </c>
      <c r="I55" s="21" t="str">
        <f aca="false">IF($A55="","",IF(품목마스터!$F52="",0,품목마스터!$F52))</f>
        <v/>
      </c>
      <c r="J55" s="25" t="str">
        <f aca="false">IF(OR($A55="",$F55&lt;=0),"",$H55-$I55)</f>
        <v/>
      </c>
      <c r="K55" s="22" t="n">
        <f aca="false">IF(OR($A55="",$F55&lt;=0),0,MAX(0,CEILING(MAX(0,($I55+사용안내!$C$17)*$F55-$D55),MAX(1,IF(품목마스터!$H52="",1,품목마스터!$H52)))))</f>
        <v>0</v>
      </c>
      <c r="L55" s="21" t="str">
        <f aca="false">IF($A55="","",IF($F55&lt;=0,"-",IF($J55&lt;=$B$3,"발주",IF($J55&lt;=$B$3+7,"임박","정상"))))</f>
        <v/>
      </c>
    </row>
    <row r="56" customFormat="false" ht="15" hidden="false" customHeight="true" outlineLevel="0" collapsed="false">
      <c r="A56" s="17" t="str">
        <f aca="false">IF(품목마스터!$A53="","",품목마스터!$A53)</f>
        <v/>
      </c>
      <c r="B56" s="17" t="str">
        <f aca="false">IF($A56="","",품목마스터!$B53)</f>
        <v/>
      </c>
      <c r="C56" s="21" t="str">
        <f aca="false">IF($A56="","",품목마스터!$D53)</f>
        <v/>
      </c>
      <c r="D56" s="22" t="str">
        <f aca="false">IF($A56="","",IF(품목마스터!$E53="",0,품목마스터!$E53))</f>
        <v/>
      </c>
      <c r="E56" s="22" t="str">
        <f aca="false">IF($A56="","",SUMIFS(사용내역!$E$3:$E$3002,사용내역!$B$3:$B$3002,$A56,사용내역!$A$3:$A$3002,"&gt;"&amp;($B$3-사용안내!$C$16),사용내역!$A$3:$A$3002,"&lt;="&amp;$B$3))</f>
        <v/>
      </c>
      <c r="F56" s="23" t="str">
        <f aca="false">IF($A56="","",IF(사용안내!$C$16=0,0,ROUND($E56/사용안내!$C$16,3)))</f>
        <v/>
      </c>
      <c r="G56" s="24" t="str">
        <f aca="false">IF($A56="","",IF($F56&lt;=0,"사용기록없음",ROUND($D56/$F56,0)))</f>
        <v/>
      </c>
      <c r="H56" s="25" t="str">
        <f aca="false">IF(OR($A56="",$F56&lt;=0),"",$B$3+$G56)</f>
        <v/>
      </c>
      <c r="I56" s="21" t="str">
        <f aca="false">IF($A56="","",IF(품목마스터!$F53="",0,품목마스터!$F53))</f>
        <v/>
      </c>
      <c r="J56" s="25" t="str">
        <f aca="false">IF(OR($A56="",$F56&lt;=0),"",$H56-$I56)</f>
        <v/>
      </c>
      <c r="K56" s="22" t="n">
        <f aca="false">IF(OR($A56="",$F56&lt;=0),0,MAX(0,CEILING(MAX(0,($I56+사용안내!$C$17)*$F56-$D56),MAX(1,IF(품목마스터!$H53="",1,품목마스터!$H53)))))</f>
        <v>0</v>
      </c>
      <c r="L56" s="21" t="str">
        <f aca="false">IF($A56="","",IF($F56&lt;=0,"-",IF($J56&lt;=$B$3,"발주",IF($J56&lt;=$B$3+7,"임박","정상"))))</f>
        <v/>
      </c>
    </row>
    <row r="57" customFormat="false" ht="15" hidden="false" customHeight="true" outlineLevel="0" collapsed="false">
      <c r="A57" s="17" t="str">
        <f aca="false">IF(품목마스터!$A54="","",품목마스터!$A54)</f>
        <v/>
      </c>
      <c r="B57" s="17" t="str">
        <f aca="false">IF($A57="","",품목마스터!$B54)</f>
        <v/>
      </c>
      <c r="C57" s="21" t="str">
        <f aca="false">IF($A57="","",품목마스터!$D54)</f>
        <v/>
      </c>
      <c r="D57" s="22" t="str">
        <f aca="false">IF($A57="","",IF(품목마스터!$E54="",0,품목마스터!$E54))</f>
        <v/>
      </c>
      <c r="E57" s="22" t="str">
        <f aca="false">IF($A57="","",SUMIFS(사용내역!$E$3:$E$3002,사용내역!$B$3:$B$3002,$A57,사용내역!$A$3:$A$3002,"&gt;"&amp;($B$3-사용안내!$C$16),사용내역!$A$3:$A$3002,"&lt;="&amp;$B$3))</f>
        <v/>
      </c>
      <c r="F57" s="23" t="str">
        <f aca="false">IF($A57="","",IF(사용안내!$C$16=0,0,ROUND($E57/사용안내!$C$16,3)))</f>
        <v/>
      </c>
      <c r="G57" s="24" t="str">
        <f aca="false">IF($A57="","",IF($F57&lt;=0,"사용기록없음",ROUND($D57/$F57,0)))</f>
        <v/>
      </c>
      <c r="H57" s="25" t="str">
        <f aca="false">IF(OR($A57="",$F57&lt;=0),"",$B$3+$G57)</f>
        <v/>
      </c>
      <c r="I57" s="21" t="str">
        <f aca="false">IF($A57="","",IF(품목마스터!$F54="",0,품목마스터!$F54))</f>
        <v/>
      </c>
      <c r="J57" s="25" t="str">
        <f aca="false">IF(OR($A57="",$F57&lt;=0),"",$H57-$I57)</f>
        <v/>
      </c>
      <c r="K57" s="22" t="n">
        <f aca="false">IF(OR($A57="",$F57&lt;=0),0,MAX(0,CEILING(MAX(0,($I57+사용안내!$C$17)*$F57-$D57),MAX(1,IF(품목마스터!$H54="",1,품목마스터!$H54)))))</f>
        <v>0</v>
      </c>
      <c r="L57" s="21" t="str">
        <f aca="false">IF($A57="","",IF($F57&lt;=0,"-",IF($J57&lt;=$B$3,"발주",IF($J57&lt;=$B$3+7,"임박","정상"))))</f>
        <v/>
      </c>
    </row>
    <row r="58" customFormat="false" ht="15" hidden="false" customHeight="true" outlineLevel="0" collapsed="false">
      <c r="A58" s="17" t="str">
        <f aca="false">IF(품목마스터!$A55="","",품목마스터!$A55)</f>
        <v/>
      </c>
      <c r="B58" s="17" t="str">
        <f aca="false">IF($A58="","",품목마스터!$B55)</f>
        <v/>
      </c>
      <c r="C58" s="21" t="str">
        <f aca="false">IF($A58="","",품목마스터!$D55)</f>
        <v/>
      </c>
      <c r="D58" s="22" t="str">
        <f aca="false">IF($A58="","",IF(품목마스터!$E55="",0,품목마스터!$E55))</f>
        <v/>
      </c>
      <c r="E58" s="22" t="str">
        <f aca="false">IF($A58="","",SUMIFS(사용내역!$E$3:$E$3002,사용내역!$B$3:$B$3002,$A58,사용내역!$A$3:$A$3002,"&gt;"&amp;($B$3-사용안내!$C$16),사용내역!$A$3:$A$3002,"&lt;="&amp;$B$3))</f>
        <v/>
      </c>
      <c r="F58" s="23" t="str">
        <f aca="false">IF($A58="","",IF(사용안내!$C$16=0,0,ROUND($E58/사용안내!$C$16,3)))</f>
        <v/>
      </c>
      <c r="G58" s="24" t="str">
        <f aca="false">IF($A58="","",IF($F58&lt;=0,"사용기록없음",ROUND($D58/$F58,0)))</f>
        <v/>
      </c>
      <c r="H58" s="25" t="str">
        <f aca="false">IF(OR($A58="",$F58&lt;=0),"",$B$3+$G58)</f>
        <v/>
      </c>
      <c r="I58" s="21" t="str">
        <f aca="false">IF($A58="","",IF(품목마스터!$F55="",0,품목마스터!$F55))</f>
        <v/>
      </c>
      <c r="J58" s="25" t="str">
        <f aca="false">IF(OR($A58="",$F58&lt;=0),"",$H58-$I58)</f>
        <v/>
      </c>
      <c r="K58" s="22" t="n">
        <f aca="false">IF(OR($A58="",$F58&lt;=0),0,MAX(0,CEILING(MAX(0,($I58+사용안내!$C$17)*$F58-$D58),MAX(1,IF(품목마스터!$H55="",1,품목마스터!$H55)))))</f>
        <v>0</v>
      </c>
      <c r="L58" s="21" t="str">
        <f aca="false">IF($A58="","",IF($F58&lt;=0,"-",IF($J58&lt;=$B$3,"발주",IF($J58&lt;=$B$3+7,"임박","정상"))))</f>
        <v/>
      </c>
    </row>
    <row r="59" customFormat="false" ht="15" hidden="false" customHeight="true" outlineLevel="0" collapsed="false">
      <c r="A59" s="17" t="str">
        <f aca="false">IF(품목마스터!$A56="","",품목마스터!$A56)</f>
        <v/>
      </c>
      <c r="B59" s="17" t="str">
        <f aca="false">IF($A59="","",품목마스터!$B56)</f>
        <v/>
      </c>
      <c r="C59" s="21" t="str">
        <f aca="false">IF($A59="","",품목마스터!$D56)</f>
        <v/>
      </c>
      <c r="D59" s="22" t="str">
        <f aca="false">IF($A59="","",IF(품목마스터!$E56="",0,품목마스터!$E56))</f>
        <v/>
      </c>
      <c r="E59" s="22" t="str">
        <f aca="false">IF($A59="","",SUMIFS(사용내역!$E$3:$E$3002,사용내역!$B$3:$B$3002,$A59,사용내역!$A$3:$A$3002,"&gt;"&amp;($B$3-사용안내!$C$16),사용내역!$A$3:$A$3002,"&lt;="&amp;$B$3))</f>
        <v/>
      </c>
      <c r="F59" s="23" t="str">
        <f aca="false">IF($A59="","",IF(사용안내!$C$16=0,0,ROUND($E59/사용안내!$C$16,3)))</f>
        <v/>
      </c>
      <c r="G59" s="24" t="str">
        <f aca="false">IF($A59="","",IF($F59&lt;=0,"사용기록없음",ROUND($D59/$F59,0)))</f>
        <v/>
      </c>
      <c r="H59" s="25" t="str">
        <f aca="false">IF(OR($A59="",$F59&lt;=0),"",$B$3+$G59)</f>
        <v/>
      </c>
      <c r="I59" s="21" t="str">
        <f aca="false">IF($A59="","",IF(품목마스터!$F56="",0,품목마스터!$F56))</f>
        <v/>
      </c>
      <c r="J59" s="25" t="str">
        <f aca="false">IF(OR($A59="",$F59&lt;=0),"",$H59-$I59)</f>
        <v/>
      </c>
      <c r="K59" s="22" t="n">
        <f aca="false">IF(OR($A59="",$F59&lt;=0),0,MAX(0,CEILING(MAX(0,($I59+사용안내!$C$17)*$F59-$D59),MAX(1,IF(품목마스터!$H56="",1,품목마스터!$H56)))))</f>
        <v>0</v>
      </c>
      <c r="L59" s="21" t="str">
        <f aca="false">IF($A59="","",IF($F59&lt;=0,"-",IF($J59&lt;=$B$3,"발주",IF($J59&lt;=$B$3+7,"임박","정상"))))</f>
        <v/>
      </c>
    </row>
    <row r="60" customFormat="false" ht="15" hidden="false" customHeight="true" outlineLevel="0" collapsed="false">
      <c r="A60" s="17" t="str">
        <f aca="false">IF(품목마스터!$A57="","",품목마스터!$A57)</f>
        <v/>
      </c>
      <c r="B60" s="17" t="str">
        <f aca="false">IF($A60="","",품목마스터!$B57)</f>
        <v/>
      </c>
      <c r="C60" s="21" t="str">
        <f aca="false">IF($A60="","",품목마스터!$D57)</f>
        <v/>
      </c>
      <c r="D60" s="22" t="str">
        <f aca="false">IF($A60="","",IF(품목마스터!$E57="",0,품목마스터!$E57))</f>
        <v/>
      </c>
      <c r="E60" s="22" t="str">
        <f aca="false">IF($A60="","",SUMIFS(사용내역!$E$3:$E$3002,사용내역!$B$3:$B$3002,$A60,사용내역!$A$3:$A$3002,"&gt;"&amp;($B$3-사용안내!$C$16),사용내역!$A$3:$A$3002,"&lt;="&amp;$B$3))</f>
        <v/>
      </c>
      <c r="F60" s="23" t="str">
        <f aca="false">IF($A60="","",IF(사용안내!$C$16=0,0,ROUND($E60/사용안내!$C$16,3)))</f>
        <v/>
      </c>
      <c r="G60" s="24" t="str">
        <f aca="false">IF($A60="","",IF($F60&lt;=0,"사용기록없음",ROUND($D60/$F60,0)))</f>
        <v/>
      </c>
      <c r="H60" s="25" t="str">
        <f aca="false">IF(OR($A60="",$F60&lt;=0),"",$B$3+$G60)</f>
        <v/>
      </c>
      <c r="I60" s="21" t="str">
        <f aca="false">IF($A60="","",IF(품목마스터!$F57="",0,품목마스터!$F57))</f>
        <v/>
      </c>
      <c r="J60" s="25" t="str">
        <f aca="false">IF(OR($A60="",$F60&lt;=0),"",$H60-$I60)</f>
        <v/>
      </c>
      <c r="K60" s="22" t="n">
        <f aca="false">IF(OR($A60="",$F60&lt;=0),0,MAX(0,CEILING(MAX(0,($I60+사용안내!$C$17)*$F60-$D60),MAX(1,IF(품목마스터!$H57="",1,품목마스터!$H57)))))</f>
        <v>0</v>
      </c>
      <c r="L60" s="21" t="str">
        <f aca="false">IF($A60="","",IF($F60&lt;=0,"-",IF($J60&lt;=$B$3,"발주",IF($J60&lt;=$B$3+7,"임박","정상"))))</f>
        <v/>
      </c>
    </row>
    <row r="61" customFormat="false" ht="15" hidden="false" customHeight="true" outlineLevel="0" collapsed="false">
      <c r="A61" s="17" t="str">
        <f aca="false">IF(품목마스터!$A58="","",품목마스터!$A58)</f>
        <v/>
      </c>
      <c r="B61" s="17" t="str">
        <f aca="false">IF($A61="","",품목마스터!$B58)</f>
        <v/>
      </c>
      <c r="C61" s="21" t="str">
        <f aca="false">IF($A61="","",품목마스터!$D58)</f>
        <v/>
      </c>
      <c r="D61" s="22" t="str">
        <f aca="false">IF($A61="","",IF(품목마스터!$E58="",0,품목마스터!$E58))</f>
        <v/>
      </c>
      <c r="E61" s="22" t="str">
        <f aca="false">IF($A61="","",SUMIFS(사용내역!$E$3:$E$3002,사용내역!$B$3:$B$3002,$A61,사용내역!$A$3:$A$3002,"&gt;"&amp;($B$3-사용안내!$C$16),사용내역!$A$3:$A$3002,"&lt;="&amp;$B$3))</f>
        <v/>
      </c>
      <c r="F61" s="23" t="str">
        <f aca="false">IF($A61="","",IF(사용안내!$C$16=0,0,ROUND($E61/사용안내!$C$16,3)))</f>
        <v/>
      </c>
      <c r="G61" s="24" t="str">
        <f aca="false">IF($A61="","",IF($F61&lt;=0,"사용기록없음",ROUND($D61/$F61,0)))</f>
        <v/>
      </c>
      <c r="H61" s="25" t="str">
        <f aca="false">IF(OR($A61="",$F61&lt;=0),"",$B$3+$G61)</f>
        <v/>
      </c>
      <c r="I61" s="21" t="str">
        <f aca="false">IF($A61="","",IF(품목마스터!$F58="",0,품목마스터!$F58))</f>
        <v/>
      </c>
      <c r="J61" s="25" t="str">
        <f aca="false">IF(OR($A61="",$F61&lt;=0),"",$H61-$I61)</f>
        <v/>
      </c>
      <c r="K61" s="22" t="n">
        <f aca="false">IF(OR($A61="",$F61&lt;=0),0,MAX(0,CEILING(MAX(0,($I61+사용안내!$C$17)*$F61-$D61),MAX(1,IF(품목마스터!$H58="",1,품목마스터!$H58)))))</f>
        <v>0</v>
      </c>
      <c r="L61" s="21" t="str">
        <f aca="false">IF($A61="","",IF($F61&lt;=0,"-",IF($J61&lt;=$B$3,"발주",IF($J61&lt;=$B$3+7,"임박","정상"))))</f>
        <v/>
      </c>
    </row>
    <row r="62" customFormat="false" ht="15" hidden="false" customHeight="true" outlineLevel="0" collapsed="false">
      <c r="A62" s="17" t="str">
        <f aca="false">IF(품목마스터!$A59="","",품목마스터!$A59)</f>
        <v/>
      </c>
      <c r="B62" s="17" t="str">
        <f aca="false">IF($A62="","",품목마스터!$B59)</f>
        <v/>
      </c>
      <c r="C62" s="21" t="str">
        <f aca="false">IF($A62="","",품목마스터!$D59)</f>
        <v/>
      </c>
      <c r="D62" s="22" t="str">
        <f aca="false">IF($A62="","",IF(품목마스터!$E59="",0,품목마스터!$E59))</f>
        <v/>
      </c>
      <c r="E62" s="22" t="str">
        <f aca="false">IF($A62="","",SUMIFS(사용내역!$E$3:$E$3002,사용내역!$B$3:$B$3002,$A62,사용내역!$A$3:$A$3002,"&gt;"&amp;($B$3-사용안내!$C$16),사용내역!$A$3:$A$3002,"&lt;="&amp;$B$3))</f>
        <v/>
      </c>
      <c r="F62" s="23" t="str">
        <f aca="false">IF($A62="","",IF(사용안내!$C$16=0,0,ROUND($E62/사용안내!$C$16,3)))</f>
        <v/>
      </c>
      <c r="G62" s="24" t="str">
        <f aca="false">IF($A62="","",IF($F62&lt;=0,"사용기록없음",ROUND($D62/$F62,0)))</f>
        <v/>
      </c>
      <c r="H62" s="25" t="str">
        <f aca="false">IF(OR($A62="",$F62&lt;=0),"",$B$3+$G62)</f>
        <v/>
      </c>
      <c r="I62" s="21" t="str">
        <f aca="false">IF($A62="","",IF(품목마스터!$F59="",0,품목마스터!$F59))</f>
        <v/>
      </c>
      <c r="J62" s="25" t="str">
        <f aca="false">IF(OR($A62="",$F62&lt;=0),"",$H62-$I62)</f>
        <v/>
      </c>
      <c r="K62" s="22" t="n">
        <f aca="false">IF(OR($A62="",$F62&lt;=0),0,MAX(0,CEILING(MAX(0,($I62+사용안내!$C$17)*$F62-$D62),MAX(1,IF(품목마스터!$H59="",1,품목마스터!$H59)))))</f>
        <v>0</v>
      </c>
      <c r="L62" s="21" t="str">
        <f aca="false">IF($A62="","",IF($F62&lt;=0,"-",IF($J62&lt;=$B$3,"발주",IF($J62&lt;=$B$3+7,"임박","정상"))))</f>
        <v/>
      </c>
    </row>
    <row r="63" customFormat="false" ht="15" hidden="false" customHeight="true" outlineLevel="0" collapsed="false">
      <c r="A63" s="17" t="str">
        <f aca="false">IF(품목마스터!$A60="","",품목마스터!$A60)</f>
        <v/>
      </c>
      <c r="B63" s="17" t="str">
        <f aca="false">IF($A63="","",품목마스터!$B60)</f>
        <v/>
      </c>
      <c r="C63" s="21" t="str">
        <f aca="false">IF($A63="","",품목마스터!$D60)</f>
        <v/>
      </c>
      <c r="D63" s="22" t="str">
        <f aca="false">IF($A63="","",IF(품목마스터!$E60="",0,품목마스터!$E60))</f>
        <v/>
      </c>
      <c r="E63" s="22" t="str">
        <f aca="false">IF($A63="","",SUMIFS(사용내역!$E$3:$E$3002,사용내역!$B$3:$B$3002,$A63,사용내역!$A$3:$A$3002,"&gt;"&amp;($B$3-사용안내!$C$16),사용내역!$A$3:$A$3002,"&lt;="&amp;$B$3))</f>
        <v/>
      </c>
      <c r="F63" s="23" t="str">
        <f aca="false">IF($A63="","",IF(사용안내!$C$16=0,0,ROUND($E63/사용안내!$C$16,3)))</f>
        <v/>
      </c>
      <c r="G63" s="24" t="str">
        <f aca="false">IF($A63="","",IF($F63&lt;=0,"사용기록없음",ROUND($D63/$F63,0)))</f>
        <v/>
      </c>
      <c r="H63" s="25" t="str">
        <f aca="false">IF(OR($A63="",$F63&lt;=0),"",$B$3+$G63)</f>
        <v/>
      </c>
      <c r="I63" s="21" t="str">
        <f aca="false">IF($A63="","",IF(품목마스터!$F60="",0,품목마스터!$F60))</f>
        <v/>
      </c>
      <c r="J63" s="25" t="str">
        <f aca="false">IF(OR($A63="",$F63&lt;=0),"",$H63-$I63)</f>
        <v/>
      </c>
      <c r="K63" s="22" t="n">
        <f aca="false">IF(OR($A63="",$F63&lt;=0),0,MAX(0,CEILING(MAX(0,($I63+사용안내!$C$17)*$F63-$D63),MAX(1,IF(품목마스터!$H60="",1,품목마스터!$H60)))))</f>
        <v>0</v>
      </c>
      <c r="L63" s="21" t="str">
        <f aca="false">IF($A63="","",IF($F63&lt;=0,"-",IF($J63&lt;=$B$3,"발주",IF($J63&lt;=$B$3+7,"임박","정상"))))</f>
        <v/>
      </c>
    </row>
    <row r="64" customFormat="false" ht="15" hidden="false" customHeight="true" outlineLevel="0" collapsed="false">
      <c r="A64" s="17" t="str">
        <f aca="false">IF(품목마스터!$A61="","",품목마스터!$A61)</f>
        <v/>
      </c>
      <c r="B64" s="17" t="str">
        <f aca="false">IF($A64="","",품목마스터!$B61)</f>
        <v/>
      </c>
      <c r="C64" s="21" t="str">
        <f aca="false">IF($A64="","",품목마스터!$D61)</f>
        <v/>
      </c>
      <c r="D64" s="22" t="str">
        <f aca="false">IF($A64="","",IF(품목마스터!$E61="",0,품목마스터!$E61))</f>
        <v/>
      </c>
      <c r="E64" s="22" t="str">
        <f aca="false">IF($A64="","",SUMIFS(사용내역!$E$3:$E$3002,사용내역!$B$3:$B$3002,$A64,사용내역!$A$3:$A$3002,"&gt;"&amp;($B$3-사용안내!$C$16),사용내역!$A$3:$A$3002,"&lt;="&amp;$B$3))</f>
        <v/>
      </c>
      <c r="F64" s="23" t="str">
        <f aca="false">IF($A64="","",IF(사용안내!$C$16=0,0,ROUND($E64/사용안내!$C$16,3)))</f>
        <v/>
      </c>
      <c r="G64" s="24" t="str">
        <f aca="false">IF($A64="","",IF($F64&lt;=0,"사용기록없음",ROUND($D64/$F64,0)))</f>
        <v/>
      </c>
      <c r="H64" s="25" t="str">
        <f aca="false">IF(OR($A64="",$F64&lt;=0),"",$B$3+$G64)</f>
        <v/>
      </c>
      <c r="I64" s="21" t="str">
        <f aca="false">IF($A64="","",IF(품목마스터!$F61="",0,품목마스터!$F61))</f>
        <v/>
      </c>
      <c r="J64" s="25" t="str">
        <f aca="false">IF(OR($A64="",$F64&lt;=0),"",$H64-$I64)</f>
        <v/>
      </c>
      <c r="K64" s="22" t="n">
        <f aca="false">IF(OR($A64="",$F64&lt;=0),0,MAX(0,CEILING(MAX(0,($I64+사용안내!$C$17)*$F64-$D64),MAX(1,IF(품목마스터!$H61="",1,품목마스터!$H61)))))</f>
        <v>0</v>
      </c>
      <c r="L64" s="21" t="str">
        <f aca="false">IF($A64="","",IF($F64&lt;=0,"-",IF($J64&lt;=$B$3,"발주",IF($J64&lt;=$B$3+7,"임박","정상"))))</f>
        <v/>
      </c>
    </row>
    <row r="65" customFormat="false" ht="15" hidden="false" customHeight="true" outlineLevel="0" collapsed="false">
      <c r="A65" s="17" t="str">
        <f aca="false">IF(품목마스터!$A62="","",품목마스터!$A62)</f>
        <v/>
      </c>
      <c r="B65" s="17" t="str">
        <f aca="false">IF($A65="","",품목마스터!$B62)</f>
        <v/>
      </c>
      <c r="C65" s="21" t="str">
        <f aca="false">IF($A65="","",품목마스터!$D62)</f>
        <v/>
      </c>
      <c r="D65" s="22" t="str">
        <f aca="false">IF($A65="","",IF(품목마스터!$E62="",0,품목마스터!$E62))</f>
        <v/>
      </c>
      <c r="E65" s="22" t="str">
        <f aca="false">IF($A65="","",SUMIFS(사용내역!$E$3:$E$3002,사용내역!$B$3:$B$3002,$A65,사용내역!$A$3:$A$3002,"&gt;"&amp;($B$3-사용안내!$C$16),사용내역!$A$3:$A$3002,"&lt;="&amp;$B$3))</f>
        <v/>
      </c>
      <c r="F65" s="23" t="str">
        <f aca="false">IF($A65="","",IF(사용안내!$C$16=0,0,ROUND($E65/사용안내!$C$16,3)))</f>
        <v/>
      </c>
      <c r="G65" s="24" t="str">
        <f aca="false">IF($A65="","",IF($F65&lt;=0,"사용기록없음",ROUND($D65/$F65,0)))</f>
        <v/>
      </c>
      <c r="H65" s="25" t="str">
        <f aca="false">IF(OR($A65="",$F65&lt;=0),"",$B$3+$G65)</f>
        <v/>
      </c>
      <c r="I65" s="21" t="str">
        <f aca="false">IF($A65="","",IF(품목마스터!$F62="",0,품목마스터!$F62))</f>
        <v/>
      </c>
      <c r="J65" s="25" t="str">
        <f aca="false">IF(OR($A65="",$F65&lt;=0),"",$H65-$I65)</f>
        <v/>
      </c>
      <c r="K65" s="22" t="n">
        <f aca="false">IF(OR($A65="",$F65&lt;=0),0,MAX(0,CEILING(MAX(0,($I65+사용안내!$C$17)*$F65-$D65),MAX(1,IF(품목마스터!$H62="",1,품목마스터!$H62)))))</f>
        <v>0</v>
      </c>
      <c r="L65" s="21" t="str">
        <f aca="false">IF($A65="","",IF($F65&lt;=0,"-",IF($J65&lt;=$B$3,"발주",IF($J65&lt;=$B$3+7,"임박","정상"))))</f>
        <v/>
      </c>
    </row>
    <row r="66" customFormat="false" ht="15" hidden="false" customHeight="true" outlineLevel="0" collapsed="false">
      <c r="A66" s="17" t="str">
        <f aca="false">IF(품목마스터!$A63="","",품목마스터!$A63)</f>
        <v/>
      </c>
      <c r="B66" s="17" t="str">
        <f aca="false">IF($A66="","",품목마스터!$B63)</f>
        <v/>
      </c>
      <c r="C66" s="21" t="str">
        <f aca="false">IF($A66="","",품목마스터!$D63)</f>
        <v/>
      </c>
      <c r="D66" s="22" t="str">
        <f aca="false">IF($A66="","",IF(품목마스터!$E63="",0,품목마스터!$E63))</f>
        <v/>
      </c>
      <c r="E66" s="22" t="str">
        <f aca="false">IF($A66="","",SUMIFS(사용내역!$E$3:$E$3002,사용내역!$B$3:$B$3002,$A66,사용내역!$A$3:$A$3002,"&gt;"&amp;($B$3-사용안내!$C$16),사용내역!$A$3:$A$3002,"&lt;="&amp;$B$3))</f>
        <v/>
      </c>
      <c r="F66" s="23" t="str">
        <f aca="false">IF($A66="","",IF(사용안내!$C$16=0,0,ROUND($E66/사용안내!$C$16,3)))</f>
        <v/>
      </c>
      <c r="G66" s="24" t="str">
        <f aca="false">IF($A66="","",IF($F66&lt;=0,"사용기록없음",ROUND($D66/$F66,0)))</f>
        <v/>
      </c>
      <c r="H66" s="25" t="str">
        <f aca="false">IF(OR($A66="",$F66&lt;=0),"",$B$3+$G66)</f>
        <v/>
      </c>
      <c r="I66" s="21" t="str">
        <f aca="false">IF($A66="","",IF(품목마스터!$F63="",0,품목마스터!$F63))</f>
        <v/>
      </c>
      <c r="J66" s="25" t="str">
        <f aca="false">IF(OR($A66="",$F66&lt;=0),"",$H66-$I66)</f>
        <v/>
      </c>
      <c r="K66" s="22" t="n">
        <f aca="false">IF(OR($A66="",$F66&lt;=0),0,MAX(0,CEILING(MAX(0,($I66+사용안내!$C$17)*$F66-$D66),MAX(1,IF(품목마스터!$H63="",1,품목마스터!$H63)))))</f>
        <v>0</v>
      </c>
      <c r="L66" s="21" t="str">
        <f aca="false">IF($A66="","",IF($F66&lt;=0,"-",IF($J66&lt;=$B$3,"발주",IF($J66&lt;=$B$3+7,"임박","정상"))))</f>
        <v/>
      </c>
    </row>
    <row r="67" customFormat="false" ht="15" hidden="false" customHeight="true" outlineLevel="0" collapsed="false">
      <c r="A67" s="17" t="str">
        <f aca="false">IF(품목마스터!$A64="","",품목마스터!$A64)</f>
        <v/>
      </c>
      <c r="B67" s="17" t="str">
        <f aca="false">IF($A67="","",품목마스터!$B64)</f>
        <v/>
      </c>
      <c r="C67" s="21" t="str">
        <f aca="false">IF($A67="","",품목마스터!$D64)</f>
        <v/>
      </c>
      <c r="D67" s="22" t="str">
        <f aca="false">IF($A67="","",IF(품목마스터!$E64="",0,품목마스터!$E64))</f>
        <v/>
      </c>
      <c r="E67" s="22" t="str">
        <f aca="false">IF($A67="","",SUMIFS(사용내역!$E$3:$E$3002,사용내역!$B$3:$B$3002,$A67,사용내역!$A$3:$A$3002,"&gt;"&amp;($B$3-사용안내!$C$16),사용내역!$A$3:$A$3002,"&lt;="&amp;$B$3))</f>
        <v/>
      </c>
      <c r="F67" s="23" t="str">
        <f aca="false">IF($A67="","",IF(사용안내!$C$16=0,0,ROUND($E67/사용안내!$C$16,3)))</f>
        <v/>
      </c>
      <c r="G67" s="24" t="str">
        <f aca="false">IF($A67="","",IF($F67&lt;=0,"사용기록없음",ROUND($D67/$F67,0)))</f>
        <v/>
      </c>
      <c r="H67" s="25" t="str">
        <f aca="false">IF(OR($A67="",$F67&lt;=0),"",$B$3+$G67)</f>
        <v/>
      </c>
      <c r="I67" s="21" t="str">
        <f aca="false">IF($A67="","",IF(품목마스터!$F64="",0,품목마스터!$F64))</f>
        <v/>
      </c>
      <c r="J67" s="25" t="str">
        <f aca="false">IF(OR($A67="",$F67&lt;=0),"",$H67-$I67)</f>
        <v/>
      </c>
      <c r="K67" s="22" t="n">
        <f aca="false">IF(OR($A67="",$F67&lt;=0),0,MAX(0,CEILING(MAX(0,($I67+사용안내!$C$17)*$F67-$D67),MAX(1,IF(품목마스터!$H64="",1,품목마스터!$H64)))))</f>
        <v>0</v>
      </c>
      <c r="L67" s="21" t="str">
        <f aca="false">IF($A67="","",IF($F67&lt;=0,"-",IF($J67&lt;=$B$3,"발주",IF($J67&lt;=$B$3+7,"임박","정상"))))</f>
        <v/>
      </c>
    </row>
    <row r="68" customFormat="false" ht="15" hidden="false" customHeight="true" outlineLevel="0" collapsed="false">
      <c r="A68" s="17" t="str">
        <f aca="false">IF(품목마스터!$A65="","",품목마스터!$A65)</f>
        <v/>
      </c>
      <c r="B68" s="17" t="str">
        <f aca="false">IF($A68="","",품목마스터!$B65)</f>
        <v/>
      </c>
      <c r="C68" s="21" t="str">
        <f aca="false">IF($A68="","",품목마스터!$D65)</f>
        <v/>
      </c>
      <c r="D68" s="22" t="str">
        <f aca="false">IF($A68="","",IF(품목마스터!$E65="",0,품목마스터!$E65))</f>
        <v/>
      </c>
      <c r="E68" s="22" t="str">
        <f aca="false">IF($A68="","",SUMIFS(사용내역!$E$3:$E$3002,사용내역!$B$3:$B$3002,$A68,사용내역!$A$3:$A$3002,"&gt;"&amp;($B$3-사용안내!$C$16),사용내역!$A$3:$A$3002,"&lt;="&amp;$B$3))</f>
        <v/>
      </c>
      <c r="F68" s="23" t="str">
        <f aca="false">IF($A68="","",IF(사용안내!$C$16=0,0,ROUND($E68/사용안내!$C$16,3)))</f>
        <v/>
      </c>
      <c r="G68" s="24" t="str">
        <f aca="false">IF($A68="","",IF($F68&lt;=0,"사용기록없음",ROUND($D68/$F68,0)))</f>
        <v/>
      </c>
      <c r="H68" s="25" t="str">
        <f aca="false">IF(OR($A68="",$F68&lt;=0),"",$B$3+$G68)</f>
        <v/>
      </c>
      <c r="I68" s="21" t="str">
        <f aca="false">IF($A68="","",IF(품목마스터!$F65="",0,품목마스터!$F65))</f>
        <v/>
      </c>
      <c r="J68" s="25" t="str">
        <f aca="false">IF(OR($A68="",$F68&lt;=0),"",$H68-$I68)</f>
        <v/>
      </c>
      <c r="K68" s="22" t="n">
        <f aca="false">IF(OR($A68="",$F68&lt;=0),0,MAX(0,CEILING(MAX(0,($I68+사용안내!$C$17)*$F68-$D68),MAX(1,IF(품목마스터!$H65="",1,품목마스터!$H65)))))</f>
        <v>0</v>
      </c>
      <c r="L68" s="21" t="str">
        <f aca="false">IF($A68="","",IF($F68&lt;=0,"-",IF($J68&lt;=$B$3,"발주",IF($J68&lt;=$B$3+7,"임박","정상"))))</f>
        <v/>
      </c>
    </row>
    <row r="69" customFormat="false" ht="15" hidden="false" customHeight="true" outlineLevel="0" collapsed="false">
      <c r="A69" s="17" t="str">
        <f aca="false">IF(품목마스터!$A66="","",품목마스터!$A66)</f>
        <v/>
      </c>
      <c r="B69" s="17" t="str">
        <f aca="false">IF($A69="","",품목마스터!$B66)</f>
        <v/>
      </c>
      <c r="C69" s="21" t="str">
        <f aca="false">IF($A69="","",품목마스터!$D66)</f>
        <v/>
      </c>
      <c r="D69" s="22" t="str">
        <f aca="false">IF($A69="","",IF(품목마스터!$E66="",0,품목마스터!$E66))</f>
        <v/>
      </c>
      <c r="E69" s="22" t="str">
        <f aca="false">IF($A69="","",SUMIFS(사용내역!$E$3:$E$3002,사용내역!$B$3:$B$3002,$A69,사용내역!$A$3:$A$3002,"&gt;"&amp;($B$3-사용안내!$C$16),사용내역!$A$3:$A$3002,"&lt;="&amp;$B$3))</f>
        <v/>
      </c>
      <c r="F69" s="23" t="str">
        <f aca="false">IF($A69="","",IF(사용안내!$C$16=0,0,ROUND($E69/사용안내!$C$16,3)))</f>
        <v/>
      </c>
      <c r="G69" s="24" t="str">
        <f aca="false">IF($A69="","",IF($F69&lt;=0,"사용기록없음",ROUND($D69/$F69,0)))</f>
        <v/>
      </c>
      <c r="H69" s="25" t="str">
        <f aca="false">IF(OR($A69="",$F69&lt;=0),"",$B$3+$G69)</f>
        <v/>
      </c>
      <c r="I69" s="21" t="str">
        <f aca="false">IF($A69="","",IF(품목마스터!$F66="",0,품목마스터!$F66))</f>
        <v/>
      </c>
      <c r="J69" s="25" t="str">
        <f aca="false">IF(OR($A69="",$F69&lt;=0),"",$H69-$I69)</f>
        <v/>
      </c>
      <c r="K69" s="22" t="n">
        <f aca="false">IF(OR($A69="",$F69&lt;=0),0,MAX(0,CEILING(MAX(0,($I69+사용안내!$C$17)*$F69-$D69),MAX(1,IF(품목마스터!$H66="",1,품목마스터!$H66)))))</f>
        <v>0</v>
      </c>
      <c r="L69" s="21" t="str">
        <f aca="false">IF($A69="","",IF($F69&lt;=0,"-",IF($J69&lt;=$B$3,"발주",IF($J69&lt;=$B$3+7,"임박","정상"))))</f>
        <v/>
      </c>
    </row>
    <row r="70" customFormat="false" ht="15" hidden="false" customHeight="true" outlineLevel="0" collapsed="false">
      <c r="A70" s="17" t="str">
        <f aca="false">IF(품목마스터!$A67="","",품목마스터!$A67)</f>
        <v/>
      </c>
      <c r="B70" s="17" t="str">
        <f aca="false">IF($A70="","",품목마스터!$B67)</f>
        <v/>
      </c>
      <c r="C70" s="21" t="str">
        <f aca="false">IF($A70="","",품목마스터!$D67)</f>
        <v/>
      </c>
      <c r="D70" s="22" t="str">
        <f aca="false">IF($A70="","",IF(품목마스터!$E67="",0,품목마스터!$E67))</f>
        <v/>
      </c>
      <c r="E70" s="22" t="str">
        <f aca="false">IF($A70="","",SUMIFS(사용내역!$E$3:$E$3002,사용내역!$B$3:$B$3002,$A70,사용내역!$A$3:$A$3002,"&gt;"&amp;($B$3-사용안내!$C$16),사용내역!$A$3:$A$3002,"&lt;="&amp;$B$3))</f>
        <v/>
      </c>
      <c r="F70" s="23" t="str">
        <f aca="false">IF($A70="","",IF(사용안내!$C$16=0,0,ROUND($E70/사용안내!$C$16,3)))</f>
        <v/>
      </c>
      <c r="G70" s="24" t="str">
        <f aca="false">IF($A70="","",IF($F70&lt;=0,"사용기록없음",ROUND($D70/$F70,0)))</f>
        <v/>
      </c>
      <c r="H70" s="25" t="str">
        <f aca="false">IF(OR($A70="",$F70&lt;=0),"",$B$3+$G70)</f>
        <v/>
      </c>
      <c r="I70" s="21" t="str">
        <f aca="false">IF($A70="","",IF(품목마스터!$F67="",0,품목마스터!$F67))</f>
        <v/>
      </c>
      <c r="J70" s="25" t="str">
        <f aca="false">IF(OR($A70="",$F70&lt;=0),"",$H70-$I70)</f>
        <v/>
      </c>
      <c r="K70" s="22" t="n">
        <f aca="false">IF(OR($A70="",$F70&lt;=0),0,MAX(0,CEILING(MAX(0,($I70+사용안내!$C$17)*$F70-$D70),MAX(1,IF(품목마스터!$H67="",1,품목마스터!$H67)))))</f>
        <v>0</v>
      </c>
      <c r="L70" s="21" t="str">
        <f aca="false">IF($A70="","",IF($F70&lt;=0,"-",IF($J70&lt;=$B$3,"발주",IF($J70&lt;=$B$3+7,"임박","정상"))))</f>
        <v/>
      </c>
    </row>
    <row r="71" customFormat="false" ht="15" hidden="false" customHeight="true" outlineLevel="0" collapsed="false">
      <c r="A71" s="17" t="str">
        <f aca="false">IF(품목마스터!$A68="","",품목마스터!$A68)</f>
        <v/>
      </c>
      <c r="B71" s="17" t="str">
        <f aca="false">IF($A71="","",품목마스터!$B68)</f>
        <v/>
      </c>
      <c r="C71" s="21" t="str">
        <f aca="false">IF($A71="","",품목마스터!$D68)</f>
        <v/>
      </c>
      <c r="D71" s="22" t="str">
        <f aca="false">IF($A71="","",IF(품목마스터!$E68="",0,품목마스터!$E68))</f>
        <v/>
      </c>
      <c r="E71" s="22" t="str">
        <f aca="false">IF($A71="","",SUMIFS(사용내역!$E$3:$E$3002,사용내역!$B$3:$B$3002,$A71,사용내역!$A$3:$A$3002,"&gt;"&amp;($B$3-사용안내!$C$16),사용내역!$A$3:$A$3002,"&lt;="&amp;$B$3))</f>
        <v/>
      </c>
      <c r="F71" s="23" t="str">
        <f aca="false">IF($A71="","",IF(사용안내!$C$16=0,0,ROUND($E71/사용안내!$C$16,3)))</f>
        <v/>
      </c>
      <c r="G71" s="24" t="str">
        <f aca="false">IF($A71="","",IF($F71&lt;=0,"사용기록없음",ROUND($D71/$F71,0)))</f>
        <v/>
      </c>
      <c r="H71" s="25" t="str">
        <f aca="false">IF(OR($A71="",$F71&lt;=0),"",$B$3+$G71)</f>
        <v/>
      </c>
      <c r="I71" s="21" t="str">
        <f aca="false">IF($A71="","",IF(품목마스터!$F68="",0,품목마스터!$F68))</f>
        <v/>
      </c>
      <c r="J71" s="25" t="str">
        <f aca="false">IF(OR($A71="",$F71&lt;=0),"",$H71-$I71)</f>
        <v/>
      </c>
      <c r="K71" s="22" t="n">
        <f aca="false">IF(OR($A71="",$F71&lt;=0),0,MAX(0,CEILING(MAX(0,($I71+사용안내!$C$17)*$F71-$D71),MAX(1,IF(품목마스터!$H68="",1,품목마스터!$H68)))))</f>
        <v>0</v>
      </c>
      <c r="L71" s="21" t="str">
        <f aca="false">IF($A71="","",IF($F71&lt;=0,"-",IF($J71&lt;=$B$3,"발주",IF($J71&lt;=$B$3+7,"임박","정상"))))</f>
        <v/>
      </c>
    </row>
    <row r="72" customFormat="false" ht="15" hidden="false" customHeight="true" outlineLevel="0" collapsed="false">
      <c r="A72" s="17" t="str">
        <f aca="false">IF(품목마스터!$A69="","",품목마스터!$A69)</f>
        <v/>
      </c>
      <c r="B72" s="17" t="str">
        <f aca="false">IF($A72="","",품목마스터!$B69)</f>
        <v/>
      </c>
      <c r="C72" s="21" t="str">
        <f aca="false">IF($A72="","",품목마스터!$D69)</f>
        <v/>
      </c>
      <c r="D72" s="22" t="str">
        <f aca="false">IF($A72="","",IF(품목마스터!$E69="",0,품목마스터!$E69))</f>
        <v/>
      </c>
      <c r="E72" s="22" t="str">
        <f aca="false">IF($A72="","",SUMIFS(사용내역!$E$3:$E$3002,사용내역!$B$3:$B$3002,$A72,사용내역!$A$3:$A$3002,"&gt;"&amp;($B$3-사용안내!$C$16),사용내역!$A$3:$A$3002,"&lt;="&amp;$B$3))</f>
        <v/>
      </c>
      <c r="F72" s="23" t="str">
        <f aca="false">IF($A72="","",IF(사용안내!$C$16=0,0,ROUND($E72/사용안내!$C$16,3)))</f>
        <v/>
      </c>
      <c r="G72" s="24" t="str">
        <f aca="false">IF($A72="","",IF($F72&lt;=0,"사용기록없음",ROUND($D72/$F72,0)))</f>
        <v/>
      </c>
      <c r="H72" s="25" t="str">
        <f aca="false">IF(OR($A72="",$F72&lt;=0),"",$B$3+$G72)</f>
        <v/>
      </c>
      <c r="I72" s="21" t="str">
        <f aca="false">IF($A72="","",IF(품목마스터!$F69="",0,품목마스터!$F69))</f>
        <v/>
      </c>
      <c r="J72" s="25" t="str">
        <f aca="false">IF(OR($A72="",$F72&lt;=0),"",$H72-$I72)</f>
        <v/>
      </c>
      <c r="K72" s="22" t="n">
        <f aca="false">IF(OR($A72="",$F72&lt;=0),0,MAX(0,CEILING(MAX(0,($I72+사용안내!$C$17)*$F72-$D72),MAX(1,IF(품목마스터!$H69="",1,품목마스터!$H69)))))</f>
        <v>0</v>
      </c>
      <c r="L72" s="21" t="str">
        <f aca="false">IF($A72="","",IF($F72&lt;=0,"-",IF($J72&lt;=$B$3,"발주",IF($J72&lt;=$B$3+7,"임박","정상"))))</f>
        <v/>
      </c>
    </row>
    <row r="73" customFormat="false" ht="15" hidden="false" customHeight="true" outlineLevel="0" collapsed="false">
      <c r="A73" s="17" t="str">
        <f aca="false">IF(품목마스터!$A70="","",품목마스터!$A70)</f>
        <v/>
      </c>
      <c r="B73" s="17" t="str">
        <f aca="false">IF($A73="","",품목마스터!$B70)</f>
        <v/>
      </c>
      <c r="C73" s="21" t="str">
        <f aca="false">IF($A73="","",품목마스터!$D70)</f>
        <v/>
      </c>
      <c r="D73" s="22" t="str">
        <f aca="false">IF($A73="","",IF(품목마스터!$E70="",0,품목마스터!$E70))</f>
        <v/>
      </c>
      <c r="E73" s="22" t="str">
        <f aca="false">IF($A73="","",SUMIFS(사용내역!$E$3:$E$3002,사용내역!$B$3:$B$3002,$A73,사용내역!$A$3:$A$3002,"&gt;"&amp;($B$3-사용안내!$C$16),사용내역!$A$3:$A$3002,"&lt;="&amp;$B$3))</f>
        <v/>
      </c>
      <c r="F73" s="23" t="str">
        <f aca="false">IF($A73="","",IF(사용안내!$C$16=0,0,ROUND($E73/사용안내!$C$16,3)))</f>
        <v/>
      </c>
      <c r="G73" s="24" t="str">
        <f aca="false">IF($A73="","",IF($F73&lt;=0,"사용기록없음",ROUND($D73/$F73,0)))</f>
        <v/>
      </c>
      <c r="H73" s="25" t="str">
        <f aca="false">IF(OR($A73="",$F73&lt;=0),"",$B$3+$G73)</f>
        <v/>
      </c>
      <c r="I73" s="21" t="str">
        <f aca="false">IF($A73="","",IF(품목마스터!$F70="",0,품목마스터!$F70))</f>
        <v/>
      </c>
      <c r="J73" s="25" t="str">
        <f aca="false">IF(OR($A73="",$F73&lt;=0),"",$H73-$I73)</f>
        <v/>
      </c>
      <c r="K73" s="22" t="n">
        <f aca="false">IF(OR($A73="",$F73&lt;=0),0,MAX(0,CEILING(MAX(0,($I73+사용안내!$C$17)*$F73-$D73),MAX(1,IF(품목마스터!$H70="",1,품목마스터!$H70)))))</f>
        <v>0</v>
      </c>
      <c r="L73" s="21" t="str">
        <f aca="false">IF($A73="","",IF($F73&lt;=0,"-",IF($J73&lt;=$B$3,"발주",IF($J73&lt;=$B$3+7,"임박","정상"))))</f>
        <v/>
      </c>
    </row>
    <row r="74" customFormat="false" ht="15" hidden="false" customHeight="true" outlineLevel="0" collapsed="false">
      <c r="A74" s="17" t="str">
        <f aca="false">IF(품목마스터!$A71="","",품목마스터!$A71)</f>
        <v/>
      </c>
      <c r="B74" s="17" t="str">
        <f aca="false">IF($A74="","",품목마스터!$B71)</f>
        <v/>
      </c>
      <c r="C74" s="21" t="str">
        <f aca="false">IF($A74="","",품목마스터!$D71)</f>
        <v/>
      </c>
      <c r="D74" s="22" t="str">
        <f aca="false">IF($A74="","",IF(품목마스터!$E71="",0,품목마스터!$E71))</f>
        <v/>
      </c>
      <c r="E74" s="22" t="str">
        <f aca="false">IF($A74="","",SUMIFS(사용내역!$E$3:$E$3002,사용내역!$B$3:$B$3002,$A74,사용내역!$A$3:$A$3002,"&gt;"&amp;($B$3-사용안내!$C$16),사용내역!$A$3:$A$3002,"&lt;="&amp;$B$3))</f>
        <v/>
      </c>
      <c r="F74" s="23" t="str">
        <f aca="false">IF($A74="","",IF(사용안내!$C$16=0,0,ROUND($E74/사용안내!$C$16,3)))</f>
        <v/>
      </c>
      <c r="G74" s="24" t="str">
        <f aca="false">IF($A74="","",IF($F74&lt;=0,"사용기록없음",ROUND($D74/$F74,0)))</f>
        <v/>
      </c>
      <c r="H74" s="25" t="str">
        <f aca="false">IF(OR($A74="",$F74&lt;=0),"",$B$3+$G74)</f>
        <v/>
      </c>
      <c r="I74" s="21" t="str">
        <f aca="false">IF($A74="","",IF(품목마스터!$F71="",0,품목마스터!$F71))</f>
        <v/>
      </c>
      <c r="J74" s="25" t="str">
        <f aca="false">IF(OR($A74="",$F74&lt;=0),"",$H74-$I74)</f>
        <v/>
      </c>
      <c r="K74" s="22" t="n">
        <f aca="false">IF(OR($A74="",$F74&lt;=0),0,MAX(0,CEILING(MAX(0,($I74+사용안내!$C$17)*$F74-$D74),MAX(1,IF(품목마스터!$H71="",1,품목마스터!$H71)))))</f>
        <v>0</v>
      </c>
      <c r="L74" s="21" t="str">
        <f aca="false">IF($A74="","",IF($F74&lt;=0,"-",IF($J74&lt;=$B$3,"발주",IF($J74&lt;=$B$3+7,"임박","정상"))))</f>
        <v/>
      </c>
    </row>
    <row r="75" customFormat="false" ht="15" hidden="false" customHeight="true" outlineLevel="0" collapsed="false">
      <c r="A75" s="17" t="str">
        <f aca="false">IF(품목마스터!$A72="","",품목마스터!$A72)</f>
        <v/>
      </c>
      <c r="B75" s="17" t="str">
        <f aca="false">IF($A75="","",품목마스터!$B72)</f>
        <v/>
      </c>
      <c r="C75" s="21" t="str">
        <f aca="false">IF($A75="","",품목마스터!$D72)</f>
        <v/>
      </c>
      <c r="D75" s="22" t="str">
        <f aca="false">IF($A75="","",IF(품목마스터!$E72="",0,품목마스터!$E72))</f>
        <v/>
      </c>
      <c r="E75" s="22" t="str">
        <f aca="false">IF($A75="","",SUMIFS(사용내역!$E$3:$E$3002,사용내역!$B$3:$B$3002,$A75,사용내역!$A$3:$A$3002,"&gt;"&amp;($B$3-사용안내!$C$16),사용내역!$A$3:$A$3002,"&lt;="&amp;$B$3))</f>
        <v/>
      </c>
      <c r="F75" s="23" t="str">
        <f aca="false">IF($A75="","",IF(사용안내!$C$16=0,0,ROUND($E75/사용안내!$C$16,3)))</f>
        <v/>
      </c>
      <c r="G75" s="24" t="str">
        <f aca="false">IF($A75="","",IF($F75&lt;=0,"사용기록없음",ROUND($D75/$F75,0)))</f>
        <v/>
      </c>
      <c r="H75" s="25" t="str">
        <f aca="false">IF(OR($A75="",$F75&lt;=0),"",$B$3+$G75)</f>
        <v/>
      </c>
      <c r="I75" s="21" t="str">
        <f aca="false">IF($A75="","",IF(품목마스터!$F72="",0,품목마스터!$F72))</f>
        <v/>
      </c>
      <c r="J75" s="25" t="str">
        <f aca="false">IF(OR($A75="",$F75&lt;=0),"",$H75-$I75)</f>
        <v/>
      </c>
      <c r="K75" s="22" t="n">
        <f aca="false">IF(OR($A75="",$F75&lt;=0),0,MAX(0,CEILING(MAX(0,($I75+사용안내!$C$17)*$F75-$D75),MAX(1,IF(품목마스터!$H72="",1,품목마스터!$H72)))))</f>
        <v>0</v>
      </c>
      <c r="L75" s="21" t="str">
        <f aca="false">IF($A75="","",IF($F75&lt;=0,"-",IF($J75&lt;=$B$3,"발주",IF($J75&lt;=$B$3+7,"임박","정상"))))</f>
        <v/>
      </c>
    </row>
    <row r="76" customFormat="false" ht="15" hidden="false" customHeight="true" outlineLevel="0" collapsed="false">
      <c r="A76" s="17" t="str">
        <f aca="false">IF(품목마스터!$A73="","",품목마스터!$A73)</f>
        <v/>
      </c>
      <c r="B76" s="17" t="str">
        <f aca="false">IF($A76="","",품목마스터!$B73)</f>
        <v/>
      </c>
      <c r="C76" s="21" t="str">
        <f aca="false">IF($A76="","",품목마스터!$D73)</f>
        <v/>
      </c>
      <c r="D76" s="22" t="str">
        <f aca="false">IF($A76="","",IF(품목마스터!$E73="",0,품목마스터!$E73))</f>
        <v/>
      </c>
      <c r="E76" s="22" t="str">
        <f aca="false">IF($A76="","",SUMIFS(사용내역!$E$3:$E$3002,사용내역!$B$3:$B$3002,$A76,사용내역!$A$3:$A$3002,"&gt;"&amp;($B$3-사용안내!$C$16),사용내역!$A$3:$A$3002,"&lt;="&amp;$B$3))</f>
        <v/>
      </c>
      <c r="F76" s="23" t="str">
        <f aca="false">IF($A76="","",IF(사용안내!$C$16=0,0,ROUND($E76/사용안내!$C$16,3)))</f>
        <v/>
      </c>
      <c r="G76" s="24" t="str">
        <f aca="false">IF($A76="","",IF($F76&lt;=0,"사용기록없음",ROUND($D76/$F76,0)))</f>
        <v/>
      </c>
      <c r="H76" s="25" t="str">
        <f aca="false">IF(OR($A76="",$F76&lt;=0),"",$B$3+$G76)</f>
        <v/>
      </c>
      <c r="I76" s="21" t="str">
        <f aca="false">IF($A76="","",IF(품목마스터!$F73="",0,품목마스터!$F73))</f>
        <v/>
      </c>
      <c r="J76" s="25" t="str">
        <f aca="false">IF(OR($A76="",$F76&lt;=0),"",$H76-$I76)</f>
        <v/>
      </c>
      <c r="K76" s="22" t="n">
        <f aca="false">IF(OR($A76="",$F76&lt;=0),0,MAX(0,CEILING(MAX(0,($I76+사용안내!$C$17)*$F76-$D76),MAX(1,IF(품목마스터!$H73="",1,품목마스터!$H73)))))</f>
        <v>0</v>
      </c>
      <c r="L76" s="21" t="str">
        <f aca="false">IF($A76="","",IF($F76&lt;=0,"-",IF($J76&lt;=$B$3,"발주",IF($J76&lt;=$B$3+7,"임박","정상"))))</f>
        <v/>
      </c>
    </row>
    <row r="77" customFormat="false" ht="15" hidden="false" customHeight="true" outlineLevel="0" collapsed="false">
      <c r="A77" s="17" t="str">
        <f aca="false">IF(품목마스터!$A74="","",품목마스터!$A74)</f>
        <v/>
      </c>
      <c r="B77" s="17" t="str">
        <f aca="false">IF($A77="","",품목마스터!$B74)</f>
        <v/>
      </c>
      <c r="C77" s="21" t="str">
        <f aca="false">IF($A77="","",품목마스터!$D74)</f>
        <v/>
      </c>
      <c r="D77" s="22" t="str">
        <f aca="false">IF($A77="","",IF(품목마스터!$E74="",0,품목마스터!$E74))</f>
        <v/>
      </c>
      <c r="E77" s="22" t="str">
        <f aca="false">IF($A77="","",SUMIFS(사용내역!$E$3:$E$3002,사용내역!$B$3:$B$3002,$A77,사용내역!$A$3:$A$3002,"&gt;"&amp;($B$3-사용안내!$C$16),사용내역!$A$3:$A$3002,"&lt;="&amp;$B$3))</f>
        <v/>
      </c>
      <c r="F77" s="23" t="str">
        <f aca="false">IF($A77="","",IF(사용안내!$C$16=0,0,ROUND($E77/사용안내!$C$16,3)))</f>
        <v/>
      </c>
      <c r="G77" s="24" t="str">
        <f aca="false">IF($A77="","",IF($F77&lt;=0,"사용기록없음",ROUND($D77/$F77,0)))</f>
        <v/>
      </c>
      <c r="H77" s="25" t="str">
        <f aca="false">IF(OR($A77="",$F77&lt;=0),"",$B$3+$G77)</f>
        <v/>
      </c>
      <c r="I77" s="21" t="str">
        <f aca="false">IF($A77="","",IF(품목마스터!$F74="",0,품목마스터!$F74))</f>
        <v/>
      </c>
      <c r="J77" s="25" t="str">
        <f aca="false">IF(OR($A77="",$F77&lt;=0),"",$H77-$I77)</f>
        <v/>
      </c>
      <c r="K77" s="22" t="n">
        <f aca="false">IF(OR($A77="",$F77&lt;=0),0,MAX(0,CEILING(MAX(0,($I77+사용안내!$C$17)*$F77-$D77),MAX(1,IF(품목마스터!$H74="",1,품목마스터!$H74)))))</f>
        <v>0</v>
      </c>
      <c r="L77" s="21" t="str">
        <f aca="false">IF($A77="","",IF($F77&lt;=0,"-",IF($J77&lt;=$B$3,"발주",IF($J77&lt;=$B$3+7,"임박","정상"))))</f>
        <v/>
      </c>
    </row>
    <row r="78" customFormat="false" ht="15" hidden="false" customHeight="true" outlineLevel="0" collapsed="false">
      <c r="A78" s="17" t="str">
        <f aca="false">IF(품목마스터!$A75="","",품목마스터!$A75)</f>
        <v/>
      </c>
      <c r="B78" s="17" t="str">
        <f aca="false">IF($A78="","",품목마스터!$B75)</f>
        <v/>
      </c>
      <c r="C78" s="21" t="str">
        <f aca="false">IF($A78="","",품목마스터!$D75)</f>
        <v/>
      </c>
      <c r="D78" s="22" t="str">
        <f aca="false">IF($A78="","",IF(품목마스터!$E75="",0,품목마스터!$E75))</f>
        <v/>
      </c>
      <c r="E78" s="22" t="str">
        <f aca="false">IF($A78="","",SUMIFS(사용내역!$E$3:$E$3002,사용내역!$B$3:$B$3002,$A78,사용내역!$A$3:$A$3002,"&gt;"&amp;($B$3-사용안내!$C$16),사용내역!$A$3:$A$3002,"&lt;="&amp;$B$3))</f>
        <v/>
      </c>
      <c r="F78" s="23" t="str">
        <f aca="false">IF($A78="","",IF(사용안내!$C$16=0,0,ROUND($E78/사용안내!$C$16,3)))</f>
        <v/>
      </c>
      <c r="G78" s="24" t="str">
        <f aca="false">IF($A78="","",IF($F78&lt;=0,"사용기록없음",ROUND($D78/$F78,0)))</f>
        <v/>
      </c>
      <c r="H78" s="25" t="str">
        <f aca="false">IF(OR($A78="",$F78&lt;=0),"",$B$3+$G78)</f>
        <v/>
      </c>
      <c r="I78" s="21" t="str">
        <f aca="false">IF($A78="","",IF(품목마스터!$F75="",0,품목마스터!$F75))</f>
        <v/>
      </c>
      <c r="J78" s="25" t="str">
        <f aca="false">IF(OR($A78="",$F78&lt;=0),"",$H78-$I78)</f>
        <v/>
      </c>
      <c r="K78" s="22" t="n">
        <f aca="false">IF(OR($A78="",$F78&lt;=0),0,MAX(0,CEILING(MAX(0,($I78+사용안내!$C$17)*$F78-$D78),MAX(1,IF(품목마스터!$H75="",1,품목마스터!$H75)))))</f>
        <v>0</v>
      </c>
      <c r="L78" s="21" t="str">
        <f aca="false">IF($A78="","",IF($F78&lt;=0,"-",IF($J78&lt;=$B$3,"발주",IF($J78&lt;=$B$3+7,"임박","정상"))))</f>
        <v/>
      </c>
    </row>
    <row r="79" customFormat="false" ht="15" hidden="false" customHeight="true" outlineLevel="0" collapsed="false">
      <c r="A79" s="17" t="str">
        <f aca="false">IF(품목마스터!$A76="","",품목마스터!$A76)</f>
        <v/>
      </c>
      <c r="B79" s="17" t="str">
        <f aca="false">IF($A79="","",품목마스터!$B76)</f>
        <v/>
      </c>
      <c r="C79" s="21" t="str">
        <f aca="false">IF($A79="","",품목마스터!$D76)</f>
        <v/>
      </c>
      <c r="D79" s="22" t="str">
        <f aca="false">IF($A79="","",IF(품목마스터!$E76="",0,품목마스터!$E76))</f>
        <v/>
      </c>
      <c r="E79" s="22" t="str">
        <f aca="false">IF($A79="","",SUMIFS(사용내역!$E$3:$E$3002,사용내역!$B$3:$B$3002,$A79,사용내역!$A$3:$A$3002,"&gt;"&amp;($B$3-사용안내!$C$16),사용내역!$A$3:$A$3002,"&lt;="&amp;$B$3))</f>
        <v/>
      </c>
      <c r="F79" s="23" t="str">
        <f aca="false">IF($A79="","",IF(사용안내!$C$16=0,0,ROUND($E79/사용안내!$C$16,3)))</f>
        <v/>
      </c>
      <c r="G79" s="24" t="str">
        <f aca="false">IF($A79="","",IF($F79&lt;=0,"사용기록없음",ROUND($D79/$F79,0)))</f>
        <v/>
      </c>
      <c r="H79" s="25" t="str">
        <f aca="false">IF(OR($A79="",$F79&lt;=0),"",$B$3+$G79)</f>
        <v/>
      </c>
      <c r="I79" s="21" t="str">
        <f aca="false">IF($A79="","",IF(품목마스터!$F76="",0,품목마스터!$F76))</f>
        <v/>
      </c>
      <c r="J79" s="25" t="str">
        <f aca="false">IF(OR($A79="",$F79&lt;=0),"",$H79-$I79)</f>
        <v/>
      </c>
      <c r="K79" s="22" t="n">
        <f aca="false">IF(OR($A79="",$F79&lt;=0),0,MAX(0,CEILING(MAX(0,($I79+사용안내!$C$17)*$F79-$D79),MAX(1,IF(품목마스터!$H76="",1,품목마스터!$H76)))))</f>
        <v>0</v>
      </c>
      <c r="L79" s="21" t="str">
        <f aca="false">IF($A79="","",IF($F79&lt;=0,"-",IF($J79&lt;=$B$3,"발주",IF($J79&lt;=$B$3+7,"임박","정상"))))</f>
        <v/>
      </c>
    </row>
    <row r="80" customFormat="false" ht="15" hidden="false" customHeight="true" outlineLevel="0" collapsed="false">
      <c r="A80" s="17" t="str">
        <f aca="false">IF(품목마스터!$A77="","",품목마스터!$A77)</f>
        <v/>
      </c>
      <c r="B80" s="17" t="str">
        <f aca="false">IF($A80="","",품목마스터!$B77)</f>
        <v/>
      </c>
      <c r="C80" s="21" t="str">
        <f aca="false">IF($A80="","",품목마스터!$D77)</f>
        <v/>
      </c>
      <c r="D80" s="22" t="str">
        <f aca="false">IF($A80="","",IF(품목마스터!$E77="",0,품목마스터!$E77))</f>
        <v/>
      </c>
      <c r="E80" s="22" t="str">
        <f aca="false">IF($A80="","",SUMIFS(사용내역!$E$3:$E$3002,사용내역!$B$3:$B$3002,$A80,사용내역!$A$3:$A$3002,"&gt;"&amp;($B$3-사용안내!$C$16),사용내역!$A$3:$A$3002,"&lt;="&amp;$B$3))</f>
        <v/>
      </c>
      <c r="F80" s="23" t="str">
        <f aca="false">IF($A80="","",IF(사용안내!$C$16=0,0,ROUND($E80/사용안내!$C$16,3)))</f>
        <v/>
      </c>
      <c r="G80" s="24" t="str">
        <f aca="false">IF($A80="","",IF($F80&lt;=0,"사용기록없음",ROUND($D80/$F80,0)))</f>
        <v/>
      </c>
      <c r="H80" s="25" t="str">
        <f aca="false">IF(OR($A80="",$F80&lt;=0),"",$B$3+$G80)</f>
        <v/>
      </c>
      <c r="I80" s="21" t="str">
        <f aca="false">IF($A80="","",IF(품목마스터!$F77="",0,품목마스터!$F77))</f>
        <v/>
      </c>
      <c r="J80" s="25" t="str">
        <f aca="false">IF(OR($A80="",$F80&lt;=0),"",$H80-$I80)</f>
        <v/>
      </c>
      <c r="K80" s="22" t="n">
        <f aca="false">IF(OR($A80="",$F80&lt;=0),0,MAX(0,CEILING(MAX(0,($I80+사용안내!$C$17)*$F80-$D80),MAX(1,IF(품목마스터!$H77="",1,품목마스터!$H77)))))</f>
        <v>0</v>
      </c>
      <c r="L80" s="21" t="str">
        <f aca="false">IF($A80="","",IF($F80&lt;=0,"-",IF($J80&lt;=$B$3,"발주",IF($J80&lt;=$B$3+7,"임박","정상"))))</f>
        <v/>
      </c>
    </row>
    <row r="81" customFormat="false" ht="15" hidden="false" customHeight="true" outlineLevel="0" collapsed="false">
      <c r="A81" s="17" t="str">
        <f aca="false">IF(품목마스터!$A78="","",품목마스터!$A78)</f>
        <v/>
      </c>
      <c r="B81" s="17" t="str">
        <f aca="false">IF($A81="","",품목마스터!$B78)</f>
        <v/>
      </c>
      <c r="C81" s="21" t="str">
        <f aca="false">IF($A81="","",품목마스터!$D78)</f>
        <v/>
      </c>
      <c r="D81" s="22" t="str">
        <f aca="false">IF($A81="","",IF(품목마스터!$E78="",0,품목마스터!$E78))</f>
        <v/>
      </c>
      <c r="E81" s="22" t="str">
        <f aca="false">IF($A81="","",SUMIFS(사용내역!$E$3:$E$3002,사용내역!$B$3:$B$3002,$A81,사용내역!$A$3:$A$3002,"&gt;"&amp;($B$3-사용안내!$C$16),사용내역!$A$3:$A$3002,"&lt;="&amp;$B$3))</f>
        <v/>
      </c>
      <c r="F81" s="23" t="str">
        <f aca="false">IF($A81="","",IF(사용안내!$C$16=0,0,ROUND($E81/사용안내!$C$16,3)))</f>
        <v/>
      </c>
      <c r="G81" s="24" t="str">
        <f aca="false">IF($A81="","",IF($F81&lt;=0,"사용기록없음",ROUND($D81/$F81,0)))</f>
        <v/>
      </c>
      <c r="H81" s="25" t="str">
        <f aca="false">IF(OR($A81="",$F81&lt;=0),"",$B$3+$G81)</f>
        <v/>
      </c>
      <c r="I81" s="21" t="str">
        <f aca="false">IF($A81="","",IF(품목마스터!$F78="",0,품목마스터!$F78))</f>
        <v/>
      </c>
      <c r="J81" s="25" t="str">
        <f aca="false">IF(OR($A81="",$F81&lt;=0),"",$H81-$I81)</f>
        <v/>
      </c>
      <c r="K81" s="22" t="n">
        <f aca="false">IF(OR($A81="",$F81&lt;=0),0,MAX(0,CEILING(MAX(0,($I81+사용안내!$C$17)*$F81-$D81),MAX(1,IF(품목마스터!$H78="",1,품목마스터!$H78)))))</f>
        <v>0</v>
      </c>
      <c r="L81" s="21" t="str">
        <f aca="false">IF($A81="","",IF($F81&lt;=0,"-",IF($J81&lt;=$B$3,"발주",IF($J81&lt;=$B$3+7,"임박","정상"))))</f>
        <v/>
      </c>
    </row>
    <row r="82" customFormat="false" ht="15" hidden="false" customHeight="true" outlineLevel="0" collapsed="false">
      <c r="A82" s="17" t="str">
        <f aca="false">IF(품목마스터!$A79="","",품목마스터!$A79)</f>
        <v/>
      </c>
      <c r="B82" s="17" t="str">
        <f aca="false">IF($A82="","",품목마스터!$B79)</f>
        <v/>
      </c>
      <c r="C82" s="21" t="str">
        <f aca="false">IF($A82="","",품목마스터!$D79)</f>
        <v/>
      </c>
      <c r="D82" s="22" t="str">
        <f aca="false">IF($A82="","",IF(품목마스터!$E79="",0,품목마스터!$E79))</f>
        <v/>
      </c>
      <c r="E82" s="22" t="str">
        <f aca="false">IF($A82="","",SUMIFS(사용내역!$E$3:$E$3002,사용내역!$B$3:$B$3002,$A82,사용내역!$A$3:$A$3002,"&gt;"&amp;($B$3-사용안내!$C$16),사용내역!$A$3:$A$3002,"&lt;="&amp;$B$3))</f>
        <v/>
      </c>
      <c r="F82" s="23" t="str">
        <f aca="false">IF($A82="","",IF(사용안내!$C$16=0,0,ROUND($E82/사용안내!$C$16,3)))</f>
        <v/>
      </c>
      <c r="G82" s="24" t="str">
        <f aca="false">IF($A82="","",IF($F82&lt;=0,"사용기록없음",ROUND($D82/$F82,0)))</f>
        <v/>
      </c>
      <c r="H82" s="25" t="str">
        <f aca="false">IF(OR($A82="",$F82&lt;=0),"",$B$3+$G82)</f>
        <v/>
      </c>
      <c r="I82" s="21" t="str">
        <f aca="false">IF($A82="","",IF(품목마스터!$F79="",0,품목마스터!$F79))</f>
        <v/>
      </c>
      <c r="J82" s="25" t="str">
        <f aca="false">IF(OR($A82="",$F82&lt;=0),"",$H82-$I82)</f>
        <v/>
      </c>
      <c r="K82" s="22" t="n">
        <f aca="false">IF(OR($A82="",$F82&lt;=0),0,MAX(0,CEILING(MAX(0,($I82+사용안내!$C$17)*$F82-$D82),MAX(1,IF(품목마스터!$H79="",1,품목마스터!$H79)))))</f>
        <v>0</v>
      </c>
      <c r="L82" s="21" t="str">
        <f aca="false">IF($A82="","",IF($F82&lt;=0,"-",IF($J82&lt;=$B$3,"발주",IF($J82&lt;=$B$3+7,"임박","정상"))))</f>
        <v/>
      </c>
    </row>
    <row r="83" customFormat="false" ht="15" hidden="false" customHeight="true" outlineLevel="0" collapsed="false">
      <c r="A83" s="17" t="str">
        <f aca="false">IF(품목마스터!$A80="","",품목마스터!$A80)</f>
        <v/>
      </c>
      <c r="B83" s="17" t="str">
        <f aca="false">IF($A83="","",품목마스터!$B80)</f>
        <v/>
      </c>
      <c r="C83" s="21" t="str">
        <f aca="false">IF($A83="","",품목마스터!$D80)</f>
        <v/>
      </c>
      <c r="D83" s="22" t="str">
        <f aca="false">IF($A83="","",IF(품목마스터!$E80="",0,품목마스터!$E80))</f>
        <v/>
      </c>
      <c r="E83" s="22" t="str">
        <f aca="false">IF($A83="","",SUMIFS(사용내역!$E$3:$E$3002,사용내역!$B$3:$B$3002,$A83,사용내역!$A$3:$A$3002,"&gt;"&amp;($B$3-사용안내!$C$16),사용내역!$A$3:$A$3002,"&lt;="&amp;$B$3))</f>
        <v/>
      </c>
      <c r="F83" s="23" t="str">
        <f aca="false">IF($A83="","",IF(사용안내!$C$16=0,0,ROUND($E83/사용안내!$C$16,3)))</f>
        <v/>
      </c>
      <c r="G83" s="24" t="str">
        <f aca="false">IF($A83="","",IF($F83&lt;=0,"사용기록없음",ROUND($D83/$F83,0)))</f>
        <v/>
      </c>
      <c r="H83" s="25" t="str">
        <f aca="false">IF(OR($A83="",$F83&lt;=0),"",$B$3+$G83)</f>
        <v/>
      </c>
      <c r="I83" s="21" t="str">
        <f aca="false">IF($A83="","",IF(품목마스터!$F80="",0,품목마스터!$F80))</f>
        <v/>
      </c>
      <c r="J83" s="25" t="str">
        <f aca="false">IF(OR($A83="",$F83&lt;=0),"",$H83-$I83)</f>
        <v/>
      </c>
      <c r="K83" s="22" t="n">
        <f aca="false">IF(OR($A83="",$F83&lt;=0),0,MAX(0,CEILING(MAX(0,($I83+사용안내!$C$17)*$F83-$D83),MAX(1,IF(품목마스터!$H80="",1,품목마스터!$H80)))))</f>
        <v>0</v>
      </c>
      <c r="L83" s="21" t="str">
        <f aca="false">IF($A83="","",IF($F83&lt;=0,"-",IF($J83&lt;=$B$3,"발주",IF($J83&lt;=$B$3+7,"임박","정상"))))</f>
        <v/>
      </c>
    </row>
    <row r="84" customFormat="false" ht="15" hidden="false" customHeight="true" outlineLevel="0" collapsed="false">
      <c r="A84" s="17" t="str">
        <f aca="false">IF(품목마스터!$A81="","",품목마스터!$A81)</f>
        <v/>
      </c>
      <c r="B84" s="17" t="str">
        <f aca="false">IF($A84="","",품목마스터!$B81)</f>
        <v/>
      </c>
      <c r="C84" s="21" t="str">
        <f aca="false">IF($A84="","",품목마스터!$D81)</f>
        <v/>
      </c>
      <c r="D84" s="22" t="str">
        <f aca="false">IF($A84="","",IF(품목마스터!$E81="",0,품목마스터!$E81))</f>
        <v/>
      </c>
      <c r="E84" s="22" t="str">
        <f aca="false">IF($A84="","",SUMIFS(사용내역!$E$3:$E$3002,사용내역!$B$3:$B$3002,$A84,사용내역!$A$3:$A$3002,"&gt;"&amp;($B$3-사용안내!$C$16),사용내역!$A$3:$A$3002,"&lt;="&amp;$B$3))</f>
        <v/>
      </c>
      <c r="F84" s="23" t="str">
        <f aca="false">IF($A84="","",IF(사용안내!$C$16=0,0,ROUND($E84/사용안내!$C$16,3)))</f>
        <v/>
      </c>
      <c r="G84" s="24" t="str">
        <f aca="false">IF($A84="","",IF($F84&lt;=0,"사용기록없음",ROUND($D84/$F84,0)))</f>
        <v/>
      </c>
      <c r="H84" s="25" t="str">
        <f aca="false">IF(OR($A84="",$F84&lt;=0),"",$B$3+$G84)</f>
        <v/>
      </c>
      <c r="I84" s="21" t="str">
        <f aca="false">IF($A84="","",IF(품목마스터!$F81="",0,품목마스터!$F81))</f>
        <v/>
      </c>
      <c r="J84" s="25" t="str">
        <f aca="false">IF(OR($A84="",$F84&lt;=0),"",$H84-$I84)</f>
        <v/>
      </c>
      <c r="K84" s="22" t="n">
        <f aca="false">IF(OR($A84="",$F84&lt;=0),0,MAX(0,CEILING(MAX(0,($I84+사용안내!$C$17)*$F84-$D84),MAX(1,IF(품목마스터!$H81="",1,품목마스터!$H81)))))</f>
        <v>0</v>
      </c>
      <c r="L84" s="21" t="str">
        <f aca="false">IF($A84="","",IF($F84&lt;=0,"-",IF($J84&lt;=$B$3,"발주",IF($J84&lt;=$B$3+7,"임박","정상"))))</f>
        <v/>
      </c>
    </row>
    <row r="85" customFormat="false" ht="15" hidden="false" customHeight="true" outlineLevel="0" collapsed="false">
      <c r="A85" s="17" t="str">
        <f aca="false">IF(품목마스터!$A82="","",품목마스터!$A82)</f>
        <v/>
      </c>
      <c r="B85" s="17" t="str">
        <f aca="false">IF($A85="","",품목마스터!$B82)</f>
        <v/>
      </c>
      <c r="C85" s="21" t="str">
        <f aca="false">IF($A85="","",품목마스터!$D82)</f>
        <v/>
      </c>
      <c r="D85" s="22" t="str">
        <f aca="false">IF($A85="","",IF(품목마스터!$E82="",0,품목마스터!$E82))</f>
        <v/>
      </c>
      <c r="E85" s="22" t="str">
        <f aca="false">IF($A85="","",SUMIFS(사용내역!$E$3:$E$3002,사용내역!$B$3:$B$3002,$A85,사용내역!$A$3:$A$3002,"&gt;"&amp;($B$3-사용안내!$C$16),사용내역!$A$3:$A$3002,"&lt;="&amp;$B$3))</f>
        <v/>
      </c>
      <c r="F85" s="23" t="str">
        <f aca="false">IF($A85="","",IF(사용안내!$C$16=0,0,ROUND($E85/사용안내!$C$16,3)))</f>
        <v/>
      </c>
      <c r="G85" s="24" t="str">
        <f aca="false">IF($A85="","",IF($F85&lt;=0,"사용기록없음",ROUND($D85/$F85,0)))</f>
        <v/>
      </c>
      <c r="H85" s="25" t="str">
        <f aca="false">IF(OR($A85="",$F85&lt;=0),"",$B$3+$G85)</f>
        <v/>
      </c>
      <c r="I85" s="21" t="str">
        <f aca="false">IF($A85="","",IF(품목마스터!$F82="",0,품목마스터!$F82))</f>
        <v/>
      </c>
      <c r="J85" s="25" t="str">
        <f aca="false">IF(OR($A85="",$F85&lt;=0),"",$H85-$I85)</f>
        <v/>
      </c>
      <c r="K85" s="22" t="n">
        <f aca="false">IF(OR($A85="",$F85&lt;=0),0,MAX(0,CEILING(MAX(0,($I85+사용안내!$C$17)*$F85-$D85),MAX(1,IF(품목마스터!$H82="",1,품목마스터!$H82)))))</f>
        <v>0</v>
      </c>
      <c r="L85" s="21" t="str">
        <f aca="false">IF($A85="","",IF($F85&lt;=0,"-",IF($J85&lt;=$B$3,"발주",IF($J85&lt;=$B$3+7,"임박","정상"))))</f>
        <v/>
      </c>
    </row>
    <row r="86" customFormat="false" ht="15" hidden="false" customHeight="true" outlineLevel="0" collapsed="false">
      <c r="A86" s="17" t="str">
        <f aca="false">IF(품목마스터!$A83="","",품목마스터!$A83)</f>
        <v/>
      </c>
      <c r="B86" s="17" t="str">
        <f aca="false">IF($A86="","",품목마스터!$B83)</f>
        <v/>
      </c>
      <c r="C86" s="21" t="str">
        <f aca="false">IF($A86="","",품목마스터!$D83)</f>
        <v/>
      </c>
      <c r="D86" s="22" t="str">
        <f aca="false">IF($A86="","",IF(품목마스터!$E83="",0,품목마스터!$E83))</f>
        <v/>
      </c>
      <c r="E86" s="22" t="str">
        <f aca="false">IF($A86="","",SUMIFS(사용내역!$E$3:$E$3002,사용내역!$B$3:$B$3002,$A86,사용내역!$A$3:$A$3002,"&gt;"&amp;($B$3-사용안내!$C$16),사용내역!$A$3:$A$3002,"&lt;="&amp;$B$3))</f>
        <v/>
      </c>
      <c r="F86" s="23" t="str">
        <f aca="false">IF($A86="","",IF(사용안내!$C$16=0,0,ROUND($E86/사용안내!$C$16,3)))</f>
        <v/>
      </c>
      <c r="G86" s="24" t="str">
        <f aca="false">IF($A86="","",IF($F86&lt;=0,"사용기록없음",ROUND($D86/$F86,0)))</f>
        <v/>
      </c>
      <c r="H86" s="25" t="str">
        <f aca="false">IF(OR($A86="",$F86&lt;=0),"",$B$3+$G86)</f>
        <v/>
      </c>
      <c r="I86" s="21" t="str">
        <f aca="false">IF($A86="","",IF(품목마스터!$F83="",0,품목마스터!$F83))</f>
        <v/>
      </c>
      <c r="J86" s="25" t="str">
        <f aca="false">IF(OR($A86="",$F86&lt;=0),"",$H86-$I86)</f>
        <v/>
      </c>
      <c r="K86" s="22" t="n">
        <f aca="false">IF(OR($A86="",$F86&lt;=0),0,MAX(0,CEILING(MAX(0,($I86+사용안내!$C$17)*$F86-$D86),MAX(1,IF(품목마스터!$H83="",1,품목마스터!$H83)))))</f>
        <v>0</v>
      </c>
      <c r="L86" s="21" t="str">
        <f aca="false">IF($A86="","",IF($F86&lt;=0,"-",IF($J86&lt;=$B$3,"발주",IF($J86&lt;=$B$3+7,"임박","정상"))))</f>
        <v/>
      </c>
    </row>
    <row r="87" customFormat="false" ht="15" hidden="false" customHeight="true" outlineLevel="0" collapsed="false">
      <c r="A87" s="17" t="str">
        <f aca="false">IF(품목마스터!$A84="","",품목마스터!$A84)</f>
        <v/>
      </c>
      <c r="B87" s="17" t="str">
        <f aca="false">IF($A87="","",품목마스터!$B84)</f>
        <v/>
      </c>
      <c r="C87" s="21" t="str">
        <f aca="false">IF($A87="","",품목마스터!$D84)</f>
        <v/>
      </c>
      <c r="D87" s="22" t="str">
        <f aca="false">IF($A87="","",IF(품목마스터!$E84="",0,품목마스터!$E84))</f>
        <v/>
      </c>
      <c r="E87" s="22" t="str">
        <f aca="false">IF($A87="","",SUMIFS(사용내역!$E$3:$E$3002,사용내역!$B$3:$B$3002,$A87,사용내역!$A$3:$A$3002,"&gt;"&amp;($B$3-사용안내!$C$16),사용내역!$A$3:$A$3002,"&lt;="&amp;$B$3))</f>
        <v/>
      </c>
      <c r="F87" s="23" t="str">
        <f aca="false">IF($A87="","",IF(사용안내!$C$16=0,0,ROUND($E87/사용안내!$C$16,3)))</f>
        <v/>
      </c>
      <c r="G87" s="24" t="str">
        <f aca="false">IF($A87="","",IF($F87&lt;=0,"사용기록없음",ROUND($D87/$F87,0)))</f>
        <v/>
      </c>
      <c r="H87" s="25" t="str">
        <f aca="false">IF(OR($A87="",$F87&lt;=0),"",$B$3+$G87)</f>
        <v/>
      </c>
      <c r="I87" s="21" t="str">
        <f aca="false">IF($A87="","",IF(품목마스터!$F84="",0,품목마스터!$F84))</f>
        <v/>
      </c>
      <c r="J87" s="25" t="str">
        <f aca="false">IF(OR($A87="",$F87&lt;=0),"",$H87-$I87)</f>
        <v/>
      </c>
      <c r="K87" s="22" t="n">
        <f aca="false">IF(OR($A87="",$F87&lt;=0),0,MAX(0,CEILING(MAX(0,($I87+사용안내!$C$17)*$F87-$D87),MAX(1,IF(품목마스터!$H84="",1,품목마스터!$H84)))))</f>
        <v>0</v>
      </c>
      <c r="L87" s="21" t="str">
        <f aca="false">IF($A87="","",IF($F87&lt;=0,"-",IF($J87&lt;=$B$3,"발주",IF($J87&lt;=$B$3+7,"임박","정상"))))</f>
        <v/>
      </c>
    </row>
    <row r="88" customFormat="false" ht="15" hidden="false" customHeight="true" outlineLevel="0" collapsed="false">
      <c r="A88" s="17" t="str">
        <f aca="false">IF(품목마스터!$A85="","",품목마스터!$A85)</f>
        <v/>
      </c>
      <c r="B88" s="17" t="str">
        <f aca="false">IF($A88="","",품목마스터!$B85)</f>
        <v/>
      </c>
      <c r="C88" s="21" t="str">
        <f aca="false">IF($A88="","",품목마스터!$D85)</f>
        <v/>
      </c>
      <c r="D88" s="22" t="str">
        <f aca="false">IF($A88="","",IF(품목마스터!$E85="",0,품목마스터!$E85))</f>
        <v/>
      </c>
      <c r="E88" s="22" t="str">
        <f aca="false">IF($A88="","",SUMIFS(사용내역!$E$3:$E$3002,사용내역!$B$3:$B$3002,$A88,사용내역!$A$3:$A$3002,"&gt;"&amp;($B$3-사용안내!$C$16),사용내역!$A$3:$A$3002,"&lt;="&amp;$B$3))</f>
        <v/>
      </c>
      <c r="F88" s="23" t="str">
        <f aca="false">IF($A88="","",IF(사용안내!$C$16=0,0,ROUND($E88/사용안내!$C$16,3)))</f>
        <v/>
      </c>
      <c r="G88" s="24" t="str">
        <f aca="false">IF($A88="","",IF($F88&lt;=0,"사용기록없음",ROUND($D88/$F88,0)))</f>
        <v/>
      </c>
      <c r="H88" s="25" t="str">
        <f aca="false">IF(OR($A88="",$F88&lt;=0),"",$B$3+$G88)</f>
        <v/>
      </c>
      <c r="I88" s="21" t="str">
        <f aca="false">IF($A88="","",IF(품목마스터!$F85="",0,품목마스터!$F85))</f>
        <v/>
      </c>
      <c r="J88" s="25" t="str">
        <f aca="false">IF(OR($A88="",$F88&lt;=0),"",$H88-$I88)</f>
        <v/>
      </c>
      <c r="K88" s="22" t="n">
        <f aca="false">IF(OR($A88="",$F88&lt;=0),0,MAX(0,CEILING(MAX(0,($I88+사용안내!$C$17)*$F88-$D88),MAX(1,IF(품목마스터!$H85="",1,품목마스터!$H85)))))</f>
        <v>0</v>
      </c>
      <c r="L88" s="21" t="str">
        <f aca="false">IF($A88="","",IF($F88&lt;=0,"-",IF($J88&lt;=$B$3,"발주",IF($J88&lt;=$B$3+7,"임박","정상"))))</f>
        <v/>
      </c>
    </row>
    <row r="89" customFormat="false" ht="15" hidden="false" customHeight="true" outlineLevel="0" collapsed="false">
      <c r="A89" s="17" t="str">
        <f aca="false">IF(품목마스터!$A86="","",품목마스터!$A86)</f>
        <v/>
      </c>
      <c r="B89" s="17" t="str">
        <f aca="false">IF($A89="","",품목마스터!$B86)</f>
        <v/>
      </c>
      <c r="C89" s="21" t="str">
        <f aca="false">IF($A89="","",품목마스터!$D86)</f>
        <v/>
      </c>
      <c r="D89" s="22" t="str">
        <f aca="false">IF($A89="","",IF(품목마스터!$E86="",0,품목마스터!$E86))</f>
        <v/>
      </c>
      <c r="E89" s="22" t="str">
        <f aca="false">IF($A89="","",SUMIFS(사용내역!$E$3:$E$3002,사용내역!$B$3:$B$3002,$A89,사용내역!$A$3:$A$3002,"&gt;"&amp;($B$3-사용안내!$C$16),사용내역!$A$3:$A$3002,"&lt;="&amp;$B$3))</f>
        <v/>
      </c>
      <c r="F89" s="23" t="str">
        <f aca="false">IF($A89="","",IF(사용안내!$C$16=0,0,ROUND($E89/사용안내!$C$16,3)))</f>
        <v/>
      </c>
      <c r="G89" s="24" t="str">
        <f aca="false">IF($A89="","",IF($F89&lt;=0,"사용기록없음",ROUND($D89/$F89,0)))</f>
        <v/>
      </c>
      <c r="H89" s="25" t="str">
        <f aca="false">IF(OR($A89="",$F89&lt;=0),"",$B$3+$G89)</f>
        <v/>
      </c>
      <c r="I89" s="21" t="str">
        <f aca="false">IF($A89="","",IF(품목마스터!$F86="",0,품목마스터!$F86))</f>
        <v/>
      </c>
      <c r="J89" s="25" t="str">
        <f aca="false">IF(OR($A89="",$F89&lt;=0),"",$H89-$I89)</f>
        <v/>
      </c>
      <c r="K89" s="22" t="n">
        <f aca="false">IF(OR($A89="",$F89&lt;=0),0,MAX(0,CEILING(MAX(0,($I89+사용안내!$C$17)*$F89-$D89),MAX(1,IF(품목마스터!$H86="",1,품목마스터!$H86)))))</f>
        <v>0</v>
      </c>
      <c r="L89" s="21" t="str">
        <f aca="false">IF($A89="","",IF($F89&lt;=0,"-",IF($J89&lt;=$B$3,"발주",IF($J89&lt;=$B$3+7,"임박","정상"))))</f>
        <v/>
      </c>
    </row>
    <row r="90" customFormat="false" ht="15" hidden="false" customHeight="true" outlineLevel="0" collapsed="false">
      <c r="A90" s="17" t="str">
        <f aca="false">IF(품목마스터!$A87="","",품목마스터!$A87)</f>
        <v/>
      </c>
      <c r="B90" s="17" t="str">
        <f aca="false">IF($A90="","",품목마스터!$B87)</f>
        <v/>
      </c>
      <c r="C90" s="21" t="str">
        <f aca="false">IF($A90="","",품목마스터!$D87)</f>
        <v/>
      </c>
      <c r="D90" s="22" t="str">
        <f aca="false">IF($A90="","",IF(품목마스터!$E87="",0,품목마스터!$E87))</f>
        <v/>
      </c>
      <c r="E90" s="22" t="str">
        <f aca="false">IF($A90="","",SUMIFS(사용내역!$E$3:$E$3002,사용내역!$B$3:$B$3002,$A90,사용내역!$A$3:$A$3002,"&gt;"&amp;($B$3-사용안내!$C$16),사용내역!$A$3:$A$3002,"&lt;="&amp;$B$3))</f>
        <v/>
      </c>
      <c r="F90" s="23" t="str">
        <f aca="false">IF($A90="","",IF(사용안내!$C$16=0,0,ROUND($E90/사용안내!$C$16,3)))</f>
        <v/>
      </c>
      <c r="G90" s="24" t="str">
        <f aca="false">IF($A90="","",IF($F90&lt;=0,"사용기록없음",ROUND($D90/$F90,0)))</f>
        <v/>
      </c>
      <c r="H90" s="25" t="str">
        <f aca="false">IF(OR($A90="",$F90&lt;=0),"",$B$3+$G90)</f>
        <v/>
      </c>
      <c r="I90" s="21" t="str">
        <f aca="false">IF($A90="","",IF(품목마스터!$F87="",0,품목마스터!$F87))</f>
        <v/>
      </c>
      <c r="J90" s="25" t="str">
        <f aca="false">IF(OR($A90="",$F90&lt;=0),"",$H90-$I90)</f>
        <v/>
      </c>
      <c r="K90" s="22" t="n">
        <f aca="false">IF(OR($A90="",$F90&lt;=0),0,MAX(0,CEILING(MAX(0,($I90+사용안내!$C$17)*$F90-$D90),MAX(1,IF(품목마스터!$H87="",1,품목마스터!$H87)))))</f>
        <v>0</v>
      </c>
      <c r="L90" s="21" t="str">
        <f aca="false">IF($A90="","",IF($F90&lt;=0,"-",IF($J90&lt;=$B$3,"발주",IF($J90&lt;=$B$3+7,"임박","정상"))))</f>
        <v/>
      </c>
    </row>
    <row r="91" customFormat="false" ht="15" hidden="false" customHeight="true" outlineLevel="0" collapsed="false">
      <c r="A91" s="17" t="str">
        <f aca="false">IF(품목마스터!$A88="","",품목마스터!$A88)</f>
        <v/>
      </c>
      <c r="B91" s="17" t="str">
        <f aca="false">IF($A91="","",품목마스터!$B88)</f>
        <v/>
      </c>
      <c r="C91" s="21" t="str">
        <f aca="false">IF($A91="","",품목마스터!$D88)</f>
        <v/>
      </c>
      <c r="D91" s="22" t="str">
        <f aca="false">IF($A91="","",IF(품목마스터!$E88="",0,품목마스터!$E88))</f>
        <v/>
      </c>
      <c r="E91" s="22" t="str">
        <f aca="false">IF($A91="","",SUMIFS(사용내역!$E$3:$E$3002,사용내역!$B$3:$B$3002,$A91,사용내역!$A$3:$A$3002,"&gt;"&amp;($B$3-사용안내!$C$16),사용내역!$A$3:$A$3002,"&lt;="&amp;$B$3))</f>
        <v/>
      </c>
      <c r="F91" s="23" t="str">
        <f aca="false">IF($A91="","",IF(사용안내!$C$16=0,0,ROUND($E91/사용안내!$C$16,3)))</f>
        <v/>
      </c>
      <c r="G91" s="24" t="str">
        <f aca="false">IF($A91="","",IF($F91&lt;=0,"사용기록없음",ROUND($D91/$F91,0)))</f>
        <v/>
      </c>
      <c r="H91" s="25" t="str">
        <f aca="false">IF(OR($A91="",$F91&lt;=0),"",$B$3+$G91)</f>
        <v/>
      </c>
      <c r="I91" s="21" t="str">
        <f aca="false">IF($A91="","",IF(품목마스터!$F88="",0,품목마스터!$F88))</f>
        <v/>
      </c>
      <c r="J91" s="25" t="str">
        <f aca="false">IF(OR($A91="",$F91&lt;=0),"",$H91-$I91)</f>
        <v/>
      </c>
      <c r="K91" s="22" t="n">
        <f aca="false">IF(OR($A91="",$F91&lt;=0),0,MAX(0,CEILING(MAX(0,($I91+사용안내!$C$17)*$F91-$D91),MAX(1,IF(품목마스터!$H88="",1,품목마스터!$H88)))))</f>
        <v>0</v>
      </c>
      <c r="L91" s="21" t="str">
        <f aca="false">IF($A91="","",IF($F91&lt;=0,"-",IF($J91&lt;=$B$3,"발주",IF($J91&lt;=$B$3+7,"임박","정상"))))</f>
        <v/>
      </c>
    </row>
    <row r="92" customFormat="false" ht="15" hidden="false" customHeight="true" outlineLevel="0" collapsed="false">
      <c r="A92" s="17" t="str">
        <f aca="false">IF(품목마스터!$A89="","",품목마스터!$A89)</f>
        <v/>
      </c>
      <c r="B92" s="17" t="str">
        <f aca="false">IF($A92="","",품목마스터!$B89)</f>
        <v/>
      </c>
      <c r="C92" s="21" t="str">
        <f aca="false">IF($A92="","",품목마스터!$D89)</f>
        <v/>
      </c>
      <c r="D92" s="22" t="str">
        <f aca="false">IF($A92="","",IF(품목마스터!$E89="",0,품목마스터!$E89))</f>
        <v/>
      </c>
      <c r="E92" s="22" t="str">
        <f aca="false">IF($A92="","",SUMIFS(사용내역!$E$3:$E$3002,사용내역!$B$3:$B$3002,$A92,사용내역!$A$3:$A$3002,"&gt;"&amp;($B$3-사용안내!$C$16),사용내역!$A$3:$A$3002,"&lt;="&amp;$B$3))</f>
        <v/>
      </c>
      <c r="F92" s="23" t="str">
        <f aca="false">IF($A92="","",IF(사용안내!$C$16=0,0,ROUND($E92/사용안내!$C$16,3)))</f>
        <v/>
      </c>
      <c r="G92" s="24" t="str">
        <f aca="false">IF($A92="","",IF($F92&lt;=0,"사용기록없음",ROUND($D92/$F92,0)))</f>
        <v/>
      </c>
      <c r="H92" s="25" t="str">
        <f aca="false">IF(OR($A92="",$F92&lt;=0),"",$B$3+$G92)</f>
        <v/>
      </c>
      <c r="I92" s="21" t="str">
        <f aca="false">IF($A92="","",IF(품목마스터!$F89="",0,품목마스터!$F89))</f>
        <v/>
      </c>
      <c r="J92" s="25" t="str">
        <f aca="false">IF(OR($A92="",$F92&lt;=0),"",$H92-$I92)</f>
        <v/>
      </c>
      <c r="K92" s="22" t="n">
        <f aca="false">IF(OR($A92="",$F92&lt;=0),0,MAX(0,CEILING(MAX(0,($I92+사용안내!$C$17)*$F92-$D92),MAX(1,IF(품목마스터!$H89="",1,품목마스터!$H89)))))</f>
        <v>0</v>
      </c>
      <c r="L92" s="21" t="str">
        <f aca="false">IF($A92="","",IF($F92&lt;=0,"-",IF($J92&lt;=$B$3,"발주",IF($J92&lt;=$B$3+7,"임박","정상"))))</f>
        <v/>
      </c>
    </row>
    <row r="93" customFormat="false" ht="15" hidden="false" customHeight="true" outlineLevel="0" collapsed="false">
      <c r="A93" s="17" t="str">
        <f aca="false">IF(품목마스터!$A90="","",품목마스터!$A90)</f>
        <v/>
      </c>
      <c r="B93" s="17" t="str">
        <f aca="false">IF($A93="","",품목마스터!$B90)</f>
        <v/>
      </c>
      <c r="C93" s="21" t="str">
        <f aca="false">IF($A93="","",품목마스터!$D90)</f>
        <v/>
      </c>
      <c r="D93" s="22" t="str">
        <f aca="false">IF($A93="","",IF(품목마스터!$E90="",0,품목마스터!$E90))</f>
        <v/>
      </c>
      <c r="E93" s="22" t="str">
        <f aca="false">IF($A93="","",SUMIFS(사용내역!$E$3:$E$3002,사용내역!$B$3:$B$3002,$A93,사용내역!$A$3:$A$3002,"&gt;"&amp;($B$3-사용안내!$C$16),사용내역!$A$3:$A$3002,"&lt;="&amp;$B$3))</f>
        <v/>
      </c>
      <c r="F93" s="23" t="str">
        <f aca="false">IF($A93="","",IF(사용안내!$C$16=0,0,ROUND($E93/사용안내!$C$16,3)))</f>
        <v/>
      </c>
      <c r="G93" s="24" t="str">
        <f aca="false">IF($A93="","",IF($F93&lt;=0,"사용기록없음",ROUND($D93/$F93,0)))</f>
        <v/>
      </c>
      <c r="H93" s="25" t="str">
        <f aca="false">IF(OR($A93="",$F93&lt;=0),"",$B$3+$G93)</f>
        <v/>
      </c>
      <c r="I93" s="21" t="str">
        <f aca="false">IF($A93="","",IF(품목마스터!$F90="",0,품목마스터!$F90))</f>
        <v/>
      </c>
      <c r="J93" s="25" t="str">
        <f aca="false">IF(OR($A93="",$F93&lt;=0),"",$H93-$I93)</f>
        <v/>
      </c>
      <c r="K93" s="22" t="n">
        <f aca="false">IF(OR($A93="",$F93&lt;=0),0,MAX(0,CEILING(MAX(0,($I93+사용안내!$C$17)*$F93-$D93),MAX(1,IF(품목마스터!$H90="",1,품목마스터!$H90)))))</f>
        <v>0</v>
      </c>
      <c r="L93" s="21" t="str">
        <f aca="false">IF($A93="","",IF($F93&lt;=0,"-",IF($J93&lt;=$B$3,"발주",IF($J93&lt;=$B$3+7,"임박","정상"))))</f>
        <v/>
      </c>
    </row>
    <row r="94" customFormat="false" ht="15" hidden="false" customHeight="true" outlineLevel="0" collapsed="false">
      <c r="A94" s="17" t="str">
        <f aca="false">IF(품목마스터!$A91="","",품목마스터!$A91)</f>
        <v/>
      </c>
      <c r="B94" s="17" t="str">
        <f aca="false">IF($A94="","",품목마스터!$B91)</f>
        <v/>
      </c>
      <c r="C94" s="21" t="str">
        <f aca="false">IF($A94="","",품목마스터!$D91)</f>
        <v/>
      </c>
      <c r="D94" s="22" t="str">
        <f aca="false">IF($A94="","",IF(품목마스터!$E91="",0,품목마스터!$E91))</f>
        <v/>
      </c>
      <c r="E94" s="22" t="str">
        <f aca="false">IF($A94="","",SUMIFS(사용내역!$E$3:$E$3002,사용내역!$B$3:$B$3002,$A94,사용내역!$A$3:$A$3002,"&gt;"&amp;($B$3-사용안내!$C$16),사용내역!$A$3:$A$3002,"&lt;="&amp;$B$3))</f>
        <v/>
      </c>
      <c r="F94" s="23" t="str">
        <f aca="false">IF($A94="","",IF(사용안내!$C$16=0,0,ROUND($E94/사용안내!$C$16,3)))</f>
        <v/>
      </c>
      <c r="G94" s="24" t="str">
        <f aca="false">IF($A94="","",IF($F94&lt;=0,"사용기록없음",ROUND($D94/$F94,0)))</f>
        <v/>
      </c>
      <c r="H94" s="25" t="str">
        <f aca="false">IF(OR($A94="",$F94&lt;=0),"",$B$3+$G94)</f>
        <v/>
      </c>
      <c r="I94" s="21" t="str">
        <f aca="false">IF($A94="","",IF(품목마스터!$F91="",0,품목마스터!$F91))</f>
        <v/>
      </c>
      <c r="J94" s="25" t="str">
        <f aca="false">IF(OR($A94="",$F94&lt;=0),"",$H94-$I94)</f>
        <v/>
      </c>
      <c r="K94" s="22" t="n">
        <f aca="false">IF(OR($A94="",$F94&lt;=0),0,MAX(0,CEILING(MAX(0,($I94+사용안내!$C$17)*$F94-$D94),MAX(1,IF(품목마스터!$H91="",1,품목마스터!$H91)))))</f>
        <v>0</v>
      </c>
      <c r="L94" s="21" t="str">
        <f aca="false">IF($A94="","",IF($F94&lt;=0,"-",IF($J94&lt;=$B$3,"발주",IF($J94&lt;=$B$3+7,"임박","정상"))))</f>
        <v/>
      </c>
    </row>
    <row r="95" customFormat="false" ht="15" hidden="false" customHeight="true" outlineLevel="0" collapsed="false">
      <c r="A95" s="17" t="str">
        <f aca="false">IF(품목마스터!$A92="","",품목마스터!$A92)</f>
        <v/>
      </c>
      <c r="B95" s="17" t="str">
        <f aca="false">IF($A95="","",품목마스터!$B92)</f>
        <v/>
      </c>
      <c r="C95" s="21" t="str">
        <f aca="false">IF($A95="","",품목마스터!$D92)</f>
        <v/>
      </c>
      <c r="D95" s="22" t="str">
        <f aca="false">IF($A95="","",IF(품목마스터!$E92="",0,품목마스터!$E92))</f>
        <v/>
      </c>
      <c r="E95" s="22" t="str">
        <f aca="false">IF($A95="","",SUMIFS(사용내역!$E$3:$E$3002,사용내역!$B$3:$B$3002,$A95,사용내역!$A$3:$A$3002,"&gt;"&amp;($B$3-사용안내!$C$16),사용내역!$A$3:$A$3002,"&lt;="&amp;$B$3))</f>
        <v/>
      </c>
      <c r="F95" s="23" t="str">
        <f aca="false">IF($A95="","",IF(사용안내!$C$16=0,0,ROUND($E95/사용안내!$C$16,3)))</f>
        <v/>
      </c>
      <c r="G95" s="24" t="str">
        <f aca="false">IF($A95="","",IF($F95&lt;=0,"사용기록없음",ROUND($D95/$F95,0)))</f>
        <v/>
      </c>
      <c r="H95" s="25" t="str">
        <f aca="false">IF(OR($A95="",$F95&lt;=0),"",$B$3+$G95)</f>
        <v/>
      </c>
      <c r="I95" s="21" t="str">
        <f aca="false">IF($A95="","",IF(품목마스터!$F92="",0,품목마스터!$F92))</f>
        <v/>
      </c>
      <c r="J95" s="25" t="str">
        <f aca="false">IF(OR($A95="",$F95&lt;=0),"",$H95-$I95)</f>
        <v/>
      </c>
      <c r="K95" s="22" t="n">
        <f aca="false">IF(OR($A95="",$F95&lt;=0),0,MAX(0,CEILING(MAX(0,($I95+사용안내!$C$17)*$F95-$D95),MAX(1,IF(품목마스터!$H92="",1,품목마스터!$H92)))))</f>
        <v>0</v>
      </c>
      <c r="L95" s="21" t="str">
        <f aca="false">IF($A95="","",IF($F95&lt;=0,"-",IF($J95&lt;=$B$3,"발주",IF($J95&lt;=$B$3+7,"임박","정상"))))</f>
        <v/>
      </c>
    </row>
    <row r="96" customFormat="false" ht="15" hidden="false" customHeight="true" outlineLevel="0" collapsed="false">
      <c r="A96" s="17" t="str">
        <f aca="false">IF(품목마스터!$A93="","",품목마스터!$A93)</f>
        <v/>
      </c>
      <c r="B96" s="17" t="str">
        <f aca="false">IF($A96="","",품목마스터!$B93)</f>
        <v/>
      </c>
      <c r="C96" s="21" t="str">
        <f aca="false">IF($A96="","",품목마스터!$D93)</f>
        <v/>
      </c>
      <c r="D96" s="22" t="str">
        <f aca="false">IF($A96="","",IF(품목마스터!$E93="",0,품목마스터!$E93))</f>
        <v/>
      </c>
      <c r="E96" s="22" t="str">
        <f aca="false">IF($A96="","",SUMIFS(사용내역!$E$3:$E$3002,사용내역!$B$3:$B$3002,$A96,사용내역!$A$3:$A$3002,"&gt;"&amp;($B$3-사용안내!$C$16),사용내역!$A$3:$A$3002,"&lt;="&amp;$B$3))</f>
        <v/>
      </c>
      <c r="F96" s="23" t="str">
        <f aca="false">IF($A96="","",IF(사용안내!$C$16=0,0,ROUND($E96/사용안내!$C$16,3)))</f>
        <v/>
      </c>
      <c r="G96" s="24" t="str">
        <f aca="false">IF($A96="","",IF($F96&lt;=0,"사용기록없음",ROUND($D96/$F96,0)))</f>
        <v/>
      </c>
      <c r="H96" s="25" t="str">
        <f aca="false">IF(OR($A96="",$F96&lt;=0),"",$B$3+$G96)</f>
        <v/>
      </c>
      <c r="I96" s="21" t="str">
        <f aca="false">IF($A96="","",IF(품목마스터!$F93="",0,품목마스터!$F93))</f>
        <v/>
      </c>
      <c r="J96" s="25" t="str">
        <f aca="false">IF(OR($A96="",$F96&lt;=0),"",$H96-$I96)</f>
        <v/>
      </c>
      <c r="K96" s="22" t="n">
        <f aca="false">IF(OR($A96="",$F96&lt;=0),0,MAX(0,CEILING(MAX(0,($I96+사용안내!$C$17)*$F96-$D96),MAX(1,IF(품목마스터!$H93="",1,품목마스터!$H93)))))</f>
        <v>0</v>
      </c>
      <c r="L96" s="21" t="str">
        <f aca="false">IF($A96="","",IF($F96&lt;=0,"-",IF($J96&lt;=$B$3,"발주",IF($J96&lt;=$B$3+7,"임박","정상"))))</f>
        <v/>
      </c>
    </row>
    <row r="97" customFormat="false" ht="15" hidden="false" customHeight="true" outlineLevel="0" collapsed="false">
      <c r="A97" s="17" t="str">
        <f aca="false">IF(품목마스터!$A94="","",품목마스터!$A94)</f>
        <v/>
      </c>
      <c r="B97" s="17" t="str">
        <f aca="false">IF($A97="","",품목마스터!$B94)</f>
        <v/>
      </c>
      <c r="C97" s="21" t="str">
        <f aca="false">IF($A97="","",품목마스터!$D94)</f>
        <v/>
      </c>
      <c r="D97" s="22" t="str">
        <f aca="false">IF($A97="","",IF(품목마스터!$E94="",0,품목마스터!$E94))</f>
        <v/>
      </c>
      <c r="E97" s="22" t="str">
        <f aca="false">IF($A97="","",SUMIFS(사용내역!$E$3:$E$3002,사용내역!$B$3:$B$3002,$A97,사용내역!$A$3:$A$3002,"&gt;"&amp;($B$3-사용안내!$C$16),사용내역!$A$3:$A$3002,"&lt;="&amp;$B$3))</f>
        <v/>
      </c>
      <c r="F97" s="23" t="str">
        <f aca="false">IF($A97="","",IF(사용안내!$C$16=0,0,ROUND($E97/사용안내!$C$16,3)))</f>
        <v/>
      </c>
      <c r="G97" s="24" t="str">
        <f aca="false">IF($A97="","",IF($F97&lt;=0,"사용기록없음",ROUND($D97/$F97,0)))</f>
        <v/>
      </c>
      <c r="H97" s="25" t="str">
        <f aca="false">IF(OR($A97="",$F97&lt;=0),"",$B$3+$G97)</f>
        <v/>
      </c>
      <c r="I97" s="21" t="str">
        <f aca="false">IF($A97="","",IF(품목마스터!$F94="",0,품목마스터!$F94))</f>
        <v/>
      </c>
      <c r="J97" s="25" t="str">
        <f aca="false">IF(OR($A97="",$F97&lt;=0),"",$H97-$I97)</f>
        <v/>
      </c>
      <c r="K97" s="22" t="n">
        <f aca="false">IF(OR($A97="",$F97&lt;=0),0,MAX(0,CEILING(MAX(0,($I97+사용안내!$C$17)*$F97-$D97),MAX(1,IF(품목마스터!$H94="",1,품목마스터!$H94)))))</f>
        <v>0</v>
      </c>
      <c r="L97" s="21" t="str">
        <f aca="false">IF($A97="","",IF($F97&lt;=0,"-",IF($J97&lt;=$B$3,"발주",IF($J97&lt;=$B$3+7,"임박","정상"))))</f>
        <v/>
      </c>
    </row>
    <row r="98" customFormat="false" ht="15" hidden="false" customHeight="true" outlineLevel="0" collapsed="false">
      <c r="A98" s="17" t="str">
        <f aca="false">IF(품목마스터!$A95="","",품목마스터!$A95)</f>
        <v/>
      </c>
      <c r="B98" s="17" t="str">
        <f aca="false">IF($A98="","",품목마스터!$B95)</f>
        <v/>
      </c>
      <c r="C98" s="21" t="str">
        <f aca="false">IF($A98="","",품목마스터!$D95)</f>
        <v/>
      </c>
      <c r="D98" s="22" t="str">
        <f aca="false">IF($A98="","",IF(품목마스터!$E95="",0,품목마스터!$E95))</f>
        <v/>
      </c>
      <c r="E98" s="22" t="str">
        <f aca="false">IF($A98="","",SUMIFS(사용내역!$E$3:$E$3002,사용내역!$B$3:$B$3002,$A98,사용내역!$A$3:$A$3002,"&gt;"&amp;($B$3-사용안내!$C$16),사용내역!$A$3:$A$3002,"&lt;="&amp;$B$3))</f>
        <v/>
      </c>
      <c r="F98" s="23" t="str">
        <f aca="false">IF($A98="","",IF(사용안내!$C$16=0,0,ROUND($E98/사용안내!$C$16,3)))</f>
        <v/>
      </c>
      <c r="G98" s="24" t="str">
        <f aca="false">IF($A98="","",IF($F98&lt;=0,"사용기록없음",ROUND($D98/$F98,0)))</f>
        <v/>
      </c>
      <c r="H98" s="25" t="str">
        <f aca="false">IF(OR($A98="",$F98&lt;=0),"",$B$3+$G98)</f>
        <v/>
      </c>
      <c r="I98" s="21" t="str">
        <f aca="false">IF($A98="","",IF(품목마스터!$F95="",0,품목마스터!$F95))</f>
        <v/>
      </c>
      <c r="J98" s="25" t="str">
        <f aca="false">IF(OR($A98="",$F98&lt;=0),"",$H98-$I98)</f>
        <v/>
      </c>
      <c r="K98" s="22" t="n">
        <f aca="false">IF(OR($A98="",$F98&lt;=0),0,MAX(0,CEILING(MAX(0,($I98+사용안내!$C$17)*$F98-$D98),MAX(1,IF(품목마스터!$H95="",1,품목마스터!$H95)))))</f>
        <v>0</v>
      </c>
      <c r="L98" s="21" t="str">
        <f aca="false">IF($A98="","",IF($F98&lt;=0,"-",IF($J98&lt;=$B$3,"발주",IF($J98&lt;=$B$3+7,"임박","정상"))))</f>
        <v/>
      </c>
    </row>
    <row r="99" customFormat="false" ht="15" hidden="false" customHeight="true" outlineLevel="0" collapsed="false">
      <c r="A99" s="17" t="str">
        <f aca="false">IF(품목마스터!$A96="","",품목마스터!$A96)</f>
        <v/>
      </c>
      <c r="B99" s="17" t="str">
        <f aca="false">IF($A99="","",품목마스터!$B96)</f>
        <v/>
      </c>
      <c r="C99" s="21" t="str">
        <f aca="false">IF($A99="","",품목마스터!$D96)</f>
        <v/>
      </c>
      <c r="D99" s="22" t="str">
        <f aca="false">IF($A99="","",IF(품목마스터!$E96="",0,품목마스터!$E96))</f>
        <v/>
      </c>
      <c r="E99" s="22" t="str">
        <f aca="false">IF($A99="","",SUMIFS(사용내역!$E$3:$E$3002,사용내역!$B$3:$B$3002,$A99,사용내역!$A$3:$A$3002,"&gt;"&amp;($B$3-사용안내!$C$16),사용내역!$A$3:$A$3002,"&lt;="&amp;$B$3))</f>
        <v/>
      </c>
      <c r="F99" s="23" t="str">
        <f aca="false">IF($A99="","",IF(사용안내!$C$16=0,0,ROUND($E99/사용안내!$C$16,3)))</f>
        <v/>
      </c>
      <c r="G99" s="24" t="str">
        <f aca="false">IF($A99="","",IF($F99&lt;=0,"사용기록없음",ROUND($D99/$F99,0)))</f>
        <v/>
      </c>
      <c r="H99" s="25" t="str">
        <f aca="false">IF(OR($A99="",$F99&lt;=0),"",$B$3+$G99)</f>
        <v/>
      </c>
      <c r="I99" s="21" t="str">
        <f aca="false">IF($A99="","",IF(품목마스터!$F96="",0,품목마스터!$F96))</f>
        <v/>
      </c>
      <c r="J99" s="25" t="str">
        <f aca="false">IF(OR($A99="",$F99&lt;=0),"",$H99-$I99)</f>
        <v/>
      </c>
      <c r="K99" s="22" t="n">
        <f aca="false">IF(OR($A99="",$F99&lt;=0),0,MAX(0,CEILING(MAX(0,($I99+사용안내!$C$17)*$F99-$D99),MAX(1,IF(품목마스터!$H96="",1,품목마스터!$H96)))))</f>
        <v>0</v>
      </c>
      <c r="L99" s="21" t="str">
        <f aca="false">IF($A99="","",IF($F99&lt;=0,"-",IF($J99&lt;=$B$3,"발주",IF($J99&lt;=$B$3+7,"임박","정상"))))</f>
        <v/>
      </c>
    </row>
    <row r="100" customFormat="false" ht="15" hidden="false" customHeight="true" outlineLevel="0" collapsed="false">
      <c r="A100" s="17" t="str">
        <f aca="false">IF(품목마스터!$A97="","",품목마스터!$A97)</f>
        <v/>
      </c>
      <c r="B100" s="17" t="str">
        <f aca="false">IF($A100="","",품목마스터!$B97)</f>
        <v/>
      </c>
      <c r="C100" s="21" t="str">
        <f aca="false">IF($A100="","",품목마스터!$D97)</f>
        <v/>
      </c>
      <c r="D100" s="22" t="str">
        <f aca="false">IF($A100="","",IF(품목마스터!$E97="",0,품목마스터!$E97))</f>
        <v/>
      </c>
      <c r="E100" s="22" t="str">
        <f aca="false">IF($A100="","",SUMIFS(사용내역!$E$3:$E$3002,사용내역!$B$3:$B$3002,$A100,사용내역!$A$3:$A$3002,"&gt;"&amp;($B$3-사용안내!$C$16),사용내역!$A$3:$A$3002,"&lt;="&amp;$B$3))</f>
        <v/>
      </c>
      <c r="F100" s="23" t="str">
        <f aca="false">IF($A100="","",IF(사용안내!$C$16=0,0,ROUND($E100/사용안내!$C$16,3)))</f>
        <v/>
      </c>
      <c r="G100" s="24" t="str">
        <f aca="false">IF($A100="","",IF($F100&lt;=0,"사용기록없음",ROUND($D100/$F100,0)))</f>
        <v/>
      </c>
      <c r="H100" s="25" t="str">
        <f aca="false">IF(OR($A100="",$F100&lt;=0),"",$B$3+$G100)</f>
        <v/>
      </c>
      <c r="I100" s="21" t="str">
        <f aca="false">IF($A100="","",IF(품목마스터!$F97="",0,품목마스터!$F97))</f>
        <v/>
      </c>
      <c r="J100" s="25" t="str">
        <f aca="false">IF(OR($A100="",$F100&lt;=0),"",$H100-$I100)</f>
        <v/>
      </c>
      <c r="K100" s="22" t="n">
        <f aca="false">IF(OR($A100="",$F100&lt;=0),0,MAX(0,CEILING(MAX(0,($I100+사용안내!$C$17)*$F100-$D100),MAX(1,IF(품목마스터!$H97="",1,품목마스터!$H97)))))</f>
        <v>0</v>
      </c>
      <c r="L100" s="21" t="str">
        <f aca="false">IF($A100="","",IF($F100&lt;=0,"-",IF($J100&lt;=$B$3,"발주",IF($J100&lt;=$B$3+7,"임박","정상"))))</f>
        <v/>
      </c>
    </row>
    <row r="101" customFormat="false" ht="15" hidden="false" customHeight="true" outlineLevel="0" collapsed="false">
      <c r="A101" s="17" t="str">
        <f aca="false">IF(품목마스터!$A98="","",품목마스터!$A98)</f>
        <v/>
      </c>
      <c r="B101" s="17" t="str">
        <f aca="false">IF($A101="","",품목마스터!$B98)</f>
        <v/>
      </c>
      <c r="C101" s="21" t="str">
        <f aca="false">IF($A101="","",품목마스터!$D98)</f>
        <v/>
      </c>
      <c r="D101" s="22" t="str">
        <f aca="false">IF($A101="","",IF(품목마스터!$E98="",0,품목마스터!$E98))</f>
        <v/>
      </c>
      <c r="E101" s="22" t="str">
        <f aca="false">IF($A101="","",SUMIFS(사용내역!$E$3:$E$3002,사용내역!$B$3:$B$3002,$A101,사용내역!$A$3:$A$3002,"&gt;"&amp;($B$3-사용안내!$C$16),사용내역!$A$3:$A$3002,"&lt;="&amp;$B$3))</f>
        <v/>
      </c>
      <c r="F101" s="23" t="str">
        <f aca="false">IF($A101="","",IF(사용안내!$C$16=0,0,ROUND($E101/사용안내!$C$16,3)))</f>
        <v/>
      </c>
      <c r="G101" s="24" t="str">
        <f aca="false">IF($A101="","",IF($F101&lt;=0,"사용기록없음",ROUND($D101/$F101,0)))</f>
        <v/>
      </c>
      <c r="H101" s="25" t="str">
        <f aca="false">IF(OR($A101="",$F101&lt;=0),"",$B$3+$G101)</f>
        <v/>
      </c>
      <c r="I101" s="21" t="str">
        <f aca="false">IF($A101="","",IF(품목마스터!$F98="",0,품목마스터!$F98))</f>
        <v/>
      </c>
      <c r="J101" s="25" t="str">
        <f aca="false">IF(OR($A101="",$F101&lt;=0),"",$H101-$I101)</f>
        <v/>
      </c>
      <c r="K101" s="22" t="n">
        <f aca="false">IF(OR($A101="",$F101&lt;=0),0,MAX(0,CEILING(MAX(0,($I101+사용안내!$C$17)*$F101-$D101),MAX(1,IF(품목마스터!$H98="",1,품목마스터!$H98)))))</f>
        <v>0</v>
      </c>
      <c r="L101" s="21" t="str">
        <f aca="false">IF($A101="","",IF($F101&lt;=0,"-",IF($J101&lt;=$B$3,"발주",IF($J101&lt;=$B$3+7,"임박","정상"))))</f>
        <v/>
      </c>
    </row>
    <row r="102" customFormat="false" ht="15" hidden="false" customHeight="true" outlineLevel="0" collapsed="false">
      <c r="A102" s="17" t="str">
        <f aca="false">IF(품목마스터!$A99="","",품목마스터!$A99)</f>
        <v/>
      </c>
      <c r="B102" s="17" t="str">
        <f aca="false">IF($A102="","",품목마스터!$B99)</f>
        <v/>
      </c>
      <c r="C102" s="21" t="str">
        <f aca="false">IF($A102="","",품목마스터!$D99)</f>
        <v/>
      </c>
      <c r="D102" s="22" t="str">
        <f aca="false">IF($A102="","",IF(품목마스터!$E99="",0,품목마스터!$E99))</f>
        <v/>
      </c>
      <c r="E102" s="22" t="str">
        <f aca="false">IF($A102="","",SUMIFS(사용내역!$E$3:$E$3002,사용내역!$B$3:$B$3002,$A102,사용내역!$A$3:$A$3002,"&gt;"&amp;($B$3-사용안내!$C$16),사용내역!$A$3:$A$3002,"&lt;="&amp;$B$3))</f>
        <v/>
      </c>
      <c r="F102" s="23" t="str">
        <f aca="false">IF($A102="","",IF(사용안내!$C$16=0,0,ROUND($E102/사용안내!$C$16,3)))</f>
        <v/>
      </c>
      <c r="G102" s="24" t="str">
        <f aca="false">IF($A102="","",IF($F102&lt;=0,"사용기록없음",ROUND($D102/$F102,0)))</f>
        <v/>
      </c>
      <c r="H102" s="25" t="str">
        <f aca="false">IF(OR($A102="",$F102&lt;=0),"",$B$3+$G102)</f>
        <v/>
      </c>
      <c r="I102" s="21" t="str">
        <f aca="false">IF($A102="","",IF(품목마스터!$F99="",0,품목마스터!$F99))</f>
        <v/>
      </c>
      <c r="J102" s="25" t="str">
        <f aca="false">IF(OR($A102="",$F102&lt;=0),"",$H102-$I102)</f>
        <v/>
      </c>
      <c r="K102" s="22" t="n">
        <f aca="false">IF(OR($A102="",$F102&lt;=0),0,MAX(0,CEILING(MAX(0,($I102+사용안내!$C$17)*$F102-$D102),MAX(1,IF(품목마스터!$H99="",1,품목마스터!$H99)))))</f>
        <v>0</v>
      </c>
      <c r="L102" s="21" t="str">
        <f aca="false">IF($A102="","",IF($F102&lt;=0,"-",IF($J102&lt;=$B$3,"발주",IF($J102&lt;=$B$3+7,"임박","정상"))))</f>
        <v/>
      </c>
    </row>
    <row r="103" customFormat="false" ht="15" hidden="false" customHeight="true" outlineLevel="0" collapsed="false">
      <c r="A103" s="17" t="str">
        <f aca="false">IF(품목마스터!$A100="","",품목마스터!$A100)</f>
        <v/>
      </c>
      <c r="B103" s="17" t="str">
        <f aca="false">IF($A103="","",품목마스터!$B100)</f>
        <v/>
      </c>
      <c r="C103" s="21" t="str">
        <f aca="false">IF($A103="","",품목마스터!$D100)</f>
        <v/>
      </c>
      <c r="D103" s="22" t="str">
        <f aca="false">IF($A103="","",IF(품목마스터!$E100="",0,품목마스터!$E100))</f>
        <v/>
      </c>
      <c r="E103" s="22" t="str">
        <f aca="false">IF($A103="","",SUMIFS(사용내역!$E$3:$E$3002,사용내역!$B$3:$B$3002,$A103,사용내역!$A$3:$A$3002,"&gt;"&amp;($B$3-사용안내!$C$16),사용내역!$A$3:$A$3002,"&lt;="&amp;$B$3))</f>
        <v/>
      </c>
      <c r="F103" s="23" t="str">
        <f aca="false">IF($A103="","",IF(사용안내!$C$16=0,0,ROUND($E103/사용안내!$C$16,3)))</f>
        <v/>
      </c>
      <c r="G103" s="24" t="str">
        <f aca="false">IF($A103="","",IF($F103&lt;=0,"사용기록없음",ROUND($D103/$F103,0)))</f>
        <v/>
      </c>
      <c r="H103" s="25" t="str">
        <f aca="false">IF(OR($A103="",$F103&lt;=0),"",$B$3+$G103)</f>
        <v/>
      </c>
      <c r="I103" s="21" t="str">
        <f aca="false">IF($A103="","",IF(품목마스터!$F100="",0,품목마스터!$F100))</f>
        <v/>
      </c>
      <c r="J103" s="25" t="str">
        <f aca="false">IF(OR($A103="",$F103&lt;=0),"",$H103-$I103)</f>
        <v/>
      </c>
      <c r="K103" s="22" t="n">
        <f aca="false">IF(OR($A103="",$F103&lt;=0),0,MAX(0,CEILING(MAX(0,($I103+사용안내!$C$17)*$F103-$D103),MAX(1,IF(품목마스터!$H100="",1,품목마스터!$H100)))))</f>
        <v>0</v>
      </c>
      <c r="L103" s="21" t="str">
        <f aca="false">IF($A103="","",IF($F103&lt;=0,"-",IF($J103&lt;=$B$3,"발주",IF($J103&lt;=$B$3+7,"임박","정상"))))</f>
        <v/>
      </c>
    </row>
    <row r="104" customFormat="false" ht="15" hidden="false" customHeight="true" outlineLevel="0" collapsed="false">
      <c r="A104" s="17" t="str">
        <f aca="false">IF(품목마스터!$A101="","",품목마스터!$A101)</f>
        <v/>
      </c>
      <c r="B104" s="17" t="str">
        <f aca="false">IF($A104="","",품목마스터!$B101)</f>
        <v/>
      </c>
      <c r="C104" s="21" t="str">
        <f aca="false">IF($A104="","",품목마스터!$D101)</f>
        <v/>
      </c>
      <c r="D104" s="22" t="str">
        <f aca="false">IF($A104="","",IF(품목마스터!$E101="",0,품목마스터!$E101))</f>
        <v/>
      </c>
      <c r="E104" s="22" t="str">
        <f aca="false">IF($A104="","",SUMIFS(사용내역!$E$3:$E$3002,사용내역!$B$3:$B$3002,$A104,사용내역!$A$3:$A$3002,"&gt;"&amp;($B$3-사용안내!$C$16),사용내역!$A$3:$A$3002,"&lt;="&amp;$B$3))</f>
        <v/>
      </c>
      <c r="F104" s="23" t="str">
        <f aca="false">IF($A104="","",IF(사용안내!$C$16=0,0,ROUND($E104/사용안내!$C$16,3)))</f>
        <v/>
      </c>
      <c r="G104" s="24" t="str">
        <f aca="false">IF($A104="","",IF($F104&lt;=0,"사용기록없음",ROUND($D104/$F104,0)))</f>
        <v/>
      </c>
      <c r="H104" s="25" t="str">
        <f aca="false">IF(OR($A104="",$F104&lt;=0),"",$B$3+$G104)</f>
        <v/>
      </c>
      <c r="I104" s="21" t="str">
        <f aca="false">IF($A104="","",IF(품목마스터!$F101="",0,품목마스터!$F101))</f>
        <v/>
      </c>
      <c r="J104" s="25" t="str">
        <f aca="false">IF(OR($A104="",$F104&lt;=0),"",$H104-$I104)</f>
        <v/>
      </c>
      <c r="K104" s="22" t="n">
        <f aca="false">IF(OR($A104="",$F104&lt;=0),0,MAX(0,CEILING(MAX(0,($I104+사용안내!$C$17)*$F104-$D104),MAX(1,IF(품목마스터!$H101="",1,품목마스터!$H101)))))</f>
        <v>0</v>
      </c>
      <c r="L104" s="21" t="str">
        <f aca="false">IF($A104="","",IF($F104&lt;=0,"-",IF($J104&lt;=$B$3,"발주",IF($J104&lt;=$B$3+7,"임박","정상"))))</f>
        <v/>
      </c>
    </row>
    <row r="105" customFormat="false" ht="15" hidden="false" customHeight="true" outlineLevel="0" collapsed="false">
      <c r="A105" s="17" t="str">
        <f aca="false">IF(품목마스터!$A102="","",품목마스터!$A102)</f>
        <v/>
      </c>
      <c r="B105" s="17" t="str">
        <f aca="false">IF($A105="","",품목마스터!$B102)</f>
        <v/>
      </c>
      <c r="C105" s="21" t="str">
        <f aca="false">IF($A105="","",품목마스터!$D102)</f>
        <v/>
      </c>
      <c r="D105" s="22" t="str">
        <f aca="false">IF($A105="","",IF(품목마스터!$E102="",0,품목마스터!$E102))</f>
        <v/>
      </c>
      <c r="E105" s="22" t="str">
        <f aca="false">IF($A105="","",SUMIFS(사용내역!$E$3:$E$3002,사용내역!$B$3:$B$3002,$A105,사용내역!$A$3:$A$3002,"&gt;"&amp;($B$3-사용안내!$C$16),사용내역!$A$3:$A$3002,"&lt;="&amp;$B$3))</f>
        <v/>
      </c>
      <c r="F105" s="23" t="str">
        <f aca="false">IF($A105="","",IF(사용안내!$C$16=0,0,ROUND($E105/사용안내!$C$16,3)))</f>
        <v/>
      </c>
      <c r="G105" s="24" t="str">
        <f aca="false">IF($A105="","",IF($F105&lt;=0,"사용기록없음",ROUND($D105/$F105,0)))</f>
        <v/>
      </c>
      <c r="H105" s="25" t="str">
        <f aca="false">IF(OR($A105="",$F105&lt;=0),"",$B$3+$G105)</f>
        <v/>
      </c>
      <c r="I105" s="21" t="str">
        <f aca="false">IF($A105="","",IF(품목마스터!$F102="",0,품목마스터!$F102))</f>
        <v/>
      </c>
      <c r="J105" s="25" t="str">
        <f aca="false">IF(OR($A105="",$F105&lt;=0),"",$H105-$I105)</f>
        <v/>
      </c>
      <c r="K105" s="22" t="n">
        <f aca="false">IF(OR($A105="",$F105&lt;=0),0,MAX(0,CEILING(MAX(0,($I105+사용안내!$C$17)*$F105-$D105),MAX(1,IF(품목마스터!$H102="",1,품목마스터!$H102)))))</f>
        <v>0</v>
      </c>
      <c r="L105" s="21" t="str">
        <f aca="false">IF($A105="","",IF($F105&lt;=0,"-",IF($J105&lt;=$B$3,"발주",IF($J105&lt;=$B$3+7,"임박","정상"))))</f>
        <v/>
      </c>
    </row>
    <row r="106" customFormat="false" ht="15" hidden="false" customHeight="true" outlineLevel="0" collapsed="false">
      <c r="A106" s="17" t="str">
        <f aca="false">IF(품목마스터!$A103="","",품목마스터!$A103)</f>
        <v/>
      </c>
      <c r="B106" s="17" t="str">
        <f aca="false">IF($A106="","",품목마스터!$B103)</f>
        <v/>
      </c>
      <c r="C106" s="21" t="str">
        <f aca="false">IF($A106="","",품목마스터!$D103)</f>
        <v/>
      </c>
      <c r="D106" s="22" t="str">
        <f aca="false">IF($A106="","",IF(품목마스터!$E103="",0,품목마스터!$E103))</f>
        <v/>
      </c>
      <c r="E106" s="22" t="str">
        <f aca="false">IF($A106="","",SUMIFS(사용내역!$E$3:$E$3002,사용내역!$B$3:$B$3002,$A106,사용내역!$A$3:$A$3002,"&gt;"&amp;($B$3-사용안내!$C$16),사용내역!$A$3:$A$3002,"&lt;="&amp;$B$3))</f>
        <v/>
      </c>
      <c r="F106" s="23" t="str">
        <f aca="false">IF($A106="","",IF(사용안내!$C$16=0,0,ROUND($E106/사용안내!$C$16,3)))</f>
        <v/>
      </c>
      <c r="G106" s="24" t="str">
        <f aca="false">IF($A106="","",IF($F106&lt;=0,"사용기록없음",ROUND($D106/$F106,0)))</f>
        <v/>
      </c>
      <c r="H106" s="25" t="str">
        <f aca="false">IF(OR($A106="",$F106&lt;=0),"",$B$3+$G106)</f>
        <v/>
      </c>
      <c r="I106" s="21" t="str">
        <f aca="false">IF($A106="","",IF(품목마스터!$F103="",0,품목마스터!$F103))</f>
        <v/>
      </c>
      <c r="J106" s="25" t="str">
        <f aca="false">IF(OR($A106="",$F106&lt;=0),"",$H106-$I106)</f>
        <v/>
      </c>
      <c r="K106" s="22" t="n">
        <f aca="false">IF(OR($A106="",$F106&lt;=0),0,MAX(0,CEILING(MAX(0,($I106+사용안내!$C$17)*$F106-$D106),MAX(1,IF(품목마스터!$H103="",1,품목마스터!$H103)))))</f>
        <v>0</v>
      </c>
      <c r="L106" s="21" t="str">
        <f aca="false">IF($A106="","",IF($F106&lt;=0,"-",IF($J106&lt;=$B$3,"발주",IF($J106&lt;=$B$3+7,"임박","정상"))))</f>
        <v/>
      </c>
    </row>
    <row r="107" customFormat="false" ht="15" hidden="false" customHeight="true" outlineLevel="0" collapsed="false">
      <c r="A107" s="17" t="str">
        <f aca="false">IF(품목마스터!$A104="","",품목마스터!$A104)</f>
        <v/>
      </c>
      <c r="B107" s="17" t="str">
        <f aca="false">IF($A107="","",품목마스터!$B104)</f>
        <v/>
      </c>
      <c r="C107" s="21" t="str">
        <f aca="false">IF($A107="","",품목마스터!$D104)</f>
        <v/>
      </c>
      <c r="D107" s="22" t="str">
        <f aca="false">IF($A107="","",IF(품목마스터!$E104="",0,품목마스터!$E104))</f>
        <v/>
      </c>
      <c r="E107" s="22" t="str">
        <f aca="false">IF($A107="","",SUMIFS(사용내역!$E$3:$E$3002,사용내역!$B$3:$B$3002,$A107,사용내역!$A$3:$A$3002,"&gt;"&amp;($B$3-사용안내!$C$16),사용내역!$A$3:$A$3002,"&lt;="&amp;$B$3))</f>
        <v/>
      </c>
      <c r="F107" s="23" t="str">
        <f aca="false">IF($A107="","",IF(사용안내!$C$16=0,0,ROUND($E107/사용안내!$C$16,3)))</f>
        <v/>
      </c>
      <c r="G107" s="24" t="str">
        <f aca="false">IF($A107="","",IF($F107&lt;=0,"사용기록없음",ROUND($D107/$F107,0)))</f>
        <v/>
      </c>
      <c r="H107" s="25" t="str">
        <f aca="false">IF(OR($A107="",$F107&lt;=0),"",$B$3+$G107)</f>
        <v/>
      </c>
      <c r="I107" s="21" t="str">
        <f aca="false">IF($A107="","",IF(품목마스터!$F104="",0,품목마스터!$F104))</f>
        <v/>
      </c>
      <c r="J107" s="25" t="str">
        <f aca="false">IF(OR($A107="",$F107&lt;=0),"",$H107-$I107)</f>
        <v/>
      </c>
      <c r="K107" s="22" t="n">
        <f aca="false">IF(OR($A107="",$F107&lt;=0),0,MAX(0,CEILING(MAX(0,($I107+사용안내!$C$17)*$F107-$D107),MAX(1,IF(품목마스터!$H104="",1,품목마스터!$H104)))))</f>
        <v>0</v>
      </c>
      <c r="L107" s="21" t="str">
        <f aca="false">IF($A107="","",IF($F107&lt;=0,"-",IF($J107&lt;=$B$3,"발주",IF($J107&lt;=$B$3+7,"임박","정상"))))</f>
        <v/>
      </c>
    </row>
    <row r="108" customFormat="false" ht="15" hidden="false" customHeight="true" outlineLevel="0" collapsed="false">
      <c r="A108" s="17" t="str">
        <f aca="false">IF(품목마스터!$A105="","",품목마스터!$A105)</f>
        <v/>
      </c>
      <c r="B108" s="17" t="str">
        <f aca="false">IF($A108="","",품목마스터!$B105)</f>
        <v/>
      </c>
      <c r="C108" s="21" t="str">
        <f aca="false">IF($A108="","",품목마스터!$D105)</f>
        <v/>
      </c>
      <c r="D108" s="22" t="str">
        <f aca="false">IF($A108="","",IF(품목마스터!$E105="",0,품목마스터!$E105))</f>
        <v/>
      </c>
      <c r="E108" s="22" t="str">
        <f aca="false">IF($A108="","",SUMIFS(사용내역!$E$3:$E$3002,사용내역!$B$3:$B$3002,$A108,사용내역!$A$3:$A$3002,"&gt;"&amp;($B$3-사용안내!$C$16),사용내역!$A$3:$A$3002,"&lt;="&amp;$B$3))</f>
        <v/>
      </c>
      <c r="F108" s="23" t="str">
        <f aca="false">IF($A108="","",IF(사용안내!$C$16=0,0,ROUND($E108/사용안내!$C$16,3)))</f>
        <v/>
      </c>
      <c r="G108" s="24" t="str">
        <f aca="false">IF($A108="","",IF($F108&lt;=0,"사용기록없음",ROUND($D108/$F108,0)))</f>
        <v/>
      </c>
      <c r="H108" s="25" t="str">
        <f aca="false">IF(OR($A108="",$F108&lt;=0),"",$B$3+$G108)</f>
        <v/>
      </c>
      <c r="I108" s="21" t="str">
        <f aca="false">IF($A108="","",IF(품목마스터!$F105="",0,품목마스터!$F105))</f>
        <v/>
      </c>
      <c r="J108" s="25" t="str">
        <f aca="false">IF(OR($A108="",$F108&lt;=0),"",$H108-$I108)</f>
        <v/>
      </c>
      <c r="K108" s="22" t="n">
        <f aca="false">IF(OR($A108="",$F108&lt;=0),0,MAX(0,CEILING(MAX(0,($I108+사용안내!$C$17)*$F108-$D108),MAX(1,IF(품목마스터!$H105="",1,품목마스터!$H105)))))</f>
        <v>0</v>
      </c>
      <c r="L108" s="21" t="str">
        <f aca="false">IF($A108="","",IF($F108&lt;=0,"-",IF($J108&lt;=$B$3,"발주",IF($J108&lt;=$B$3+7,"임박","정상"))))</f>
        <v/>
      </c>
    </row>
    <row r="109" customFormat="false" ht="15" hidden="false" customHeight="true" outlineLevel="0" collapsed="false">
      <c r="A109" s="17" t="str">
        <f aca="false">IF(품목마스터!$A106="","",품목마스터!$A106)</f>
        <v/>
      </c>
      <c r="B109" s="17" t="str">
        <f aca="false">IF($A109="","",품목마스터!$B106)</f>
        <v/>
      </c>
      <c r="C109" s="21" t="str">
        <f aca="false">IF($A109="","",품목마스터!$D106)</f>
        <v/>
      </c>
      <c r="D109" s="22" t="str">
        <f aca="false">IF($A109="","",IF(품목마스터!$E106="",0,품목마스터!$E106))</f>
        <v/>
      </c>
      <c r="E109" s="22" t="str">
        <f aca="false">IF($A109="","",SUMIFS(사용내역!$E$3:$E$3002,사용내역!$B$3:$B$3002,$A109,사용내역!$A$3:$A$3002,"&gt;"&amp;($B$3-사용안내!$C$16),사용내역!$A$3:$A$3002,"&lt;="&amp;$B$3))</f>
        <v/>
      </c>
      <c r="F109" s="23" t="str">
        <f aca="false">IF($A109="","",IF(사용안내!$C$16=0,0,ROUND($E109/사용안내!$C$16,3)))</f>
        <v/>
      </c>
      <c r="G109" s="24" t="str">
        <f aca="false">IF($A109="","",IF($F109&lt;=0,"사용기록없음",ROUND($D109/$F109,0)))</f>
        <v/>
      </c>
      <c r="H109" s="25" t="str">
        <f aca="false">IF(OR($A109="",$F109&lt;=0),"",$B$3+$G109)</f>
        <v/>
      </c>
      <c r="I109" s="21" t="str">
        <f aca="false">IF($A109="","",IF(품목마스터!$F106="",0,품목마스터!$F106))</f>
        <v/>
      </c>
      <c r="J109" s="25" t="str">
        <f aca="false">IF(OR($A109="",$F109&lt;=0),"",$H109-$I109)</f>
        <v/>
      </c>
      <c r="K109" s="22" t="n">
        <f aca="false">IF(OR($A109="",$F109&lt;=0),0,MAX(0,CEILING(MAX(0,($I109+사용안내!$C$17)*$F109-$D109),MAX(1,IF(품목마스터!$H106="",1,품목마스터!$H106)))))</f>
        <v>0</v>
      </c>
      <c r="L109" s="21" t="str">
        <f aca="false">IF($A109="","",IF($F109&lt;=0,"-",IF($J109&lt;=$B$3,"발주",IF($J109&lt;=$B$3+7,"임박","정상"))))</f>
        <v/>
      </c>
    </row>
    <row r="110" customFormat="false" ht="15" hidden="false" customHeight="true" outlineLevel="0" collapsed="false">
      <c r="A110" s="17" t="str">
        <f aca="false">IF(품목마스터!$A107="","",품목마스터!$A107)</f>
        <v/>
      </c>
      <c r="B110" s="17" t="str">
        <f aca="false">IF($A110="","",품목마스터!$B107)</f>
        <v/>
      </c>
      <c r="C110" s="21" t="str">
        <f aca="false">IF($A110="","",품목마스터!$D107)</f>
        <v/>
      </c>
      <c r="D110" s="22" t="str">
        <f aca="false">IF($A110="","",IF(품목마스터!$E107="",0,품목마스터!$E107))</f>
        <v/>
      </c>
      <c r="E110" s="22" t="str">
        <f aca="false">IF($A110="","",SUMIFS(사용내역!$E$3:$E$3002,사용내역!$B$3:$B$3002,$A110,사용내역!$A$3:$A$3002,"&gt;"&amp;($B$3-사용안내!$C$16),사용내역!$A$3:$A$3002,"&lt;="&amp;$B$3))</f>
        <v/>
      </c>
      <c r="F110" s="23" t="str">
        <f aca="false">IF($A110="","",IF(사용안내!$C$16=0,0,ROUND($E110/사용안내!$C$16,3)))</f>
        <v/>
      </c>
      <c r="G110" s="24" t="str">
        <f aca="false">IF($A110="","",IF($F110&lt;=0,"사용기록없음",ROUND($D110/$F110,0)))</f>
        <v/>
      </c>
      <c r="H110" s="25" t="str">
        <f aca="false">IF(OR($A110="",$F110&lt;=0),"",$B$3+$G110)</f>
        <v/>
      </c>
      <c r="I110" s="21" t="str">
        <f aca="false">IF($A110="","",IF(품목마스터!$F107="",0,품목마스터!$F107))</f>
        <v/>
      </c>
      <c r="J110" s="25" t="str">
        <f aca="false">IF(OR($A110="",$F110&lt;=0),"",$H110-$I110)</f>
        <v/>
      </c>
      <c r="K110" s="22" t="n">
        <f aca="false">IF(OR($A110="",$F110&lt;=0),0,MAX(0,CEILING(MAX(0,($I110+사용안내!$C$17)*$F110-$D110),MAX(1,IF(품목마스터!$H107="",1,품목마스터!$H107)))))</f>
        <v>0</v>
      </c>
      <c r="L110" s="21" t="str">
        <f aca="false">IF($A110="","",IF($F110&lt;=0,"-",IF($J110&lt;=$B$3,"발주",IF($J110&lt;=$B$3+7,"임박","정상"))))</f>
        <v/>
      </c>
    </row>
    <row r="111" customFormat="false" ht="15" hidden="false" customHeight="true" outlineLevel="0" collapsed="false">
      <c r="A111" s="17" t="str">
        <f aca="false">IF(품목마스터!$A108="","",품목마스터!$A108)</f>
        <v/>
      </c>
      <c r="B111" s="17" t="str">
        <f aca="false">IF($A111="","",품목마스터!$B108)</f>
        <v/>
      </c>
      <c r="C111" s="21" t="str">
        <f aca="false">IF($A111="","",품목마스터!$D108)</f>
        <v/>
      </c>
      <c r="D111" s="22" t="str">
        <f aca="false">IF($A111="","",IF(품목마스터!$E108="",0,품목마스터!$E108))</f>
        <v/>
      </c>
      <c r="E111" s="22" t="str">
        <f aca="false">IF($A111="","",SUMIFS(사용내역!$E$3:$E$3002,사용내역!$B$3:$B$3002,$A111,사용내역!$A$3:$A$3002,"&gt;"&amp;($B$3-사용안내!$C$16),사용내역!$A$3:$A$3002,"&lt;="&amp;$B$3))</f>
        <v/>
      </c>
      <c r="F111" s="23" t="str">
        <f aca="false">IF($A111="","",IF(사용안내!$C$16=0,0,ROUND($E111/사용안내!$C$16,3)))</f>
        <v/>
      </c>
      <c r="G111" s="24" t="str">
        <f aca="false">IF($A111="","",IF($F111&lt;=0,"사용기록없음",ROUND($D111/$F111,0)))</f>
        <v/>
      </c>
      <c r="H111" s="25" t="str">
        <f aca="false">IF(OR($A111="",$F111&lt;=0),"",$B$3+$G111)</f>
        <v/>
      </c>
      <c r="I111" s="21" t="str">
        <f aca="false">IF($A111="","",IF(품목마스터!$F108="",0,품목마스터!$F108))</f>
        <v/>
      </c>
      <c r="J111" s="25" t="str">
        <f aca="false">IF(OR($A111="",$F111&lt;=0),"",$H111-$I111)</f>
        <v/>
      </c>
      <c r="K111" s="22" t="n">
        <f aca="false">IF(OR($A111="",$F111&lt;=0),0,MAX(0,CEILING(MAX(0,($I111+사용안내!$C$17)*$F111-$D111),MAX(1,IF(품목마스터!$H108="",1,품목마스터!$H108)))))</f>
        <v>0</v>
      </c>
      <c r="L111" s="21" t="str">
        <f aca="false">IF($A111="","",IF($F111&lt;=0,"-",IF($J111&lt;=$B$3,"발주",IF($J111&lt;=$B$3+7,"임박","정상"))))</f>
        <v/>
      </c>
    </row>
    <row r="112" customFormat="false" ht="15" hidden="false" customHeight="true" outlineLevel="0" collapsed="false">
      <c r="A112" s="17" t="str">
        <f aca="false">IF(품목마스터!$A109="","",품목마스터!$A109)</f>
        <v/>
      </c>
      <c r="B112" s="17" t="str">
        <f aca="false">IF($A112="","",품목마스터!$B109)</f>
        <v/>
      </c>
      <c r="C112" s="21" t="str">
        <f aca="false">IF($A112="","",품목마스터!$D109)</f>
        <v/>
      </c>
      <c r="D112" s="22" t="str">
        <f aca="false">IF($A112="","",IF(품목마스터!$E109="",0,품목마스터!$E109))</f>
        <v/>
      </c>
      <c r="E112" s="22" t="str">
        <f aca="false">IF($A112="","",SUMIFS(사용내역!$E$3:$E$3002,사용내역!$B$3:$B$3002,$A112,사용내역!$A$3:$A$3002,"&gt;"&amp;($B$3-사용안내!$C$16),사용내역!$A$3:$A$3002,"&lt;="&amp;$B$3))</f>
        <v/>
      </c>
      <c r="F112" s="23" t="str">
        <f aca="false">IF($A112="","",IF(사용안내!$C$16=0,0,ROUND($E112/사용안내!$C$16,3)))</f>
        <v/>
      </c>
      <c r="G112" s="24" t="str">
        <f aca="false">IF($A112="","",IF($F112&lt;=0,"사용기록없음",ROUND($D112/$F112,0)))</f>
        <v/>
      </c>
      <c r="H112" s="25" t="str">
        <f aca="false">IF(OR($A112="",$F112&lt;=0),"",$B$3+$G112)</f>
        <v/>
      </c>
      <c r="I112" s="21" t="str">
        <f aca="false">IF($A112="","",IF(품목마스터!$F109="",0,품목마스터!$F109))</f>
        <v/>
      </c>
      <c r="J112" s="25" t="str">
        <f aca="false">IF(OR($A112="",$F112&lt;=0),"",$H112-$I112)</f>
        <v/>
      </c>
      <c r="K112" s="22" t="n">
        <f aca="false">IF(OR($A112="",$F112&lt;=0),0,MAX(0,CEILING(MAX(0,($I112+사용안내!$C$17)*$F112-$D112),MAX(1,IF(품목마스터!$H109="",1,품목마스터!$H109)))))</f>
        <v>0</v>
      </c>
      <c r="L112" s="21" t="str">
        <f aca="false">IF($A112="","",IF($F112&lt;=0,"-",IF($J112&lt;=$B$3,"발주",IF($J112&lt;=$B$3+7,"임박","정상"))))</f>
        <v/>
      </c>
    </row>
    <row r="113" customFormat="false" ht="15" hidden="false" customHeight="true" outlineLevel="0" collapsed="false">
      <c r="A113" s="17" t="str">
        <f aca="false">IF(품목마스터!$A110="","",품목마스터!$A110)</f>
        <v/>
      </c>
      <c r="B113" s="17" t="str">
        <f aca="false">IF($A113="","",품목마스터!$B110)</f>
        <v/>
      </c>
      <c r="C113" s="21" t="str">
        <f aca="false">IF($A113="","",품목마스터!$D110)</f>
        <v/>
      </c>
      <c r="D113" s="22" t="str">
        <f aca="false">IF($A113="","",IF(품목마스터!$E110="",0,품목마스터!$E110))</f>
        <v/>
      </c>
      <c r="E113" s="22" t="str">
        <f aca="false">IF($A113="","",SUMIFS(사용내역!$E$3:$E$3002,사용내역!$B$3:$B$3002,$A113,사용내역!$A$3:$A$3002,"&gt;"&amp;($B$3-사용안내!$C$16),사용내역!$A$3:$A$3002,"&lt;="&amp;$B$3))</f>
        <v/>
      </c>
      <c r="F113" s="23" t="str">
        <f aca="false">IF($A113="","",IF(사용안내!$C$16=0,0,ROUND($E113/사용안내!$C$16,3)))</f>
        <v/>
      </c>
      <c r="G113" s="24" t="str">
        <f aca="false">IF($A113="","",IF($F113&lt;=0,"사용기록없음",ROUND($D113/$F113,0)))</f>
        <v/>
      </c>
      <c r="H113" s="25" t="str">
        <f aca="false">IF(OR($A113="",$F113&lt;=0),"",$B$3+$G113)</f>
        <v/>
      </c>
      <c r="I113" s="21" t="str">
        <f aca="false">IF($A113="","",IF(품목마스터!$F110="",0,품목마스터!$F110))</f>
        <v/>
      </c>
      <c r="J113" s="25" t="str">
        <f aca="false">IF(OR($A113="",$F113&lt;=0),"",$H113-$I113)</f>
        <v/>
      </c>
      <c r="K113" s="22" t="n">
        <f aca="false">IF(OR($A113="",$F113&lt;=0),0,MAX(0,CEILING(MAX(0,($I113+사용안내!$C$17)*$F113-$D113),MAX(1,IF(품목마스터!$H110="",1,품목마스터!$H110)))))</f>
        <v>0</v>
      </c>
      <c r="L113" s="21" t="str">
        <f aca="false">IF($A113="","",IF($F113&lt;=0,"-",IF($J113&lt;=$B$3,"발주",IF($J113&lt;=$B$3+7,"임박","정상"))))</f>
        <v/>
      </c>
    </row>
    <row r="114" customFormat="false" ht="15" hidden="false" customHeight="true" outlineLevel="0" collapsed="false">
      <c r="A114" s="17" t="str">
        <f aca="false">IF(품목마스터!$A111="","",품목마스터!$A111)</f>
        <v/>
      </c>
      <c r="B114" s="17" t="str">
        <f aca="false">IF($A114="","",품목마스터!$B111)</f>
        <v/>
      </c>
      <c r="C114" s="21" t="str">
        <f aca="false">IF($A114="","",품목마스터!$D111)</f>
        <v/>
      </c>
      <c r="D114" s="22" t="str">
        <f aca="false">IF($A114="","",IF(품목마스터!$E111="",0,품목마스터!$E111))</f>
        <v/>
      </c>
      <c r="E114" s="22" t="str">
        <f aca="false">IF($A114="","",SUMIFS(사용내역!$E$3:$E$3002,사용내역!$B$3:$B$3002,$A114,사용내역!$A$3:$A$3002,"&gt;"&amp;($B$3-사용안내!$C$16),사용내역!$A$3:$A$3002,"&lt;="&amp;$B$3))</f>
        <v/>
      </c>
      <c r="F114" s="23" t="str">
        <f aca="false">IF($A114="","",IF(사용안내!$C$16=0,0,ROUND($E114/사용안내!$C$16,3)))</f>
        <v/>
      </c>
      <c r="G114" s="24" t="str">
        <f aca="false">IF($A114="","",IF($F114&lt;=0,"사용기록없음",ROUND($D114/$F114,0)))</f>
        <v/>
      </c>
      <c r="H114" s="25" t="str">
        <f aca="false">IF(OR($A114="",$F114&lt;=0),"",$B$3+$G114)</f>
        <v/>
      </c>
      <c r="I114" s="21" t="str">
        <f aca="false">IF($A114="","",IF(품목마스터!$F111="",0,품목마스터!$F111))</f>
        <v/>
      </c>
      <c r="J114" s="25" t="str">
        <f aca="false">IF(OR($A114="",$F114&lt;=0),"",$H114-$I114)</f>
        <v/>
      </c>
      <c r="K114" s="22" t="n">
        <f aca="false">IF(OR($A114="",$F114&lt;=0),0,MAX(0,CEILING(MAX(0,($I114+사용안내!$C$17)*$F114-$D114),MAX(1,IF(품목마스터!$H111="",1,품목마스터!$H111)))))</f>
        <v>0</v>
      </c>
      <c r="L114" s="21" t="str">
        <f aca="false">IF($A114="","",IF($F114&lt;=0,"-",IF($J114&lt;=$B$3,"발주",IF($J114&lt;=$B$3+7,"임박","정상"))))</f>
        <v/>
      </c>
    </row>
    <row r="115" customFormat="false" ht="15" hidden="false" customHeight="true" outlineLevel="0" collapsed="false">
      <c r="A115" s="17" t="str">
        <f aca="false">IF(품목마스터!$A112="","",품목마스터!$A112)</f>
        <v/>
      </c>
      <c r="B115" s="17" t="str">
        <f aca="false">IF($A115="","",품목마스터!$B112)</f>
        <v/>
      </c>
      <c r="C115" s="21" t="str">
        <f aca="false">IF($A115="","",품목마스터!$D112)</f>
        <v/>
      </c>
      <c r="D115" s="22" t="str">
        <f aca="false">IF($A115="","",IF(품목마스터!$E112="",0,품목마스터!$E112))</f>
        <v/>
      </c>
      <c r="E115" s="22" t="str">
        <f aca="false">IF($A115="","",SUMIFS(사용내역!$E$3:$E$3002,사용내역!$B$3:$B$3002,$A115,사용내역!$A$3:$A$3002,"&gt;"&amp;($B$3-사용안내!$C$16),사용내역!$A$3:$A$3002,"&lt;="&amp;$B$3))</f>
        <v/>
      </c>
      <c r="F115" s="23" t="str">
        <f aca="false">IF($A115="","",IF(사용안내!$C$16=0,0,ROUND($E115/사용안내!$C$16,3)))</f>
        <v/>
      </c>
      <c r="G115" s="24" t="str">
        <f aca="false">IF($A115="","",IF($F115&lt;=0,"사용기록없음",ROUND($D115/$F115,0)))</f>
        <v/>
      </c>
      <c r="H115" s="25" t="str">
        <f aca="false">IF(OR($A115="",$F115&lt;=0),"",$B$3+$G115)</f>
        <v/>
      </c>
      <c r="I115" s="21" t="str">
        <f aca="false">IF($A115="","",IF(품목마스터!$F112="",0,품목마스터!$F112))</f>
        <v/>
      </c>
      <c r="J115" s="25" t="str">
        <f aca="false">IF(OR($A115="",$F115&lt;=0),"",$H115-$I115)</f>
        <v/>
      </c>
      <c r="K115" s="22" t="n">
        <f aca="false">IF(OR($A115="",$F115&lt;=0),0,MAX(0,CEILING(MAX(0,($I115+사용안내!$C$17)*$F115-$D115),MAX(1,IF(품목마스터!$H112="",1,품목마스터!$H112)))))</f>
        <v>0</v>
      </c>
      <c r="L115" s="21" t="str">
        <f aca="false">IF($A115="","",IF($F115&lt;=0,"-",IF($J115&lt;=$B$3,"발주",IF($J115&lt;=$B$3+7,"임박","정상"))))</f>
        <v/>
      </c>
    </row>
    <row r="116" customFormat="false" ht="15" hidden="false" customHeight="true" outlineLevel="0" collapsed="false">
      <c r="A116" s="17" t="str">
        <f aca="false">IF(품목마스터!$A113="","",품목마스터!$A113)</f>
        <v/>
      </c>
      <c r="B116" s="17" t="str">
        <f aca="false">IF($A116="","",품목마스터!$B113)</f>
        <v/>
      </c>
      <c r="C116" s="21" t="str">
        <f aca="false">IF($A116="","",품목마스터!$D113)</f>
        <v/>
      </c>
      <c r="D116" s="22" t="str">
        <f aca="false">IF($A116="","",IF(품목마스터!$E113="",0,품목마스터!$E113))</f>
        <v/>
      </c>
      <c r="E116" s="22" t="str">
        <f aca="false">IF($A116="","",SUMIFS(사용내역!$E$3:$E$3002,사용내역!$B$3:$B$3002,$A116,사용내역!$A$3:$A$3002,"&gt;"&amp;($B$3-사용안내!$C$16),사용내역!$A$3:$A$3002,"&lt;="&amp;$B$3))</f>
        <v/>
      </c>
      <c r="F116" s="23" t="str">
        <f aca="false">IF($A116="","",IF(사용안내!$C$16=0,0,ROUND($E116/사용안내!$C$16,3)))</f>
        <v/>
      </c>
      <c r="G116" s="24" t="str">
        <f aca="false">IF($A116="","",IF($F116&lt;=0,"사용기록없음",ROUND($D116/$F116,0)))</f>
        <v/>
      </c>
      <c r="H116" s="25" t="str">
        <f aca="false">IF(OR($A116="",$F116&lt;=0),"",$B$3+$G116)</f>
        <v/>
      </c>
      <c r="I116" s="21" t="str">
        <f aca="false">IF($A116="","",IF(품목마스터!$F113="",0,품목마스터!$F113))</f>
        <v/>
      </c>
      <c r="J116" s="25" t="str">
        <f aca="false">IF(OR($A116="",$F116&lt;=0),"",$H116-$I116)</f>
        <v/>
      </c>
      <c r="K116" s="22" t="n">
        <f aca="false">IF(OR($A116="",$F116&lt;=0),0,MAX(0,CEILING(MAX(0,($I116+사용안내!$C$17)*$F116-$D116),MAX(1,IF(품목마스터!$H113="",1,품목마스터!$H113)))))</f>
        <v>0</v>
      </c>
      <c r="L116" s="21" t="str">
        <f aca="false">IF($A116="","",IF($F116&lt;=0,"-",IF($J116&lt;=$B$3,"발주",IF($J116&lt;=$B$3+7,"임박","정상"))))</f>
        <v/>
      </c>
    </row>
    <row r="117" customFormat="false" ht="15" hidden="false" customHeight="true" outlineLevel="0" collapsed="false">
      <c r="A117" s="17" t="str">
        <f aca="false">IF(품목마스터!$A114="","",품목마스터!$A114)</f>
        <v/>
      </c>
      <c r="B117" s="17" t="str">
        <f aca="false">IF($A117="","",품목마스터!$B114)</f>
        <v/>
      </c>
      <c r="C117" s="21" t="str">
        <f aca="false">IF($A117="","",품목마스터!$D114)</f>
        <v/>
      </c>
      <c r="D117" s="22" t="str">
        <f aca="false">IF($A117="","",IF(품목마스터!$E114="",0,품목마스터!$E114))</f>
        <v/>
      </c>
      <c r="E117" s="22" t="str">
        <f aca="false">IF($A117="","",SUMIFS(사용내역!$E$3:$E$3002,사용내역!$B$3:$B$3002,$A117,사용내역!$A$3:$A$3002,"&gt;"&amp;($B$3-사용안내!$C$16),사용내역!$A$3:$A$3002,"&lt;="&amp;$B$3))</f>
        <v/>
      </c>
      <c r="F117" s="23" t="str">
        <f aca="false">IF($A117="","",IF(사용안내!$C$16=0,0,ROUND($E117/사용안내!$C$16,3)))</f>
        <v/>
      </c>
      <c r="G117" s="24" t="str">
        <f aca="false">IF($A117="","",IF($F117&lt;=0,"사용기록없음",ROUND($D117/$F117,0)))</f>
        <v/>
      </c>
      <c r="H117" s="25" t="str">
        <f aca="false">IF(OR($A117="",$F117&lt;=0),"",$B$3+$G117)</f>
        <v/>
      </c>
      <c r="I117" s="21" t="str">
        <f aca="false">IF($A117="","",IF(품목마스터!$F114="",0,품목마스터!$F114))</f>
        <v/>
      </c>
      <c r="J117" s="25" t="str">
        <f aca="false">IF(OR($A117="",$F117&lt;=0),"",$H117-$I117)</f>
        <v/>
      </c>
      <c r="K117" s="22" t="n">
        <f aca="false">IF(OR($A117="",$F117&lt;=0),0,MAX(0,CEILING(MAX(0,($I117+사용안내!$C$17)*$F117-$D117),MAX(1,IF(품목마스터!$H114="",1,품목마스터!$H114)))))</f>
        <v>0</v>
      </c>
      <c r="L117" s="21" t="str">
        <f aca="false">IF($A117="","",IF($F117&lt;=0,"-",IF($J117&lt;=$B$3,"발주",IF($J117&lt;=$B$3+7,"임박","정상"))))</f>
        <v/>
      </c>
    </row>
    <row r="118" customFormat="false" ht="15" hidden="false" customHeight="true" outlineLevel="0" collapsed="false">
      <c r="A118" s="17" t="str">
        <f aca="false">IF(품목마스터!$A115="","",품목마스터!$A115)</f>
        <v/>
      </c>
      <c r="B118" s="17" t="str">
        <f aca="false">IF($A118="","",품목마스터!$B115)</f>
        <v/>
      </c>
      <c r="C118" s="21" t="str">
        <f aca="false">IF($A118="","",품목마스터!$D115)</f>
        <v/>
      </c>
      <c r="D118" s="22" t="str">
        <f aca="false">IF($A118="","",IF(품목마스터!$E115="",0,품목마스터!$E115))</f>
        <v/>
      </c>
      <c r="E118" s="22" t="str">
        <f aca="false">IF($A118="","",SUMIFS(사용내역!$E$3:$E$3002,사용내역!$B$3:$B$3002,$A118,사용내역!$A$3:$A$3002,"&gt;"&amp;($B$3-사용안내!$C$16),사용내역!$A$3:$A$3002,"&lt;="&amp;$B$3))</f>
        <v/>
      </c>
      <c r="F118" s="23" t="str">
        <f aca="false">IF($A118="","",IF(사용안내!$C$16=0,0,ROUND($E118/사용안내!$C$16,3)))</f>
        <v/>
      </c>
      <c r="G118" s="24" t="str">
        <f aca="false">IF($A118="","",IF($F118&lt;=0,"사용기록없음",ROUND($D118/$F118,0)))</f>
        <v/>
      </c>
      <c r="H118" s="25" t="str">
        <f aca="false">IF(OR($A118="",$F118&lt;=0),"",$B$3+$G118)</f>
        <v/>
      </c>
      <c r="I118" s="21" t="str">
        <f aca="false">IF($A118="","",IF(품목마스터!$F115="",0,품목마스터!$F115))</f>
        <v/>
      </c>
      <c r="J118" s="25" t="str">
        <f aca="false">IF(OR($A118="",$F118&lt;=0),"",$H118-$I118)</f>
        <v/>
      </c>
      <c r="K118" s="22" t="n">
        <f aca="false">IF(OR($A118="",$F118&lt;=0),0,MAX(0,CEILING(MAX(0,($I118+사용안내!$C$17)*$F118-$D118),MAX(1,IF(품목마스터!$H115="",1,품목마스터!$H115)))))</f>
        <v>0</v>
      </c>
      <c r="L118" s="21" t="str">
        <f aca="false">IF($A118="","",IF($F118&lt;=0,"-",IF($J118&lt;=$B$3,"발주",IF($J118&lt;=$B$3+7,"임박","정상"))))</f>
        <v/>
      </c>
    </row>
    <row r="119" customFormat="false" ht="15" hidden="false" customHeight="true" outlineLevel="0" collapsed="false">
      <c r="A119" s="17" t="str">
        <f aca="false">IF(품목마스터!$A116="","",품목마스터!$A116)</f>
        <v/>
      </c>
      <c r="B119" s="17" t="str">
        <f aca="false">IF($A119="","",품목마스터!$B116)</f>
        <v/>
      </c>
      <c r="C119" s="21" t="str">
        <f aca="false">IF($A119="","",품목마스터!$D116)</f>
        <v/>
      </c>
      <c r="D119" s="22" t="str">
        <f aca="false">IF($A119="","",IF(품목마스터!$E116="",0,품목마스터!$E116))</f>
        <v/>
      </c>
      <c r="E119" s="22" t="str">
        <f aca="false">IF($A119="","",SUMIFS(사용내역!$E$3:$E$3002,사용내역!$B$3:$B$3002,$A119,사용내역!$A$3:$A$3002,"&gt;"&amp;($B$3-사용안내!$C$16),사용내역!$A$3:$A$3002,"&lt;="&amp;$B$3))</f>
        <v/>
      </c>
      <c r="F119" s="23" t="str">
        <f aca="false">IF($A119="","",IF(사용안내!$C$16=0,0,ROUND($E119/사용안내!$C$16,3)))</f>
        <v/>
      </c>
      <c r="G119" s="24" t="str">
        <f aca="false">IF($A119="","",IF($F119&lt;=0,"사용기록없음",ROUND($D119/$F119,0)))</f>
        <v/>
      </c>
      <c r="H119" s="25" t="str">
        <f aca="false">IF(OR($A119="",$F119&lt;=0),"",$B$3+$G119)</f>
        <v/>
      </c>
      <c r="I119" s="21" t="str">
        <f aca="false">IF($A119="","",IF(품목마스터!$F116="",0,품목마스터!$F116))</f>
        <v/>
      </c>
      <c r="J119" s="25" t="str">
        <f aca="false">IF(OR($A119="",$F119&lt;=0),"",$H119-$I119)</f>
        <v/>
      </c>
      <c r="K119" s="22" t="n">
        <f aca="false">IF(OR($A119="",$F119&lt;=0),0,MAX(0,CEILING(MAX(0,($I119+사용안내!$C$17)*$F119-$D119),MAX(1,IF(품목마스터!$H116="",1,품목마스터!$H116)))))</f>
        <v>0</v>
      </c>
      <c r="L119" s="21" t="str">
        <f aca="false">IF($A119="","",IF($F119&lt;=0,"-",IF($J119&lt;=$B$3,"발주",IF($J119&lt;=$B$3+7,"임박","정상"))))</f>
        <v/>
      </c>
    </row>
    <row r="120" customFormat="false" ht="15" hidden="false" customHeight="true" outlineLevel="0" collapsed="false">
      <c r="A120" s="17" t="str">
        <f aca="false">IF(품목마스터!$A117="","",품목마스터!$A117)</f>
        <v/>
      </c>
      <c r="B120" s="17" t="str">
        <f aca="false">IF($A120="","",품목마스터!$B117)</f>
        <v/>
      </c>
      <c r="C120" s="21" t="str">
        <f aca="false">IF($A120="","",품목마스터!$D117)</f>
        <v/>
      </c>
      <c r="D120" s="22" t="str">
        <f aca="false">IF($A120="","",IF(품목마스터!$E117="",0,품목마스터!$E117))</f>
        <v/>
      </c>
      <c r="E120" s="22" t="str">
        <f aca="false">IF($A120="","",SUMIFS(사용내역!$E$3:$E$3002,사용내역!$B$3:$B$3002,$A120,사용내역!$A$3:$A$3002,"&gt;"&amp;($B$3-사용안내!$C$16),사용내역!$A$3:$A$3002,"&lt;="&amp;$B$3))</f>
        <v/>
      </c>
      <c r="F120" s="23" t="str">
        <f aca="false">IF($A120="","",IF(사용안내!$C$16=0,0,ROUND($E120/사용안내!$C$16,3)))</f>
        <v/>
      </c>
      <c r="G120" s="24" t="str">
        <f aca="false">IF($A120="","",IF($F120&lt;=0,"사용기록없음",ROUND($D120/$F120,0)))</f>
        <v/>
      </c>
      <c r="H120" s="25" t="str">
        <f aca="false">IF(OR($A120="",$F120&lt;=0),"",$B$3+$G120)</f>
        <v/>
      </c>
      <c r="I120" s="21" t="str">
        <f aca="false">IF($A120="","",IF(품목마스터!$F117="",0,품목마스터!$F117))</f>
        <v/>
      </c>
      <c r="J120" s="25" t="str">
        <f aca="false">IF(OR($A120="",$F120&lt;=0),"",$H120-$I120)</f>
        <v/>
      </c>
      <c r="K120" s="22" t="n">
        <f aca="false">IF(OR($A120="",$F120&lt;=0),0,MAX(0,CEILING(MAX(0,($I120+사용안내!$C$17)*$F120-$D120),MAX(1,IF(품목마스터!$H117="",1,품목마스터!$H117)))))</f>
        <v>0</v>
      </c>
      <c r="L120" s="21" t="str">
        <f aca="false">IF($A120="","",IF($F120&lt;=0,"-",IF($J120&lt;=$B$3,"발주",IF($J120&lt;=$B$3+7,"임박","정상"))))</f>
        <v/>
      </c>
    </row>
    <row r="121" customFormat="false" ht="15" hidden="false" customHeight="true" outlineLevel="0" collapsed="false">
      <c r="A121" s="17" t="str">
        <f aca="false">IF(품목마스터!$A118="","",품목마스터!$A118)</f>
        <v/>
      </c>
      <c r="B121" s="17" t="str">
        <f aca="false">IF($A121="","",품목마스터!$B118)</f>
        <v/>
      </c>
      <c r="C121" s="21" t="str">
        <f aca="false">IF($A121="","",품목마스터!$D118)</f>
        <v/>
      </c>
      <c r="D121" s="22" t="str">
        <f aca="false">IF($A121="","",IF(품목마스터!$E118="",0,품목마스터!$E118))</f>
        <v/>
      </c>
      <c r="E121" s="22" t="str">
        <f aca="false">IF($A121="","",SUMIFS(사용내역!$E$3:$E$3002,사용내역!$B$3:$B$3002,$A121,사용내역!$A$3:$A$3002,"&gt;"&amp;($B$3-사용안내!$C$16),사용내역!$A$3:$A$3002,"&lt;="&amp;$B$3))</f>
        <v/>
      </c>
      <c r="F121" s="23" t="str">
        <f aca="false">IF($A121="","",IF(사용안내!$C$16=0,0,ROUND($E121/사용안내!$C$16,3)))</f>
        <v/>
      </c>
      <c r="G121" s="24" t="str">
        <f aca="false">IF($A121="","",IF($F121&lt;=0,"사용기록없음",ROUND($D121/$F121,0)))</f>
        <v/>
      </c>
      <c r="H121" s="25" t="str">
        <f aca="false">IF(OR($A121="",$F121&lt;=0),"",$B$3+$G121)</f>
        <v/>
      </c>
      <c r="I121" s="21" t="str">
        <f aca="false">IF($A121="","",IF(품목마스터!$F118="",0,품목마스터!$F118))</f>
        <v/>
      </c>
      <c r="J121" s="25" t="str">
        <f aca="false">IF(OR($A121="",$F121&lt;=0),"",$H121-$I121)</f>
        <v/>
      </c>
      <c r="K121" s="22" t="n">
        <f aca="false">IF(OR($A121="",$F121&lt;=0),0,MAX(0,CEILING(MAX(0,($I121+사용안내!$C$17)*$F121-$D121),MAX(1,IF(품목마스터!$H118="",1,품목마스터!$H118)))))</f>
        <v>0</v>
      </c>
      <c r="L121" s="21" t="str">
        <f aca="false">IF($A121="","",IF($F121&lt;=0,"-",IF($J121&lt;=$B$3,"발주",IF($J121&lt;=$B$3+7,"임박","정상"))))</f>
        <v/>
      </c>
    </row>
    <row r="122" customFormat="false" ht="15" hidden="false" customHeight="true" outlineLevel="0" collapsed="false">
      <c r="A122" s="17" t="str">
        <f aca="false">IF(품목마스터!$A119="","",품목마스터!$A119)</f>
        <v/>
      </c>
      <c r="B122" s="17" t="str">
        <f aca="false">IF($A122="","",품목마스터!$B119)</f>
        <v/>
      </c>
      <c r="C122" s="21" t="str">
        <f aca="false">IF($A122="","",품목마스터!$D119)</f>
        <v/>
      </c>
      <c r="D122" s="22" t="str">
        <f aca="false">IF($A122="","",IF(품목마스터!$E119="",0,품목마스터!$E119))</f>
        <v/>
      </c>
      <c r="E122" s="22" t="str">
        <f aca="false">IF($A122="","",SUMIFS(사용내역!$E$3:$E$3002,사용내역!$B$3:$B$3002,$A122,사용내역!$A$3:$A$3002,"&gt;"&amp;($B$3-사용안내!$C$16),사용내역!$A$3:$A$3002,"&lt;="&amp;$B$3))</f>
        <v/>
      </c>
      <c r="F122" s="23" t="str">
        <f aca="false">IF($A122="","",IF(사용안내!$C$16=0,0,ROUND($E122/사용안내!$C$16,3)))</f>
        <v/>
      </c>
      <c r="G122" s="24" t="str">
        <f aca="false">IF($A122="","",IF($F122&lt;=0,"사용기록없음",ROUND($D122/$F122,0)))</f>
        <v/>
      </c>
      <c r="H122" s="25" t="str">
        <f aca="false">IF(OR($A122="",$F122&lt;=0),"",$B$3+$G122)</f>
        <v/>
      </c>
      <c r="I122" s="21" t="str">
        <f aca="false">IF($A122="","",IF(품목마스터!$F119="",0,품목마스터!$F119))</f>
        <v/>
      </c>
      <c r="J122" s="25" t="str">
        <f aca="false">IF(OR($A122="",$F122&lt;=0),"",$H122-$I122)</f>
        <v/>
      </c>
      <c r="K122" s="22" t="n">
        <f aca="false">IF(OR($A122="",$F122&lt;=0),0,MAX(0,CEILING(MAX(0,($I122+사용안내!$C$17)*$F122-$D122),MAX(1,IF(품목마스터!$H119="",1,품목마스터!$H119)))))</f>
        <v>0</v>
      </c>
      <c r="L122" s="21" t="str">
        <f aca="false">IF($A122="","",IF($F122&lt;=0,"-",IF($J122&lt;=$B$3,"발주",IF($J122&lt;=$B$3+7,"임박","정상"))))</f>
        <v/>
      </c>
    </row>
    <row r="123" customFormat="false" ht="15" hidden="false" customHeight="true" outlineLevel="0" collapsed="false">
      <c r="A123" s="17" t="str">
        <f aca="false">IF(품목마스터!$A120="","",품목마스터!$A120)</f>
        <v/>
      </c>
      <c r="B123" s="17" t="str">
        <f aca="false">IF($A123="","",품목마스터!$B120)</f>
        <v/>
      </c>
      <c r="C123" s="21" t="str">
        <f aca="false">IF($A123="","",품목마스터!$D120)</f>
        <v/>
      </c>
      <c r="D123" s="22" t="str">
        <f aca="false">IF($A123="","",IF(품목마스터!$E120="",0,품목마스터!$E120))</f>
        <v/>
      </c>
      <c r="E123" s="22" t="str">
        <f aca="false">IF($A123="","",SUMIFS(사용내역!$E$3:$E$3002,사용내역!$B$3:$B$3002,$A123,사용내역!$A$3:$A$3002,"&gt;"&amp;($B$3-사용안내!$C$16),사용내역!$A$3:$A$3002,"&lt;="&amp;$B$3))</f>
        <v/>
      </c>
      <c r="F123" s="23" t="str">
        <f aca="false">IF($A123="","",IF(사용안내!$C$16=0,0,ROUND($E123/사용안내!$C$16,3)))</f>
        <v/>
      </c>
      <c r="G123" s="24" t="str">
        <f aca="false">IF($A123="","",IF($F123&lt;=0,"사용기록없음",ROUND($D123/$F123,0)))</f>
        <v/>
      </c>
      <c r="H123" s="25" t="str">
        <f aca="false">IF(OR($A123="",$F123&lt;=0),"",$B$3+$G123)</f>
        <v/>
      </c>
      <c r="I123" s="21" t="str">
        <f aca="false">IF($A123="","",IF(품목마스터!$F120="",0,품목마스터!$F120))</f>
        <v/>
      </c>
      <c r="J123" s="25" t="str">
        <f aca="false">IF(OR($A123="",$F123&lt;=0),"",$H123-$I123)</f>
        <v/>
      </c>
      <c r="K123" s="22" t="n">
        <f aca="false">IF(OR($A123="",$F123&lt;=0),0,MAX(0,CEILING(MAX(0,($I123+사용안내!$C$17)*$F123-$D123),MAX(1,IF(품목마스터!$H120="",1,품목마스터!$H120)))))</f>
        <v>0</v>
      </c>
      <c r="L123" s="21" t="str">
        <f aca="false">IF($A123="","",IF($F123&lt;=0,"-",IF($J123&lt;=$B$3,"발주",IF($J123&lt;=$B$3+7,"임박","정상"))))</f>
        <v/>
      </c>
    </row>
    <row r="124" customFormat="false" ht="15" hidden="false" customHeight="true" outlineLevel="0" collapsed="false">
      <c r="A124" s="17" t="str">
        <f aca="false">IF(품목마스터!$A121="","",품목마스터!$A121)</f>
        <v/>
      </c>
      <c r="B124" s="17" t="str">
        <f aca="false">IF($A124="","",품목마스터!$B121)</f>
        <v/>
      </c>
      <c r="C124" s="21" t="str">
        <f aca="false">IF($A124="","",품목마스터!$D121)</f>
        <v/>
      </c>
      <c r="D124" s="22" t="str">
        <f aca="false">IF($A124="","",IF(품목마스터!$E121="",0,품목마스터!$E121))</f>
        <v/>
      </c>
      <c r="E124" s="22" t="str">
        <f aca="false">IF($A124="","",SUMIFS(사용내역!$E$3:$E$3002,사용내역!$B$3:$B$3002,$A124,사용내역!$A$3:$A$3002,"&gt;"&amp;($B$3-사용안내!$C$16),사용내역!$A$3:$A$3002,"&lt;="&amp;$B$3))</f>
        <v/>
      </c>
      <c r="F124" s="23" t="str">
        <f aca="false">IF($A124="","",IF(사용안내!$C$16=0,0,ROUND($E124/사용안내!$C$16,3)))</f>
        <v/>
      </c>
      <c r="G124" s="24" t="str">
        <f aca="false">IF($A124="","",IF($F124&lt;=0,"사용기록없음",ROUND($D124/$F124,0)))</f>
        <v/>
      </c>
      <c r="H124" s="25" t="str">
        <f aca="false">IF(OR($A124="",$F124&lt;=0),"",$B$3+$G124)</f>
        <v/>
      </c>
      <c r="I124" s="21" t="str">
        <f aca="false">IF($A124="","",IF(품목마스터!$F121="",0,품목마스터!$F121))</f>
        <v/>
      </c>
      <c r="J124" s="25" t="str">
        <f aca="false">IF(OR($A124="",$F124&lt;=0),"",$H124-$I124)</f>
        <v/>
      </c>
      <c r="K124" s="22" t="n">
        <f aca="false">IF(OR($A124="",$F124&lt;=0),0,MAX(0,CEILING(MAX(0,($I124+사용안내!$C$17)*$F124-$D124),MAX(1,IF(품목마스터!$H121="",1,품목마스터!$H121)))))</f>
        <v>0</v>
      </c>
      <c r="L124" s="21" t="str">
        <f aca="false">IF($A124="","",IF($F124&lt;=0,"-",IF($J124&lt;=$B$3,"발주",IF($J124&lt;=$B$3+7,"임박","정상"))))</f>
        <v/>
      </c>
    </row>
    <row r="125" customFormat="false" ht="15" hidden="false" customHeight="true" outlineLevel="0" collapsed="false">
      <c r="A125" s="17" t="str">
        <f aca="false">IF(품목마스터!$A122="","",품목마스터!$A122)</f>
        <v/>
      </c>
      <c r="B125" s="17" t="str">
        <f aca="false">IF($A125="","",품목마스터!$B122)</f>
        <v/>
      </c>
      <c r="C125" s="21" t="str">
        <f aca="false">IF($A125="","",품목마스터!$D122)</f>
        <v/>
      </c>
      <c r="D125" s="22" t="str">
        <f aca="false">IF($A125="","",IF(품목마스터!$E122="",0,품목마스터!$E122))</f>
        <v/>
      </c>
      <c r="E125" s="22" t="str">
        <f aca="false">IF($A125="","",SUMIFS(사용내역!$E$3:$E$3002,사용내역!$B$3:$B$3002,$A125,사용내역!$A$3:$A$3002,"&gt;"&amp;($B$3-사용안내!$C$16),사용내역!$A$3:$A$3002,"&lt;="&amp;$B$3))</f>
        <v/>
      </c>
      <c r="F125" s="23" t="str">
        <f aca="false">IF($A125="","",IF(사용안내!$C$16=0,0,ROUND($E125/사용안내!$C$16,3)))</f>
        <v/>
      </c>
      <c r="G125" s="24" t="str">
        <f aca="false">IF($A125="","",IF($F125&lt;=0,"사용기록없음",ROUND($D125/$F125,0)))</f>
        <v/>
      </c>
      <c r="H125" s="25" t="str">
        <f aca="false">IF(OR($A125="",$F125&lt;=0),"",$B$3+$G125)</f>
        <v/>
      </c>
      <c r="I125" s="21" t="str">
        <f aca="false">IF($A125="","",IF(품목마스터!$F122="",0,품목마스터!$F122))</f>
        <v/>
      </c>
      <c r="J125" s="25" t="str">
        <f aca="false">IF(OR($A125="",$F125&lt;=0),"",$H125-$I125)</f>
        <v/>
      </c>
      <c r="K125" s="22" t="n">
        <f aca="false">IF(OR($A125="",$F125&lt;=0),0,MAX(0,CEILING(MAX(0,($I125+사용안내!$C$17)*$F125-$D125),MAX(1,IF(품목마스터!$H122="",1,품목마스터!$H122)))))</f>
        <v>0</v>
      </c>
      <c r="L125" s="21" t="str">
        <f aca="false">IF($A125="","",IF($F125&lt;=0,"-",IF($J125&lt;=$B$3,"발주",IF($J125&lt;=$B$3+7,"임박","정상"))))</f>
        <v/>
      </c>
    </row>
    <row r="126" customFormat="false" ht="15" hidden="false" customHeight="true" outlineLevel="0" collapsed="false">
      <c r="A126" s="17" t="str">
        <f aca="false">IF(품목마스터!$A123="","",품목마스터!$A123)</f>
        <v/>
      </c>
      <c r="B126" s="17" t="str">
        <f aca="false">IF($A126="","",품목마스터!$B123)</f>
        <v/>
      </c>
      <c r="C126" s="21" t="str">
        <f aca="false">IF($A126="","",품목마스터!$D123)</f>
        <v/>
      </c>
      <c r="D126" s="22" t="str">
        <f aca="false">IF($A126="","",IF(품목마스터!$E123="",0,품목마스터!$E123))</f>
        <v/>
      </c>
      <c r="E126" s="22" t="str">
        <f aca="false">IF($A126="","",SUMIFS(사용내역!$E$3:$E$3002,사용내역!$B$3:$B$3002,$A126,사용내역!$A$3:$A$3002,"&gt;"&amp;($B$3-사용안내!$C$16),사용내역!$A$3:$A$3002,"&lt;="&amp;$B$3))</f>
        <v/>
      </c>
      <c r="F126" s="23" t="str">
        <f aca="false">IF($A126="","",IF(사용안내!$C$16=0,0,ROUND($E126/사용안내!$C$16,3)))</f>
        <v/>
      </c>
      <c r="G126" s="24" t="str">
        <f aca="false">IF($A126="","",IF($F126&lt;=0,"사용기록없음",ROUND($D126/$F126,0)))</f>
        <v/>
      </c>
      <c r="H126" s="25" t="str">
        <f aca="false">IF(OR($A126="",$F126&lt;=0),"",$B$3+$G126)</f>
        <v/>
      </c>
      <c r="I126" s="21" t="str">
        <f aca="false">IF($A126="","",IF(품목마스터!$F123="",0,품목마스터!$F123))</f>
        <v/>
      </c>
      <c r="J126" s="25" t="str">
        <f aca="false">IF(OR($A126="",$F126&lt;=0),"",$H126-$I126)</f>
        <v/>
      </c>
      <c r="K126" s="22" t="n">
        <f aca="false">IF(OR($A126="",$F126&lt;=0),0,MAX(0,CEILING(MAX(0,($I126+사용안내!$C$17)*$F126-$D126),MAX(1,IF(품목마스터!$H123="",1,품목마스터!$H123)))))</f>
        <v>0</v>
      </c>
      <c r="L126" s="21" t="str">
        <f aca="false">IF($A126="","",IF($F126&lt;=0,"-",IF($J126&lt;=$B$3,"발주",IF($J126&lt;=$B$3+7,"임박","정상"))))</f>
        <v/>
      </c>
    </row>
    <row r="127" customFormat="false" ht="15" hidden="false" customHeight="true" outlineLevel="0" collapsed="false">
      <c r="A127" s="17" t="str">
        <f aca="false">IF(품목마스터!$A124="","",품목마스터!$A124)</f>
        <v/>
      </c>
      <c r="B127" s="17" t="str">
        <f aca="false">IF($A127="","",품목마스터!$B124)</f>
        <v/>
      </c>
      <c r="C127" s="21" t="str">
        <f aca="false">IF($A127="","",품목마스터!$D124)</f>
        <v/>
      </c>
      <c r="D127" s="22" t="str">
        <f aca="false">IF($A127="","",IF(품목마스터!$E124="",0,품목마스터!$E124))</f>
        <v/>
      </c>
      <c r="E127" s="22" t="str">
        <f aca="false">IF($A127="","",SUMIFS(사용내역!$E$3:$E$3002,사용내역!$B$3:$B$3002,$A127,사용내역!$A$3:$A$3002,"&gt;"&amp;($B$3-사용안내!$C$16),사용내역!$A$3:$A$3002,"&lt;="&amp;$B$3))</f>
        <v/>
      </c>
      <c r="F127" s="23" t="str">
        <f aca="false">IF($A127="","",IF(사용안내!$C$16=0,0,ROUND($E127/사용안내!$C$16,3)))</f>
        <v/>
      </c>
      <c r="G127" s="24" t="str">
        <f aca="false">IF($A127="","",IF($F127&lt;=0,"사용기록없음",ROUND($D127/$F127,0)))</f>
        <v/>
      </c>
      <c r="H127" s="25" t="str">
        <f aca="false">IF(OR($A127="",$F127&lt;=0),"",$B$3+$G127)</f>
        <v/>
      </c>
      <c r="I127" s="21" t="str">
        <f aca="false">IF($A127="","",IF(품목마스터!$F124="",0,품목마스터!$F124))</f>
        <v/>
      </c>
      <c r="J127" s="25" t="str">
        <f aca="false">IF(OR($A127="",$F127&lt;=0),"",$H127-$I127)</f>
        <v/>
      </c>
      <c r="K127" s="22" t="n">
        <f aca="false">IF(OR($A127="",$F127&lt;=0),0,MAX(0,CEILING(MAX(0,($I127+사용안내!$C$17)*$F127-$D127),MAX(1,IF(품목마스터!$H124="",1,품목마스터!$H124)))))</f>
        <v>0</v>
      </c>
      <c r="L127" s="21" t="str">
        <f aca="false">IF($A127="","",IF($F127&lt;=0,"-",IF($J127&lt;=$B$3,"발주",IF($J127&lt;=$B$3+7,"임박","정상"))))</f>
        <v/>
      </c>
    </row>
    <row r="128" customFormat="false" ht="15" hidden="false" customHeight="true" outlineLevel="0" collapsed="false">
      <c r="A128" s="17" t="str">
        <f aca="false">IF(품목마스터!$A125="","",품목마스터!$A125)</f>
        <v/>
      </c>
      <c r="B128" s="17" t="str">
        <f aca="false">IF($A128="","",품목마스터!$B125)</f>
        <v/>
      </c>
      <c r="C128" s="21" t="str">
        <f aca="false">IF($A128="","",품목마스터!$D125)</f>
        <v/>
      </c>
      <c r="D128" s="22" t="str">
        <f aca="false">IF($A128="","",IF(품목마스터!$E125="",0,품목마스터!$E125))</f>
        <v/>
      </c>
      <c r="E128" s="22" t="str">
        <f aca="false">IF($A128="","",SUMIFS(사용내역!$E$3:$E$3002,사용내역!$B$3:$B$3002,$A128,사용내역!$A$3:$A$3002,"&gt;"&amp;($B$3-사용안내!$C$16),사용내역!$A$3:$A$3002,"&lt;="&amp;$B$3))</f>
        <v/>
      </c>
      <c r="F128" s="23" t="str">
        <f aca="false">IF($A128="","",IF(사용안내!$C$16=0,0,ROUND($E128/사용안내!$C$16,3)))</f>
        <v/>
      </c>
      <c r="G128" s="24" t="str">
        <f aca="false">IF($A128="","",IF($F128&lt;=0,"사용기록없음",ROUND($D128/$F128,0)))</f>
        <v/>
      </c>
      <c r="H128" s="25" t="str">
        <f aca="false">IF(OR($A128="",$F128&lt;=0),"",$B$3+$G128)</f>
        <v/>
      </c>
      <c r="I128" s="21" t="str">
        <f aca="false">IF($A128="","",IF(품목마스터!$F125="",0,품목마스터!$F125))</f>
        <v/>
      </c>
      <c r="J128" s="25" t="str">
        <f aca="false">IF(OR($A128="",$F128&lt;=0),"",$H128-$I128)</f>
        <v/>
      </c>
      <c r="K128" s="22" t="n">
        <f aca="false">IF(OR($A128="",$F128&lt;=0),0,MAX(0,CEILING(MAX(0,($I128+사용안내!$C$17)*$F128-$D128),MAX(1,IF(품목마스터!$H125="",1,품목마스터!$H125)))))</f>
        <v>0</v>
      </c>
      <c r="L128" s="21" t="str">
        <f aca="false">IF($A128="","",IF($F128&lt;=0,"-",IF($J128&lt;=$B$3,"발주",IF($J128&lt;=$B$3+7,"임박","정상"))))</f>
        <v/>
      </c>
    </row>
    <row r="129" customFormat="false" ht="15" hidden="false" customHeight="true" outlineLevel="0" collapsed="false">
      <c r="A129" s="17" t="str">
        <f aca="false">IF(품목마스터!$A126="","",품목마스터!$A126)</f>
        <v/>
      </c>
      <c r="B129" s="17" t="str">
        <f aca="false">IF($A129="","",품목마스터!$B126)</f>
        <v/>
      </c>
      <c r="C129" s="21" t="str">
        <f aca="false">IF($A129="","",품목마스터!$D126)</f>
        <v/>
      </c>
      <c r="D129" s="22" t="str">
        <f aca="false">IF($A129="","",IF(품목마스터!$E126="",0,품목마스터!$E126))</f>
        <v/>
      </c>
      <c r="E129" s="22" t="str">
        <f aca="false">IF($A129="","",SUMIFS(사용내역!$E$3:$E$3002,사용내역!$B$3:$B$3002,$A129,사용내역!$A$3:$A$3002,"&gt;"&amp;($B$3-사용안내!$C$16),사용내역!$A$3:$A$3002,"&lt;="&amp;$B$3))</f>
        <v/>
      </c>
      <c r="F129" s="23" t="str">
        <f aca="false">IF($A129="","",IF(사용안내!$C$16=0,0,ROUND($E129/사용안내!$C$16,3)))</f>
        <v/>
      </c>
      <c r="G129" s="24" t="str">
        <f aca="false">IF($A129="","",IF($F129&lt;=0,"사용기록없음",ROUND($D129/$F129,0)))</f>
        <v/>
      </c>
      <c r="H129" s="25" t="str">
        <f aca="false">IF(OR($A129="",$F129&lt;=0),"",$B$3+$G129)</f>
        <v/>
      </c>
      <c r="I129" s="21" t="str">
        <f aca="false">IF($A129="","",IF(품목마스터!$F126="",0,품목마스터!$F126))</f>
        <v/>
      </c>
      <c r="J129" s="25" t="str">
        <f aca="false">IF(OR($A129="",$F129&lt;=0),"",$H129-$I129)</f>
        <v/>
      </c>
      <c r="K129" s="22" t="n">
        <f aca="false">IF(OR($A129="",$F129&lt;=0),0,MAX(0,CEILING(MAX(0,($I129+사용안내!$C$17)*$F129-$D129),MAX(1,IF(품목마스터!$H126="",1,품목마스터!$H126)))))</f>
        <v>0</v>
      </c>
      <c r="L129" s="21" t="str">
        <f aca="false">IF($A129="","",IF($F129&lt;=0,"-",IF($J129&lt;=$B$3,"발주",IF($J129&lt;=$B$3+7,"임박","정상"))))</f>
        <v/>
      </c>
    </row>
    <row r="130" customFormat="false" ht="15" hidden="false" customHeight="true" outlineLevel="0" collapsed="false">
      <c r="A130" s="17" t="str">
        <f aca="false">IF(품목마스터!$A127="","",품목마스터!$A127)</f>
        <v/>
      </c>
      <c r="B130" s="17" t="str">
        <f aca="false">IF($A130="","",품목마스터!$B127)</f>
        <v/>
      </c>
      <c r="C130" s="21" t="str">
        <f aca="false">IF($A130="","",품목마스터!$D127)</f>
        <v/>
      </c>
      <c r="D130" s="22" t="str">
        <f aca="false">IF($A130="","",IF(품목마스터!$E127="",0,품목마스터!$E127))</f>
        <v/>
      </c>
      <c r="E130" s="22" t="str">
        <f aca="false">IF($A130="","",SUMIFS(사용내역!$E$3:$E$3002,사용내역!$B$3:$B$3002,$A130,사용내역!$A$3:$A$3002,"&gt;"&amp;($B$3-사용안내!$C$16),사용내역!$A$3:$A$3002,"&lt;="&amp;$B$3))</f>
        <v/>
      </c>
      <c r="F130" s="23" t="str">
        <f aca="false">IF($A130="","",IF(사용안내!$C$16=0,0,ROUND($E130/사용안내!$C$16,3)))</f>
        <v/>
      </c>
      <c r="G130" s="24" t="str">
        <f aca="false">IF($A130="","",IF($F130&lt;=0,"사용기록없음",ROUND($D130/$F130,0)))</f>
        <v/>
      </c>
      <c r="H130" s="25" t="str">
        <f aca="false">IF(OR($A130="",$F130&lt;=0),"",$B$3+$G130)</f>
        <v/>
      </c>
      <c r="I130" s="21" t="str">
        <f aca="false">IF($A130="","",IF(품목마스터!$F127="",0,품목마스터!$F127))</f>
        <v/>
      </c>
      <c r="J130" s="25" t="str">
        <f aca="false">IF(OR($A130="",$F130&lt;=0),"",$H130-$I130)</f>
        <v/>
      </c>
      <c r="K130" s="22" t="n">
        <f aca="false">IF(OR($A130="",$F130&lt;=0),0,MAX(0,CEILING(MAX(0,($I130+사용안내!$C$17)*$F130-$D130),MAX(1,IF(품목마스터!$H127="",1,품목마스터!$H127)))))</f>
        <v>0</v>
      </c>
      <c r="L130" s="21" t="str">
        <f aca="false">IF($A130="","",IF($F130&lt;=0,"-",IF($J130&lt;=$B$3,"발주",IF($J130&lt;=$B$3+7,"임박","정상"))))</f>
        <v/>
      </c>
    </row>
    <row r="131" customFormat="false" ht="15" hidden="false" customHeight="true" outlineLevel="0" collapsed="false">
      <c r="A131" s="17" t="str">
        <f aca="false">IF(품목마스터!$A128="","",품목마스터!$A128)</f>
        <v/>
      </c>
      <c r="B131" s="17" t="str">
        <f aca="false">IF($A131="","",품목마스터!$B128)</f>
        <v/>
      </c>
      <c r="C131" s="21" t="str">
        <f aca="false">IF($A131="","",품목마스터!$D128)</f>
        <v/>
      </c>
      <c r="D131" s="22" t="str">
        <f aca="false">IF($A131="","",IF(품목마스터!$E128="",0,품목마스터!$E128))</f>
        <v/>
      </c>
      <c r="E131" s="22" t="str">
        <f aca="false">IF($A131="","",SUMIFS(사용내역!$E$3:$E$3002,사용내역!$B$3:$B$3002,$A131,사용내역!$A$3:$A$3002,"&gt;"&amp;($B$3-사용안내!$C$16),사용내역!$A$3:$A$3002,"&lt;="&amp;$B$3))</f>
        <v/>
      </c>
      <c r="F131" s="23" t="str">
        <f aca="false">IF($A131="","",IF(사용안내!$C$16=0,0,ROUND($E131/사용안내!$C$16,3)))</f>
        <v/>
      </c>
      <c r="G131" s="24" t="str">
        <f aca="false">IF($A131="","",IF($F131&lt;=0,"사용기록없음",ROUND($D131/$F131,0)))</f>
        <v/>
      </c>
      <c r="H131" s="25" t="str">
        <f aca="false">IF(OR($A131="",$F131&lt;=0),"",$B$3+$G131)</f>
        <v/>
      </c>
      <c r="I131" s="21" t="str">
        <f aca="false">IF($A131="","",IF(품목마스터!$F128="",0,품목마스터!$F128))</f>
        <v/>
      </c>
      <c r="J131" s="25" t="str">
        <f aca="false">IF(OR($A131="",$F131&lt;=0),"",$H131-$I131)</f>
        <v/>
      </c>
      <c r="K131" s="22" t="n">
        <f aca="false">IF(OR($A131="",$F131&lt;=0),0,MAX(0,CEILING(MAX(0,($I131+사용안내!$C$17)*$F131-$D131),MAX(1,IF(품목마스터!$H128="",1,품목마스터!$H128)))))</f>
        <v>0</v>
      </c>
      <c r="L131" s="21" t="str">
        <f aca="false">IF($A131="","",IF($F131&lt;=0,"-",IF($J131&lt;=$B$3,"발주",IF($J131&lt;=$B$3+7,"임박","정상"))))</f>
        <v/>
      </c>
    </row>
    <row r="132" customFormat="false" ht="15" hidden="false" customHeight="true" outlineLevel="0" collapsed="false">
      <c r="A132" s="17" t="str">
        <f aca="false">IF(품목마스터!$A129="","",품목마스터!$A129)</f>
        <v/>
      </c>
      <c r="B132" s="17" t="str">
        <f aca="false">IF($A132="","",품목마스터!$B129)</f>
        <v/>
      </c>
      <c r="C132" s="21" t="str">
        <f aca="false">IF($A132="","",품목마스터!$D129)</f>
        <v/>
      </c>
      <c r="D132" s="22" t="str">
        <f aca="false">IF($A132="","",IF(품목마스터!$E129="",0,품목마스터!$E129))</f>
        <v/>
      </c>
      <c r="E132" s="22" t="str">
        <f aca="false">IF($A132="","",SUMIFS(사용내역!$E$3:$E$3002,사용내역!$B$3:$B$3002,$A132,사용내역!$A$3:$A$3002,"&gt;"&amp;($B$3-사용안내!$C$16),사용내역!$A$3:$A$3002,"&lt;="&amp;$B$3))</f>
        <v/>
      </c>
      <c r="F132" s="23" t="str">
        <f aca="false">IF($A132="","",IF(사용안내!$C$16=0,0,ROUND($E132/사용안내!$C$16,3)))</f>
        <v/>
      </c>
      <c r="G132" s="24" t="str">
        <f aca="false">IF($A132="","",IF($F132&lt;=0,"사용기록없음",ROUND($D132/$F132,0)))</f>
        <v/>
      </c>
      <c r="H132" s="25" t="str">
        <f aca="false">IF(OR($A132="",$F132&lt;=0),"",$B$3+$G132)</f>
        <v/>
      </c>
      <c r="I132" s="21" t="str">
        <f aca="false">IF($A132="","",IF(품목마스터!$F129="",0,품목마스터!$F129))</f>
        <v/>
      </c>
      <c r="J132" s="25" t="str">
        <f aca="false">IF(OR($A132="",$F132&lt;=0),"",$H132-$I132)</f>
        <v/>
      </c>
      <c r="K132" s="22" t="n">
        <f aca="false">IF(OR($A132="",$F132&lt;=0),0,MAX(0,CEILING(MAX(0,($I132+사용안내!$C$17)*$F132-$D132),MAX(1,IF(품목마스터!$H129="",1,품목마스터!$H129)))))</f>
        <v>0</v>
      </c>
      <c r="L132" s="21" t="str">
        <f aca="false">IF($A132="","",IF($F132&lt;=0,"-",IF($J132&lt;=$B$3,"발주",IF($J132&lt;=$B$3+7,"임박","정상"))))</f>
        <v/>
      </c>
    </row>
    <row r="133" customFormat="false" ht="15" hidden="false" customHeight="true" outlineLevel="0" collapsed="false">
      <c r="A133" s="17" t="str">
        <f aca="false">IF(품목마스터!$A130="","",품목마스터!$A130)</f>
        <v/>
      </c>
      <c r="B133" s="17" t="str">
        <f aca="false">IF($A133="","",품목마스터!$B130)</f>
        <v/>
      </c>
      <c r="C133" s="21" t="str">
        <f aca="false">IF($A133="","",품목마스터!$D130)</f>
        <v/>
      </c>
      <c r="D133" s="22" t="str">
        <f aca="false">IF($A133="","",IF(품목마스터!$E130="",0,품목마스터!$E130))</f>
        <v/>
      </c>
      <c r="E133" s="22" t="str">
        <f aca="false">IF($A133="","",SUMIFS(사용내역!$E$3:$E$3002,사용내역!$B$3:$B$3002,$A133,사용내역!$A$3:$A$3002,"&gt;"&amp;($B$3-사용안내!$C$16),사용내역!$A$3:$A$3002,"&lt;="&amp;$B$3))</f>
        <v/>
      </c>
      <c r="F133" s="23" t="str">
        <f aca="false">IF($A133="","",IF(사용안내!$C$16=0,0,ROUND($E133/사용안내!$C$16,3)))</f>
        <v/>
      </c>
      <c r="G133" s="24" t="str">
        <f aca="false">IF($A133="","",IF($F133&lt;=0,"사용기록없음",ROUND($D133/$F133,0)))</f>
        <v/>
      </c>
      <c r="H133" s="25" t="str">
        <f aca="false">IF(OR($A133="",$F133&lt;=0),"",$B$3+$G133)</f>
        <v/>
      </c>
      <c r="I133" s="21" t="str">
        <f aca="false">IF($A133="","",IF(품목마스터!$F130="",0,품목마스터!$F130))</f>
        <v/>
      </c>
      <c r="J133" s="25" t="str">
        <f aca="false">IF(OR($A133="",$F133&lt;=0),"",$H133-$I133)</f>
        <v/>
      </c>
      <c r="K133" s="22" t="n">
        <f aca="false">IF(OR($A133="",$F133&lt;=0),0,MAX(0,CEILING(MAX(0,($I133+사용안내!$C$17)*$F133-$D133),MAX(1,IF(품목마스터!$H130="",1,품목마스터!$H130)))))</f>
        <v>0</v>
      </c>
      <c r="L133" s="21" t="str">
        <f aca="false">IF($A133="","",IF($F133&lt;=0,"-",IF($J133&lt;=$B$3,"발주",IF($J133&lt;=$B$3+7,"임박","정상"))))</f>
        <v/>
      </c>
    </row>
    <row r="134" customFormat="false" ht="15" hidden="false" customHeight="true" outlineLevel="0" collapsed="false">
      <c r="A134" s="17" t="str">
        <f aca="false">IF(품목마스터!$A131="","",품목마스터!$A131)</f>
        <v/>
      </c>
      <c r="B134" s="17" t="str">
        <f aca="false">IF($A134="","",품목마스터!$B131)</f>
        <v/>
      </c>
      <c r="C134" s="21" t="str">
        <f aca="false">IF($A134="","",품목마스터!$D131)</f>
        <v/>
      </c>
      <c r="D134" s="22" t="str">
        <f aca="false">IF($A134="","",IF(품목마스터!$E131="",0,품목마스터!$E131))</f>
        <v/>
      </c>
      <c r="E134" s="22" t="str">
        <f aca="false">IF($A134="","",SUMIFS(사용내역!$E$3:$E$3002,사용내역!$B$3:$B$3002,$A134,사용내역!$A$3:$A$3002,"&gt;"&amp;($B$3-사용안내!$C$16),사용내역!$A$3:$A$3002,"&lt;="&amp;$B$3))</f>
        <v/>
      </c>
      <c r="F134" s="23" t="str">
        <f aca="false">IF($A134="","",IF(사용안내!$C$16=0,0,ROUND($E134/사용안내!$C$16,3)))</f>
        <v/>
      </c>
      <c r="G134" s="24" t="str">
        <f aca="false">IF($A134="","",IF($F134&lt;=0,"사용기록없음",ROUND($D134/$F134,0)))</f>
        <v/>
      </c>
      <c r="H134" s="25" t="str">
        <f aca="false">IF(OR($A134="",$F134&lt;=0),"",$B$3+$G134)</f>
        <v/>
      </c>
      <c r="I134" s="21" t="str">
        <f aca="false">IF($A134="","",IF(품목마스터!$F131="",0,품목마스터!$F131))</f>
        <v/>
      </c>
      <c r="J134" s="25" t="str">
        <f aca="false">IF(OR($A134="",$F134&lt;=0),"",$H134-$I134)</f>
        <v/>
      </c>
      <c r="K134" s="22" t="n">
        <f aca="false">IF(OR($A134="",$F134&lt;=0),0,MAX(0,CEILING(MAX(0,($I134+사용안내!$C$17)*$F134-$D134),MAX(1,IF(품목마스터!$H131="",1,품목마스터!$H131)))))</f>
        <v>0</v>
      </c>
      <c r="L134" s="21" t="str">
        <f aca="false">IF($A134="","",IF($F134&lt;=0,"-",IF($J134&lt;=$B$3,"발주",IF($J134&lt;=$B$3+7,"임박","정상"))))</f>
        <v/>
      </c>
    </row>
    <row r="135" customFormat="false" ht="15" hidden="false" customHeight="true" outlineLevel="0" collapsed="false">
      <c r="A135" s="17" t="str">
        <f aca="false">IF(품목마스터!$A132="","",품목마스터!$A132)</f>
        <v/>
      </c>
      <c r="B135" s="17" t="str">
        <f aca="false">IF($A135="","",품목마스터!$B132)</f>
        <v/>
      </c>
      <c r="C135" s="21" t="str">
        <f aca="false">IF($A135="","",품목마스터!$D132)</f>
        <v/>
      </c>
      <c r="D135" s="22" t="str">
        <f aca="false">IF($A135="","",IF(품목마스터!$E132="",0,품목마스터!$E132))</f>
        <v/>
      </c>
      <c r="E135" s="22" t="str">
        <f aca="false">IF($A135="","",SUMIFS(사용내역!$E$3:$E$3002,사용내역!$B$3:$B$3002,$A135,사용내역!$A$3:$A$3002,"&gt;"&amp;($B$3-사용안내!$C$16),사용내역!$A$3:$A$3002,"&lt;="&amp;$B$3))</f>
        <v/>
      </c>
      <c r="F135" s="23" t="str">
        <f aca="false">IF($A135="","",IF(사용안내!$C$16=0,0,ROUND($E135/사용안내!$C$16,3)))</f>
        <v/>
      </c>
      <c r="G135" s="24" t="str">
        <f aca="false">IF($A135="","",IF($F135&lt;=0,"사용기록없음",ROUND($D135/$F135,0)))</f>
        <v/>
      </c>
      <c r="H135" s="25" t="str">
        <f aca="false">IF(OR($A135="",$F135&lt;=0),"",$B$3+$G135)</f>
        <v/>
      </c>
      <c r="I135" s="21" t="str">
        <f aca="false">IF($A135="","",IF(품목마스터!$F132="",0,품목마스터!$F132))</f>
        <v/>
      </c>
      <c r="J135" s="25" t="str">
        <f aca="false">IF(OR($A135="",$F135&lt;=0),"",$H135-$I135)</f>
        <v/>
      </c>
      <c r="K135" s="22" t="n">
        <f aca="false">IF(OR($A135="",$F135&lt;=0),0,MAX(0,CEILING(MAX(0,($I135+사용안내!$C$17)*$F135-$D135),MAX(1,IF(품목마스터!$H132="",1,품목마스터!$H132)))))</f>
        <v>0</v>
      </c>
      <c r="L135" s="21" t="str">
        <f aca="false">IF($A135="","",IF($F135&lt;=0,"-",IF($J135&lt;=$B$3,"발주",IF($J135&lt;=$B$3+7,"임박","정상"))))</f>
        <v/>
      </c>
    </row>
    <row r="136" customFormat="false" ht="15" hidden="false" customHeight="true" outlineLevel="0" collapsed="false">
      <c r="A136" s="17" t="str">
        <f aca="false">IF(품목마스터!$A133="","",품목마스터!$A133)</f>
        <v/>
      </c>
      <c r="B136" s="17" t="str">
        <f aca="false">IF($A136="","",품목마스터!$B133)</f>
        <v/>
      </c>
      <c r="C136" s="21" t="str">
        <f aca="false">IF($A136="","",품목마스터!$D133)</f>
        <v/>
      </c>
      <c r="D136" s="22" t="str">
        <f aca="false">IF($A136="","",IF(품목마스터!$E133="",0,품목마스터!$E133))</f>
        <v/>
      </c>
      <c r="E136" s="22" t="str">
        <f aca="false">IF($A136="","",SUMIFS(사용내역!$E$3:$E$3002,사용내역!$B$3:$B$3002,$A136,사용내역!$A$3:$A$3002,"&gt;"&amp;($B$3-사용안내!$C$16),사용내역!$A$3:$A$3002,"&lt;="&amp;$B$3))</f>
        <v/>
      </c>
      <c r="F136" s="23" t="str">
        <f aca="false">IF($A136="","",IF(사용안내!$C$16=0,0,ROUND($E136/사용안내!$C$16,3)))</f>
        <v/>
      </c>
      <c r="G136" s="24" t="str">
        <f aca="false">IF($A136="","",IF($F136&lt;=0,"사용기록없음",ROUND($D136/$F136,0)))</f>
        <v/>
      </c>
      <c r="H136" s="25" t="str">
        <f aca="false">IF(OR($A136="",$F136&lt;=0),"",$B$3+$G136)</f>
        <v/>
      </c>
      <c r="I136" s="21" t="str">
        <f aca="false">IF($A136="","",IF(품목마스터!$F133="",0,품목마스터!$F133))</f>
        <v/>
      </c>
      <c r="J136" s="25" t="str">
        <f aca="false">IF(OR($A136="",$F136&lt;=0),"",$H136-$I136)</f>
        <v/>
      </c>
      <c r="K136" s="22" t="n">
        <f aca="false">IF(OR($A136="",$F136&lt;=0),0,MAX(0,CEILING(MAX(0,($I136+사용안내!$C$17)*$F136-$D136),MAX(1,IF(품목마스터!$H133="",1,품목마스터!$H133)))))</f>
        <v>0</v>
      </c>
      <c r="L136" s="21" t="str">
        <f aca="false">IF($A136="","",IF($F136&lt;=0,"-",IF($J136&lt;=$B$3,"발주",IF($J136&lt;=$B$3+7,"임박","정상"))))</f>
        <v/>
      </c>
    </row>
    <row r="137" customFormat="false" ht="15" hidden="false" customHeight="true" outlineLevel="0" collapsed="false">
      <c r="A137" s="17" t="str">
        <f aca="false">IF(품목마스터!$A134="","",품목마스터!$A134)</f>
        <v/>
      </c>
      <c r="B137" s="17" t="str">
        <f aca="false">IF($A137="","",품목마스터!$B134)</f>
        <v/>
      </c>
      <c r="C137" s="21" t="str">
        <f aca="false">IF($A137="","",품목마스터!$D134)</f>
        <v/>
      </c>
      <c r="D137" s="22" t="str">
        <f aca="false">IF($A137="","",IF(품목마스터!$E134="",0,품목마스터!$E134))</f>
        <v/>
      </c>
      <c r="E137" s="22" t="str">
        <f aca="false">IF($A137="","",SUMIFS(사용내역!$E$3:$E$3002,사용내역!$B$3:$B$3002,$A137,사용내역!$A$3:$A$3002,"&gt;"&amp;($B$3-사용안내!$C$16),사용내역!$A$3:$A$3002,"&lt;="&amp;$B$3))</f>
        <v/>
      </c>
      <c r="F137" s="23" t="str">
        <f aca="false">IF($A137="","",IF(사용안내!$C$16=0,0,ROUND($E137/사용안내!$C$16,3)))</f>
        <v/>
      </c>
      <c r="G137" s="24" t="str">
        <f aca="false">IF($A137="","",IF($F137&lt;=0,"사용기록없음",ROUND($D137/$F137,0)))</f>
        <v/>
      </c>
      <c r="H137" s="25" t="str">
        <f aca="false">IF(OR($A137="",$F137&lt;=0),"",$B$3+$G137)</f>
        <v/>
      </c>
      <c r="I137" s="21" t="str">
        <f aca="false">IF($A137="","",IF(품목마스터!$F134="",0,품목마스터!$F134))</f>
        <v/>
      </c>
      <c r="J137" s="25" t="str">
        <f aca="false">IF(OR($A137="",$F137&lt;=0),"",$H137-$I137)</f>
        <v/>
      </c>
      <c r="K137" s="22" t="n">
        <f aca="false">IF(OR($A137="",$F137&lt;=0),0,MAX(0,CEILING(MAX(0,($I137+사용안내!$C$17)*$F137-$D137),MAX(1,IF(품목마스터!$H134="",1,품목마스터!$H134)))))</f>
        <v>0</v>
      </c>
      <c r="L137" s="21" t="str">
        <f aca="false">IF($A137="","",IF($F137&lt;=0,"-",IF($J137&lt;=$B$3,"발주",IF($J137&lt;=$B$3+7,"임박","정상"))))</f>
        <v/>
      </c>
    </row>
    <row r="138" customFormat="false" ht="15" hidden="false" customHeight="true" outlineLevel="0" collapsed="false">
      <c r="A138" s="17" t="str">
        <f aca="false">IF(품목마스터!$A135="","",품목마스터!$A135)</f>
        <v/>
      </c>
      <c r="B138" s="17" t="str">
        <f aca="false">IF($A138="","",품목마스터!$B135)</f>
        <v/>
      </c>
      <c r="C138" s="21" t="str">
        <f aca="false">IF($A138="","",품목마스터!$D135)</f>
        <v/>
      </c>
      <c r="D138" s="22" t="str">
        <f aca="false">IF($A138="","",IF(품목마스터!$E135="",0,품목마스터!$E135))</f>
        <v/>
      </c>
      <c r="E138" s="22" t="str">
        <f aca="false">IF($A138="","",SUMIFS(사용내역!$E$3:$E$3002,사용내역!$B$3:$B$3002,$A138,사용내역!$A$3:$A$3002,"&gt;"&amp;($B$3-사용안내!$C$16),사용내역!$A$3:$A$3002,"&lt;="&amp;$B$3))</f>
        <v/>
      </c>
      <c r="F138" s="23" t="str">
        <f aca="false">IF($A138="","",IF(사용안내!$C$16=0,0,ROUND($E138/사용안내!$C$16,3)))</f>
        <v/>
      </c>
      <c r="G138" s="24" t="str">
        <f aca="false">IF($A138="","",IF($F138&lt;=0,"사용기록없음",ROUND($D138/$F138,0)))</f>
        <v/>
      </c>
      <c r="H138" s="25" t="str">
        <f aca="false">IF(OR($A138="",$F138&lt;=0),"",$B$3+$G138)</f>
        <v/>
      </c>
      <c r="I138" s="21" t="str">
        <f aca="false">IF($A138="","",IF(품목마스터!$F135="",0,품목마스터!$F135))</f>
        <v/>
      </c>
      <c r="J138" s="25" t="str">
        <f aca="false">IF(OR($A138="",$F138&lt;=0),"",$H138-$I138)</f>
        <v/>
      </c>
      <c r="K138" s="22" t="n">
        <f aca="false">IF(OR($A138="",$F138&lt;=0),0,MAX(0,CEILING(MAX(0,($I138+사용안내!$C$17)*$F138-$D138),MAX(1,IF(품목마스터!$H135="",1,품목마스터!$H135)))))</f>
        <v>0</v>
      </c>
      <c r="L138" s="21" t="str">
        <f aca="false">IF($A138="","",IF($F138&lt;=0,"-",IF($J138&lt;=$B$3,"발주",IF($J138&lt;=$B$3+7,"임박","정상"))))</f>
        <v/>
      </c>
    </row>
    <row r="139" customFormat="false" ht="15" hidden="false" customHeight="true" outlineLevel="0" collapsed="false">
      <c r="A139" s="17" t="str">
        <f aca="false">IF(품목마스터!$A136="","",품목마스터!$A136)</f>
        <v/>
      </c>
      <c r="B139" s="17" t="str">
        <f aca="false">IF($A139="","",품목마스터!$B136)</f>
        <v/>
      </c>
      <c r="C139" s="21" t="str">
        <f aca="false">IF($A139="","",품목마스터!$D136)</f>
        <v/>
      </c>
      <c r="D139" s="22" t="str">
        <f aca="false">IF($A139="","",IF(품목마스터!$E136="",0,품목마스터!$E136))</f>
        <v/>
      </c>
      <c r="E139" s="22" t="str">
        <f aca="false">IF($A139="","",SUMIFS(사용내역!$E$3:$E$3002,사용내역!$B$3:$B$3002,$A139,사용내역!$A$3:$A$3002,"&gt;"&amp;($B$3-사용안내!$C$16),사용내역!$A$3:$A$3002,"&lt;="&amp;$B$3))</f>
        <v/>
      </c>
      <c r="F139" s="23" t="str">
        <f aca="false">IF($A139="","",IF(사용안내!$C$16=0,0,ROUND($E139/사용안내!$C$16,3)))</f>
        <v/>
      </c>
      <c r="G139" s="24" t="str">
        <f aca="false">IF($A139="","",IF($F139&lt;=0,"사용기록없음",ROUND($D139/$F139,0)))</f>
        <v/>
      </c>
      <c r="H139" s="25" t="str">
        <f aca="false">IF(OR($A139="",$F139&lt;=0),"",$B$3+$G139)</f>
        <v/>
      </c>
      <c r="I139" s="21" t="str">
        <f aca="false">IF($A139="","",IF(품목마스터!$F136="",0,품목마스터!$F136))</f>
        <v/>
      </c>
      <c r="J139" s="25" t="str">
        <f aca="false">IF(OR($A139="",$F139&lt;=0),"",$H139-$I139)</f>
        <v/>
      </c>
      <c r="K139" s="22" t="n">
        <f aca="false">IF(OR($A139="",$F139&lt;=0),0,MAX(0,CEILING(MAX(0,($I139+사용안내!$C$17)*$F139-$D139),MAX(1,IF(품목마스터!$H136="",1,품목마스터!$H136)))))</f>
        <v>0</v>
      </c>
      <c r="L139" s="21" t="str">
        <f aca="false">IF($A139="","",IF($F139&lt;=0,"-",IF($J139&lt;=$B$3,"발주",IF($J139&lt;=$B$3+7,"임박","정상"))))</f>
        <v/>
      </c>
    </row>
    <row r="140" customFormat="false" ht="15" hidden="false" customHeight="true" outlineLevel="0" collapsed="false">
      <c r="A140" s="17" t="str">
        <f aca="false">IF(품목마스터!$A137="","",품목마스터!$A137)</f>
        <v/>
      </c>
      <c r="B140" s="17" t="str">
        <f aca="false">IF($A140="","",품목마스터!$B137)</f>
        <v/>
      </c>
      <c r="C140" s="21" t="str">
        <f aca="false">IF($A140="","",품목마스터!$D137)</f>
        <v/>
      </c>
      <c r="D140" s="22" t="str">
        <f aca="false">IF($A140="","",IF(품목마스터!$E137="",0,품목마스터!$E137))</f>
        <v/>
      </c>
      <c r="E140" s="22" t="str">
        <f aca="false">IF($A140="","",SUMIFS(사용내역!$E$3:$E$3002,사용내역!$B$3:$B$3002,$A140,사용내역!$A$3:$A$3002,"&gt;"&amp;($B$3-사용안내!$C$16),사용내역!$A$3:$A$3002,"&lt;="&amp;$B$3))</f>
        <v/>
      </c>
      <c r="F140" s="23" t="str">
        <f aca="false">IF($A140="","",IF(사용안내!$C$16=0,0,ROUND($E140/사용안내!$C$16,3)))</f>
        <v/>
      </c>
      <c r="G140" s="24" t="str">
        <f aca="false">IF($A140="","",IF($F140&lt;=0,"사용기록없음",ROUND($D140/$F140,0)))</f>
        <v/>
      </c>
      <c r="H140" s="25" t="str">
        <f aca="false">IF(OR($A140="",$F140&lt;=0),"",$B$3+$G140)</f>
        <v/>
      </c>
      <c r="I140" s="21" t="str">
        <f aca="false">IF($A140="","",IF(품목마스터!$F137="",0,품목마스터!$F137))</f>
        <v/>
      </c>
      <c r="J140" s="25" t="str">
        <f aca="false">IF(OR($A140="",$F140&lt;=0),"",$H140-$I140)</f>
        <v/>
      </c>
      <c r="K140" s="22" t="n">
        <f aca="false">IF(OR($A140="",$F140&lt;=0),0,MAX(0,CEILING(MAX(0,($I140+사용안내!$C$17)*$F140-$D140),MAX(1,IF(품목마스터!$H137="",1,품목마스터!$H137)))))</f>
        <v>0</v>
      </c>
      <c r="L140" s="21" t="str">
        <f aca="false">IF($A140="","",IF($F140&lt;=0,"-",IF($J140&lt;=$B$3,"발주",IF($J140&lt;=$B$3+7,"임박","정상"))))</f>
        <v/>
      </c>
    </row>
    <row r="141" customFormat="false" ht="15" hidden="false" customHeight="true" outlineLevel="0" collapsed="false">
      <c r="A141" s="17" t="str">
        <f aca="false">IF(품목마스터!$A138="","",품목마스터!$A138)</f>
        <v/>
      </c>
      <c r="B141" s="17" t="str">
        <f aca="false">IF($A141="","",품목마스터!$B138)</f>
        <v/>
      </c>
      <c r="C141" s="21" t="str">
        <f aca="false">IF($A141="","",품목마스터!$D138)</f>
        <v/>
      </c>
      <c r="D141" s="22" t="str">
        <f aca="false">IF($A141="","",IF(품목마스터!$E138="",0,품목마스터!$E138))</f>
        <v/>
      </c>
      <c r="E141" s="22" t="str">
        <f aca="false">IF($A141="","",SUMIFS(사용내역!$E$3:$E$3002,사용내역!$B$3:$B$3002,$A141,사용내역!$A$3:$A$3002,"&gt;"&amp;($B$3-사용안내!$C$16),사용내역!$A$3:$A$3002,"&lt;="&amp;$B$3))</f>
        <v/>
      </c>
      <c r="F141" s="23" t="str">
        <f aca="false">IF($A141="","",IF(사용안내!$C$16=0,0,ROUND($E141/사용안내!$C$16,3)))</f>
        <v/>
      </c>
      <c r="G141" s="24" t="str">
        <f aca="false">IF($A141="","",IF($F141&lt;=0,"사용기록없음",ROUND($D141/$F141,0)))</f>
        <v/>
      </c>
      <c r="H141" s="25" t="str">
        <f aca="false">IF(OR($A141="",$F141&lt;=0),"",$B$3+$G141)</f>
        <v/>
      </c>
      <c r="I141" s="21" t="str">
        <f aca="false">IF($A141="","",IF(품목마스터!$F138="",0,품목마스터!$F138))</f>
        <v/>
      </c>
      <c r="J141" s="25" t="str">
        <f aca="false">IF(OR($A141="",$F141&lt;=0),"",$H141-$I141)</f>
        <v/>
      </c>
      <c r="K141" s="22" t="n">
        <f aca="false">IF(OR($A141="",$F141&lt;=0),0,MAX(0,CEILING(MAX(0,($I141+사용안내!$C$17)*$F141-$D141),MAX(1,IF(품목마스터!$H138="",1,품목마스터!$H138)))))</f>
        <v>0</v>
      </c>
      <c r="L141" s="21" t="str">
        <f aca="false">IF($A141="","",IF($F141&lt;=0,"-",IF($J141&lt;=$B$3,"발주",IF($J141&lt;=$B$3+7,"임박","정상"))))</f>
        <v/>
      </c>
    </row>
    <row r="142" customFormat="false" ht="15" hidden="false" customHeight="true" outlineLevel="0" collapsed="false">
      <c r="A142" s="17" t="str">
        <f aca="false">IF(품목마스터!$A139="","",품목마스터!$A139)</f>
        <v/>
      </c>
      <c r="B142" s="17" t="str">
        <f aca="false">IF($A142="","",품목마스터!$B139)</f>
        <v/>
      </c>
      <c r="C142" s="21" t="str">
        <f aca="false">IF($A142="","",품목마스터!$D139)</f>
        <v/>
      </c>
      <c r="D142" s="22" t="str">
        <f aca="false">IF($A142="","",IF(품목마스터!$E139="",0,품목마스터!$E139))</f>
        <v/>
      </c>
      <c r="E142" s="22" t="str">
        <f aca="false">IF($A142="","",SUMIFS(사용내역!$E$3:$E$3002,사용내역!$B$3:$B$3002,$A142,사용내역!$A$3:$A$3002,"&gt;"&amp;($B$3-사용안내!$C$16),사용내역!$A$3:$A$3002,"&lt;="&amp;$B$3))</f>
        <v/>
      </c>
      <c r="F142" s="23" t="str">
        <f aca="false">IF($A142="","",IF(사용안내!$C$16=0,0,ROUND($E142/사용안내!$C$16,3)))</f>
        <v/>
      </c>
      <c r="G142" s="24" t="str">
        <f aca="false">IF($A142="","",IF($F142&lt;=0,"사용기록없음",ROUND($D142/$F142,0)))</f>
        <v/>
      </c>
      <c r="H142" s="25" t="str">
        <f aca="false">IF(OR($A142="",$F142&lt;=0),"",$B$3+$G142)</f>
        <v/>
      </c>
      <c r="I142" s="21" t="str">
        <f aca="false">IF($A142="","",IF(품목마스터!$F139="",0,품목마스터!$F139))</f>
        <v/>
      </c>
      <c r="J142" s="25" t="str">
        <f aca="false">IF(OR($A142="",$F142&lt;=0),"",$H142-$I142)</f>
        <v/>
      </c>
      <c r="K142" s="22" t="n">
        <f aca="false">IF(OR($A142="",$F142&lt;=0),0,MAX(0,CEILING(MAX(0,($I142+사용안내!$C$17)*$F142-$D142),MAX(1,IF(품목마스터!$H139="",1,품목마스터!$H139)))))</f>
        <v>0</v>
      </c>
      <c r="L142" s="21" t="str">
        <f aca="false">IF($A142="","",IF($F142&lt;=0,"-",IF($J142&lt;=$B$3,"발주",IF($J142&lt;=$B$3+7,"임박","정상"))))</f>
        <v/>
      </c>
    </row>
    <row r="143" customFormat="false" ht="15" hidden="false" customHeight="true" outlineLevel="0" collapsed="false">
      <c r="A143" s="17" t="str">
        <f aca="false">IF(품목마스터!$A140="","",품목마스터!$A140)</f>
        <v/>
      </c>
      <c r="B143" s="17" t="str">
        <f aca="false">IF($A143="","",품목마스터!$B140)</f>
        <v/>
      </c>
      <c r="C143" s="21" t="str">
        <f aca="false">IF($A143="","",품목마스터!$D140)</f>
        <v/>
      </c>
      <c r="D143" s="22" t="str">
        <f aca="false">IF($A143="","",IF(품목마스터!$E140="",0,품목마스터!$E140))</f>
        <v/>
      </c>
      <c r="E143" s="22" t="str">
        <f aca="false">IF($A143="","",SUMIFS(사용내역!$E$3:$E$3002,사용내역!$B$3:$B$3002,$A143,사용내역!$A$3:$A$3002,"&gt;"&amp;($B$3-사용안내!$C$16),사용내역!$A$3:$A$3002,"&lt;="&amp;$B$3))</f>
        <v/>
      </c>
      <c r="F143" s="23" t="str">
        <f aca="false">IF($A143="","",IF(사용안내!$C$16=0,0,ROUND($E143/사용안내!$C$16,3)))</f>
        <v/>
      </c>
      <c r="G143" s="24" t="str">
        <f aca="false">IF($A143="","",IF($F143&lt;=0,"사용기록없음",ROUND($D143/$F143,0)))</f>
        <v/>
      </c>
      <c r="H143" s="25" t="str">
        <f aca="false">IF(OR($A143="",$F143&lt;=0),"",$B$3+$G143)</f>
        <v/>
      </c>
      <c r="I143" s="21" t="str">
        <f aca="false">IF($A143="","",IF(품목마스터!$F140="",0,품목마스터!$F140))</f>
        <v/>
      </c>
      <c r="J143" s="25" t="str">
        <f aca="false">IF(OR($A143="",$F143&lt;=0),"",$H143-$I143)</f>
        <v/>
      </c>
      <c r="K143" s="22" t="n">
        <f aca="false">IF(OR($A143="",$F143&lt;=0),0,MAX(0,CEILING(MAX(0,($I143+사용안내!$C$17)*$F143-$D143),MAX(1,IF(품목마스터!$H140="",1,품목마스터!$H140)))))</f>
        <v>0</v>
      </c>
      <c r="L143" s="21" t="str">
        <f aca="false">IF($A143="","",IF($F143&lt;=0,"-",IF($J143&lt;=$B$3,"발주",IF($J143&lt;=$B$3+7,"임박","정상"))))</f>
        <v/>
      </c>
    </row>
    <row r="144" customFormat="false" ht="15" hidden="false" customHeight="true" outlineLevel="0" collapsed="false">
      <c r="A144" s="17" t="str">
        <f aca="false">IF(품목마스터!$A141="","",품목마스터!$A141)</f>
        <v/>
      </c>
      <c r="B144" s="17" t="str">
        <f aca="false">IF($A144="","",품목마스터!$B141)</f>
        <v/>
      </c>
      <c r="C144" s="21" t="str">
        <f aca="false">IF($A144="","",품목마스터!$D141)</f>
        <v/>
      </c>
      <c r="D144" s="22" t="str">
        <f aca="false">IF($A144="","",IF(품목마스터!$E141="",0,품목마스터!$E141))</f>
        <v/>
      </c>
      <c r="E144" s="22" t="str">
        <f aca="false">IF($A144="","",SUMIFS(사용내역!$E$3:$E$3002,사용내역!$B$3:$B$3002,$A144,사용내역!$A$3:$A$3002,"&gt;"&amp;($B$3-사용안내!$C$16),사용내역!$A$3:$A$3002,"&lt;="&amp;$B$3))</f>
        <v/>
      </c>
      <c r="F144" s="23" t="str">
        <f aca="false">IF($A144="","",IF(사용안내!$C$16=0,0,ROUND($E144/사용안내!$C$16,3)))</f>
        <v/>
      </c>
      <c r="G144" s="24" t="str">
        <f aca="false">IF($A144="","",IF($F144&lt;=0,"사용기록없음",ROUND($D144/$F144,0)))</f>
        <v/>
      </c>
      <c r="H144" s="25" t="str">
        <f aca="false">IF(OR($A144="",$F144&lt;=0),"",$B$3+$G144)</f>
        <v/>
      </c>
      <c r="I144" s="21" t="str">
        <f aca="false">IF($A144="","",IF(품목마스터!$F141="",0,품목마스터!$F141))</f>
        <v/>
      </c>
      <c r="J144" s="25" t="str">
        <f aca="false">IF(OR($A144="",$F144&lt;=0),"",$H144-$I144)</f>
        <v/>
      </c>
      <c r="K144" s="22" t="n">
        <f aca="false">IF(OR($A144="",$F144&lt;=0),0,MAX(0,CEILING(MAX(0,($I144+사용안내!$C$17)*$F144-$D144),MAX(1,IF(품목마스터!$H141="",1,품목마스터!$H141)))))</f>
        <v>0</v>
      </c>
      <c r="L144" s="21" t="str">
        <f aca="false">IF($A144="","",IF($F144&lt;=0,"-",IF($J144&lt;=$B$3,"발주",IF($J144&lt;=$B$3+7,"임박","정상"))))</f>
        <v/>
      </c>
    </row>
    <row r="145" customFormat="false" ht="15" hidden="false" customHeight="true" outlineLevel="0" collapsed="false">
      <c r="A145" s="17" t="str">
        <f aca="false">IF(품목마스터!$A142="","",품목마스터!$A142)</f>
        <v/>
      </c>
      <c r="B145" s="17" t="str">
        <f aca="false">IF($A145="","",품목마스터!$B142)</f>
        <v/>
      </c>
      <c r="C145" s="21" t="str">
        <f aca="false">IF($A145="","",품목마스터!$D142)</f>
        <v/>
      </c>
      <c r="D145" s="22" t="str">
        <f aca="false">IF($A145="","",IF(품목마스터!$E142="",0,품목마스터!$E142))</f>
        <v/>
      </c>
      <c r="E145" s="22" t="str">
        <f aca="false">IF($A145="","",SUMIFS(사용내역!$E$3:$E$3002,사용내역!$B$3:$B$3002,$A145,사용내역!$A$3:$A$3002,"&gt;"&amp;($B$3-사용안내!$C$16),사용내역!$A$3:$A$3002,"&lt;="&amp;$B$3))</f>
        <v/>
      </c>
      <c r="F145" s="23" t="str">
        <f aca="false">IF($A145="","",IF(사용안내!$C$16=0,0,ROUND($E145/사용안내!$C$16,3)))</f>
        <v/>
      </c>
      <c r="G145" s="24" t="str">
        <f aca="false">IF($A145="","",IF($F145&lt;=0,"사용기록없음",ROUND($D145/$F145,0)))</f>
        <v/>
      </c>
      <c r="H145" s="25" t="str">
        <f aca="false">IF(OR($A145="",$F145&lt;=0),"",$B$3+$G145)</f>
        <v/>
      </c>
      <c r="I145" s="21" t="str">
        <f aca="false">IF($A145="","",IF(품목마스터!$F142="",0,품목마스터!$F142))</f>
        <v/>
      </c>
      <c r="J145" s="25" t="str">
        <f aca="false">IF(OR($A145="",$F145&lt;=0),"",$H145-$I145)</f>
        <v/>
      </c>
      <c r="K145" s="22" t="n">
        <f aca="false">IF(OR($A145="",$F145&lt;=0),0,MAX(0,CEILING(MAX(0,($I145+사용안내!$C$17)*$F145-$D145),MAX(1,IF(품목마스터!$H142="",1,품목마스터!$H142)))))</f>
        <v>0</v>
      </c>
      <c r="L145" s="21" t="str">
        <f aca="false">IF($A145="","",IF($F145&lt;=0,"-",IF($J145&lt;=$B$3,"발주",IF($J145&lt;=$B$3+7,"임박","정상"))))</f>
        <v/>
      </c>
    </row>
    <row r="146" customFormat="false" ht="15" hidden="false" customHeight="true" outlineLevel="0" collapsed="false">
      <c r="A146" s="17" t="str">
        <f aca="false">IF(품목마스터!$A143="","",품목마스터!$A143)</f>
        <v/>
      </c>
      <c r="B146" s="17" t="str">
        <f aca="false">IF($A146="","",품목마스터!$B143)</f>
        <v/>
      </c>
      <c r="C146" s="21" t="str">
        <f aca="false">IF($A146="","",품목마스터!$D143)</f>
        <v/>
      </c>
      <c r="D146" s="22" t="str">
        <f aca="false">IF($A146="","",IF(품목마스터!$E143="",0,품목마스터!$E143))</f>
        <v/>
      </c>
      <c r="E146" s="22" t="str">
        <f aca="false">IF($A146="","",SUMIFS(사용내역!$E$3:$E$3002,사용내역!$B$3:$B$3002,$A146,사용내역!$A$3:$A$3002,"&gt;"&amp;($B$3-사용안내!$C$16),사용내역!$A$3:$A$3002,"&lt;="&amp;$B$3))</f>
        <v/>
      </c>
      <c r="F146" s="23" t="str">
        <f aca="false">IF($A146="","",IF(사용안내!$C$16=0,0,ROUND($E146/사용안내!$C$16,3)))</f>
        <v/>
      </c>
      <c r="G146" s="24" t="str">
        <f aca="false">IF($A146="","",IF($F146&lt;=0,"사용기록없음",ROUND($D146/$F146,0)))</f>
        <v/>
      </c>
      <c r="H146" s="25" t="str">
        <f aca="false">IF(OR($A146="",$F146&lt;=0),"",$B$3+$G146)</f>
        <v/>
      </c>
      <c r="I146" s="21" t="str">
        <f aca="false">IF($A146="","",IF(품목마스터!$F143="",0,품목마스터!$F143))</f>
        <v/>
      </c>
      <c r="J146" s="25" t="str">
        <f aca="false">IF(OR($A146="",$F146&lt;=0),"",$H146-$I146)</f>
        <v/>
      </c>
      <c r="K146" s="22" t="n">
        <f aca="false">IF(OR($A146="",$F146&lt;=0),0,MAX(0,CEILING(MAX(0,($I146+사용안내!$C$17)*$F146-$D146),MAX(1,IF(품목마스터!$H143="",1,품목마스터!$H143)))))</f>
        <v>0</v>
      </c>
      <c r="L146" s="21" t="str">
        <f aca="false">IF($A146="","",IF($F146&lt;=0,"-",IF($J146&lt;=$B$3,"발주",IF($J146&lt;=$B$3+7,"임박","정상"))))</f>
        <v/>
      </c>
    </row>
    <row r="147" customFormat="false" ht="15" hidden="false" customHeight="true" outlineLevel="0" collapsed="false">
      <c r="A147" s="17" t="str">
        <f aca="false">IF(품목마스터!$A144="","",품목마스터!$A144)</f>
        <v/>
      </c>
      <c r="B147" s="17" t="str">
        <f aca="false">IF($A147="","",품목마스터!$B144)</f>
        <v/>
      </c>
      <c r="C147" s="21" t="str">
        <f aca="false">IF($A147="","",품목마스터!$D144)</f>
        <v/>
      </c>
      <c r="D147" s="22" t="str">
        <f aca="false">IF($A147="","",IF(품목마스터!$E144="",0,품목마스터!$E144))</f>
        <v/>
      </c>
      <c r="E147" s="22" t="str">
        <f aca="false">IF($A147="","",SUMIFS(사용내역!$E$3:$E$3002,사용내역!$B$3:$B$3002,$A147,사용내역!$A$3:$A$3002,"&gt;"&amp;($B$3-사용안내!$C$16),사용내역!$A$3:$A$3002,"&lt;="&amp;$B$3))</f>
        <v/>
      </c>
      <c r="F147" s="23" t="str">
        <f aca="false">IF($A147="","",IF(사용안내!$C$16=0,0,ROUND($E147/사용안내!$C$16,3)))</f>
        <v/>
      </c>
      <c r="G147" s="24" t="str">
        <f aca="false">IF($A147="","",IF($F147&lt;=0,"사용기록없음",ROUND($D147/$F147,0)))</f>
        <v/>
      </c>
      <c r="H147" s="25" t="str">
        <f aca="false">IF(OR($A147="",$F147&lt;=0),"",$B$3+$G147)</f>
        <v/>
      </c>
      <c r="I147" s="21" t="str">
        <f aca="false">IF($A147="","",IF(품목마스터!$F144="",0,품목마스터!$F144))</f>
        <v/>
      </c>
      <c r="J147" s="25" t="str">
        <f aca="false">IF(OR($A147="",$F147&lt;=0),"",$H147-$I147)</f>
        <v/>
      </c>
      <c r="K147" s="22" t="n">
        <f aca="false">IF(OR($A147="",$F147&lt;=0),0,MAX(0,CEILING(MAX(0,($I147+사용안내!$C$17)*$F147-$D147),MAX(1,IF(품목마스터!$H144="",1,품목마스터!$H144)))))</f>
        <v>0</v>
      </c>
      <c r="L147" s="21" t="str">
        <f aca="false">IF($A147="","",IF($F147&lt;=0,"-",IF($J147&lt;=$B$3,"발주",IF($J147&lt;=$B$3+7,"임박","정상"))))</f>
        <v/>
      </c>
    </row>
    <row r="148" customFormat="false" ht="15" hidden="false" customHeight="true" outlineLevel="0" collapsed="false">
      <c r="A148" s="17" t="str">
        <f aca="false">IF(품목마스터!$A145="","",품목마스터!$A145)</f>
        <v/>
      </c>
      <c r="B148" s="17" t="str">
        <f aca="false">IF($A148="","",품목마스터!$B145)</f>
        <v/>
      </c>
      <c r="C148" s="21" t="str">
        <f aca="false">IF($A148="","",품목마스터!$D145)</f>
        <v/>
      </c>
      <c r="D148" s="22" t="str">
        <f aca="false">IF($A148="","",IF(품목마스터!$E145="",0,품목마스터!$E145))</f>
        <v/>
      </c>
      <c r="E148" s="22" t="str">
        <f aca="false">IF($A148="","",SUMIFS(사용내역!$E$3:$E$3002,사용내역!$B$3:$B$3002,$A148,사용내역!$A$3:$A$3002,"&gt;"&amp;($B$3-사용안내!$C$16),사용내역!$A$3:$A$3002,"&lt;="&amp;$B$3))</f>
        <v/>
      </c>
      <c r="F148" s="23" t="str">
        <f aca="false">IF($A148="","",IF(사용안내!$C$16=0,0,ROUND($E148/사용안내!$C$16,3)))</f>
        <v/>
      </c>
      <c r="G148" s="24" t="str">
        <f aca="false">IF($A148="","",IF($F148&lt;=0,"사용기록없음",ROUND($D148/$F148,0)))</f>
        <v/>
      </c>
      <c r="H148" s="25" t="str">
        <f aca="false">IF(OR($A148="",$F148&lt;=0),"",$B$3+$G148)</f>
        <v/>
      </c>
      <c r="I148" s="21" t="str">
        <f aca="false">IF($A148="","",IF(품목마스터!$F145="",0,품목마스터!$F145))</f>
        <v/>
      </c>
      <c r="J148" s="25" t="str">
        <f aca="false">IF(OR($A148="",$F148&lt;=0),"",$H148-$I148)</f>
        <v/>
      </c>
      <c r="K148" s="22" t="n">
        <f aca="false">IF(OR($A148="",$F148&lt;=0),0,MAX(0,CEILING(MAX(0,($I148+사용안내!$C$17)*$F148-$D148),MAX(1,IF(품목마스터!$H145="",1,품목마스터!$H145)))))</f>
        <v>0</v>
      </c>
      <c r="L148" s="21" t="str">
        <f aca="false">IF($A148="","",IF($F148&lt;=0,"-",IF($J148&lt;=$B$3,"발주",IF($J148&lt;=$B$3+7,"임박","정상"))))</f>
        <v/>
      </c>
    </row>
    <row r="149" customFormat="false" ht="15" hidden="false" customHeight="true" outlineLevel="0" collapsed="false">
      <c r="A149" s="17" t="str">
        <f aca="false">IF(품목마스터!$A146="","",품목마스터!$A146)</f>
        <v/>
      </c>
      <c r="B149" s="17" t="str">
        <f aca="false">IF($A149="","",품목마스터!$B146)</f>
        <v/>
      </c>
      <c r="C149" s="21" t="str">
        <f aca="false">IF($A149="","",품목마스터!$D146)</f>
        <v/>
      </c>
      <c r="D149" s="22" t="str">
        <f aca="false">IF($A149="","",IF(품목마스터!$E146="",0,품목마스터!$E146))</f>
        <v/>
      </c>
      <c r="E149" s="22" t="str">
        <f aca="false">IF($A149="","",SUMIFS(사용내역!$E$3:$E$3002,사용내역!$B$3:$B$3002,$A149,사용내역!$A$3:$A$3002,"&gt;"&amp;($B$3-사용안내!$C$16),사용내역!$A$3:$A$3002,"&lt;="&amp;$B$3))</f>
        <v/>
      </c>
      <c r="F149" s="23" t="str">
        <f aca="false">IF($A149="","",IF(사용안내!$C$16=0,0,ROUND($E149/사용안내!$C$16,3)))</f>
        <v/>
      </c>
      <c r="G149" s="24" t="str">
        <f aca="false">IF($A149="","",IF($F149&lt;=0,"사용기록없음",ROUND($D149/$F149,0)))</f>
        <v/>
      </c>
      <c r="H149" s="25" t="str">
        <f aca="false">IF(OR($A149="",$F149&lt;=0),"",$B$3+$G149)</f>
        <v/>
      </c>
      <c r="I149" s="21" t="str">
        <f aca="false">IF($A149="","",IF(품목마스터!$F146="",0,품목마스터!$F146))</f>
        <v/>
      </c>
      <c r="J149" s="25" t="str">
        <f aca="false">IF(OR($A149="",$F149&lt;=0),"",$H149-$I149)</f>
        <v/>
      </c>
      <c r="K149" s="22" t="n">
        <f aca="false">IF(OR($A149="",$F149&lt;=0),0,MAX(0,CEILING(MAX(0,($I149+사용안내!$C$17)*$F149-$D149),MAX(1,IF(품목마스터!$H146="",1,품목마스터!$H146)))))</f>
        <v>0</v>
      </c>
      <c r="L149" s="21" t="str">
        <f aca="false">IF($A149="","",IF($F149&lt;=0,"-",IF($J149&lt;=$B$3,"발주",IF($J149&lt;=$B$3+7,"임박","정상"))))</f>
        <v/>
      </c>
    </row>
    <row r="150" customFormat="false" ht="15" hidden="false" customHeight="true" outlineLevel="0" collapsed="false">
      <c r="A150" s="17" t="str">
        <f aca="false">IF(품목마스터!$A147="","",품목마스터!$A147)</f>
        <v/>
      </c>
      <c r="B150" s="17" t="str">
        <f aca="false">IF($A150="","",품목마스터!$B147)</f>
        <v/>
      </c>
      <c r="C150" s="21" t="str">
        <f aca="false">IF($A150="","",품목마스터!$D147)</f>
        <v/>
      </c>
      <c r="D150" s="22" t="str">
        <f aca="false">IF($A150="","",IF(품목마스터!$E147="",0,품목마스터!$E147))</f>
        <v/>
      </c>
      <c r="E150" s="22" t="str">
        <f aca="false">IF($A150="","",SUMIFS(사용내역!$E$3:$E$3002,사용내역!$B$3:$B$3002,$A150,사용내역!$A$3:$A$3002,"&gt;"&amp;($B$3-사용안내!$C$16),사용내역!$A$3:$A$3002,"&lt;="&amp;$B$3))</f>
        <v/>
      </c>
      <c r="F150" s="23" t="str">
        <f aca="false">IF($A150="","",IF(사용안내!$C$16=0,0,ROUND($E150/사용안내!$C$16,3)))</f>
        <v/>
      </c>
      <c r="G150" s="24" t="str">
        <f aca="false">IF($A150="","",IF($F150&lt;=0,"사용기록없음",ROUND($D150/$F150,0)))</f>
        <v/>
      </c>
      <c r="H150" s="25" t="str">
        <f aca="false">IF(OR($A150="",$F150&lt;=0),"",$B$3+$G150)</f>
        <v/>
      </c>
      <c r="I150" s="21" t="str">
        <f aca="false">IF($A150="","",IF(품목마스터!$F147="",0,품목마스터!$F147))</f>
        <v/>
      </c>
      <c r="J150" s="25" t="str">
        <f aca="false">IF(OR($A150="",$F150&lt;=0),"",$H150-$I150)</f>
        <v/>
      </c>
      <c r="K150" s="22" t="n">
        <f aca="false">IF(OR($A150="",$F150&lt;=0),0,MAX(0,CEILING(MAX(0,($I150+사용안내!$C$17)*$F150-$D150),MAX(1,IF(품목마스터!$H147="",1,품목마스터!$H147)))))</f>
        <v>0</v>
      </c>
      <c r="L150" s="21" t="str">
        <f aca="false">IF($A150="","",IF($F150&lt;=0,"-",IF($J150&lt;=$B$3,"발주",IF($J150&lt;=$B$3+7,"임박","정상"))))</f>
        <v/>
      </c>
    </row>
    <row r="151" customFormat="false" ht="15" hidden="false" customHeight="true" outlineLevel="0" collapsed="false">
      <c r="A151" s="17" t="str">
        <f aca="false">IF(품목마스터!$A148="","",품목마스터!$A148)</f>
        <v/>
      </c>
      <c r="B151" s="17" t="str">
        <f aca="false">IF($A151="","",품목마스터!$B148)</f>
        <v/>
      </c>
      <c r="C151" s="21" t="str">
        <f aca="false">IF($A151="","",품목마스터!$D148)</f>
        <v/>
      </c>
      <c r="D151" s="22" t="str">
        <f aca="false">IF($A151="","",IF(품목마스터!$E148="",0,품목마스터!$E148))</f>
        <v/>
      </c>
      <c r="E151" s="22" t="str">
        <f aca="false">IF($A151="","",SUMIFS(사용내역!$E$3:$E$3002,사용내역!$B$3:$B$3002,$A151,사용내역!$A$3:$A$3002,"&gt;"&amp;($B$3-사용안내!$C$16),사용내역!$A$3:$A$3002,"&lt;="&amp;$B$3))</f>
        <v/>
      </c>
      <c r="F151" s="23" t="str">
        <f aca="false">IF($A151="","",IF(사용안내!$C$16=0,0,ROUND($E151/사용안내!$C$16,3)))</f>
        <v/>
      </c>
      <c r="G151" s="24" t="str">
        <f aca="false">IF($A151="","",IF($F151&lt;=0,"사용기록없음",ROUND($D151/$F151,0)))</f>
        <v/>
      </c>
      <c r="H151" s="25" t="str">
        <f aca="false">IF(OR($A151="",$F151&lt;=0),"",$B$3+$G151)</f>
        <v/>
      </c>
      <c r="I151" s="21" t="str">
        <f aca="false">IF($A151="","",IF(품목마스터!$F148="",0,품목마스터!$F148))</f>
        <v/>
      </c>
      <c r="J151" s="25" t="str">
        <f aca="false">IF(OR($A151="",$F151&lt;=0),"",$H151-$I151)</f>
        <v/>
      </c>
      <c r="K151" s="22" t="n">
        <f aca="false">IF(OR($A151="",$F151&lt;=0),0,MAX(0,CEILING(MAX(0,($I151+사용안내!$C$17)*$F151-$D151),MAX(1,IF(품목마스터!$H148="",1,품목마스터!$H148)))))</f>
        <v>0</v>
      </c>
      <c r="L151" s="21" t="str">
        <f aca="false">IF($A151="","",IF($F151&lt;=0,"-",IF($J151&lt;=$B$3,"발주",IF($J151&lt;=$B$3+7,"임박","정상"))))</f>
        <v/>
      </c>
    </row>
    <row r="152" customFormat="false" ht="15" hidden="false" customHeight="true" outlineLevel="0" collapsed="false">
      <c r="A152" s="17" t="str">
        <f aca="false">IF(품목마스터!$A149="","",품목마스터!$A149)</f>
        <v/>
      </c>
      <c r="B152" s="17" t="str">
        <f aca="false">IF($A152="","",품목마스터!$B149)</f>
        <v/>
      </c>
      <c r="C152" s="21" t="str">
        <f aca="false">IF($A152="","",품목마스터!$D149)</f>
        <v/>
      </c>
      <c r="D152" s="22" t="str">
        <f aca="false">IF($A152="","",IF(품목마스터!$E149="",0,품목마스터!$E149))</f>
        <v/>
      </c>
      <c r="E152" s="22" t="str">
        <f aca="false">IF($A152="","",SUMIFS(사용내역!$E$3:$E$3002,사용내역!$B$3:$B$3002,$A152,사용내역!$A$3:$A$3002,"&gt;"&amp;($B$3-사용안내!$C$16),사용내역!$A$3:$A$3002,"&lt;="&amp;$B$3))</f>
        <v/>
      </c>
      <c r="F152" s="23" t="str">
        <f aca="false">IF($A152="","",IF(사용안내!$C$16=0,0,ROUND($E152/사용안내!$C$16,3)))</f>
        <v/>
      </c>
      <c r="G152" s="24" t="str">
        <f aca="false">IF($A152="","",IF($F152&lt;=0,"사용기록없음",ROUND($D152/$F152,0)))</f>
        <v/>
      </c>
      <c r="H152" s="25" t="str">
        <f aca="false">IF(OR($A152="",$F152&lt;=0),"",$B$3+$G152)</f>
        <v/>
      </c>
      <c r="I152" s="21" t="str">
        <f aca="false">IF($A152="","",IF(품목마스터!$F149="",0,품목마스터!$F149))</f>
        <v/>
      </c>
      <c r="J152" s="25" t="str">
        <f aca="false">IF(OR($A152="",$F152&lt;=0),"",$H152-$I152)</f>
        <v/>
      </c>
      <c r="K152" s="22" t="n">
        <f aca="false">IF(OR($A152="",$F152&lt;=0),0,MAX(0,CEILING(MAX(0,($I152+사용안내!$C$17)*$F152-$D152),MAX(1,IF(품목마스터!$H149="",1,품목마스터!$H149)))))</f>
        <v>0</v>
      </c>
      <c r="L152" s="21" t="str">
        <f aca="false">IF($A152="","",IF($F152&lt;=0,"-",IF($J152&lt;=$B$3,"발주",IF($J152&lt;=$B$3+7,"임박","정상"))))</f>
        <v/>
      </c>
    </row>
    <row r="153" customFormat="false" ht="15" hidden="false" customHeight="true" outlineLevel="0" collapsed="false">
      <c r="A153" s="17" t="str">
        <f aca="false">IF(품목마스터!$A150="","",품목마스터!$A150)</f>
        <v/>
      </c>
      <c r="B153" s="17" t="str">
        <f aca="false">IF($A153="","",품목마스터!$B150)</f>
        <v/>
      </c>
      <c r="C153" s="21" t="str">
        <f aca="false">IF($A153="","",품목마스터!$D150)</f>
        <v/>
      </c>
      <c r="D153" s="22" t="str">
        <f aca="false">IF($A153="","",IF(품목마스터!$E150="",0,품목마스터!$E150))</f>
        <v/>
      </c>
      <c r="E153" s="22" t="str">
        <f aca="false">IF($A153="","",SUMIFS(사용내역!$E$3:$E$3002,사용내역!$B$3:$B$3002,$A153,사용내역!$A$3:$A$3002,"&gt;"&amp;($B$3-사용안내!$C$16),사용내역!$A$3:$A$3002,"&lt;="&amp;$B$3))</f>
        <v/>
      </c>
      <c r="F153" s="23" t="str">
        <f aca="false">IF($A153="","",IF(사용안내!$C$16=0,0,ROUND($E153/사용안내!$C$16,3)))</f>
        <v/>
      </c>
      <c r="G153" s="24" t="str">
        <f aca="false">IF($A153="","",IF($F153&lt;=0,"사용기록없음",ROUND($D153/$F153,0)))</f>
        <v/>
      </c>
      <c r="H153" s="25" t="str">
        <f aca="false">IF(OR($A153="",$F153&lt;=0),"",$B$3+$G153)</f>
        <v/>
      </c>
      <c r="I153" s="21" t="str">
        <f aca="false">IF($A153="","",IF(품목마스터!$F150="",0,품목마스터!$F150))</f>
        <v/>
      </c>
      <c r="J153" s="25" t="str">
        <f aca="false">IF(OR($A153="",$F153&lt;=0),"",$H153-$I153)</f>
        <v/>
      </c>
      <c r="K153" s="22" t="n">
        <f aca="false">IF(OR($A153="",$F153&lt;=0),0,MAX(0,CEILING(MAX(0,($I153+사용안내!$C$17)*$F153-$D153),MAX(1,IF(품목마스터!$H150="",1,품목마스터!$H150)))))</f>
        <v>0</v>
      </c>
      <c r="L153" s="21" t="str">
        <f aca="false">IF($A153="","",IF($F153&lt;=0,"-",IF($J153&lt;=$B$3,"발주",IF($J153&lt;=$B$3+7,"임박","정상"))))</f>
        <v/>
      </c>
    </row>
    <row r="154" customFormat="false" ht="15" hidden="false" customHeight="true" outlineLevel="0" collapsed="false">
      <c r="A154" s="17" t="str">
        <f aca="false">IF(품목마스터!$A151="","",품목마스터!$A151)</f>
        <v/>
      </c>
      <c r="B154" s="17" t="str">
        <f aca="false">IF($A154="","",품목마스터!$B151)</f>
        <v/>
      </c>
      <c r="C154" s="21" t="str">
        <f aca="false">IF($A154="","",품목마스터!$D151)</f>
        <v/>
      </c>
      <c r="D154" s="22" t="str">
        <f aca="false">IF($A154="","",IF(품목마스터!$E151="",0,품목마스터!$E151))</f>
        <v/>
      </c>
      <c r="E154" s="22" t="str">
        <f aca="false">IF($A154="","",SUMIFS(사용내역!$E$3:$E$3002,사용내역!$B$3:$B$3002,$A154,사용내역!$A$3:$A$3002,"&gt;"&amp;($B$3-사용안내!$C$16),사용내역!$A$3:$A$3002,"&lt;="&amp;$B$3))</f>
        <v/>
      </c>
      <c r="F154" s="23" t="str">
        <f aca="false">IF($A154="","",IF(사용안내!$C$16=0,0,ROUND($E154/사용안내!$C$16,3)))</f>
        <v/>
      </c>
      <c r="G154" s="24" t="str">
        <f aca="false">IF($A154="","",IF($F154&lt;=0,"사용기록없음",ROUND($D154/$F154,0)))</f>
        <v/>
      </c>
      <c r="H154" s="25" t="str">
        <f aca="false">IF(OR($A154="",$F154&lt;=0),"",$B$3+$G154)</f>
        <v/>
      </c>
      <c r="I154" s="21" t="str">
        <f aca="false">IF($A154="","",IF(품목마스터!$F151="",0,품목마스터!$F151))</f>
        <v/>
      </c>
      <c r="J154" s="25" t="str">
        <f aca="false">IF(OR($A154="",$F154&lt;=0),"",$H154-$I154)</f>
        <v/>
      </c>
      <c r="K154" s="22" t="n">
        <f aca="false">IF(OR($A154="",$F154&lt;=0),0,MAX(0,CEILING(MAX(0,($I154+사용안내!$C$17)*$F154-$D154),MAX(1,IF(품목마스터!$H151="",1,품목마스터!$H151)))))</f>
        <v>0</v>
      </c>
      <c r="L154" s="21" t="str">
        <f aca="false">IF($A154="","",IF($F154&lt;=0,"-",IF($J154&lt;=$B$3,"발주",IF($J154&lt;=$B$3+7,"임박","정상"))))</f>
        <v/>
      </c>
    </row>
    <row r="155" customFormat="false" ht="15" hidden="false" customHeight="true" outlineLevel="0" collapsed="false">
      <c r="A155" s="17" t="str">
        <f aca="false">IF(품목마스터!$A152="","",품목마스터!$A152)</f>
        <v/>
      </c>
      <c r="B155" s="17" t="str">
        <f aca="false">IF($A155="","",품목마스터!$B152)</f>
        <v/>
      </c>
      <c r="C155" s="21" t="str">
        <f aca="false">IF($A155="","",품목마스터!$D152)</f>
        <v/>
      </c>
      <c r="D155" s="22" t="str">
        <f aca="false">IF($A155="","",IF(품목마스터!$E152="",0,품목마스터!$E152))</f>
        <v/>
      </c>
      <c r="E155" s="22" t="str">
        <f aca="false">IF($A155="","",SUMIFS(사용내역!$E$3:$E$3002,사용내역!$B$3:$B$3002,$A155,사용내역!$A$3:$A$3002,"&gt;"&amp;($B$3-사용안내!$C$16),사용내역!$A$3:$A$3002,"&lt;="&amp;$B$3))</f>
        <v/>
      </c>
      <c r="F155" s="23" t="str">
        <f aca="false">IF($A155="","",IF(사용안내!$C$16=0,0,ROUND($E155/사용안내!$C$16,3)))</f>
        <v/>
      </c>
      <c r="G155" s="24" t="str">
        <f aca="false">IF($A155="","",IF($F155&lt;=0,"사용기록없음",ROUND($D155/$F155,0)))</f>
        <v/>
      </c>
      <c r="H155" s="25" t="str">
        <f aca="false">IF(OR($A155="",$F155&lt;=0),"",$B$3+$G155)</f>
        <v/>
      </c>
      <c r="I155" s="21" t="str">
        <f aca="false">IF($A155="","",IF(품목마스터!$F152="",0,품목마스터!$F152))</f>
        <v/>
      </c>
      <c r="J155" s="25" t="str">
        <f aca="false">IF(OR($A155="",$F155&lt;=0),"",$H155-$I155)</f>
        <v/>
      </c>
      <c r="K155" s="22" t="n">
        <f aca="false">IF(OR($A155="",$F155&lt;=0),0,MAX(0,CEILING(MAX(0,($I155+사용안내!$C$17)*$F155-$D155),MAX(1,IF(품목마스터!$H152="",1,품목마스터!$H152)))))</f>
        <v>0</v>
      </c>
      <c r="L155" s="21" t="str">
        <f aca="false">IF($A155="","",IF($F155&lt;=0,"-",IF($J155&lt;=$B$3,"발주",IF($J155&lt;=$B$3+7,"임박","정상"))))</f>
        <v/>
      </c>
    </row>
    <row r="156" customFormat="false" ht="15" hidden="false" customHeight="true" outlineLevel="0" collapsed="false">
      <c r="A156" s="17" t="str">
        <f aca="false">IF(품목마스터!$A153="","",품목마스터!$A153)</f>
        <v/>
      </c>
      <c r="B156" s="17" t="str">
        <f aca="false">IF($A156="","",품목마스터!$B153)</f>
        <v/>
      </c>
      <c r="C156" s="21" t="str">
        <f aca="false">IF($A156="","",품목마스터!$D153)</f>
        <v/>
      </c>
      <c r="D156" s="22" t="str">
        <f aca="false">IF($A156="","",IF(품목마스터!$E153="",0,품목마스터!$E153))</f>
        <v/>
      </c>
      <c r="E156" s="22" t="str">
        <f aca="false">IF($A156="","",SUMIFS(사용내역!$E$3:$E$3002,사용내역!$B$3:$B$3002,$A156,사용내역!$A$3:$A$3002,"&gt;"&amp;($B$3-사용안내!$C$16),사용내역!$A$3:$A$3002,"&lt;="&amp;$B$3))</f>
        <v/>
      </c>
      <c r="F156" s="23" t="str">
        <f aca="false">IF($A156="","",IF(사용안내!$C$16=0,0,ROUND($E156/사용안내!$C$16,3)))</f>
        <v/>
      </c>
      <c r="G156" s="24" t="str">
        <f aca="false">IF($A156="","",IF($F156&lt;=0,"사용기록없음",ROUND($D156/$F156,0)))</f>
        <v/>
      </c>
      <c r="H156" s="25" t="str">
        <f aca="false">IF(OR($A156="",$F156&lt;=0),"",$B$3+$G156)</f>
        <v/>
      </c>
      <c r="I156" s="21" t="str">
        <f aca="false">IF($A156="","",IF(품목마스터!$F153="",0,품목마스터!$F153))</f>
        <v/>
      </c>
      <c r="J156" s="25" t="str">
        <f aca="false">IF(OR($A156="",$F156&lt;=0),"",$H156-$I156)</f>
        <v/>
      </c>
      <c r="K156" s="22" t="n">
        <f aca="false">IF(OR($A156="",$F156&lt;=0),0,MAX(0,CEILING(MAX(0,($I156+사용안내!$C$17)*$F156-$D156),MAX(1,IF(품목마스터!$H153="",1,품목마스터!$H153)))))</f>
        <v>0</v>
      </c>
      <c r="L156" s="21" t="str">
        <f aca="false">IF($A156="","",IF($F156&lt;=0,"-",IF($J156&lt;=$B$3,"발주",IF($J156&lt;=$B$3+7,"임박","정상"))))</f>
        <v/>
      </c>
    </row>
    <row r="157" customFormat="false" ht="15" hidden="false" customHeight="true" outlineLevel="0" collapsed="false">
      <c r="A157" s="17" t="str">
        <f aca="false">IF(품목마스터!$A154="","",품목마스터!$A154)</f>
        <v/>
      </c>
      <c r="B157" s="17" t="str">
        <f aca="false">IF($A157="","",품목마스터!$B154)</f>
        <v/>
      </c>
      <c r="C157" s="21" t="str">
        <f aca="false">IF($A157="","",품목마스터!$D154)</f>
        <v/>
      </c>
      <c r="D157" s="22" t="str">
        <f aca="false">IF($A157="","",IF(품목마스터!$E154="",0,품목마스터!$E154))</f>
        <v/>
      </c>
      <c r="E157" s="22" t="str">
        <f aca="false">IF($A157="","",SUMIFS(사용내역!$E$3:$E$3002,사용내역!$B$3:$B$3002,$A157,사용내역!$A$3:$A$3002,"&gt;"&amp;($B$3-사용안내!$C$16),사용내역!$A$3:$A$3002,"&lt;="&amp;$B$3))</f>
        <v/>
      </c>
      <c r="F157" s="23" t="str">
        <f aca="false">IF($A157="","",IF(사용안내!$C$16=0,0,ROUND($E157/사용안내!$C$16,3)))</f>
        <v/>
      </c>
      <c r="G157" s="24" t="str">
        <f aca="false">IF($A157="","",IF($F157&lt;=0,"사용기록없음",ROUND($D157/$F157,0)))</f>
        <v/>
      </c>
      <c r="H157" s="25" t="str">
        <f aca="false">IF(OR($A157="",$F157&lt;=0),"",$B$3+$G157)</f>
        <v/>
      </c>
      <c r="I157" s="21" t="str">
        <f aca="false">IF($A157="","",IF(품목마스터!$F154="",0,품목마스터!$F154))</f>
        <v/>
      </c>
      <c r="J157" s="25" t="str">
        <f aca="false">IF(OR($A157="",$F157&lt;=0),"",$H157-$I157)</f>
        <v/>
      </c>
      <c r="K157" s="22" t="n">
        <f aca="false">IF(OR($A157="",$F157&lt;=0),0,MAX(0,CEILING(MAX(0,($I157+사용안내!$C$17)*$F157-$D157),MAX(1,IF(품목마스터!$H154="",1,품목마스터!$H154)))))</f>
        <v>0</v>
      </c>
      <c r="L157" s="21" t="str">
        <f aca="false">IF($A157="","",IF($F157&lt;=0,"-",IF($J157&lt;=$B$3,"발주",IF($J157&lt;=$B$3+7,"임박","정상"))))</f>
        <v/>
      </c>
    </row>
    <row r="158" customFormat="false" ht="15" hidden="false" customHeight="true" outlineLevel="0" collapsed="false">
      <c r="A158" s="17" t="str">
        <f aca="false">IF(품목마스터!$A155="","",품목마스터!$A155)</f>
        <v/>
      </c>
      <c r="B158" s="17" t="str">
        <f aca="false">IF($A158="","",품목마스터!$B155)</f>
        <v/>
      </c>
      <c r="C158" s="21" t="str">
        <f aca="false">IF($A158="","",품목마스터!$D155)</f>
        <v/>
      </c>
      <c r="D158" s="22" t="str">
        <f aca="false">IF($A158="","",IF(품목마스터!$E155="",0,품목마스터!$E155))</f>
        <v/>
      </c>
      <c r="E158" s="22" t="str">
        <f aca="false">IF($A158="","",SUMIFS(사용내역!$E$3:$E$3002,사용내역!$B$3:$B$3002,$A158,사용내역!$A$3:$A$3002,"&gt;"&amp;($B$3-사용안내!$C$16),사용내역!$A$3:$A$3002,"&lt;="&amp;$B$3))</f>
        <v/>
      </c>
      <c r="F158" s="23" t="str">
        <f aca="false">IF($A158="","",IF(사용안내!$C$16=0,0,ROUND($E158/사용안내!$C$16,3)))</f>
        <v/>
      </c>
      <c r="G158" s="24" t="str">
        <f aca="false">IF($A158="","",IF($F158&lt;=0,"사용기록없음",ROUND($D158/$F158,0)))</f>
        <v/>
      </c>
      <c r="H158" s="25" t="str">
        <f aca="false">IF(OR($A158="",$F158&lt;=0),"",$B$3+$G158)</f>
        <v/>
      </c>
      <c r="I158" s="21" t="str">
        <f aca="false">IF($A158="","",IF(품목마스터!$F155="",0,품목마스터!$F155))</f>
        <v/>
      </c>
      <c r="J158" s="25" t="str">
        <f aca="false">IF(OR($A158="",$F158&lt;=0),"",$H158-$I158)</f>
        <v/>
      </c>
      <c r="K158" s="22" t="n">
        <f aca="false">IF(OR($A158="",$F158&lt;=0),0,MAX(0,CEILING(MAX(0,($I158+사용안내!$C$17)*$F158-$D158),MAX(1,IF(품목마스터!$H155="",1,품목마스터!$H155)))))</f>
        <v>0</v>
      </c>
      <c r="L158" s="21" t="str">
        <f aca="false">IF($A158="","",IF($F158&lt;=0,"-",IF($J158&lt;=$B$3,"발주",IF($J158&lt;=$B$3+7,"임박","정상"))))</f>
        <v/>
      </c>
    </row>
    <row r="159" customFormat="false" ht="15" hidden="false" customHeight="true" outlineLevel="0" collapsed="false">
      <c r="A159" s="17" t="str">
        <f aca="false">IF(품목마스터!$A156="","",품목마스터!$A156)</f>
        <v/>
      </c>
      <c r="B159" s="17" t="str">
        <f aca="false">IF($A159="","",품목마스터!$B156)</f>
        <v/>
      </c>
      <c r="C159" s="21" t="str">
        <f aca="false">IF($A159="","",품목마스터!$D156)</f>
        <v/>
      </c>
      <c r="D159" s="22" t="str">
        <f aca="false">IF($A159="","",IF(품목마스터!$E156="",0,품목마스터!$E156))</f>
        <v/>
      </c>
      <c r="E159" s="22" t="str">
        <f aca="false">IF($A159="","",SUMIFS(사용내역!$E$3:$E$3002,사용내역!$B$3:$B$3002,$A159,사용내역!$A$3:$A$3002,"&gt;"&amp;($B$3-사용안내!$C$16),사용내역!$A$3:$A$3002,"&lt;="&amp;$B$3))</f>
        <v/>
      </c>
      <c r="F159" s="23" t="str">
        <f aca="false">IF($A159="","",IF(사용안내!$C$16=0,0,ROUND($E159/사용안내!$C$16,3)))</f>
        <v/>
      </c>
      <c r="G159" s="24" t="str">
        <f aca="false">IF($A159="","",IF($F159&lt;=0,"사용기록없음",ROUND($D159/$F159,0)))</f>
        <v/>
      </c>
      <c r="H159" s="25" t="str">
        <f aca="false">IF(OR($A159="",$F159&lt;=0),"",$B$3+$G159)</f>
        <v/>
      </c>
      <c r="I159" s="21" t="str">
        <f aca="false">IF($A159="","",IF(품목마스터!$F156="",0,품목마스터!$F156))</f>
        <v/>
      </c>
      <c r="J159" s="25" t="str">
        <f aca="false">IF(OR($A159="",$F159&lt;=0),"",$H159-$I159)</f>
        <v/>
      </c>
      <c r="K159" s="22" t="n">
        <f aca="false">IF(OR($A159="",$F159&lt;=0),0,MAX(0,CEILING(MAX(0,($I159+사용안내!$C$17)*$F159-$D159),MAX(1,IF(품목마스터!$H156="",1,품목마스터!$H156)))))</f>
        <v>0</v>
      </c>
      <c r="L159" s="21" t="str">
        <f aca="false">IF($A159="","",IF($F159&lt;=0,"-",IF($J159&lt;=$B$3,"발주",IF($J159&lt;=$B$3+7,"임박","정상"))))</f>
        <v/>
      </c>
    </row>
    <row r="160" customFormat="false" ht="15" hidden="false" customHeight="true" outlineLevel="0" collapsed="false">
      <c r="A160" s="17" t="str">
        <f aca="false">IF(품목마스터!$A157="","",품목마스터!$A157)</f>
        <v/>
      </c>
      <c r="B160" s="17" t="str">
        <f aca="false">IF($A160="","",품목마스터!$B157)</f>
        <v/>
      </c>
      <c r="C160" s="21" t="str">
        <f aca="false">IF($A160="","",품목마스터!$D157)</f>
        <v/>
      </c>
      <c r="D160" s="22" t="str">
        <f aca="false">IF($A160="","",IF(품목마스터!$E157="",0,품목마스터!$E157))</f>
        <v/>
      </c>
      <c r="E160" s="22" t="str">
        <f aca="false">IF($A160="","",SUMIFS(사용내역!$E$3:$E$3002,사용내역!$B$3:$B$3002,$A160,사용내역!$A$3:$A$3002,"&gt;"&amp;($B$3-사용안내!$C$16),사용내역!$A$3:$A$3002,"&lt;="&amp;$B$3))</f>
        <v/>
      </c>
      <c r="F160" s="23" t="str">
        <f aca="false">IF($A160="","",IF(사용안내!$C$16=0,0,ROUND($E160/사용안내!$C$16,3)))</f>
        <v/>
      </c>
      <c r="G160" s="24" t="str">
        <f aca="false">IF($A160="","",IF($F160&lt;=0,"사용기록없음",ROUND($D160/$F160,0)))</f>
        <v/>
      </c>
      <c r="H160" s="25" t="str">
        <f aca="false">IF(OR($A160="",$F160&lt;=0),"",$B$3+$G160)</f>
        <v/>
      </c>
      <c r="I160" s="21" t="str">
        <f aca="false">IF($A160="","",IF(품목마스터!$F157="",0,품목마스터!$F157))</f>
        <v/>
      </c>
      <c r="J160" s="25" t="str">
        <f aca="false">IF(OR($A160="",$F160&lt;=0),"",$H160-$I160)</f>
        <v/>
      </c>
      <c r="K160" s="22" t="n">
        <f aca="false">IF(OR($A160="",$F160&lt;=0),0,MAX(0,CEILING(MAX(0,($I160+사용안내!$C$17)*$F160-$D160),MAX(1,IF(품목마스터!$H157="",1,품목마스터!$H157)))))</f>
        <v>0</v>
      </c>
      <c r="L160" s="21" t="str">
        <f aca="false">IF($A160="","",IF($F160&lt;=0,"-",IF($J160&lt;=$B$3,"발주",IF($J160&lt;=$B$3+7,"임박","정상"))))</f>
        <v/>
      </c>
    </row>
    <row r="161" customFormat="false" ht="15" hidden="false" customHeight="true" outlineLevel="0" collapsed="false">
      <c r="A161" s="17" t="str">
        <f aca="false">IF(품목마스터!$A158="","",품목마스터!$A158)</f>
        <v/>
      </c>
      <c r="B161" s="17" t="str">
        <f aca="false">IF($A161="","",품목마스터!$B158)</f>
        <v/>
      </c>
      <c r="C161" s="21" t="str">
        <f aca="false">IF($A161="","",품목마스터!$D158)</f>
        <v/>
      </c>
      <c r="D161" s="22" t="str">
        <f aca="false">IF($A161="","",IF(품목마스터!$E158="",0,품목마스터!$E158))</f>
        <v/>
      </c>
      <c r="E161" s="22" t="str">
        <f aca="false">IF($A161="","",SUMIFS(사용내역!$E$3:$E$3002,사용내역!$B$3:$B$3002,$A161,사용내역!$A$3:$A$3002,"&gt;"&amp;($B$3-사용안내!$C$16),사용내역!$A$3:$A$3002,"&lt;="&amp;$B$3))</f>
        <v/>
      </c>
      <c r="F161" s="23" t="str">
        <f aca="false">IF($A161="","",IF(사용안내!$C$16=0,0,ROUND($E161/사용안내!$C$16,3)))</f>
        <v/>
      </c>
      <c r="G161" s="24" t="str">
        <f aca="false">IF($A161="","",IF($F161&lt;=0,"사용기록없음",ROUND($D161/$F161,0)))</f>
        <v/>
      </c>
      <c r="H161" s="25" t="str">
        <f aca="false">IF(OR($A161="",$F161&lt;=0),"",$B$3+$G161)</f>
        <v/>
      </c>
      <c r="I161" s="21" t="str">
        <f aca="false">IF($A161="","",IF(품목마스터!$F158="",0,품목마스터!$F158))</f>
        <v/>
      </c>
      <c r="J161" s="25" t="str">
        <f aca="false">IF(OR($A161="",$F161&lt;=0),"",$H161-$I161)</f>
        <v/>
      </c>
      <c r="K161" s="22" t="n">
        <f aca="false">IF(OR($A161="",$F161&lt;=0),0,MAX(0,CEILING(MAX(0,($I161+사용안내!$C$17)*$F161-$D161),MAX(1,IF(품목마스터!$H158="",1,품목마스터!$H158)))))</f>
        <v>0</v>
      </c>
      <c r="L161" s="21" t="str">
        <f aca="false">IF($A161="","",IF($F161&lt;=0,"-",IF($J161&lt;=$B$3,"발주",IF($J161&lt;=$B$3+7,"임박","정상"))))</f>
        <v/>
      </c>
    </row>
    <row r="162" customFormat="false" ht="15" hidden="false" customHeight="true" outlineLevel="0" collapsed="false">
      <c r="A162" s="17" t="str">
        <f aca="false">IF(품목마스터!$A159="","",품목마스터!$A159)</f>
        <v/>
      </c>
      <c r="B162" s="17" t="str">
        <f aca="false">IF($A162="","",품목마스터!$B159)</f>
        <v/>
      </c>
      <c r="C162" s="21" t="str">
        <f aca="false">IF($A162="","",품목마스터!$D159)</f>
        <v/>
      </c>
      <c r="D162" s="22" t="str">
        <f aca="false">IF($A162="","",IF(품목마스터!$E159="",0,품목마스터!$E159))</f>
        <v/>
      </c>
      <c r="E162" s="22" t="str">
        <f aca="false">IF($A162="","",SUMIFS(사용내역!$E$3:$E$3002,사용내역!$B$3:$B$3002,$A162,사용내역!$A$3:$A$3002,"&gt;"&amp;($B$3-사용안내!$C$16),사용내역!$A$3:$A$3002,"&lt;="&amp;$B$3))</f>
        <v/>
      </c>
      <c r="F162" s="23" t="str">
        <f aca="false">IF($A162="","",IF(사용안내!$C$16=0,0,ROUND($E162/사용안내!$C$16,3)))</f>
        <v/>
      </c>
      <c r="G162" s="24" t="str">
        <f aca="false">IF($A162="","",IF($F162&lt;=0,"사용기록없음",ROUND($D162/$F162,0)))</f>
        <v/>
      </c>
      <c r="H162" s="25" t="str">
        <f aca="false">IF(OR($A162="",$F162&lt;=0),"",$B$3+$G162)</f>
        <v/>
      </c>
      <c r="I162" s="21" t="str">
        <f aca="false">IF($A162="","",IF(품목마스터!$F159="",0,품목마스터!$F159))</f>
        <v/>
      </c>
      <c r="J162" s="25" t="str">
        <f aca="false">IF(OR($A162="",$F162&lt;=0),"",$H162-$I162)</f>
        <v/>
      </c>
      <c r="K162" s="22" t="n">
        <f aca="false">IF(OR($A162="",$F162&lt;=0),0,MAX(0,CEILING(MAX(0,($I162+사용안내!$C$17)*$F162-$D162),MAX(1,IF(품목마스터!$H159="",1,품목마스터!$H159)))))</f>
        <v>0</v>
      </c>
      <c r="L162" s="21" t="str">
        <f aca="false">IF($A162="","",IF($F162&lt;=0,"-",IF($J162&lt;=$B$3,"발주",IF($J162&lt;=$B$3+7,"임박","정상"))))</f>
        <v/>
      </c>
    </row>
    <row r="163" customFormat="false" ht="15" hidden="false" customHeight="true" outlineLevel="0" collapsed="false">
      <c r="A163" s="17" t="str">
        <f aca="false">IF(품목마스터!$A160="","",품목마스터!$A160)</f>
        <v/>
      </c>
      <c r="B163" s="17" t="str">
        <f aca="false">IF($A163="","",품목마스터!$B160)</f>
        <v/>
      </c>
      <c r="C163" s="21" t="str">
        <f aca="false">IF($A163="","",품목마스터!$D160)</f>
        <v/>
      </c>
      <c r="D163" s="22" t="str">
        <f aca="false">IF($A163="","",IF(품목마스터!$E160="",0,품목마스터!$E160))</f>
        <v/>
      </c>
      <c r="E163" s="22" t="str">
        <f aca="false">IF($A163="","",SUMIFS(사용내역!$E$3:$E$3002,사용내역!$B$3:$B$3002,$A163,사용내역!$A$3:$A$3002,"&gt;"&amp;($B$3-사용안내!$C$16),사용내역!$A$3:$A$3002,"&lt;="&amp;$B$3))</f>
        <v/>
      </c>
      <c r="F163" s="23" t="str">
        <f aca="false">IF($A163="","",IF(사용안내!$C$16=0,0,ROUND($E163/사용안내!$C$16,3)))</f>
        <v/>
      </c>
      <c r="G163" s="24" t="str">
        <f aca="false">IF($A163="","",IF($F163&lt;=0,"사용기록없음",ROUND($D163/$F163,0)))</f>
        <v/>
      </c>
      <c r="H163" s="25" t="str">
        <f aca="false">IF(OR($A163="",$F163&lt;=0),"",$B$3+$G163)</f>
        <v/>
      </c>
      <c r="I163" s="21" t="str">
        <f aca="false">IF($A163="","",IF(품목마스터!$F160="",0,품목마스터!$F160))</f>
        <v/>
      </c>
      <c r="J163" s="25" t="str">
        <f aca="false">IF(OR($A163="",$F163&lt;=0),"",$H163-$I163)</f>
        <v/>
      </c>
      <c r="K163" s="22" t="n">
        <f aca="false">IF(OR($A163="",$F163&lt;=0),0,MAX(0,CEILING(MAX(0,($I163+사용안내!$C$17)*$F163-$D163),MAX(1,IF(품목마스터!$H160="",1,품목마스터!$H160)))))</f>
        <v>0</v>
      </c>
      <c r="L163" s="21" t="str">
        <f aca="false">IF($A163="","",IF($F163&lt;=0,"-",IF($J163&lt;=$B$3,"발주",IF($J163&lt;=$B$3+7,"임박","정상"))))</f>
        <v/>
      </c>
    </row>
    <row r="164" customFormat="false" ht="15" hidden="false" customHeight="true" outlineLevel="0" collapsed="false">
      <c r="A164" s="17" t="str">
        <f aca="false">IF(품목마스터!$A161="","",품목마스터!$A161)</f>
        <v/>
      </c>
      <c r="B164" s="17" t="str">
        <f aca="false">IF($A164="","",품목마스터!$B161)</f>
        <v/>
      </c>
      <c r="C164" s="21" t="str">
        <f aca="false">IF($A164="","",품목마스터!$D161)</f>
        <v/>
      </c>
      <c r="D164" s="22" t="str">
        <f aca="false">IF($A164="","",IF(품목마스터!$E161="",0,품목마스터!$E161))</f>
        <v/>
      </c>
      <c r="E164" s="22" t="str">
        <f aca="false">IF($A164="","",SUMIFS(사용내역!$E$3:$E$3002,사용내역!$B$3:$B$3002,$A164,사용내역!$A$3:$A$3002,"&gt;"&amp;($B$3-사용안내!$C$16),사용내역!$A$3:$A$3002,"&lt;="&amp;$B$3))</f>
        <v/>
      </c>
      <c r="F164" s="23" t="str">
        <f aca="false">IF($A164="","",IF(사용안내!$C$16=0,0,ROUND($E164/사용안내!$C$16,3)))</f>
        <v/>
      </c>
      <c r="G164" s="24" t="str">
        <f aca="false">IF($A164="","",IF($F164&lt;=0,"사용기록없음",ROUND($D164/$F164,0)))</f>
        <v/>
      </c>
      <c r="H164" s="25" t="str">
        <f aca="false">IF(OR($A164="",$F164&lt;=0),"",$B$3+$G164)</f>
        <v/>
      </c>
      <c r="I164" s="21" t="str">
        <f aca="false">IF($A164="","",IF(품목마스터!$F161="",0,품목마스터!$F161))</f>
        <v/>
      </c>
      <c r="J164" s="25" t="str">
        <f aca="false">IF(OR($A164="",$F164&lt;=0),"",$H164-$I164)</f>
        <v/>
      </c>
      <c r="K164" s="22" t="n">
        <f aca="false">IF(OR($A164="",$F164&lt;=0),0,MAX(0,CEILING(MAX(0,($I164+사용안내!$C$17)*$F164-$D164),MAX(1,IF(품목마스터!$H161="",1,품목마스터!$H161)))))</f>
        <v>0</v>
      </c>
      <c r="L164" s="21" t="str">
        <f aca="false">IF($A164="","",IF($F164&lt;=0,"-",IF($J164&lt;=$B$3,"발주",IF($J164&lt;=$B$3+7,"임박","정상"))))</f>
        <v/>
      </c>
    </row>
    <row r="165" customFormat="false" ht="15" hidden="false" customHeight="true" outlineLevel="0" collapsed="false">
      <c r="A165" s="17" t="str">
        <f aca="false">IF(품목마스터!$A162="","",품목마스터!$A162)</f>
        <v/>
      </c>
      <c r="B165" s="17" t="str">
        <f aca="false">IF($A165="","",품목마스터!$B162)</f>
        <v/>
      </c>
      <c r="C165" s="21" t="str">
        <f aca="false">IF($A165="","",품목마스터!$D162)</f>
        <v/>
      </c>
      <c r="D165" s="22" t="str">
        <f aca="false">IF($A165="","",IF(품목마스터!$E162="",0,품목마스터!$E162))</f>
        <v/>
      </c>
      <c r="E165" s="22" t="str">
        <f aca="false">IF($A165="","",SUMIFS(사용내역!$E$3:$E$3002,사용내역!$B$3:$B$3002,$A165,사용내역!$A$3:$A$3002,"&gt;"&amp;($B$3-사용안내!$C$16),사용내역!$A$3:$A$3002,"&lt;="&amp;$B$3))</f>
        <v/>
      </c>
      <c r="F165" s="23" t="str">
        <f aca="false">IF($A165="","",IF(사용안내!$C$16=0,0,ROUND($E165/사용안내!$C$16,3)))</f>
        <v/>
      </c>
      <c r="G165" s="24" t="str">
        <f aca="false">IF($A165="","",IF($F165&lt;=0,"사용기록없음",ROUND($D165/$F165,0)))</f>
        <v/>
      </c>
      <c r="H165" s="25" t="str">
        <f aca="false">IF(OR($A165="",$F165&lt;=0),"",$B$3+$G165)</f>
        <v/>
      </c>
      <c r="I165" s="21" t="str">
        <f aca="false">IF($A165="","",IF(품목마스터!$F162="",0,품목마스터!$F162))</f>
        <v/>
      </c>
      <c r="J165" s="25" t="str">
        <f aca="false">IF(OR($A165="",$F165&lt;=0),"",$H165-$I165)</f>
        <v/>
      </c>
      <c r="K165" s="22" t="n">
        <f aca="false">IF(OR($A165="",$F165&lt;=0),0,MAX(0,CEILING(MAX(0,($I165+사용안내!$C$17)*$F165-$D165),MAX(1,IF(품목마스터!$H162="",1,품목마스터!$H162)))))</f>
        <v>0</v>
      </c>
      <c r="L165" s="21" t="str">
        <f aca="false">IF($A165="","",IF($F165&lt;=0,"-",IF($J165&lt;=$B$3,"발주",IF($J165&lt;=$B$3+7,"임박","정상"))))</f>
        <v/>
      </c>
    </row>
    <row r="166" customFormat="false" ht="15" hidden="false" customHeight="true" outlineLevel="0" collapsed="false">
      <c r="A166" s="17" t="str">
        <f aca="false">IF(품목마스터!$A163="","",품목마스터!$A163)</f>
        <v/>
      </c>
      <c r="B166" s="17" t="str">
        <f aca="false">IF($A166="","",품목마스터!$B163)</f>
        <v/>
      </c>
      <c r="C166" s="21" t="str">
        <f aca="false">IF($A166="","",품목마스터!$D163)</f>
        <v/>
      </c>
      <c r="D166" s="22" t="str">
        <f aca="false">IF($A166="","",IF(품목마스터!$E163="",0,품목마스터!$E163))</f>
        <v/>
      </c>
      <c r="E166" s="22" t="str">
        <f aca="false">IF($A166="","",SUMIFS(사용내역!$E$3:$E$3002,사용내역!$B$3:$B$3002,$A166,사용내역!$A$3:$A$3002,"&gt;"&amp;($B$3-사용안내!$C$16),사용내역!$A$3:$A$3002,"&lt;="&amp;$B$3))</f>
        <v/>
      </c>
      <c r="F166" s="23" t="str">
        <f aca="false">IF($A166="","",IF(사용안내!$C$16=0,0,ROUND($E166/사용안내!$C$16,3)))</f>
        <v/>
      </c>
      <c r="G166" s="24" t="str">
        <f aca="false">IF($A166="","",IF($F166&lt;=0,"사용기록없음",ROUND($D166/$F166,0)))</f>
        <v/>
      </c>
      <c r="H166" s="25" t="str">
        <f aca="false">IF(OR($A166="",$F166&lt;=0),"",$B$3+$G166)</f>
        <v/>
      </c>
      <c r="I166" s="21" t="str">
        <f aca="false">IF($A166="","",IF(품목마스터!$F163="",0,품목마스터!$F163))</f>
        <v/>
      </c>
      <c r="J166" s="25" t="str">
        <f aca="false">IF(OR($A166="",$F166&lt;=0),"",$H166-$I166)</f>
        <v/>
      </c>
      <c r="K166" s="22" t="n">
        <f aca="false">IF(OR($A166="",$F166&lt;=0),0,MAX(0,CEILING(MAX(0,($I166+사용안내!$C$17)*$F166-$D166),MAX(1,IF(품목마스터!$H163="",1,품목마스터!$H163)))))</f>
        <v>0</v>
      </c>
      <c r="L166" s="21" t="str">
        <f aca="false">IF($A166="","",IF($F166&lt;=0,"-",IF($J166&lt;=$B$3,"발주",IF($J166&lt;=$B$3+7,"임박","정상"))))</f>
        <v/>
      </c>
    </row>
    <row r="167" customFormat="false" ht="15" hidden="false" customHeight="true" outlineLevel="0" collapsed="false">
      <c r="A167" s="17" t="str">
        <f aca="false">IF(품목마스터!$A164="","",품목마스터!$A164)</f>
        <v/>
      </c>
      <c r="B167" s="17" t="str">
        <f aca="false">IF($A167="","",품목마스터!$B164)</f>
        <v/>
      </c>
      <c r="C167" s="21" t="str">
        <f aca="false">IF($A167="","",품목마스터!$D164)</f>
        <v/>
      </c>
      <c r="D167" s="22" t="str">
        <f aca="false">IF($A167="","",IF(품목마스터!$E164="",0,품목마스터!$E164))</f>
        <v/>
      </c>
      <c r="E167" s="22" t="str">
        <f aca="false">IF($A167="","",SUMIFS(사용내역!$E$3:$E$3002,사용내역!$B$3:$B$3002,$A167,사용내역!$A$3:$A$3002,"&gt;"&amp;($B$3-사용안내!$C$16),사용내역!$A$3:$A$3002,"&lt;="&amp;$B$3))</f>
        <v/>
      </c>
      <c r="F167" s="23" t="str">
        <f aca="false">IF($A167="","",IF(사용안내!$C$16=0,0,ROUND($E167/사용안내!$C$16,3)))</f>
        <v/>
      </c>
      <c r="G167" s="24" t="str">
        <f aca="false">IF($A167="","",IF($F167&lt;=0,"사용기록없음",ROUND($D167/$F167,0)))</f>
        <v/>
      </c>
      <c r="H167" s="25" t="str">
        <f aca="false">IF(OR($A167="",$F167&lt;=0),"",$B$3+$G167)</f>
        <v/>
      </c>
      <c r="I167" s="21" t="str">
        <f aca="false">IF($A167="","",IF(품목마스터!$F164="",0,품목마스터!$F164))</f>
        <v/>
      </c>
      <c r="J167" s="25" t="str">
        <f aca="false">IF(OR($A167="",$F167&lt;=0),"",$H167-$I167)</f>
        <v/>
      </c>
      <c r="K167" s="22" t="n">
        <f aca="false">IF(OR($A167="",$F167&lt;=0),0,MAX(0,CEILING(MAX(0,($I167+사용안내!$C$17)*$F167-$D167),MAX(1,IF(품목마스터!$H164="",1,품목마스터!$H164)))))</f>
        <v>0</v>
      </c>
      <c r="L167" s="21" t="str">
        <f aca="false">IF($A167="","",IF($F167&lt;=0,"-",IF($J167&lt;=$B$3,"발주",IF($J167&lt;=$B$3+7,"임박","정상"))))</f>
        <v/>
      </c>
    </row>
    <row r="168" customFormat="false" ht="15" hidden="false" customHeight="true" outlineLevel="0" collapsed="false">
      <c r="A168" s="17" t="str">
        <f aca="false">IF(품목마스터!$A165="","",품목마스터!$A165)</f>
        <v/>
      </c>
      <c r="B168" s="17" t="str">
        <f aca="false">IF($A168="","",품목마스터!$B165)</f>
        <v/>
      </c>
      <c r="C168" s="21" t="str">
        <f aca="false">IF($A168="","",품목마스터!$D165)</f>
        <v/>
      </c>
      <c r="D168" s="22" t="str">
        <f aca="false">IF($A168="","",IF(품목마스터!$E165="",0,품목마스터!$E165))</f>
        <v/>
      </c>
      <c r="E168" s="22" t="str">
        <f aca="false">IF($A168="","",SUMIFS(사용내역!$E$3:$E$3002,사용내역!$B$3:$B$3002,$A168,사용내역!$A$3:$A$3002,"&gt;"&amp;($B$3-사용안내!$C$16),사용내역!$A$3:$A$3002,"&lt;="&amp;$B$3))</f>
        <v/>
      </c>
      <c r="F168" s="23" t="str">
        <f aca="false">IF($A168="","",IF(사용안내!$C$16=0,0,ROUND($E168/사용안내!$C$16,3)))</f>
        <v/>
      </c>
      <c r="G168" s="24" t="str">
        <f aca="false">IF($A168="","",IF($F168&lt;=0,"사용기록없음",ROUND($D168/$F168,0)))</f>
        <v/>
      </c>
      <c r="H168" s="25" t="str">
        <f aca="false">IF(OR($A168="",$F168&lt;=0),"",$B$3+$G168)</f>
        <v/>
      </c>
      <c r="I168" s="21" t="str">
        <f aca="false">IF($A168="","",IF(품목마스터!$F165="",0,품목마스터!$F165))</f>
        <v/>
      </c>
      <c r="J168" s="25" t="str">
        <f aca="false">IF(OR($A168="",$F168&lt;=0),"",$H168-$I168)</f>
        <v/>
      </c>
      <c r="K168" s="22" t="n">
        <f aca="false">IF(OR($A168="",$F168&lt;=0),0,MAX(0,CEILING(MAX(0,($I168+사용안내!$C$17)*$F168-$D168),MAX(1,IF(품목마스터!$H165="",1,품목마스터!$H165)))))</f>
        <v>0</v>
      </c>
      <c r="L168" s="21" t="str">
        <f aca="false">IF($A168="","",IF($F168&lt;=0,"-",IF($J168&lt;=$B$3,"발주",IF($J168&lt;=$B$3+7,"임박","정상"))))</f>
        <v/>
      </c>
    </row>
    <row r="169" customFormat="false" ht="15" hidden="false" customHeight="true" outlineLevel="0" collapsed="false">
      <c r="A169" s="17" t="str">
        <f aca="false">IF(품목마스터!$A166="","",품목마스터!$A166)</f>
        <v/>
      </c>
      <c r="B169" s="17" t="str">
        <f aca="false">IF($A169="","",품목마스터!$B166)</f>
        <v/>
      </c>
      <c r="C169" s="21" t="str">
        <f aca="false">IF($A169="","",품목마스터!$D166)</f>
        <v/>
      </c>
      <c r="D169" s="22" t="str">
        <f aca="false">IF($A169="","",IF(품목마스터!$E166="",0,품목마스터!$E166))</f>
        <v/>
      </c>
      <c r="E169" s="22" t="str">
        <f aca="false">IF($A169="","",SUMIFS(사용내역!$E$3:$E$3002,사용내역!$B$3:$B$3002,$A169,사용내역!$A$3:$A$3002,"&gt;"&amp;($B$3-사용안내!$C$16),사용내역!$A$3:$A$3002,"&lt;="&amp;$B$3))</f>
        <v/>
      </c>
      <c r="F169" s="23" t="str">
        <f aca="false">IF($A169="","",IF(사용안내!$C$16=0,0,ROUND($E169/사용안내!$C$16,3)))</f>
        <v/>
      </c>
      <c r="G169" s="24" t="str">
        <f aca="false">IF($A169="","",IF($F169&lt;=0,"사용기록없음",ROUND($D169/$F169,0)))</f>
        <v/>
      </c>
      <c r="H169" s="25" t="str">
        <f aca="false">IF(OR($A169="",$F169&lt;=0),"",$B$3+$G169)</f>
        <v/>
      </c>
      <c r="I169" s="21" t="str">
        <f aca="false">IF($A169="","",IF(품목마스터!$F166="",0,품목마스터!$F166))</f>
        <v/>
      </c>
      <c r="J169" s="25" t="str">
        <f aca="false">IF(OR($A169="",$F169&lt;=0),"",$H169-$I169)</f>
        <v/>
      </c>
      <c r="K169" s="22" t="n">
        <f aca="false">IF(OR($A169="",$F169&lt;=0),0,MAX(0,CEILING(MAX(0,($I169+사용안내!$C$17)*$F169-$D169),MAX(1,IF(품목마스터!$H166="",1,품목마스터!$H166)))))</f>
        <v>0</v>
      </c>
      <c r="L169" s="21" t="str">
        <f aca="false">IF($A169="","",IF($F169&lt;=0,"-",IF($J169&lt;=$B$3,"발주",IF($J169&lt;=$B$3+7,"임박","정상"))))</f>
        <v/>
      </c>
    </row>
    <row r="170" customFormat="false" ht="15" hidden="false" customHeight="true" outlineLevel="0" collapsed="false">
      <c r="A170" s="17" t="str">
        <f aca="false">IF(품목마스터!$A167="","",품목마스터!$A167)</f>
        <v/>
      </c>
      <c r="B170" s="17" t="str">
        <f aca="false">IF($A170="","",품목마스터!$B167)</f>
        <v/>
      </c>
      <c r="C170" s="21" t="str">
        <f aca="false">IF($A170="","",품목마스터!$D167)</f>
        <v/>
      </c>
      <c r="D170" s="22" t="str">
        <f aca="false">IF($A170="","",IF(품목마스터!$E167="",0,품목마스터!$E167))</f>
        <v/>
      </c>
      <c r="E170" s="22" t="str">
        <f aca="false">IF($A170="","",SUMIFS(사용내역!$E$3:$E$3002,사용내역!$B$3:$B$3002,$A170,사용내역!$A$3:$A$3002,"&gt;"&amp;($B$3-사용안내!$C$16),사용내역!$A$3:$A$3002,"&lt;="&amp;$B$3))</f>
        <v/>
      </c>
      <c r="F170" s="23" t="str">
        <f aca="false">IF($A170="","",IF(사용안내!$C$16=0,0,ROUND($E170/사용안내!$C$16,3)))</f>
        <v/>
      </c>
      <c r="G170" s="24" t="str">
        <f aca="false">IF($A170="","",IF($F170&lt;=0,"사용기록없음",ROUND($D170/$F170,0)))</f>
        <v/>
      </c>
      <c r="H170" s="25" t="str">
        <f aca="false">IF(OR($A170="",$F170&lt;=0),"",$B$3+$G170)</f>
        <v/>
      </c>
      <c r="I170" s="21" t="str">
        <f aca="false">IF($A170="","",IF(품목마스터!$F167="",0,품목마스터!$F167))</f>
        <v/>
      </c>
      <c r="J170" s="25" t="str">
        <f aca="false">IF(OR($A170="",$F170&lt;=0),"",$H170-$I170)</f>
        <v/>
      </c>
      <c r="K170" s="22" t="n">
        <f aca="false">IF(OR($A170="",$F170&lt;=0),0,MAX(0,CEILING(MAX(0,($I170+사용안내!$C$17)*$F170-$D170),MAX(1,IF(품목마스터!$H167="",1,품목마스터!$H167)))))</f>
        <v>0</v>
      </c>
      <c r="L170" s="21" t="str">
        <f aca="false">IF($A170="","",IF($F170&lt;=0,"-",IF($J170&lt;=$B$3,"발주",IF($J170&lt;=$B$3+7,"임박","정상"))))</f>
        <v/>
      </c>
    </row>
    <row r="171" customFormat="false" ht="15" hidden="false" customHeight="true" outlineLevel="0" collapsed="false">
      <c r="A171" s="17" t="str">
        <f aca="false">IF(품목마스터!$A168="","",품목마스터!$A168)</f>
        <v/>
      </c>
      <c r="B171" s="17" t="str">
        <f aca="false">IF($A171="","",품목마스터!$B168)</f>
        <v/>
      </c>
      <c r="C171" s="21" t="str">
        <f aca="false">IF($A171="","",품목마스터!$D168)</f>
        <v/>
      </c>
      <c r="D171" s="22" t="str">
        <f aca="false">IF($A171="","",IF(품목마스터!$E168="",0,품목마스터!$E168))</f>
        <v/>
      </c>
      <c r="E171" s="22" t="str">
        <f aca="false">IF($A171="","",SUMIFS(사용내역!$E$3:$E$3002,사용내역!$B$3:$B$3002,$A171,사용내역!$A$3:$A$3002,"&gt;"&amp;($B$3-사용안내!$C$16),사용내역!$A$3:$A$3002,"&lt;="&amp;$B$3))</f>
        <v/>
      </c>
      <c r="F171" s="23" t="str">
        <f aca="false">IF($A171="","",IF(사용안내!$C$16=0,0,ROUND($E171/사용안내!$C$16,3)))</f>
        <v/>
      </c>
      <c r="G171" s="24" t="str">
        <f aca="false">IF($A171="","",IF($F171&lt;=0,"사용기록없음",ROUND($D171/$F171,0)))</f>
        <v/>
      </c>
      <c r="H171" s="25" t="str">
        <f aca="false">IF(OR($A171="",$F171&lt;=0),"",$B$3+$G171)</f>
        <v/>
      </c>
      <c r="I171" s="21" t="str">
        <f aca="false">IF($A171="","",IF(품목마스터!$F168="",0,품목마스터!$F168))</f>
        <v/>
      </c>
      <c r="J171" s="25" t="str">
        <f aca="false">IF(OR($A171="",$F171&lt;=0),"",$H171-$I171)</f>
        <v/>
      </c>
      <c r="K171" s="22" t="n">
        <f aca="false">IF(OR($A171="",$F171&lt;=0),0,MAX(0,CEILING(MAX(0,($I171+사용안내!$C$17)*$F171-$D171),MAX(1,IF(품목마스터!$H168="",1,품목마스터!$H168)))))</f>
        <v>0</v>
      </c>
      <c r="L171" s="21" t="str">
        <f aca="false">IF($A171="","",IF($F171&lt;=0,"-",IF($J171&lt;=$B$3,"발주",IF($J171&lt;=$B$3+7,"임박","정상"))))</f>
        <v/>
      </c>
    </row>
    <row r="172" customFormat="false" ht="15" hidden="false" customHeight="true" outlineLevel="0" collapsed="false">
      <c r="A172" s="17" t="str">
        <f aca="false">IF(품목마스터!$A169="","",품목마스터!$A169)</f>
        <v/>
      </c>
      <c r="B172" s="17" t="str">
        <f aca="false">IF($A172="","",품목마스터!$B169)</f>
        <v/>
      </c>
      <c r="C172" s="21" t="str">
        <f aca="false">IF($A172="","",품목마스터!$D169)</f>
        <v/>
      </c>
      <c r="D172" s="22" t="str">
        <f aca="false">IF($A172="","",IF(품목마스터!$E169="",0,품목마스터!$E169))</f>
        <v/>
      </c>
      <c r="E172" s="22" t="str">
        <f aca="false">IF($A172="","",SUMIFS(사용내역!$E$3:$E$3002,사용내역!$B$3:$B$3002,$A172,사용내역!$A$3:$A$3002,"&gt;"&amp;($B$3-사용안내!$C$16),사용내역!$A$3:$A$3002,"&lt;="&amp;$B$3))</f>
        <v/>
      </c>
      <c r="F172" s="23" t="str">
        <f aca="false">IF($A172="","",IF(사용안내!$C$16=0,0,ROUND($E172/사용안내!$C$16,3)))</f>
        <v/>
      </c>
      <c r="G172" s="24" t="str">
        <f aca="false">IF($A172="","",IF($F172&lt;=0,"사용기록없음",ROUND($D172/$F172,0)))</f>
        <v/>
      </c>
      <c r="H172" s="25" t="str">
        <f aca="false">IF(OR($A172="",$F172&lt;=0),"",$B$3+$G172)</f>
        <v/>
      </c>
      <c r="I172" s="21" t="str">
        <f aca="false">IF($A172="","",IF(품목마스터!$F169="",0,품목마스터!$F169))</f>
        <v/>
      </c>
      <c r="J172" s="25" t="str">
        <f aca="false">IF(OR($A172="",$F172&lt;=0),"",$H172-$I172)</f>
        <v/>
      </c>
      <c r="K172" s="22" t="n">
        <f aca="false">IF(OR($A172="",$F172&lt;=0),0,MAX(0,CEILING(MAX(0,($I172+사용안내!$C$17)*$F172-$D172),MAX(1,IF(품목마스터!$H169="",1,품목마스터!$H169)))))</f>
        <v>0</v>
      </c>
      <c r="L172" s="21" t="str">
        <f aca="false">IF($A172="","",IF($F172&lt;=0,"-",IF($J172&lt;=$B$3,"발주",IF($J172&lt;=$B$3+7,"임박","정상"))))</f>
        <v/>
      </c>
    </row>
    <row r="173" customFormat="false" ht="15" hidden="false" customHeight="true" outlineLevel="0" collapsed="false">
      <c r="A173" s="17" t="str">
        <f aca="false">IF(품목마스터!$A170="","",품목마스터!$A170)</f>
        <v/>
      </c>
      <c r="B173" s="17" t="str">
        <f aca="false">IF($A173="","",품목마스터!$B170)</f>
        <v/>
      </c>
      <c r="C173" s="21" t="str">
        <f aca="false">IF($A173="","",품목마스터!$D170)</f>
        <v/>
      </c>
      <c r="D173" s="22" t="str">
        <f aca="false">IF($A173="","",IF(품목마스터!$E170="",0,품목마스터!$E170))</f>
        <v/>
      </c>
      <c r="E173" s="22" t="str">
        <f aca="false">IF($A173="","",SUMIFS(사용내역!$E$3:$E$3002,사용내역!$B$3:$B$3002,$A173,사용내역!$A$3:$A$3002,"&gt;"&amp;($B$3-사용안내!$C$16),사용내역!$A$3:$A$3002,"&lt;="&amp;$B$3))</f>
        <v/>
      </c>
      <c r="F173" s="23" t="str">
        <f aca="false">IF($A173="","",IF(사용안내!$C$16=0,0,ROUND($E173/사용안내!$C$16,3)))</f>
        <v/>
      </c>
      <c r="G173" s="24" t="str">
        <f aca="false">IF($A173="","",IF($F173&lt;=0,"사용기록없음",ROUND($D173/$F173,0)))</f>
        <v/>
      </c>
      <c r="H173" s="25" t="str">
        <f aca="false">IF(OR($A173="",$F173&lt;=0),"",$B$3+$G173)</f>
        <v/>
      </c>
      <c r="I173" s="21" t="str">
        <f aca="false">IF($A173="","",IF(품목마스터!$F170="",0,품목마스터!$F170))</f>
        <v/>
      </c>
      <c r="J173" s="25" t="str">
        <f aca="false">IF(OR($A173="",$F173&lt;=0),"",$H173-$I173)</f>
        <v/>
      </c>
      <c r="K173" s="22" t="n">
        <f aca="false">IF(OR($A173="",$F173&lt;=0),0,MAX(0,CEILING(MAX(0,($I173+사용안내!$C$17)*$F173-$D173),MAX(1,IF(품목마스터!$H170="",1,품목마스터!$H170)))))</f>
        <v>0</v>
      </c>
      <c r="L173" s="21" t="str">
        <f aca="false">IF($A173="","",IF($F173&lt;=0,"-",IF($J173&lt;=$B$3,"발주",IF($J173&lt;=$B$3+7,"임박","정상"))))</f>
        <v/>
      </c>
    </row>
    <row r="174" customFormat="false" ht="15" hidden="false" customHeight="true" outlineLevel="0" collapsed="false">
      <c r="A174" s="17" t="str">
        <f aca="false">IF(품목마스터!$A171="","",품목마스터!$A171)</f>
        <v/>
      </c>
      <c r="B174" s="17" t="str">
        <f aca="false">IF($A174="","",품목마스터!$B171)</f>
        <v/>
      </c>
      <c r="C174" s="21" t="str">
        <f aca="false">IF($A174="","",품목마스터!$D171)</f>
        <v/>
      </c>
      <c r="D174" s="22" t="str">
        <f aca="false">IF($A174="","",IF(품목마스터!$E171="",0,품목마스터!$E171))</f>
        <v/>
      </c>
      <c r="E174" s="22" t="str">
        <f aca="false">IF($A174="","",SUMIFS(사용내역!$E$3:$E$3002,사용내역!$B$3:$B$3002,$A174,사용내역!$A$3:$A$3002,"&gt;"&amp;($B$3-사용안내!$C$16),사용내역!$A$3:$A$3002,"&lt;="&amp;$B$3))</f>
        <v/>
      </c>
      <c r="F174" s="23" t="str">
        <f aca="false">IF($A174="","",IF(사용안내!$C$16=0,0,ROUND($E174/사용안내!$C$16,3)))</f>
        <v/>
      </c>
      <c r="G174" s="24" t="str">
        <f aca="false">IF($A174="","",IF($F174&lt;=0,"사용기록없음",ROUND($D174/$F174,0)))</f>
        <v/>
      </c>
      <c r="H174" s="25" t="str">
        <f aca="false">IF(OR($A174="",$F174&lt;=0),"",$B$3+$G174)</f>
        <v/>
      </c>
      <c r="I174" s="21" t="str">
        <f aca="false">IF($A174="","",IF(품목마스터!$F171="",0,품목마스터!$F171))</f>
        <v/>
      </c>
      <c r="J174" s="25" t="str">
        <f aca="false">IF(OR($A174="",$F174&lt;=0),"",$H174-$I174)</f>
        <v/>
      </c>
      <c r="K174" s="22" t="n">
        <f aca="false">IF(OR($A174="",$F174&lt;=0),0,MAX(0,CEILING(MAX(0,($I174+사용안내!$C$17)*$F174-$D174),MAX(1,IF(품목마스터!$H171="",1,품목마스터!$H171)))))</f>
        <v>0</v>
      </c>
      <c r="L174" s="21" t="str">
        <f aca="false">IF($A174="","",IF($F174&lt;=0,"-",IF($J174&lt;=$B$3,"발주",IF($J174&lt;=$B$3+7,"임박","정상"))))</f>
        <v/>
      </c>
    </row>
    <row r="175" customFormat="false" ht="15" hidden="false" customHeight="true" outlineLevel="0" collapsed="false">
      <c r="A175" s="17" t="str">
        <f aca="false">IF(품목마스터!$A172="","",품목마스터!$A172)</f>
        <v/>
      </c>
      <c r="B175" s="17" t="str">
        <f aca="false">IF($A175="","",품목마스터!$B172)</f>
        <v/>
      </c>
      <c r="C175" s="21" t="str">
        <f aca="false">IF($A175="","",품목마스터!$D172)</f>
        <v/>
      </c>
      <c r="D175" s="22" t="str">
        <f aca="false">IF($A175="","",IF(품목마스터!$E172="",0,품목마스터!$E172))</f>
        <v/>
      </c>
      <c r="E175" s="22" t="str">
        <f aca="false">IF($A175="","",SUMIFS(사용내역!$E$3:$E$3002,사용내역!$B$3:$B$3002,$A175,사용내역!$A$3:$A$3002,"&gt;"&amp;($B$3-사용안내!$C$16),사용내역!$A$3:$A$3002,"&lt;="&amp;$B$3))</f>
        <v/>
      </c>
      <c r="F175" s="23" t="str">
        <f aca="false">IF($A175="","",IF(사용안내!$C$16=0,0,ROUND($E175/사용안내!$C$16,3)))</f>
        <v/>
      </c>
      <c r="G175" s="24" t="str">
        <f aca="false">IF($A175="","",IF($F175&lt;=0,"사용기록없음",ROUND($D175/$F175,0)))</f>
        <v/>
      </c>
      <c r="H175" s="25" t="str">
        <f aca="false">IF(OR($A175="",$F175&lt;=0),"",$B$3+$G175)</f>
        <v/>
      </c>
      <c r="I175" s="21" t="str">
        <f aca="false">IF($A175="","",IF(품목마스터!$F172="",0,품목마스터!$F172))</f>
        <v/>
      </c>
      <c r="J175" s="25" t="str">
        <f aca="false">IF(OR($A175="",$F175&lt;=0),"",$H175-$I175)</f>
        <v/>
      </c>
      <c r="K175" s="22" t="n">
        <f aca="false">IF(OR($A175="",$F175&lt;=0),0,MAX(0,CEILING(MAX(0,($I175+사용안내!$C$17)*$F175-$D175),MAX(1,IF(품목마스터!$H172="",1,품목마스터!$H172)))))</f>
        <v>0</v>
      </c>
      <c r="L175" s="21" t="str">
        <f aca="false">IF($A175="","",IF($F175&lt;=0,"-",IF($J175&lt;=$B$3,"발주",IF($J175&lt;=$B$3+7,"임박","정상"))))</f>
        <v/>
      </c>
    </row>
    <row r="176" customFormat="false" ht="15" hidden="false" customHeight="true" outlineLevel="0" collapsed="false">
      <c r="A176" s="17" t="str">
        <f aca="false">IF(품목마스터!$A173="","",품목마스터!$A173)</f>
        <v/>
      </c>
      <c r="B176" s="17" t="str">
        <f aca="false">IF($A176="","",품목마스터!$B173)</f>
        <v/>
      </c>
      <c r="C176" s="21" t="str">
        <f aca="false">IF($A176="","",품목마스터!$D173)</f>
        <v/>
      </c>
      <c r="D176" s="22" t="str">
        <f aca="false">IF($A176="","",IF(품목마스터!$E173="",0,품목마스터!$E173))</f>
        <v/>
      </c>
      <c r="E176" s="22" t="str">
        <f aca="false">IF($A176="","",SUMIFS(사용내역!$E$3:$E$3002,사용내역!$B$3:$B$3002,$A176,사용내역!$A$3:$A$3002,"&gt;"&amp;($B$3-사용안내!$C$16),사용내역!$A$3:$A$3002,"&lt;="&amp;$B$3))</f>
        <v/>
      </c>
      <c r="F176" s="23" t="str">
        <f aca="false">IF($A176="","",IF(사용안내!$C$16=0,0,ROUND($E176/사용안내!$C$16,3)))</f>
        <v/>
      </c>
      <c r="G176" s="24" t="str">
        <f aca="false">IF($A176="","",IF($F176&lt;=0,"사용기록없음",ROUND($D176/$F176,0)))</f>
        <v/>
      </c>
      <c r="H176" s="25" t="str">
        <f aca="false">IF(OR($A176="",$F176&lt;=0),"",$B$3+$G176)</f>
        <v/>
      </c>
      <c r="I176" s="21" t="str">
        <f aca="false">IF($A176="","",IF(품목마스터!$F173="",0,품목마스터!$F173))</f>
        <v/>
      </c>
      <c r="J176" s="25" t="str">
        <f aca="false">IF(OR($A176="",$F176&lt;=0),"",$H176-$I176)</f>
        <v/>
      </c>
      <c r="K176" s="22" t="n">
        <f aca="false">IF(OR($A176="",$F176&lt;=0),0,MAX(0,CEILING(MAX(0,($I176+사용안내!$C$17)*$F176-$D176),MAX(1,IF(품목마스터!$H173="",1,품목마스터!$H173)))))</f>
        <v>0</v>
      </c>
      <c r="L176" s="21" t="str">
        <f aca="false">IF($A176="","",IF($F176&lt;=0,"-",IF($J176&lt;=$B$3,"발주",IF($J176&lt;=$B$3+7,"임박","정상"))))</f>
        <v/>
      </c>
    </row>
    <row r="177" customFormat="false" ht="15" hidden="false" customHeight="true" outlineLevel="0" collapsed="false">
      <c r="A177" s="17" t="str">
        <f aca="false">IF(품목마스터!$A174="","",품목마스터!$A174)</f>
        <v/>
      </c>
      <c r="B177" s="17" t="str">
        <f aca="false">IF($A177="","",품목마스터!$B174)</f>
        <v/>
      </c>
      <c r="C177" s="21" t="str">
        <f aca="false">IF($A177="","",품목마스터!$D174)</f>
        <v/>
      </c>
      <c r="D177" s="22" t="str">
        <f aca="false">IF($A177="","",IF(품목마스터!$E174="",0,품목마스터!$E174))</f>
        <v/>
      </c>
      <c r="E177" s="22" t="str">
        <f aca="false">IF($A177="","",SUMIFS(사용내역!$E$3:$E$3002,사용내역!$B$3:$B$3002,$A177,사용내역!$A$3:$A$3002,"&gt;"&amp;($B$3-사용안내!$C$16),사용내역!$A$3:$A$3002,"&lt;="&amp;$B$3))</f>
        <v/>
      </c>
      <c r="F177" s="23" t="str">
        <f aca="false">IF($A177="","",IF(사용안내!$C$16=0,0,ROUND($E177/사용안내!$C$16,3)))</f>
        <v/>
      </c>
      <c r="G177" s="24" t="str">
        <f aca="false">IF($A177="","",IF($F177&lt;=0,"사용기록없음",ROUND($D177/$F177,0)))</f>
        <v/>
      </c>
      <c r="H177" s="25" t="str">
        <f aca="false">IF(OR($A177="",$F177&lt;=0),"",$B$3+$G177)</f>
        <v/>
      </c>
      <c r="I177" s="21" t="str">
        <f aca="false">IF($A177="","",IF(품목마스터!$F174="",0,품목마스터!$F174))</f>
        <v/>
      </c>
      <c r="J177" s="25" t="str">
        <f aca="false">IF(OR($A177="",$F177&lt;=0),"",$H177-$I177)</f>
        <v/>
      </c>
      <c r="K177" s="22" t="n">
        <f aca="false">IF(OR($A177="",$F177&lt;=0),0,MAX(0,CEILING(MAX(0,($I177+사용안내!$C$17)*$F177-$D177),MAX(1,IF(품목마스터!$H174="",1,품목마스터!$H174)))))</f>
        <v>0</v>
      </c>
      <c r="L177" s="21" t="str">
        <f aca="false">IF($A177="","",IF($F177&lt;=0,"-",IF($J177&lt;=$B$3,"발주",IF($J177&lt;=$B$3+7,"임박","정상"))))</f>
        <v/>
      </c>
    </row>
    <row r="178" customFormat="false" ht="15" hidden="false" customHeight="true" outlineLevel="0" collapsed="false">
      <c r="A178" s="17" t="str">
        <f aca="false">IF(품목마스터!$A175="","",품목마스터!$A175)</f>
        <v/>
      </c>
      <c r="B178" s="17" t="str">
        <f aca="false">IF($A178="","",품목마스터!$B175)</f>
        <v/>
      </c>
      <c r="C178" s="21" t="str">
        <f aca="false">IF($A178="","",품목마스터!$D175)</f>
        <v/>
      </c>
      <c r="D178" s="22" t="str">
        <f aca="false">IF($A178="","",IF(품목마스터!$E175="",0,품목마스터!$E175))</f>
        <v/>
      </c>
      <c r="E178" s="22" t="str">
        <f aca="false">IF($A178="","",SUMIFS(사용내역!$E$3:$E$3002,사용내역!$B$3:$B$3002,$A178,사용내역!$A$3:$A$3002,"&gt;"&amp;($B$3-사용안내!$C$16),사용내역!$A$3:$A$3002,"&lt;="&amp;$B$3))</f>
        <v/>
      </c>
      <c r="F178" s="23" t="str">
        <f aca="false">IF($A178="","",IF(사용안내!$C$16=0,0,ROUND($E178/사용안내!$C$16,3)))</f>
        <v/>
      </c>
      <c r="G178" s="24" t="str">
        <f aca="false">IF($A178="","",IF($F178&lt;=0,"사용기록없음",ROUND($D178/$F178,0)))</f>
        <v/>
      </c>
      <c r="H178" s="25" t="str">
        <f aca="false">IF(OR($A178="",$F178&lt;=0),"",$B$3+$G178)</f>
        <v/>
      </c>
      <c r="I178" s="21" t="str">
        <f aca="false">IF($A178="","",IF(품목마스터!$F175="",0,품목마스터!$F175))</f>
        <v/>
      </c>
      <c r="J178" s="25" t="str">
        <f aca="false">IF(OR($A178="",$F178&lt;=0),"",$H178-$I178)</f>
        <v/>
      </c>
      <c r="K178" s="22" t="n">
        <f aca="false">IF(OR($A178="",$F178&lt;=0),0,MAX(0,CEILING(MAX(0,($I178+사용안내!$C$17)*$F178-$D178),MAX(1,IF(품목마스터!$H175="",1,품목마스터!$H175)))))</f>
        <v>0</v>
      </c>
      <c r="L178" s="21" t="str">
        <f aca="false">IF($A178="","",IF($F178&lt;=0,"-",IF($J178&lt;=$B$3,"발주",IF($J178&lt;=$B$3+7,"임박","정상"))))</f>
        <v/>
      </c>
    </row>
    <row r="179" customFormat="false" ht="15" hidden="false" customHeight="true" outlineLevel="0" collapsed="false">
      <c r="A179" s="17" t="str">
        <f aca="false">IF(품목마스터!$A176="","",품목마스터!$A176)</f>
        <v/>
      </c>
      <c r="B179" s="17" t="str">
        <f aca="false">IF($A179="","",품목마스터!$B176)</f>
        <v/>
      </c>
      <c r="C179" s="21" t="str">
        <f aca="false">IF($A179="","",품목마스터!$D176)</f>
        <v/>
      </c>
      <c r="D179" s="22" t="str">
        <f aca="false">IF($A179="","",IF(품목마스터!$E176="",0,품목마스터!$E176))</f>
        <v/>
      </c>
      <c r="E179" s="22" t="str">
        <f aca="false">IF($A179="","",SUMIFS(사용내역!$E$3:$E$3002,사용내역!$B$3:$B$3002,$A179,사용내역!$A$3:$A$3002,"&gt;"&amp;($B$3-사용안내!$C$16),사용내역!$A$3:$A$3002,"&lt;="&amp;$B$3))</f>
        <v/>
      </c>
      <c r="F179" s="23" t="str">
        <f aca="false">IF($A179="","",IF(사용안내!$C$16=0,0,ROUND($E179/사용안내!$C$16,3)))</f>
        <v/>
      </c>
      <c r="G179" s="24" t="str">
        <f aca="false">IF($A179="","",IF($F179&lt;=0,"사용기록없음",ROUND($D179/$F179,0)))</f>
        <v/>
      </c>
      <c r="H179" s="25" t="str">
        <f aca="false">IF(OR($A179="",$F179&lt;=0),"",$B$3+$G179)</f>
        <v/>
      </c>
      <c r="I179" s="21" t="str">
        <f aca="false">IF($A179="","",IF(품목마스터!$F176="",0,품목마스터!$F176))</f>
        <v/>
      </c>
      <c r="J179" s="25" t="str">
        <f aca="false">IF(OR($A179="",$F179&lt;=0),"",$H179-$I179)</f>
        <v/>
      </c>
      <c r="K179" s="22" t="n">
        <f aca="false">IF(OR($A179="",$F179&lt;=0),0,MAX(0,CEILING(MAX(0,($I179+사용안내!$C$17)*$F179-$D179),MAX(1,IF(품목마스터!$H176="",1,품목마스터!$H176)))))</f>
        <v>0</v>
      </c>
      <c r="L179" s="21" t="str">
        <f aca="false">IF($A179="","",IF($F179&lt;=0,"-",IF($J179&lt;=$B$3,"발주",IF($J179&lt;=$B$3+7,"임박","정상"))))</f>
        <v/>
      </c>
    </row>
    <row r="180" customFormat="false" ht="15" hidden="false" customHeight="true" outlineLevel="0" collapsed="false">
      <c r="A180" s="17" t="str">
        <f aca="false">IF(품목마스터!$A177="","",품목마스터!$A177)</f>
        <v/>
      </c>
      <c r="B180" s="17" t="str">
        <f aca="false">IF($A180="","",품목마스터!$B177)</f>
        <v/>
      </c>
      <c r="C180" s="21" t="str">
        <f aca="false">IF($A180="","",품목마스터!$D177)</f>
        <v/>
      </c>
      <c r="D180" s="22" t="str">
        <f aca="false">IF($A180="","",IF(품목마스터!$E177="",0,품목마스터!$E177))</f>
        <v/>
      </c>
      <c r="E180" s="22" t="str">
        <f aca="false">IF($A180="","",SUMIFS(사용내역!$E$3:$E$3002,사용내역!$B$3:$B$3002,$A180,사용내역!$A$3:$A$3002,"&gt;"&amp;($B$3-사용안내!$C$16),사용내역!$A$3:$A$3002,"&lt;="&amp;$B$3))</f>
        <v/>
      </c>
      <c r="F180" s="23" t="str">
        <f aca="false">IF($A180="","",IF(사용안내!$C$16=0,0,ROUND($E180/사용안내!$C$16,3)))</f>
        <v/>
      </c>
      <c r="G180" s="24" t="str">
        <f aca="false">IF($A180="","",IF($F180&lt;=0,"사용기록없음",ROUND($D180/$F180,0)))</f>
        <v/>
      </c>
      <c r="H180" s="25" t="str">
        <f aca="false">IF(OR($A180="",$F180&lt;=0),"",$B$3+$G180)</f>
        <v/>
      </c>
      <c r="I180" s="21" t="str">
        <f aca="false">IF($A180="","",IF(품목마스터!$F177="",0,품목마스터!$F177))</f>
        <v/>
      </c>
      <c r="J180" s="25" t="str">
        <f aca="false">IF(OR($A180="",$F180&lt;=0),"",$H180-$I180)</f>
        <v/>
      </c>
      <c r="K180" s="22" t="n">
        <f aca="false">IF(OR($A180="",$F180&lt;=0),0,MAX(0,CEILING(MAX(0,($I180+사용안내!$C$17)*$F180-$D180),MAX(1,IF(품목마스터!$H177="",1,품목마스터!$H177)))))</f>
        <v>0</v>
      </c>
      <c r="L180" s="21" t="str">
        <f aca="false">IF($A180="","",IF($F180&lt;=0,"-",IF($J180&lt;=$B$3,"발주",IF($J180&lt;=$B$3+7,"임박","정상"))))</f>
        <v/>
      </c>
    </row>
    <row r="181" customFormat="false" ht="15" hidden="false" customHeight="true" outlineLevel="0" collapsed="false">
      <c r="A181" s="17" t="str">
        <f aca="false">IF(품목마스터!$A178="","",품목마스터!$A178)</f>
        <v/>
      </c>
      <c r="B181" s="17" t="str">
        <f aca="false">IF($A181="","",품목마스터!$B178)</f>
        <v/>
      </c>
      <c r="C181" s="21" t="str">
        <f aca="false">IF($A181="","",품목마스터!$D178)</f>
        <v/>
      </c>
      <c r="D181" s="22" t="str">
        <f aca="false">IF($A181="","",IF(품목마스터!$E178="",0,품목마스터!$E178))</f>
        <v/>
      </c>
      <c r="E181" s="22" t="str">
        <f aca="false">IF($A181="","",SUMIFS(사용내역!$E$3:$E$3002,사용내역!$B$3:$B$3002,$A181,사용내역!$A$3:$A$3002,"&gt;"&amp;($B$3-사용안내!$C$16),사용내역!$A$3:$A$3002,"&lt;="&amp;$B$3))</f>
        <v/>
      </c>
      <c r="F181" s="23" t="str">
        <f aca="false">IF($A181="","",IF(사용안내!$C$16=0,0,ROUND($E181/사용안내!$C$16,3)))</f>
        <v/>
      </c>
      <c r="G181" s="24" t="str">
        <f aca="false">IF($A181="","",IF($F181&lt;=0,"사용기록없음",ROUND($D181/$F181,0)))</f>
        <v/>
      </c>
      <c r="H181" s="25" t="str">
        <f aca="false">IF(OR($A181="",$F181&lt;=0),"",$B$3+$G181)</f>
        <v/>
      </c>
      <c r="I181" s="21" t="str">
        <f aca="false">IF($A181="","",IF(품목마스터!$F178="",0,품목마스터!$F178))</f>
        <v/>
      </c>
      <c r="J181" s="25" t="str">
        <f aca="false">IF(OR($A181="",$F181&lt;=0),"",$H181-$I181)</f>
        <v/>
      </c>
      <c r="K181" s="22" t="n">
        <f aca="false">IF(OR($A181="",$F181&lt;=0),0,MAX(0,CEILING(MAX(0,($I181+사용안내!$C$17)*$F181-$D181),MAX(1,IF(품목마스터!$H178="",1,품목마스터!$H178)))))</f>
        <v>0</v>
      </c>
      <c r="L181" s="21" t="str">
        <f aca="false">IF($A181="","",IF($F181&lt;=0,"-",IF($J181&lt;=$B$3,"발주",IF($J181&lt;=$B$3+7,"임박","정상"))))</f>
        <v/>
      </c>
    </row>
    <row r="182" customFormat="false" ht="15" hidden="false" customHeight="true" outlineLevel="0" collapsed="false">
      <c r="A182" s="17" t="str">
        <f aca="false">IF(품목마스터!$A179="","",품목마스터!$A179)</f>
        <v/>
      </c>
      <c r="B182" s="17" t="str">
        <f aca="false">IF($A182="","",품목마스터!$B179)</f>
        <v/>
      </c>
      <c r="C182" s="21" t="str">
        <f aca="false">IF($A182="","",품목마스터!$D179)</f>
        <v/>
      </c>
      <c r="D182" s="22" t="str">
        <f aca="false">IF($A182="","",IF(품목마스터!$E179="",0,품목마스터!$E179))</f>
        <v/>
      </c>
      <c r="E182" s="22" t="str">
        <f aca="false">IF($A182="","",SUMIFS(사용내역!$E$3:$E$3002,사용내역!$B$3:$B$3002,$A182,사용내역!$A$3:$A$3002,"&gt;"&amp;($B$3-사용안내!$C$16),사용내역!$A$3:$A$3002,"&lt;="&amp;$B$3))</f>
        <v/>
      </c>
      <c r="F182" s="23" t="str">
        <f aca="false">IF($A182="","",IF(사용안내!$C$16=0,0,ROUND($E182/사용안내!$C$16,3)))</f>
        <v/>
      </c>
      <c r="G182" s="24" t="str">
        <f aca="false">IF($A182="","",IF($F182&lt;=0,"사용기록없음",ROUND($D182/$F182,0)))</f>
        <v/>
      </c>
      <c r="H182" s="25" t="str">
        <f aca="false">IF(OR($A182="",$F182&lt;=0),"",$B$3+$G182)</f>
        <v/>
      </c>
      <c r="I182" s="21" t="str">
        <f aca="false">IF($A182="","",IF(품목마스터!$F179="",0,품목마스터!$F179))</f>
        <v/>
      </c>
      <c r="J182" s="25" t="str">
        <f aca="false">IF(OR($A182="",$F182&lt;=0),"",$H182-$I182)</f>
        <v/>
      </c>
      <c r="K182" s="22" t="n">
        <f aca="false">IF(OR($A182="",$F182&lt;=0),0,MAX(0,CEILING(MAX(0,($I182+사용안내!$C$17)*$F182-$D182),MAX(1,IF(품목마스터!$H179="",1,품목마스터!$H179)))))</f>
        <v>0</v>
      </c>
      <c r="L182" s="21" t="str">
        <f aca="false">IF($A182="","",IF($F182&lt;=0,"-",IF($J182&lt;=$B$3,"발주",IF($J182&lt;=$B$3+7,"임박","정상"))))</f>
        <v/>
      </c>
    </row>
    <row r="183" customFormat="false" ht="15" hidden="false" customHeight="true" outlineLevel="0" collapsed="false">
      <c r="A183" s="17" t="str">
        <f aca="false">IF(품목마스터!$A180="","",품목마스터!$A180)</f>
        <v/>
      </c>
      <c r="B183" s="17" t="str">
        <f aca="false">IF($A183="","",품목마스터!$B180)</f>
        <v/>
      </c>
      <c r="C183" s="21" t="str">
        <f aca="false">IF($A183="","",품목마스터!$D180)</f>
        <v/>
      </c>
      <c r="D183" s="22" t="str">
        <f aca="false">IF($A183="","",IF(품목마스터!$E180="",0,품목마스터!$E180))</f>
        <v/>
      </c>
      <c r="E183" s="22" t="str">
        <f aca="false">IF($A183="","",SUMIFS(사용내역!$E$3:$E$3002,사용내역!$B$3:$B$3002,$A183,사용내역!$A$3:$A$3002,"&gt;"&amp;($B$3-사용안내!$C$16),사용내역!$A$3:$A$3002,"&lt;="&amp;$B$3))</f>
        <v/>
      </c>
      <c r="F183" s="23" t="str">
        <f aca="false">IF($A183="","",IF(사용안내!$C$16=0,0,ROUND($E183/사용안내!$C$16,3)))</f>
        <v/>
      </c>
      <c r="G183" s="24" t="str">
        <f aca="false">IF($A183="","",IF($F183&lt;=0,"사용기록없음",ROUND($D183/$F183,0)))</f>
        <v/>
      </c>
      <c r="H183" s="25" t="str">
        <f aca="false">IF(OR($A183="",$F183&lt;=0),"",$B$3+$G183)</f>
        <v/>
      </c>
      <c r="I183" s="21" t="str">
        <f aca="false">IF($A183="","",IF(품목마스터!$F180="",0,품목마스터!$F180))</f>
        <v/>
      </c>
      <c r="J183" s="25" t="str">
        <f aca="false">IF(OR($A183="",$F183&lt;=0),"",$H183-$I183)</f>
        <v/>
      </c>
      <c r="K183" s="22" t="n">
        <f aca="false">IF(OR($A183="",$F183&lt;=0),0,MAX(0,CEILING(MAX(0,($I183+사용안내!$C$17)*$F183-$D183),MAX(1,IF(품목마스터!$H180="",1,품목마스터!$H180)))))</f>
        <v>0</v>
      </c>
      <c r="L183" s="21" t="str">
        <f aca="false">IF($A183="","",IF($F183&lt;=0,"-",IF($J183&lt;=$B$3,"발주",IF($J183&lt;=$B$3+7,"임박","정상"))))</f>
        <v/>
      </c>
    </row>
    <row r="184" customFormat="false" ht="15" hidden="false" customHeight="true" outlineLevel="0" collapsed="false">
      <c r="A184" s="17" t="str">
        <f aca="false">IF(품목마스터!$A181="","",품목마스터!$A181)</f>
        <v/>
      </c>
      <c r="B184" s="17" t="str">
        <f aca="false">IF($A184="","",품목마스터!$B181)</f>
        <v/>
      </c>
      <c r="C184" s="21" t="str">
        <f aca="false">IF($A184="","",품목마스터!$D181)</f>
        <v/>
      </c>
      <c r="D184" s="22" t="str">
        <f aca="false">IF($A184="","",IF(품목마스터!$E181="",0,품목마스터!$E181))</f>
        <v/>
      </c>
      <c r="E184" s="22" t="str">
        <f aca="false">IF($A184="","",SUMIFS(사용내역!$E$3:$E$3002,사용내역!$B$3:$B$3002,$A184,사용내역!$A$3:$A$3002,"&gt;"&amp;($B$3-사용안내!$C$16),사용내역!$A$3:$A$3002,"&lt;="&amp;$B$3))</f>
        <v/>
      </c>
      <c r="F184" s="23" t="str">
        <f aca="false">IF($A184="","",IF(사용안내!$C$16=0,0,ROUND($E184/사용안내!$C$16,3)))</f>
        <v/>
      </c>
      <c r="G184" s="24" t="str">
        <f aca="false">IF($A184="","",IF($F184&lt;=0,"사용기록없음",ROUND($D184/$F184,0)))</f>
        <v/>
      </c>
      <c r="H184" s="25" t="str">
        <f aca="false">IF(OR($A184="",$F184&lt;=0),"",$B$3+$G184)</f>
        <v/>
      </c>
      <c r="I184" s="21" t="str">
        <f aca="false">IF($A184="","",IF(품목마스터!$F181="",0,품목마스터!$F181))</f>
        <v/>
      </c>
      <c r="J184" s="25" t="str">
        <f aca="false">IF(OR($A184="",$F184&lt;=0),"",$H184-$I184)</f>
        <v/>
      </c>
      <c r="K184" s="22" t="n">
        <f aca="false">IF(OR($A184="",$F184&lt;=0),0,MAX(0,CEILING(MAX(0,($I184+사용안내!$C$17)*$F184-$D184),MAX(1,IF(품목마스터!$H181="",1,품목마스터!$H181)))))</f>
        <v>0</v>
      </c>
      <c r="L184" s="21" t="str">
        <f aca="false">IF($A184="","",IF($F184&lt;=0,"-",IF($J184&lt;=$B$3,"발주",IF($J184&lt;=$B$3+7,"임박","정상"))))</f>
        <v/>
      </c>
    </row>
    <row r="185" customFormat="false" ht="15" hidden="false" customHeight="true" outlineLevel="0" collapsed="false">
      <c r="A185" s="17" t="str">
        <f aca="false">IF(품목마스터!$A182="","",품목마스터!$A182)</f>
        <v/>
      </c>
      <c r="B185" s="17" t="str">
        <f aca="false">IF($A185="","",품목마스터!$B182)</f>
        <v/>
      </c>
      <c r="C185" s="21" t="str">
        <f aca="false">IF($A185="","",품목마스터!$D182)</f>
        <v/>
      </c>
      <c r="D185" s="22" t="str">
        <f aca="false">IF($A185="","",IF(품목마스터!$E182="",0,품목마스터!$E182))</f>
        <v/>
      </c>
      <c r="E185" s="22" t="str">
        <f aca="false">IF($A185="","",SUMIFS(사용내역!$E$3:$E$3002,사용내역!$B$3:$B$3002,$A185,사용내역!$A$3:$A$3002,"&gt;"&amp;($B$3-사용안내!$C$16),사용내역!$A$3:$A$3002,"&lt;="&amp;$B$3))</f>
        <v/>
      </c>
      <c r="F185" s="23" t="str">
        <f aca="false">IF($A185="","",IF(사용안내!$C$16=0,0,ROUND($E185/사용안내!$C$16,3)))</f>
        <v/>
      </c>
      <c r="G185" s="24" t="str">
        <f aca="false">IF($A185="","",IF($F185&lt;=0,"사용기록없음",ROUND($D185/$F185,0)))</f>
        <v/>
      </c>
      <c r="H185" s="25" t="str">
        <f aca="false">IF(OR($A185="",$F185&lt;=0),"",$B$3+$G185)</f>
        <v/>
      </c>
      <c r="I185" s="21" t="str">
        <f aca="false">IF($A185="","",IF(품목마스터!$F182="",0,품목마스터!$F182))</f>
        <v/>
      </c>
      <c r="J185" s="25" t="str">
        <f aca="false">IF(OR($A185="",$F185&lt;=0),"",$H185-$I185)</f>
        <v/>
      </c>
      <c r="K185" s="22" t="n">
        <f aca="false">IF(OR($A185="",$F185&lt;=0),0,MAX(0,CEILING(MAX(0,($I185+사용안내!$C$17)*$F185-$D185),MAX(1,IF(품목마스터!$H182="",1,품목마스터!$H182)))))</f>
        <v>0</v>
      </c>
      <c r="L185" s="21" t="str">
        <f aca="false">IF($A185="","",IF($F185&lt;=0,"-",IF($J185&lt;=$B$3,"발주",IF($J185&lt;=$B$3+7,"임박","정상"))))</f>
        <v/>
      </c>
    </row>
    <row r="186" customFormat="false" ht="15" hidden="false" customHeight="true" outlineLevel="0" collapsed="false">
      <c r="A186" s="17" t="str">
        <f aca="false">IF(품목마스터!$A183="","",품목마스터!$A183)</f>
        <v/>
      </c>
      <c r="B186" s="17" t="str">
        <f aca="false">IF($A186="","",품목마스터!$B183)</f>
        <v/>
      </c>
      <c r="C186" s="21" t="str">
        <f aca="false">IF($A186="","",품목마스터!$D183)</f>
        <v/>
      </c>
      <c r="D186" s="22" t="str">
        <f aca="false">IF($A186="","",IF(품목마스터!$E183="",0,품목마스터!$E183))</f>
        <v/>
      </c>
      <c r="E186" s="22" t="str">
        <f aca="false">IF($A186="","",SUMIFS(사용내역!$E$3:$E$3002,사용내역!$B$3:$B$3002,$A186,사용내역!$A$3:$A$3002,"&gt;"&amp;($B$3-사용안내!$C$16),사용내역!$A$3:$A$3002,"&lt;="&amp;$B$3))</f>
        <v/>
      </c>
      <c r="F186" s="23" t="str">
        <f aca="false">IF($A186="","",IF(사용안내!$C$16=0,0,ROUND($E186/사용안내!$C$16,3)))</f>
        <v/>
      </c>
      <c r="G186" s="24" t="str">
        <f aca="false">IF($A186="","",IF($F186&lt;=0,"사용기록없음",ROUND($D186/$F186,0)))</f>
        <v/>
      </c>
      <c r="H186" s="25" t="str">
        <f aca="false">IF(OR($A186="",$F186&lt;=0),"",$B$3+$G186)</f>
        <v/>
      </c>
      <c r="I186" s="21" t="str">
        <f aca="false">IF($A186="","",IF(품목마스터!$F183="",0,품목마스터!$F183))</f>
        <v/>
      </c>
      <c r="J186" s="25" t="str">
        <f aca="false">IF(OR($A186="",$F186&lt;=0),"",$H186-$I186)</f>
        <v/>
      </c>
      <c r="K186" s="22" t="n">
        <f aca="false">IF(OR($A186="",$F186&lt;=0),0,MAX(0,CEILING(MAX(0,($I186+사용안내!$C$17)*$F186-$D186),MAX(1,IF(품목마스터!$H183="",1,품목마스터!$H183)))))</f>
        <v>0</v>
      </c>
      <c r="L186" s="21" t="str">
        <f aca="false">IF($A186="","",IF($F186&lt;=0,"-",IF($J186&lt;=$B$3,"발주",IF($J186&lt;=$B$3+7,"임박","정상"))))</f>
        <v/>
      </c>
    </row>
    <row r="187" customFormat="false" ht="15" hidden="false" customHeight="true" outlineLevel="0" collapsed="false">
      <c r="A187" s="17" t="str">
        <f aca="false">IF(품목마스터!$A184="","",품목마스터!$A184)</f>
        <v/>
      </c>
      <c r="B187" s="17" t="str">
        <f aca="false">IF($A187="","",품목마스터!$B184)</f>
        <v/>
      </c>
      <c r="C187" s="21" t="str">
        <f aca="false">IF($A187="","",품목마스터!$D184)</f>
        <v/>
      </c>
      <c r="D187" s="22" t="str">
        <f aca="false">IF($A187="","",IF(품목마스터!$E184="",0,품목마스터!$E184))</f>
        <v/>
      </c>
      <c r="E187" s="22" t="str">
        <f aca="false">IF($A187="","",SUMIFS(사용내역!$E$3:$E$3002,사용내역!$B$3:$B$3002,$A187,사용내역!$A$3:$A$3002,"&gt;"&amp;($B$3-사용안내!$C$16),사용내역!$A$3:$A$3002,"&lt;="&amp;$B$3))</f>
        <v/>
      </c>
      <c r="F187" s="23" t="str">
        <f aca="false">IF($A187="","",IF(사용안내!$C$16=0,0,ROUND($E187/사용안내!$C$16,3)))</f>
        <v/>
      </c>
      <c r="G187" s="24" t="str">
        <f aca="false">IF($A187="","",IF($F187&lt;=0,"사용기록없음",ROUND($D187/$F187,0)))</f>
        <v/>
      </c>
      <c r="H187" s="25" t="str">
        <f aca="false">IF(OR($A187="",$F187&lt;=0),"",$B$3+$G187)</f>
        <v/>
      </c>
      <c r="I187" s="21" t="str">
        <f aca="false">IF($A187="","",IF(품목마스터!$F184="",0,품목마스터!$F184))</f>
        <v/>
      </c>
      <c r="J187" s="25" t="str">
        <f aca="false">IF(OR($A187="",$F187&lt;=0),"",$H187-$I187)</f>
        <v/>
      </c>
      <c r="K187" s="22" t="n">
        <f aca="false">IF(OR($A187="",$F187&lt;=0),0,MAX(0,CEILING(MAX(0,($I187+사용안내!$C$17)*$F187-$D187),MAX(1,IF(품목마스터!$H184="",1,품목마스터!$H184)))))</f>
        <v>0</v>
      </c>
      <c r="L187" s="21" t="str">
        <f aca="false">IF($A187="","",IF($F187&lt;=0,"-",IF($J187&lt;=$B$3,"발주",IF($J187&lt;=$B$3+7,"임박","정상"))))</f>
        <v/>
      </c>
    </row>
    <row r="188" customFormat="false" ht="15" hidden="false" customHeight="true" outlineLevel="0" collapsed="false">
      <c r="A188" s="17" t="str">
        <f aca="false">IF(품목마스터!$A185="","",품목마스터!$A185)</f>
        <v/>
      </c>
      <c r="B188" s="17" t="str">
        <f aca="false">IF($A188="","",품목마스터!$B185)</f>
        <v/>
      </c>
      <c r="C188" s="21" t="str">
        <f aca="false">IF($A188="","",품목마스터!$D185)</f>
        <v/>
      </c>
      <c r="D188" s="22" t="str">
        <f aca="false">IF($A188="","",IF(품목마스터!$E185="",0,품목마스터!$E185))</f>
        <v/>
      </c>
      <c r="E188" s="22" t="str">
        <f aca="false">IF($A188="","",SUMIFS(사용내역!$E$3:$E$3002,사용내역!$B$3:$B$3002,$A188,사용내역!$A$3:$A$3002,"&gt;"&amp;($B$3-사용안내!$C$16),사용내역!$A$3:$A$3002,"&lt;="&amp;$B$3))</f>
        <v/>
      </c>
      <c r="F188" s="23" t="str">
        <f aca="false">IF($A188="","",IF(사용안내!$C$16=0,0,ROUND($E188/사용안내!$C$16,3)))</f>
        <v/>
      </c>
      <c r="G188" s="24" t="str">
        <f aca="false">IF($A188="","",IF($F188&lt;=0,"사용기록없음",ROUND($D188/$F188,0)))</f>
        <v/>
      </c>
      <c r="H188" s="25" t="str">
        <f aca="false">IF(OR($A188="",$F188&lt;=0),"",$B$3+$G188)</f>
        <v/>
      </c>
      <c r="I188" s="21" t="str">
        <f aca="false">IF($A188="","",IF(품목마스터!$F185="",0,품목마스터!$F185))</f>
        <v/>
      </c>
      <c r="J188" s="25" t="str">
        <f aca="false">IF(OR($A188="",$F188&lt;=0),"",$H188-$I188)</f>
        <v/>
      </c>
      <c r="K188" s="22" t="n">
        <f aca="false">IF(OR($A188="",$F188&lt;=0),0,MAX(0,CEILING(MAX(0,($I188+사용안내!$C$17)*$F188-$D188),MAX(1,IF(품목마스터!$H185="",1,품목마스터!$H185)))))</f>
        <v>0</v>
      </c>
      <c r="L188" s="21" t="str">
        <f aca="false">IF($A188="","",IF($F188&lt;=0,"-",IF($J188&lt;=$B$3,"발주",IF($J188&lt;=$B$3+7,"임박","정상"))))</f>
        <v/>
      </c>
    </row>
    <row r="189" customFormat="false" ht="15" hidden="false" customHeight="true" outlineLevel="0" collapsed="false">
      <c r="A189" s="17" t="str">
        <f aca="false">IF(품목마스터!$A186="","",품목마스터!$A186)</f>
        <v/>
      </c>
      <c r="B189" s="17" t="str">
        <f aca="false">IF($A189="","",품목마스터!$B186)</f>
        <v/>
      </c>
      <c r="C189" s="21" t="str">
        <f aca="false">IF($A189="","",품목마스터!$D186)</f>
        <v/>
      </c>
      <c r="D189" s="22" t="str">
        <f aca="false">IF($A189="","",IF(품목마스터!$E186="",0,품목마스터!$E186))</f>
        <v/>
      </c>
      <c r="E189" s="22" t="str">
        <f aca="false">IF($A189="","",SUMIFS(사용내역!$E$3:$E$3002,사용내역!$B$3:$B$3002,$A189,사용내역!$A$3:$A$3002,"&gt;"&amp;($B$3-사용안내!$C$16),사용내역!$A$3:$A$3002,"&lt;="&amp;$B$3))</f>
        <v/>
      </c>
      <c r="F189" s="23" t="str">
        <f aca="false">IF($A189="","",IF(사용안내!$C$16=0,0,ROUND($E189/사용안내!$C$16,3)))</f>
        <v/>
      </c>
      <c r="G189" s="24" t="str">
        <f aca="false">IF($A189="","",IF($F189&lt;=0,"사용기록없음",ROUND($D189/$F189,0)))</f>
        <v/>
      </c>
      <c r="H189" s="25" t="str">
        <f aca="false">IF(OR($A189="",$F189&lt;=0),"",$B$3+$G189)</f>
        <v/>
      </c>
      <c r="I189" s="21" t="str">
        <f aca="false">IF($A189="","",IF(품목마스터!$F186="",0,품목마스터!$F186))</f>
        <v/>
      </c>
      <c r="J189" s="25" t="str">
        <f aca="false">IF(OR($A189="",$F189&lt;=0),"",$H189-$I189)</f>
        <v/>
      </c>
      <c r="K189" s="22" t="n">
        <f aca="false">IF(OR($A189="",$F189&lt;=0),0,MAX(0,CEILING(MAX(0,($I189+사용안내!$C$17)*$F189-$D189),MAX(1,IF(품목마스터!$H186="",1,품목마스터!$H186)))))</f>
        <v>0</v>
      </c>
      <c r="L189" s="21" t="str">
        <f aca="false">IF($A189="","",IF($F189&lt;=0,"-",IF($J189&lt;=$B$3,"발주",IF($J189&lt;=$B$3+7,"임박","정상"))))</f>
        <v/>
      </c>
    </row>
    <row r="190" customFormat="false" ht="15" hidden="false" customHeight="true" outlineLevel="0" collapsed="false">
      <c r="A190" s="17" t="str">
        <f aca="false">IF(품목마스터!$A187="","",품목마스터!$A187)</f>
        <v/>
      </c>
      <c r="B190" s="17" t="str">
        <f aca="false">IF($A190="","",품목마스터!$B187)</f>
        <v/>
      </c>
      <c r="C190" s="21" t="str">
        <f aca="false">IF($A190="","",품목마스터!$D187)</f>
        <v/>
      </c>
      <c r="D190" s="22" t="str">
        <f aca="false">IF($A190="","",IF(품목마스터!$E187="",0,품목마스터!$E187))</f>
        <v/>
      </c>
      <c r="E190" s="22" t="str">
        <f aca="false">IF($A190="","",SUMIFS(사용내역!$E$3:$E$3002,사용내역!$B$3:$B$3002,$A190,사용내역!$A$3:$A$3002,"&gt;"&amp;($B$3-사용안내!$C$16),사용내역!$A$3:$A$3002,"&lt;="&amp;$B$3))</f>
        <v/>
      </c>
      <c r="F190" s="23" t="str">
        <f aca="false">IF($A190="","",IF(사용안내!$C$16=0,0,ROUND($E190/사용안내!$C$16,3)))</f>
        <v/>
      </c>
      <c r="G190" s="24" t="str">
        <f aca="false">IF($A190="","",IF($F190&lt;=0,"사용기록없음",ROUND($D190/$F190,0)))</f>
        <v/>
      </c>
      <c r="H190" s="25" t="str">
        <f aca="false">IF(OR($A190="",$F190&lt;=0),"",$B$3+$G190)</f>
        <v/>
      </c>
      <c r="I190" s="21" t="str">
        <f aca="false">IF($A190="","",IF(품목마스터!$F187="",0,품목마스터!$F187))</f>
        <v/>
      </c>
      <c r="J190" s="25" t="str">
        <f aca="false">IF(OR($A190="",$F190&lt;=0),"",$H190-$I190)</f>
        <v/>
      </c>
      <c r="K190" s="22" t="n">
        <f aca="false">IF(OR($A190="",$F190&lt;=0),0,MAX(0,CEILING(MAX(0,($I190+사용안내!$C$17)*$F190-$D190),MAX(1,IF(품목마스터!$H187="",1,품목마스터!$H187)))))</f>
        <v>0</v>
      </c>
      <c r="L190" s="21" t="str">
        <f aca="false">IF($A190="","",IF($F190&lt;=0,"-",IF($J190&lt;=$B$3,"발주",IF($J190&lt;=$B$3+7,"임박","정상"))))</f>
        <v/>
      </c>
    </row>
    <row r="191" customFormat="false" ht="15" hidden="false" customHeight="true" outlineLevel="0" collapsed="false">
      <c r="A191" s="17" t="str">
        <f aca="false">IF(품목마스터!$A188="","",품목마스터!$A188)</f>
        <v/>
      </c>
      <c r="B191" s="17" t="str">
        <f aca="false">IF($A191="","",품목마스터!$B188)</f>
        <v/>
      </c>
      <c r="C191" s="21" t="str">
        <f aca="false">IF($A191="","",품목마스터!$D188)</f>
        <v/>
      </c>
      <c r="D191" s="22" t="str">
        <f aca="false">IF($A191="","",IF(품목마스터!$E188="",0,품목마스터!$E188))</f>
        <v/>
      </c>
      <c r="E191" s="22" t="str">
        <f aca="false">IF($A191="","",SUMIFS(사용내역!$E$3:$E$3002,사용내역!$B$3:$B$3002,$A191,사용내역!$A$3:$A$3002,"&gt;"&amp;($B$3-사용안내!$C$16),사용내역!$A$3:$A$3002,"&lt;="&amp;$B$3))</f>
        <v/>
      </c>
      <c r="F191" s="23" t="str">
        <f aca="false">IF($A191="","",IF(사용안내!$C$16=0,0,ROUND($E191/사용안내!$C$16,3)))</f>
        <v/>
      </c>
      <c r="G191" s="24" t="str">
        <f aca="false">IF($A191="","",IF($F191&lt;=0,"사용기록없음",ROUND($D191/$F191,0)))</f>
        <v/>
      </c>
      <c r="H191" s="25" t="str">
        <f aca="false">IF(OR($A191="",$F191&lt;=0),"",$B$3+$G191)</f>
        <v/>
      </c>
      <c r="I191" s="21" t="str">
        <f aca="false">IF($A191="","",IF(품목마스터!$F188="",0,품목마스터!$F188))</f>
        <v/>
      </c>
      <c r="J191" s="25" t="str">
        <f aca="false">IF(OR($A191="",$F191&lt;=0),"",$H191-$I191)</f>
        <v/>
      </c>
      <c r="K191" s="22" t="n">
        <f aca="false">IF(OR($A191="",$F191&lt;=0),0,MAX(0,CEILING(MAX(0,($I191+사용안내!$C$17)*$F191-$D191),MAX(1,IF(품목마스터!$H188="",1,품목마스터!$H188)))))</f>
        <v>0</v>
      </c>
      <c r="L191" s="21" t="str">
        <f aca="false">IF($A191="","",IF($F191&lt;=0,"-",IF($J191&lt;=$B$3,"발주",IF($J191&lt;=$B$3+7,"임박","정상"))))</f>
        <v/>
      </c>
    </row>
    <row r="192" customFormat="false" ht="15" hidden="false" customHeight="true" outlineLevel="0" collapsed="false">
      <c r="A192" s="17" t="str">
        <f aca="false">IF(품목마스터!$A189="","",품목마스터!$A189)</f>
        <v/>
      </c>
      <c r="B192" s="17" t="str">
        <f aca="false">IF($A192="","",품목마스터!$B189)</f>
        <v/>
      </c>
      <c r="C192" s="21" t="str">
        <f aca="false">IF($A192="","",품목마스터!$D189)</f>
        <v/>
      </c>
      <c r="D192" s="22" t="str">
        <f aca="false">IF($A192="","",IF(품목마스터!$E189="",0,품목마스터!$E189))</f>
        <v/>
      </c>
      <c r="E192" s="22" t="str">
        <f aca="false">IF($A192="","",SUMIFS(사용내역!$E$3:$E$3002,사용내역!$B$3:$B$3002,$A192,사용내역!$A$3:$A$3002,"&gt;"&amp;($B$3-사용안내!$C$16),사용내역!$A$3:$A$3002,"&lt;="&amp;$B$3))</f>
        <v/>
      </c>
      <c r="F192" s="23" t="str">
        <f aca="false">IF($A192="","",IF(사용안내!$C$16=0,0,ROUND($E192/사용안내!$C$16,3)))</f>
        <v/>
      </c>
      <c r="G192" s="24" t="str">
        <f aca="false">IF($A192="","",IF($F192&lt;=0,"사용기록없음",ROUND($D192/$F192,0)))</f>
        <v/>
      </c>
      <c r="H192" s="25" t="str">
        <f aca="false">IF(OR($A192="",$F192&lt;=0),"",$B$3+$G192)</f>
        <v/>
      </c>
      <c r="I192" s="21" t="str">
        <f aca="false">IF($A192="","",IF(품목마스터!$F189="",0,품목마스터!$F189))</f>
        <v/>
      </c>
      <c r="J192" s="25" t="str">
        <f aca="false">IF(OR($A192="",$F192&lt;=0),"",$H192-$I192)</f>
        <v/>
      </c>
      <c r="K192" s="22" t="n">
        <f aca="false">IF(OR($A192="",$F192&lt;=0),0,MAX(0,CEILING(MAX(0,($I192+사용안내!$C$17)*$F192-$D192),MAX(1,IF(품목마스터!$H189="",1,품목마스터!$H189)))))</f>
        <v>0</v>
      </c>
      <c r="L192" s="21" t="str">
        <f aca="false">IF($A192="","",IF($F192&lt;=0,"-",IF($J192&lt;=$B$3,"발주",IF($J192&lt;=$B$3+7,"임박","정상"))))</f>
        <v/>
      </c>
    </row>
    <row r="193" customFormat="false" ht="15" hidden="false" customHeight="true" outlineLevel="0" collapsed="false">
      <c r="A193" s="17" t="str">
        <f aca="false">IF(품목마스터!$A190="","",품목마스터!$A190)</f>
        <v/>
      </c>
      <c r="B193" s="17" t="str">
        <f aca="false">IF($A193="","",품목마스터!$B190)</f>
        <v/>
      </c>
      <c r="C193" s="21" t="str">
        <f aca="false">IF($A193="","",품목마스터!$D190)</f>
        <v/>
      </c>
      <c r="D193" s="22" t="str">
        <f aca="false">IF($A193="","",IF(품목마스터!$E190="",0,품목마스터!$E190))</f>
        <v/>
      </c>
      <c r="E193" s="22" t="str">
        <f aca="false">IF($A193="","",SUMIFS(사용내역!$E$3:$E$3002,사용내역!$B$3:$B$3002,$A193,사용내역!$A$3:$A$3002,"&gt;"&amp;($B$3-사용안내!$C$16),사용내역!$A$3:$A$3002,"&lt;="&amp;$B$3))</f>
        <v/>
      </c>
      <c r="F193" s="23" t="str">
        <f aca="false">IF($A193="","",IF(사용안내!$C$16=0,0,ROUND($E193/사용안내!$C$16,3)))</f>
        <v/>
      </c>
      <c r="G193" s="24" t="str">
        <f aca="false">IF($A193="","",IF($F193&lt;=0,"사용기록없음",ROUND($D193/$F193,0)))</f>
        <v/>
      </c>
      <c r="H193" s="25" t="str">
        <f aca="false">IF(OR($A193="",$F193&lt;=0),"",$B$3+$G193)</f>
        <v/>
      </c>
      <c r="I193" s="21" t="str">
        <f aca="false">IF($A193="","",IF(품목마스터!$F190="",0,품목마스터!$F190))</f>
        <v/>
      </c>
      <c r="J193" s="25" t="str">
        <f aca="false">IF(OR($A193="",$F193&lt;=0),"",$H193-$I193)</f>
        <v/>
      </c>
      <c r="K193" s="22" t="n">
        <f aca="false">IF(OR($A193="",$F193&lt;=0),0,MAX(0,CEILING(MAX(0,($I193+사용안내!$C$17)*$F193-$D193),MAX(1,IF(품목마스터!$H190="",1,품목마스터!$H190)))))</f>
        <v>0</v>
      </c>
      <c r="L193" s="21" t="str">
        <f aca="false">IF($A193="","",IF($F193&lt;=0,"-",IF($J193&lt;=$B$3,"발주",IF($J193&lt;=$B$3+7,"임박","정상"))))</f>
        <v/>
      </c>
    </row>
    <row r="194" customFormat="false" ht="15" hidden="false" customHeight="true" outlineLevel="0" collapsed="false">
      <c r="A194" s="17" t="str">
        <f aca="false">IF(품목마스터!$A191="","",품목마스터!$A191)</f>
        <v/>
      </c>
      <c r="B194" s="17" t="str">
        <f aca="false">IF($A194="","",품목마스터!$B191)</f>
        <v/>
      </c>
      <c r="C194" s="21" t="str">
        <f aca="false">IF($A194="","",품목마스터!$D191)</f>
        <v/>
      </c>
      <c r="D194" s="22" t="str">
        <f aca="false">IF($A194="","",IF(품목마스터!$E191="",0,품목마스터!$E191))</f>
        <v/>
      </c>
      <c r="E194" s="22" t="str">
        <f aca="false">IF($A194="","",SUMIFS(사용내역!$E$3:$E$3002,사용내역!$B$3:$B$3002,$A194,사용내역!$A$3:$A$3002,"&gt;"&amp;($B$3-사용안내!$C$16),사용내역!$A$3:$A$3002,"&lt;="&amp;$B$3))</f>
        <v/>
      </c>
      <c r="F194" s="23" t="str">
        <f aca="false">IF($A194="","",IF(사용안내!$C$16=0,0,ROUND($E194/사용안내!$C$16,3)))</f>
        <v/>
      </c>
      <c r="G194" s="24" t="str">
        <f aca="false">IF($A194="","",IF($F194&lt;=0,"사용기록없음",ROUND($D194/$F194,0)))</f>
        <v/>
      </c>
      <c r="H194" s="25" t="str">
        <f aca="false">IF(OR($A194="",$F194&lt;=0),"",$B$3+$G194)</f>
        <v/>
      </c>
      <c r="I194" s="21" t="str">
        <f aca="false">IF($A194="","",IF(품목마스터!$F191="",0,품목마스터!$F191))</f>
        <v/>
      </c>
      <c r="J194" s="25" t="str">
        <f aca="false">IF(OR($A194="",$F194&lt;=0),"",$H194-$I194)</f>
        <v/>
      </c>
      <c r="K194" s="22" t="n">
        <f aca="false">IF(OR($A194="",$F194&lt;=0),0,MAX(0,CEILING(MAX(0,($I194+사용안내!$C$17)*$F194-$D194),MAX(1,IF(품목마스터!$H191="",1,품목마스터!$H191)))))</f>
        <v>0</v>
      </c>
      <c r="L194" s="21" t="str">
        <f aca="false">IF($A194="","",IF($F194&lt;=0,"-",IF($J194&lt;=$B$3,"발주",IF($J194&lt;=$B$3+7,"임박","정상"))))</f>
        <v/>
      </c>
    </row>
    <row r="195" customFormat="false" ht="15" hidden="false" customHeight="true" outlineLevel="0" collapsed="false">
      <c r="A195" s="17" t="str">
        <f aca="false">IF(품목마스터!$A192="","",품목마스터!$A192)</f>
        <v/>
      </c>
      <c r="B195" s="17" t="str">
        <f aca="false">IF($A195="","",품목마스터!$B192)</f>
        <v/>
      </c>
      <c r="C195" s="21" t="str">
        <f aca="false">IF($A195="","",품목마스터!$D192)</f>
        <v/>
      </c>
      <c r="D195" s="22" t="str">
        <f aca="false">IF($A195="","",IF(품목마스터!$E192="",0,품목마스터!$E192))</f>
        <v/>
      </c>
      <c r="E195" s="22" t="str">
        <f aca="false">IF($A195="","",SUMIFS(사용내역!$E$3:$E$3002,사용내역!$B$3:$B$3002,$A195,사용내역!$A$3:$A$3002,"&gt;"&amp;($B$3-사용안내!$C$16),사용내역!$A$3:$A$3002,"&lt;="&amp;$B$3))</f>
        <v/>
      </c>
      <c r="F195" s="23" t="str">
        <f aca="false">IF($A195="","",IF(사용안내!$C$16=0,0,ROUND($E195/사용안내!$C$16,3)))</f>
        <v/>
      </c>
      <c r="G195" s="24" t="str">
        <f aca="false">IF($A195="","",IF($F195&lt;=0,"사용기록없음",ROUND($D195/$F195,0)))</f>
        <v/>
      </c>
      <c r="H195" s="25" t="str">
        <f aca="false">IF(OR($A195="",$F195&lt;=0),"",$B$3+$G195)</f>
        <v/>
      </c>
      <c r="I195" s="21" t="str">
        <f aca="false">IF($A195="","",IF(품목마스터!$F192="",0,품목마스터!$F192))</f>
        <v/>
      </c>
      <c r="J195" s="25" t="str">
        <f aca="false">IF(OR($A195="",$F195&lt;=0),"",$H195-$I195)</f>
        <v/>
      </c>
      <c r="K195" s="22" t="n">
        <f aca="false">IF(OR($A195="",$F195&lt;=0),0,MAX(0,CEILING(MAX(0,($I195+사용안내!$C$17)*$F195-$D195),MAX(1,IF(품목마스터!$H192="",1,품목마스터!$H192)))))</f>
        <v>0</v>
      </c>
      <c r="L195" s="21" t="str">
        <f aca="false">IF($A195="","",IF($F195&lt;=0,"-",IF($J195&lt;=$B$3,"발주",IF($J195&lt;=$B$3+7,"임박","정상"))))</f>
        <v/>
      </c>
    </row>
    <row r="196" customFormat="false" ht="15" hidden="false" customHeight="true" outlineLevel="0" collapsed="false">
      <c r="A196" s="17" t="str">
        <f aca="false">IF(품목마스터!$A193="","",품목마스터!$A193)</f>
        <v/>
      </c>
      <c r="B196" s="17" t="str">
        <f aca="false">IF($A196="","",품목마스터!$B193)</f>
        <v/>
      </c>
      <c r="C196" s="21" t="str">
        <f aca="false">IF($A196="","",품목마스터!$D193)</f>
        <v/>
      </c>
      <c r="D196" s="22" t="str">
        <f aca="false">IF($A196="","",IF(품목마스터!$E193="",0,품목마스터!$E193))</f>
        <v/>
      </c>
      <c r="E196" s="22" t="str">
        <f aca="false">IF($A196="","",SUMIFS(사용내역!$E$3:$E$3002,사용내역!$B$3:$B$3002,$A196,사용내역!$A$3:$A$3002,"&gt;"&amp;($B$3-사용안내!$C$16),사용내역!$A$3:$A$3002,"&lt;="&amp;$B$3))</f>
        <v/>
      </c>
      <c r="F196" s="23" t="str">
        <f aca="false">IF($A196="","",IF(사용안내!$C$16=0,0,ROUND($E196/사용안내!$C$16,3)))</f>
        <v/>
      </c>
      <c r="G196" s="24" t="str">
        <f aca="false">IF($A196="","",IF($F196&lt;=0,"사용기록없음",ROUND($D196/$F196,0)))</f>
        <v/>
      </c>
      <c r="H196" s="25" t="str">
        <f aca="false">IF(OR($A196="",$F196&lt;=0),"",$B$3+$G196)</f>
        <v/>
      </c>
      <c r="I196" s="21" t="str">
        <f aca="false">IF($A196="","",IF(품목마스터!$F193="",0,품목마스터!$F193))</f>
        <v/>
      </c>
      <c r="J196" s="25" t="str">
        <f aca="false">IF(OR($A196="",$F196&lt;=0),"",$H196-$I196)</f>
        <v/>
      </c>
      <c r="K196" s="22" t="n">
        <f aca="false">IF(OR($A196="",$F196&lt;=0),0,MAX(0,CEILING(MAX(0,($I196+사용안내!$C$17)*$F196-$D196),MAX(1,IF(품목마스터!$H193="",1,품목마스터!$H193)))))</f>
        <v>0</v>
      </c>
      <c r="L196" s="21" t="str">
        <f aca="false">IF($A196="","",IF($F196&lt;=0,"-",IF($J196&lt;=$B$3,"발주",IF($J196&lt;=$B$3+7,"임박","정상"))))</f>
        <v/>
      </c>
    </row>
    <row r="197" customFormat="false" ht="15" hidden="false" customHeight="true" outlineLevel="0" collapsed="false">
      <c r="A197" s="17" t="str">
        <f aca="false">IF(품목마스터!$A194="","",품목마스터!$A194)</f>
        <v/>
      </c>
      <c r="B197" s="17" t="str">
        <f aca="false">IF($A197="","",품목마스터!$B194)</f>
        <v/>
      </c>
      <c r="C197" s="21" t="str">
        <f aca="false">IF($A197="","",품목마스터!$D194)</f>
        <v/>
      </c>
      <c r="D197" s="22" t="str">
        <f aca="false">IF($A197="","",IF(품목마스터!$E194="",0,품목마스터!$E194))</f>
        <v/>
      </c>
      <c r="E197" s="22" t="str">
        <f aca="false">IF($A197="","",SUMIFS(사용내역!$E$3:$E$3002,사용내역!$B$3:$B$3002,$A197,사용내역!$A$3:$A$3002,"&gt;"&amp;($B$3-사용안내!$C$16),사용내역!$A$3:$A$3002,"&lt;="&amp;$B$3))</f>
        <v/>
      </c>
      <c r="F197" s="23" t="str">
        <f aca="false">IF($A197="","",IF(사용안내!$C$16=0,0,ROUND($E197/사용안내!$C$16,3)))</f>
        <v/>
      </c>
      <c r="G197" s="24" t="str">
        <f aca="false">IF($A197="","",IF($F197&lt;=0,"사용기록없음",ROUND($D197/$F197,0)))</f>
        <v/>
      </c>
      <c r="H197" s="25" t="str">
        <f aca="false">IF(OR($A197="",$F197&lt;=0),"",$B$3+$G197)</f>
        <v/>
      </c>
      <c r="I197" s="21" t="str">
        <f aca="false">IF($A197="","",IF(품목마스터!$F194="",0,품목마스터!$F194))</f>
        <v/>
      </c>
      <c r="J197" s="25" t="str">
        <f aca="false">IF(OR($A197="",$F197&lt;=0),"",$H197-$I197)</f>
        <v/>
      </c>
      <c r="K197" s="22" t="n">
        <f aca="false">IF(OR($A197="",$F197&lt;=0),0,MAX(0,CEILING(MAX(0,($I197+사용안내!$C$17)*$F197-$D197),MAX(1,IF(품목마스터!$H194="",1,품목마스터!$H194)))))</f>
        <v>0</v>
      </c>
      <c r="L197" s="21" t="str">
        <f aca="false">IF($A197="","",IF($F197&lt;=0,"-",IF($J197&lt;=$B$3,"발주",IF($J197&lt;=$B$3+7,"임박","정상"))))</f>
        <v/>
      </c>
    </row>
    <row r="198" customFormat="false" ht="15" hidden="false" customHeight="true" outlineLevel="0" collapsed="false">
      <c r="A198" s="17" t="str">
        <f aca="false">IF(품목마스터!$A195="","",품목마스터!$A195)</f>
        <v/>
      </c>
      <c r="B198" s="17" t="str">
        <f aca="false">IF($A198="","",품목마스터!$B195)</f>
        <v/>
      </c>
      <c r="C198" s="21" t="str">
        <f aca="false">IF($A198="","",품목마스터!$D195)</f>
        <v/>
      </c>
      <c r="D198" s="22" t="str">
        <f aca="false">IF($A198="","",IF(품목마스터!$E195="",0,품목마스터!$E195))</f>
        <v/>
      </c>
      <c r="E198" s="22" t="str">
        <f aca="false">IF($A198="","",SUMIFS(사용내역!$E$3:$E$3002,사용내역!$B$3:$B$3002,$A198,사용내역!$A$3:$A$3002,"&gt;"&amp;($B$3-사용안내!$C$16),사용내역!$A$3:$A$3002,"&lt;="&amp;$B$3))</f>
        <v/>
      </c>
      <c r="F198" s="23" t="str">
        <f aca="false">IF($A198="","",IF(사용안내!$C$16=0,0,ROUND($E198/사용안내!$C$16,3)))</f>
        <v/>
      </c>
      <c r="G198" s="24" t="str">
        <f aca="false">IF($A198="","",IF($F198&lt;=0,"사용기록없음",ROUND($D198/$F198,0)))</f>
        <v/>
      </c>
      <c r="H198" s="25" t="str">
        <f aca="false">IF(OR($A198="",$F198&lt;=0),"",$B$3+$G198)</f>
        <v/>
      </c>
      <c r="I198" s="21" t="str">
        <f aca="false">IF($A198="","",IF(품목마스터!$F195="",0,품목마스터!$F195))</f>
        <v/>
      </c>
      <c r="J198" s="25" t="str">
        <f aca="false">IF(OR($A198="",$F198&lt;=0),"",$H198-$I198)</f>
        <v/>
      </c>
      <c r="K198" s="22" t="n">
        <f aca="false">IF(OR($A198="",$F198&lt;=0),0,MAX(0,CEILING(MAX(0,($I198+사용안내!$C$17)*$F198-$D198),MAX(1,IF(품목마스터!$H195="",1,품목마스터!$H195)))))</f>
        <v>0</v>
      </c>
      <c r="L198" s="21" t="str">
        <f aca="false">IF($A198="","",IF($F198&lt;=0,"-",IF($J198&lt;=$B$3,"발주",IF($J198&lt;=$B$3+7,"임박","정상"))))</f>
        <v/>
      </c>
    </row>
    <row r="199" customFormat="false" ht="15" hidden="false" customHeight="true" outlineLevel="0" collapsed="false">
      <c r="A199" s="17" t="str">
        <f aca="false">IF(품목마스터!$A196="","",품목마스터!$A196)</f>
        <v/>
      </c>
      <c r="B199" s="17" t="str">
        <f aca="false">IF($A199="","",품목마스터!$B196)</f>
        <v/>
      </c>
      <c r="C199" s="21" t="str">
        <f aca="false">IF($A199="","",품목마스터!$D196)</f>
        <v/>
      </c>
      <c r="D199" s="22" t="str">
        <f aca="false">IF($A199="","",IF(품목마스터!$E196="",0,품목마스터!$E196))</f>
        <v/>
      </c>
      <c r="E199" s="22" t="str">
        <f aca="false">IF($A199="","",SUMIFS(사용내역!$E$3:$E$3002,사용내역!$B$3:$B$3002,$A199,사용내역!$A$3:$A$3002,"&gt;"&amp;($B$3-사용안내!$C$16),사용내역!$A$3:$A$3002,"&lt;="&amp;$B$3))</f>
        <v/>
      </c>
      <c r="F199" s="23" t="str">
        <f aca="false">IF($A199="","",IF(사용안내!$C$16=0,0,ROUND($E199/사용안내!$C$16,3)))</f>
        <v/>
      </c>
      <c r="G199" s="24" t="str">
        <f aca="false">IF($A199="","",IF($F199&lt;=0,"사용기록없음",ROUND($D199/$F199,0)))</f>
        <v/>
      </c>
      <c r="H199" s="25" t="str">
        <f aca="false">IF(OR($A199="",$F199&lt;=0),"",$B$3+$G199)</f>
        <v/>
      </c>
      <c r="I199" s="21" t="str">
        <f aca="false">IF($A199="","",IF(품목마스터!$F196="",0,품목마스터!$F196))</f>
        <v/>
      </c>
      <c r="J199" s="25" t="str">
        <f aca="false">IF(OR($A199="",$F199&lt;=0),"",$H199-$I199)</f>
        <v/>
      </c>
      <c r="K199" s="22" t="n">
        <f aca="false">IF(OR($A199="",$F199&lt;=0),0,MAX(0,CEILING(MAX(0,($I199+사용안내!$C$17)*$F199-$D199),MAX(1,IF(품목마스터!$H196="",1,품목마스터!$H196)))))</f>
        <v>0</v>
      </c>
      <c r="L199" s="21" t="str">
        <f aca="false">IF($A199="","",IF($F199&lt;=0,"-",IF($J199&lt;=$B$3,"발주",IF($J199&lt;=$B$3+7,"임박","정상"))))</f>
        <v/>
      </c>
    </row>
    <row r="200" customFormat="false" ht="15" hidden="false" customHeight="true" outlineLevel="0" collapsed="false">
      <c r="A200" s="17" t="str">
        <f aca="false">IF(품목마스터!$A197="","",품목마스터!$A197)</f>
        <v/>
      </c>
      <c r="B200" s="17" t="str">
        <f aca="false">IF($A200="","",품목마스터!$B197)</f>
        <v/>
      </c>
      <c r="C200" s="21" t="str">
        <f aca="false">IF($A200="","",품목마스터!$D197)</f>
        <v/>
      </c>
      <c r="D200" s="22" t="str">
        <f aca="false">IF($A200="","",IF(품목마스터!$E197="",0,품목마스터!$E197))</f>
        <v/>
      </c>
      <c r="E200" s="22" t="str">
        <f aca="false">IF($A200="","",SUMIFS(사용내역!$E$3:$E$3002,사용내역!$B$3:$B$3002,$A200,사용내역!$A$3:$A$3002,"&gt;"&amp;($B$3-사용안내!$C$16),사용내역!$A$3:$A$3002,"&lt;="&amp;$B$3))</f>
        <v/>
      </c>
      <c r="F200" s="23" t="str">
        <f aca="false">IF($A200="","",IF(사용안내!$C$16=0,0,ROUND($E200/사용안내!$C$16,3)))</f>
        <v/>
      </c>
      <c r="G200" s="24" t="str">
        <f aca="false">IF($A200="","",IF($F200&lt;=0,"사용기록없음",ROUND($D200/$F200,0)))</f>
        <v/>
      </c>
      <c r="H200" s="25" t="str">
        <f aca="false">IF(OR($A200="",$F200&lt;=0),"",$B$3+$G200)</f>
        <v/>
      </c>
      <c r="I200" s="21" t="str">
        <f aca="false">IF($A200="","",IF(품목마스터!$F197="",0,품목마스터!$F197))</f>
        <v/>
      </c>
      <c r="J200" s="25" t="str">
        <f aca="false">IF(OR($A200="",$F200&lt;=0),"",$H200-$I200)</f>
        <v/>
      </c>
      <c r="K200" s="22" t="n">
        <f aca="false">IF(OR($A200="",$F200&lt;=0),0,MAX(0,CEILING(MAX(0,($I200+사용안내!$C$17)*$F200-$D200),MAX(1,IF(품목마스터!$H197="",1,품목마스터!$H197)))))</f>
        <v>0</v>
      </c>
      <c r="L200" s="21" t="str">
        <f aca="false">IF($A200="","",IF($F200&lt;=0,"-",IF($J200&lt;=$B$3,"발주",IF($J200&lt;=$B$3+7,"임박","정상"))))</f>
        <v/>
      </c>
    </row>
    <row r="201" customFormat="false" ht="15" hidden="false" customHeight="true" outlineLevel="0" collapsed="false">
      <c r="A201" s="17" t="str">
        <f aca="false">IF(품목마스터!$A198="","",품목마스터!$A198)</f>
        <v/>
      </c>
      <c r="B201" s="17" t="str">
        <f aca="false">IF($A201="","",품목마스터!$B198)</f>
        <v/>
      </c>
      <c r="C201" s="21" t="str">
        <f aca="false">IF($A201="","",품목마스터!$D198)</f>
        <v/>
      </c>
      <c r="D201" s="22" t="str">
        <f aca="false">IF($A201="","",IF(품목마스터!$E198="",0,품목마스터!$E198))</f>
        <v/>
      </c>
      <c r="E201" s="22" t="str">
        <f aca="false">IF($A201="","",SUMIFS(사용내역!$E$3:$E$3002,사용내역!$B$3:$B$3002,$A201,사용내역!$A$3:$A$3002,"&gt;"&amp;($B$3-사용안내!$C$16),사용내역!$A$3:$A$3002,"&lt;="&amp;$B$3))</f>
        <v/>
      </c>
      <c r="F201" s="23" t="str">
        <f aca="false">IF($A201="","",IF(사용안내!$C$16=0,0,ROUND($E201/사용안내!$C$16,3)))</f>
        <v/>
      </c>
      <c r="G201" s="24" t="str">
        <f aca="false">IF($A201="","",IF($F201&lt;=0,"사용기록없음",ROUND($D201/$F201,0)))</f>
        <v/>
      </c>
      <c r="H201" s="25" t="str">
        <f aca="false">IF(OR($A201="",$F201&lt;=0),"",$B$3+$G201)</f>
        <v/>
      </c>
      <c r="I201" s="21" t="str">
        <f aca="false">IF($A201="","",IF(품목마스터!$F198="",0,품목마스터!$F198))</f>
        <v/>
      </c>
      <c r="J201" s="25" t="str">
        <f aca="false">IF(OR($A201="",$F201&lt;=0),"",$H201-$I201)</f>
        <v/>
      </c>
      <c r="K201" s="22" t="n">
        <f aca="false">IF(OR($A201="",$F201&lt;=0),0,MAX(0,CEILING(MAX(0,($I201+사용안내!$C$17)*$F201-$D201),MAX(1,IF(품목마스터!$H198="",1,품목마스터!$H198)))))</f>
        <v>0</v>
      </c>
      <c r="L201" s="21" t="str">
        <f aca="false">IF($A201="","",IF($F201&lt;=0,"-",IF($J201&lt;=$B$3,"발주",IF($J201&lt;=$B$3+7,"임박","정상"))))</f>
        <v/>
      </c>
    </row>
    <row r="202" customFormat="false" ht="15" hidden="false" customHeight="true" outlineLevel="0" collapsed="false">
      <c r="A202" s="17" t="str">
        <f aca="false">IF(품목마스터!$A199="","",품목마스터!$A199)</f>
        <v/>
      </c>
      <c r="B202" s="17" t="str">
        <f aca="false">IF($A202="","",품목마스터!$B199)</f>
        <v/>
      </c>
      <c r="C202" s="21" t="str">
        <f aca="false">IF($A202="","",품목마스터!$D199)</f>
        <v/>
      </c>
      <c r="D202" s="22" t="str">
        <f aca="false">IF($A202="","",IF(품목마스터!$E199="",0,품목마스터!$E199))</f>
        <v/>
      </c>
      <c r="E202" s="22" t="str">
        <f aca="false">IF($A202="","",SUMIFS(사용내역!$E$3:$E$3002,사용내역!$B$3:$B$3002,$A202,사용내역!$A$3:$A$3002,"&gt;"&amp;($B$3-사용안내!$C$16),사용내역!$A$3:$A$3002,"&lt;="&amp;$B$3))</f>
        <v/>
      </c>
      <c r="F202" s="23" t="str">
        <f aca="false">IF($A202="","",IF(사용안내!$C$16=0,0,ROUND($E202/사용안내!$C$16,3)))</f>
        <v/>
      </c>
      <c r="G202" s="24" t="str">
        <f aca="false">IF($A202="","",IF($F202&lt;=0,"사용기록없음",ROUND($D202/$F202,0)))</f>
        <v/>
      </c>
      <c r="H202" s="25" t="str">
        <f aca="false">IF(OR($A202="",$F202&lt;=0),"",$B$3+$G202)</f>
        <v/>
      </c>
      <c r="I202" s="21" t="str">
        <f aca="false">IF($A202="","",IF(품목마스터!$F199="",0,품목마스터!$F199))</f>
        <v/>
      </c>
      <c r="J202" s="25" t="str">
        <f aca="false">IF(OR($A202="",$F202&lt;=0),"",$H202-$I202)</f>
        <v/>
      </c>
      <c r="K202" s="22" t="n">
        <f aca="false">IF(OR($A202="",$F202&lt;=0),0,MAX(0,CEILING(MAX(0,($I202+사용안내!$C$17)*$F202-$D202),MAX(1,IF(품목마스터!$H199="",1,품목마스터!$H199)))))</f>
        <v>0</v>
      </c>
      <c r="L202" s="21" t="str">
        <f aca="false">IF($A202="","",IF($F202&lt;=0,"-",IF($J202&lt;=$B$3,"발주",IF($J202&lt;=$B$3+7,"임박","정상"))))</f>
        <v/>
      </c>
    </row>
    <row r="203" customFormat="false" ht="15" hidden="false" customHeight="true" outlineLevel="0" collapsed="false">
      <c r="A203" s="17" t="str">
        <f aca="false">IF(품목마스터!$A200="","",품목마스터!$A200)</f>
        <v/>
      </c>
      <c r="B203" s="17" t="str">
        <f aca="false">IF($A203="","",품목마스터!$B200)</f>
        <v/>
      </c>
      <c r="C203" s="21" t="str">
        <f aca="false">IF($A203="","",품목마스터!$D200)</f>
        <v/>
      </c>
      <c r="D203" s="22" t="str">
        <f aca="false">IF($A203="","",IF(품목마스터!$E200="",0,품목마스터!$E200))</f>
        <v/>
      </c>
      <c r="E203" s="22" t="str">
        <f aca="false">IF($A203="","",SUMIFS(사용내역!$E$3:$E$3002,사용내역!$B$3:$B$3002,$A203,사용내역!$A$3:$A$3002,"&gt;"&amp;($B$3-사용안내!$C$16),사용내역!$A$3:$A$3002,"&lt;="&amp;$B$3))</f>
        <v/>
      </c>
      <c r="F203" s="23" t="str">
        <f aca="false">IF($A203="","",IF(사용안내!$C$16=0,0,ROUND($E203/사용안내!$C$16,3)))</f>
        <v/>
      </c>
      <c r="G203" s="24" t="str">
        <f aca="false">IF($A203="","",IF($F203&lt;=0,"사용기록없음",ROUND($D203/$F203,0)))</f>
        <v/>
      </c>
      <c r="H203" s="25" t="str">
        <f aca="false">IF(OR($A203="",$F203&lt;=0),"",$B$3+$G203)</f>
        <v/>
      </c>
      <c r="I203" s="21" t="str">
        <f aca="false">IF($A203="","",IF(품목마스터!$F200="",0,품목마스터!$F200))</f>
        <v/>
      </c>
      <c r="J203" s="25" t="str">
        <f aca="false">IF(OR($A203="",$F203&lt;=0),"",$H203-$I203)</f>
        <v/>
      </c>
      <c r="K203" s="22" t="n">
        <f aca="false">IF(OR($A203="",$F203&lt;=0),0,MAX(0,CEILING(MAX(0,($I203+사용안내!$C$17)*$F203-$D203),MAX(1,IF(품목마스터!$H200="",1,품목마스터!$H200)))))</f>
        <v>0</v>
      </c>
      <c r="L203" s="21" t="str">
        <f aca="false">IF($A203="","",IF($F203&lt;=0,"-",IF($J203&lt;=$B$3,"발주",IF($J203&lt;=$B$3+7,"임박","정상"))))</f>
        <v/>
      </c>
    </row>
    <row r="204" customFormat="false" ht="15" hidden="false" customHeight="true" outlineLevel="0" collapsed="false">
      <c r="A204" s="17" t="str">
        <f aca="false">IF(품목마스터!$A201="","",품목마스터!$A201)</f>
        <v/>
      </c>
      <c r="B204" s="17" t="str">
        <f aca="false">IF($A204="","",품목마스터!$B201)</f>
        <v/>
      </c>
      <c r="C204" s="21" t="str">
        <f aca="false">IF($A204="","",품목마스터!$D201)</f>
        <v/>
      </c>
      <c r="D204" s="22" t="str">
        <f aca="false">IF($A204="","",IF(품목마스터!$E201="",0,품목마스터!$E201))</f>
        <v/>
      </c>
      <c r="E204" s="22" t="str">
        <f aca="false">IF($A204="","",SUMIFS(사용내역!$E$3:$E$3002,사용내역!$B$3:$B$3002,$A204,사용내역!$A$3:$A$3002,"&gt;"&amp;($B$3-사용안내!$C$16),사용내역!$A$3:$A$3002,"&lt;="&amp;$B$3))</f>
        <v/>
      </c>
      <c r="F204" s="23" t="str">
        <f aca="false">IF($A204="","",IF(사용안내!$C$16=0,0,ROUND($E204/사용안내!$C$16,3)))</f>
        <v/>
      </c>
      <c r="G204" s="24" t="str">
        <f aca="false">IF($A204="","",IF($F204&lt;=0,"사용기록없음",ROUND($D204/$F204,0)))</f>
        <v/>
      </c>
      <c r="H204" s="25" t="str">
        <f aca="false">IF(OR($A204="",$F204&lt;=0),"",$B$3+$G204)</f>
        <v/>
      </c>
      <c r="I204" s="21" t="str">
        <f aca="false">IF($A204="","",IF(품목마스터!$F201="",0,품목마스터!$F201))</f>
        <v/>
      </c>
      <c r="J204" s="25" t="str">
        <f aca="false">IF(OR($A204="",$F204&lt;=0),"",$H204-$I204)</f>
        <v/>
      </c>
      <c r="K204" s="22" t="n">
        <f aca="false">IF(OR($A204="",$F204&lt;=0),0,MAX(0,CEILING(MAX(0,($I204+사용안내!$C$17)*$F204-$D204),MAX(1,IF(품목마스터!$H201="",1,품목마스터!$H201)))))</f>
        <v>0</v>
      </c>
      <c r="L204" s="21" t="str">
        <f aca="false">IF($A204="","",IF($F204&lt;=0,"-",IF($J204&lt;=$B$3,"발주",IF($J204&lt;=$B$3+7,"임박","정상"))))</f>
        <v/>
      </c>
    </row>
    <row r="205" customFormat="false" ht="15" hidden="false" customHeight="true" outlineLevel="0" collapsed="false">
      <c r="A205" s="17" t="str">
        <f aca="false">IF(품목마스터!$A202="","",품목마스터!$A202)</f>
        <v/>
      </c>
      <c r="B205" s="17" t="str">
        <f aca="false">IF($A205="","",품목마스터!$B202)</f>
        <v/>
      </c>
      <c r="C205" s="21" t="str">
        <f aca="false">IF($A205="","",품목마스터!$D202)</f>
        <v/>
      </c>
      <c r="D205" s="22" t="str">
        <f aca="false">IF($A205="","",IF(품목마스터!$E202="",0,품목마스터!$E202))</f>
        <v/>
      </c>
      <c r="E205" s="22" t="str">
        <f aca="false">IF($A205="","",SUMIFS(사용내역!$E$3:$E$3002,사용내역!$B$3:$B$3002,$A205,사용내역!$A$3:$A$3002,"&gt;"&amp;($B$3-사용안내!$C$16),사용내역!$A$3:$A$3002,"&lt;="&amp;$B$3))</f>
        <v/>
      </c>
      <c r="F205" s="23" t="str">
        <f aca="false">IF($A205="","",IF(사용안내!$C$16=0,0,ROUND($E205/사용안내!$C$16,3)))</f>
        <v/>
      </c>
      <c r="G205" s="24" t="str">
        <f aca="false">IF($A205="","",IF($F205&lt;=0,"사용기록없음",ROUND($D205/$F205,0)))</f>
        <v/>
      </c>
      <c r="H205" s="25" t="str">
        <f aca="false">IF(OR($A205="",$F205&lt;=0),"",$B$3+$G205)</f>
        <v/>
      </c>
      <c r="I205" s="21" t="str">
        <f aca="false">IF($A205="","",IF(품목마스터!$F202="",0,품목마스터!$F202))</f>
        <v/>
      </c>
      <c r="J205" s="25" t="str">
        <f aca="false">IF(OR($A205="",$F205&lt;=0),"",$H205-$I205)</f>
        <v/>
      </c>
      <c r="K205" s="22" t="n">
        <f aca="false">IF(OR($A205="",$F205&lt;=0),0,MAX(0,CEILING(MAX(0,($I205+사용안내!$C$17)*$F205-$D205),MAX(1,IF(품목마스터!$H202="",1,품목마스터!$H202)))))</f>
        <v>0</v>
      </c>
      <c r="L205" s="21" t="str">
        <f aca="false">IF($A205="","",IF($F205&lt;=0,"-",IF($J205&lt;=$B$3,"발주",IF($J205&lt;=$B$3+7,"임박","정상"))))</f>
        <v/>
      </c>
    </row>
    <row r="206" customFormat="false" ht="15" hidden="false" customHeight="true" outlineLevel="0" collapsed="false">
      <c r="A206" s="17" t="str">
        <f aca="false">IF(품목마스터!$A203="","",품목마스터!$A203)</f>
        <v/>
      </c>
      <c r="B206" s="17" t="str">
        <f aca="false">IF($A206="","",품목마스터!$B203)</f>
        <v/>
      </c>
      <c r="C206" s="21" t="str">
        <f aca="false">IF($A206="","",품목마스터!$D203)</f>
        <v/>
      </c>
      <c r="D206" s="22" t="str">
        <f aca="false">IF($A206="","",IF(품목마스터!$E203="",0,품목마스터!$E203))</f>
        <v/>
      </c>
      <c r="E206" s="22" t="str">
        <f aca="false">IF($A206="","",SUMIFS(사용내역!$E$3:$E$3002,사용내역!$B$3:$B$3002,$A206,사용내역!$A$3:$A$3002,"&gt;"&amp;($B$3-사용안내!$C$16),사용내역!$A$3:$A$3002,"&lt;="&amp;$B$3))</f>
        <v/>
      </c>
      <c r="F206" s="23" t="str">
        <f aca="false">IF($A206="","",IF(사용안내!$C$16=0,0,ROUND($E206/사용안내!$C$16,3)))</f>
        <v/>
      </c>
      <c r="G206" s="24" t="str">
        <f aca="false">IF($A206="","",IF($F206&lt;=0,"사용기록없음",ROUND($D206/$F206,0)))</f>
        <v/>
      </c>
      <c r="H206" s="25" t="str">
        <f aca="false">IF(OR($A206="",$F206&lt;=0),"",$B$3+$G206)</f>
        <v/>
      </c>
      <c r="I206" s="21" t="str">
        <f aca="false">IF($A206="","",IF(품목마스터!$F203="",0,품목마스터!$F203))</f>
        <v/>
      </c>
      <c r="J206" s="25" t="str">
        <f aca="false">IF(OR($A206="",$F206&lt;=0),"",$H206-$I206)</f>
        <v/>
      </c>
      <c r="K206" s="22" t="n">
        <f aca="false">IF(OR($A206="",$F206&lt;=0),0,MAX(0,CEILING(MAX(0,($I206+사용안내!$C$17)*$F206-$D206),MAX(1,IF(품목마스터!$H203="",1,품목마스터!$H203)))))</f>
        <v>0</v>
      </c>
      <c r="L206" s="21" t="str">
        <f aca="false">IF($A206="","",IF($F206&lt;=0,"-",IF($J206&lt;=$B$3,"발주",IF($J206&lt;=$B$3+7,"임박","정상"))))</f>
        <v/>
      </c>
    </row>
    <row r="207" customFormat="false" ht="15" hidden="false" customHeight="true" outlineLevel="0" collapsed="false">
      <c r="A207" s="17" t="str">
        <f aca="false">IF(품목마스터!$A204="","",품목마스터!$A204)</f>
        <v/>
      </c>
      <c r="B207" s="17" t="str">
        <f aca="false">IF($A207="","",품목마스터!$B204)</f>
        <v/>
      </c>
      <c r="C207" s="21" t="str">
        <f aca="false">IF($A207="","",품목마스터!$D204)</f>
        <v/>
      </c>
      <c r="D207" s="22" t="str">
        <f aca="false">IF($A207="","",IF(품목마스터!$E204="",0,품목마스터!$E204))</f>
        <v/>
      </c>
      <c r="E207" s="22" t="str">
        <f aca="false">IF($A207="","",SUMIFS(사용내역!$E$3:$E$3002,사용내역!$B$3:$B$3002,$A207,사용내역!$A$3:$A$3002,"&gt;"&amp;($B$3-사용안내!$C$16),사용내역!$A$3:$A$3002,"&lt;="&amp;$B$3))</f>
        <v/>
      </c>
      <c r="F207" s="23" t="str">
        <f aca="false">IF($A207="","",IF(사용안내!$C$16=0,0,ROUND($E207/사용안내!$C$16,3)))</f>
        <v/>
      </c>
      <c r="G207" s="24" t="str">
        <f aca="false">IF($A207="","",IF($F207&lt;=0,"사용기록없음",ROUND($D207/$F207,0)))</f>
        <v/>
      </c>
      <c r="H207" s="25" t="str">
        <f aca="false">IF(OR($A207="",$F207&lt;=0),"",$B$3+$G207)</f>
        <v/>
      </c>
      <c r="I207" s="21" t="str">
        <f aca="false">IF($A207="","",IF(품목마스터!$F204="",0,품목마스터!$F204))</f>
        <v/>
      </c>
      <c r="J207" s="25" t="str">
        <f aca="false">IF(OR($A207="",$F207&lt;=0),"",$H207-$I207)</f>
        <v/>
      </c>
      <c r="K207" s="22" t="n">
        <f aca="false">IF(OR($A207="",$F207&lt;=0),0,MAX(0,CEILING(MAX(0,($I207+사용안내!$C$17)*$F207-$D207),MAX(1,IF(품목마스터!$H204="",1,품목마스터!$H204)))))</f>
        <v>0</v>
      </c>
      <c r="L207" s="21" t="str">
        <f aca="false">IF($A207="","",IF($F207&lt;=0,"-",IF($J207&lt;=$B$3,"발주",IF($J207&lt;=$B$3+7,"임박","정상"))))</f>
        <v/>
      </c>
    </row>
    <row r="208" customFormat="false" ht="15" hidden="false" customHeight="true" outlineLevel="0" collapsed="false">
      <c r="A208" s="17" t="str">
        <f aca="false">IF(품목마스터!$A205="","",품목마스터!$A205)</f>
        <v/>
      </c>
      <c r="B208" s="17" t="str">
        <f aca="false">IF($A208="","",품목마스터!$B205)</f>
        <v/>
      </c>
      <c r="C208" s="21" t="str">
        <f aca="false">IF($A208="","",품목마스터!$D205)</f>
        <v/>
      </c>
      <c r="D208" s="22" t="str">
        <f aca="false">IF($A208="","",IF(품목마스터!$E205="",0,품목마스터!$E205))</f>
        <v/>
      </c>
      <c r="E208" s="22" t="str">
        <f aca="false">IF($A208="","",SUMIFS(사용내역!$E$3:$E$3002,사용내역!$B$3:$B$3002,$A208,사용내역!$A$3:$A$3002,"&gt;"&amp;($B$3-사용안내!$C$16),사용내역!$A$3:$A$3002,"&lt;="&amp;$B$3))</f>
        <v/>
      </c>
      <c r="F208" s="23" t="str">
        <f aca="false">IF($A208="","",IF(사용안내!$C$16=0,0,ROUND($E208/사용안내!$C$16,3)))</f>
        <v/>
      </c>
      <c r="G208" s="24" t="str">
        <f aca="false">IF($A208="","",IF($F208&lt;=0,"사용기록없음",ROUND($D208/$F208,0)))</f>
        <v/>
      </c>
      <c r="H208" s="25" t="str">
        <f aca="false">IF(OR($A208="",$F208&lt;=0),"",$B$3+$G208)</f>
        <v/>
      </c>
      <c r="I208" s="21" t="str">
        <f aca="false">IF($A208="","",IF(품목마스터!$F205="",0,품목마스터!$F205))</f>
        <v/>
      </c>
      <c r="J208" s="25" t="str">
        <f aca="false">IF(OR($A208="",$F208&lt;=0),"",$H208-$I208)</f>
        <v/>
      </c>
      <c r="K208" s="22" t="n">
        <f aca="false">IF(OR($A208="",$F208&lt;=0),0,MAX(0,CEILING(MAX(0,($I208+사용안내!$C$17)*$F208-$D208),MAX(1,IF(품목마스터!$H205="",1,품목마스터!$H205)))))</f>
        <v>0</v>
      </c>
      <c r="L208" s="21" t="str">
        <f aca="false">IF($A208="","",IF($F208&lt;=0,"-",IF($J208&lt;=$B$3,"발주",IF($J208&lt;=$B$3+7,"임박","정상"))))</f>
        <v/>
      </c>
    </row>
    <row r="209" customFormat="false" ht="15" hidden="false" customHeight="true" outlineLevel="0" collapsed="false">
      <c r="A209" s="17" t="str">
        <f aca="false">IF(품목마스터!$A206="","",품목마스터!$A206)</f>
        <v/>
      </c>
      <c r="B209" s="17" t="str">
        <f aca="false">IF($A209="","",품목마스터!$B206)</f>
        <v/>
      </c>
      <c r="C209" s="21" t="str">
        <f aca="false">IF($A209="","",품목마스터!$D206)</f>
        <v/>
      </c>
      <c r="D209" s="22" t="str">
        <f aca="false">IF($A209="","",IF(품목마스터!$E206="",0,품목마스터!$E206))</f>
        <v/>
      </c>
      <c r="E209" s="22" t="str">
        <f aca="false">IF($A209="","",SUMIFS(사용내역!$E$3:$E$3002,사용내역!$B$3:$B$3002,$A209,사용내역!$A$3:$A$3002,"&gt;"&amp;($B$3-사용안내!$C$16),사용내역!$A$3:$A$3002,"&lt;="&amp;$B$3))</f>
        <v/>
      </c>
      <c r="F209" s="23" t="str">
        <f aca="false">IF($A209="","",IF(사용안내!$C$16=0,0,ROUND($E209/사용안내!$C$16,3)))</f>
        <v/>
      </c>
      <c r="G209" s="24" t="str">
        <f aca="false">IF($A209="","",IF($F209&lt;=0,"사용기록없음",ROUND($D209/$F209,0)))</f>
        <v/>
      </c>
      <c r="H209" s="25" t="str">
        <f aca="false">IF(OR($A209="",$F209&lt;=0),"",$B$3+$G209)</f>
        <v/>
      </c>
      <c r="I209" s="21" t="str">
        <f aca="false">IF($A209="","",IF(품목마스터!$F206="",0,품목마스터!$F206))</f>
        <v/>
      </c>
      <c r="J209" s="25" t="str">
        <f aca="false">IF(OR($A209="",$F209&lt;=0),"",$H209-$I209)</f>
        <v/>
      </c>
      <c r="K209" s="22" t="n">
        <f aca="false">IF(OR($A209="",$F209&lt;=0),0,MAX(0,CEILING(MAX(0,($I209+사용안내!$C$17)*$F209-$D209),MAX(1,IF(품목마스터!$H206="",1,품목마스터!$H206)))))</f>
        <v>0</v>
      </c>
      <c r="L209" s="21" t="str">
        <f aca="false">IF($A209="","",IF($F209&lt;=0,"-",IF($J209&lt;=$B$3,"발주",IF($J209&lt;=$B$3+7,"임박","정상"))))</f>
        <v/>
      </c>
    </row>
    <row r="210" customFormat="false" ht="15" hidden="false" customHeight="true" outlineLevel="0" collapsed="false">
      <c r="A210" s="17" t="str">
        <f aca="false">IF(품목마스터!$A207="","",품목마스터!$A207)</f>
        <v/>
      </c>
      <c r="B210" s="17" t="str">
        <f aca="false">IF($A210="","",품목마스터!$B207)</f>
        <v/>
      </c>
      <c r="C210" s="21" t="str">
        <f aca="false">IF($A210="","",품목마스터!$D207)</f>
        <v/>
      </c>
      <c r="D210" s="22" t="str">
        <f aca="false">IF($A210="","",IF(품목마스터!$E207="",0,품목마스터!$E207))</f>
        <v/>
      </c>
      <c r="E210" s="22" t="str">
        <f aca="false">IF($A210="","",SUMIFS(사용내역!$E$3:$E$3002,사용내역!$B$3:$B$3002,$A210,사용내역!$A$3:$A$3002,"&gt;"&amp;($B$3-사용안내!$C$16),사용내역!$A$3:$A$3002,"&lt;="&amp;$B$3))</f>
        <v/>
      </c>
      <c r="F210" s="23" t="str">
        <f aca="false">IF($A210="","",IF(사용안내!$C$16=0,0,ROUND($E210/사용안내!$C$16,3)))</f>
        <v/>
      </c>
      <c r="G210" s="24" t="str">
        <f aca="false">IF($A210="","",IF($F210&lt;=0,"사용기록없음",ROUND($D210/$F210,0)))</f>
        <v/>
      </c>
      <c r="H210" s="25" t="str">
        <f aca="false">IF(OR($A210="",$F210&lt;=0),"",$B$3+$G210)</f>
        <v/>
      </c>
      <c r="I210" s="21" t="str">
        <f aca="false">IF($A210="","",IF(품목마스터!$F207="",0,품목마스터!$F207))</f>
        <v/>
      </c>
      <c r="J210" s="25" t="str">
        <f aca="false">IF(OR($A210="",$F210&lt;=0),"",$H210-$I210)</f>
        <v/>
      </c>
      <c r="K210" s="22" t="n">
        <f aca="false">IF(OR($A210="",$F210&lt;=0),0,MAX(0,CEILING(MAX(0,($I210+사용안내!$C$17)*$F210-$D210),MAX(1,IF(품목마스터!$H207="",1,품목마스터!$H207)))))</f>
        <v>0</v>
      </c>
      <c r="L210" s="21" t="str">
        <f aca="false">IF($A210="","",IF($F210&lt;=0,"-",IF($J210&lt;=$B$3,"발주",IF($J210&lt;=$B$3+7,"임박","정상"))))</f>
        <v/>
      </c>
    </row>
    <row r="211" customFormat="false" ht="15" hidden="false" customHeight="true" outlineLevel="0" collapsed="false">
      <c r="A211" s="17" t="str">
        <f aca="false">IF(품목마스터!$A208="","",품목마스터!$A208)</f>
        <v/>
      </c>
      <c r="B211" s="17" t="str">
        <f aca="false">IF($A211="","",품목마스터!$B208)</f>
        <v/>
      </c>
      <c r="C211" s="21" t="str">
        <f aca="false">IF($A211="","",품목마스터!$D208)</f>
        <v/>
      </c>
      <c r="D211" s="22" t="str">
        <f aca="false">IF($A211="","",IF(품목마스터!$E208="",0,품목마스터!$E208))</f>
        <v/>
      </c>
      <c r="E211" s="22" t="str">
        <f aca="false">IF($A211="","",SUMIFS(사용내역!$E$3:$E$3002,사용내역!$B$3:$B$3002,$A211,사용내역!$A$3:$A$3002,"&gt;"&amp;($B$3-사용안내!$C$16),사용내역!$A$3:$A$3002,"&lt;="&amp;$B$3))</f>
        <v/>
      </c>
      <c r="F211" s="23" t="str">
        <f aca="false">IF($A211="","",IF(사용안내!$C$16=0,0,ROUND($E211/사용안내!$C$16,3)))</f>
        <v/>
      </c>
      <c r="G211" s="24" t="str">
        <f aca="false">IF($A211="","",IF($F211&lt;=0,"사용기록없음",ROUND($D211/$F211,0)))</f>
        <v/>
      </c>
      <c r="H211" s="25" t="str">
        <f aca="false">IF(OR($A211="",$F211&lt;=0),"",$B$3+$G211)</f>
        <v/>
      </c>
      <c r="I211" s="21" t="str">
        <f aca="false">IF($A211="","",IF(품목마스터!$F208="",0,품목마스터!$F208))</f>
        <v/>
      </c>
      <c r="J211" s="25" t="str">
        <f aca="false">IF(OR($A211="",$F211&lt;=0),"",$H211-$I211)</f>
        <v/>
      </c>
      <c r="K211" s="22" t="n">
        <f aca="false">IF(OR($A211="",$F211&lt;=0),0,MAX(0,CEILING(MAX(0,($I211+사용안내!$C$17)*$F211-$D211),MAX(1,IF(품목마스터!$H208="",1,품목마스터!$H208)))))</f>
        <v>0</v>
      </c>
      <c r="L211" s="21" t="str">
        <f aca="false">IF($A211="","",IF($F211&lt;=0,"-",IF($J211&lt;=$B$3,"발주",IF($J211&lt;=$B$3+7,"임박","정상"))))</f>
        <v/>
      </c>
    </row>
    <row r="212" customFormat="false" ht="15" hidden="false" customHeight="true" outlineLevel="0" collapsed="false">
      <c r="A212" s="17" t="str">
        <f aca="false">IF(품목마스터!$A209="","",품목마스터!$A209)</f>
        <v/>
      </c>
      <c r="B212" s="17" t="str">
        <f aca="false">IF($A212="","",품목마스터!$B209)</f>
        <v/>
      </c>
      <c r="C212" s="21" t="str">
        <f aca="false">IF($A212="","",품목마스터!$D209)</f>
        <v/>
      </c>
      <c r="D212" s="22" t="str">
        <f aca="false">IF($A212="","",IF(품목마스터!$E209="",0,품목마스터!$E209))</f>
        <v/>
      </c>
      <c r="E212" s="22" t="str">
        <f aca="false">IF($A212="","",SUMIFS(사용내역!$E$3:$E$3002,사용내역!$B$3:$B$3002,$A212,사용내역!$A$3:$A$3002,"&gt;"&amp;($B$3-사용안내!$C$16),사용내역!$A$3:$A$3002,"&lt;="&amp;$B$3))</f>
        <v/>
      </c>
      <c r="F212" s="23" t="str">
        <f aca="false">IF($A212="","",IF(사용안내!$C$16=0,0,ROUND($E212/사용안내!$C$16,3)))</f>
        <v/>
      </c>
      <c r="G212" s="24" t="str">
        <f aca="false">IF($A212="","",IF($F212&lt;=0,"사용기록없음",ROUND($D212/$F212,0)))</f>
        <v/>
      </c>
      <c r="H212" s="25" t="str">
        <f aca="false">IF(OR($A212="",$F212&lt;=0),"",$B$3+$G212)</f>
        <v/>
      </c>
      <c r="I212" s="21" t="str">
        <f aca="false">IF($A212="","",IF(품목마스터!$F209="",0,품목마스터!$F209))</f>
        <v/>
      </c>
      <c r="J212" s="25" t="str">
        <f aca="false">IF(OR($A212="",$F212&lt;=0),"",$H212-$I212)</f>
        <v/>
      </c>
      <c r="K212" s="22" t="n">
        <f aca="false">IF(OR($A212="",$F212&lt;=0),0,MAX(0,CEILING(MAX(0,($I212+사용안내!$C$17)*$F212-$D212),MAX(1,IF(품목마스터!$H209="",1,품목마스터!$H209)))))</f>
        <v>0</v>
      </c>
      <c r="L212" s="21" t="str">
        <f aca="false">IF($A212="","",IF($F212&lt;=0,"-",IF($J212&lt;=$B$3,"발주",IF($J212&lt;=$B$3+7,"임박","정상"))))</f>
        <v/>
      </c>
    </row>
    <row r="213" customFormat="false" ht="15" hidden="false" customHeight="true" outlineLevel="0" collapsed="false">
      <c r="A213" s="17" t="str">
        <f aca="false">IF(품목마스터!$A210="","",품목마스터!$A210)</f>
        <v/>
      </c>
      <c r="B213" s="17" t="str">
        <f aca="false">IF($A213="","",품목마스터!$B210)</f>
        <v/>
      </c>
      <c r="C213" s="21" t="str">
        <f aca="false">IF($A213="","",품목마스터!$D210)</f>
        <v/>
      </c>
      <c r="D213" s="22" t="str">
        <f aca="false">IF($A213="","",IF(품목마스터!$E210="",0,품목마스터!$E210))</f>
        <v/>
      </c>
      <c r="E213" s="22" t="str">
        <f aca="false">IF($A213="","",SUMIFS(사용내역!$E$3:$E$3002,사용내역!$B$3:$B$3002,$A213,사용내역!$A$3:$A$3002,"&gt;"&amp;($B$3-사용안내!$C$16),사용내역!$A$3:$A$3002,"&lt;="&amp;$B$3))</f>
        <v/>
      </c>
      <c r="F213" s="23" t="str">
        <f aca="false">IF($A213="","",IF(사용안내!$C$16=0,0,ROUND($E213/사용안내!$C$16,3)))</f>
        <v/>
      </c>
      <c r="G213" s="24" t="str">
        <f aca="false">IF($A213="","",IF($F213&lt;=0,"사용기록없음",ROUND($D213/$F213,0)))</f>
        <v/>
      </c>
      <c r="H213" s="25" t="str">
        <f aca="false">IF(OR($A213="",$F213&lt;=0),"",$B$3+$G213)</f>
        <v/>
      </c>
      <c r="I213" s="21" t="str">
        <f aca="false">IF($A213="","",IF(품목마스터!$F210="",0,품목마스터!$F210))</f>
        <v/>
      </c>
      <c r="J213" s="25" t="str">
        <f aca="false">IF(OR($A213="",$F213&lt;=0),"",$H213-$I213)</f>
        <v/>
      </c>
      <c r="K213" s="22" t="n">
        <f aca="false">IF(OR($A213="",$F213&lt;=0),0,MAX(0,CEILING(MAX(0,($I213+사용안내!$C$17)*$F213-$D213),MAX(1,IF(품목마스터!$H210="",1,품목마스터!$H210)))))</f>
        <v>0</v>
      </c>
      <c r="L213" s="21" t="str">
        <f aca="false">IF($A213="","",IF($F213&lt;=0,"-",IF($J213&lt;=$B$3,"발주",IF($J213&lt;=$B$3+7,"임박","정상"))))</f>
        <v/>
      </c>
    </row>
    <row r="214" customFormat="false" ht="15" hidden="false" customHeight="true" outlineLevel="0" collapsed="false">
      <c r="A214" s="17" t="str">
        <f aca="false">IF(품목마스터!$A211="","",품목마스터!$A211)</f>
        <v/>
      </c>
      <c r="B214" s="17" t="str">
        <f aca="false">IF($A214="","",품목마스터!$B211)</f>
        <v/>
      </c>
      <c r="C214" s="21" t="str">
        <f aca="false">IF($A214="","",품목마스터!$D211)</f>
        <v/>
      </c>
      <c r="D214" s="22" t="str">
        <f aca="false">IF($A214="","",IF(품목마스터!$E211="",0,품목마스터!$E211))</f>
        <v/>
      </c>
      <c r="E214" s="22" t="str">
        <f aca="false">IF($A214="","",SUMIFS(사용내역!$E$3:$E$3002,사용내역!$B$3:$B$3002,$A214,사용내역!$A$3:$A$3002,"&gt;"&amp;($B$3-사용안내!$C$16),사용내역!$A$3:$A$3002,"&lt;="&amp;$B$3))</f>
        <v/>
      </c>
      <c r="F214" s="23" t="str">
        <f aca="false">IF($A214="","",IF(사용안내!$C$16=0,0,ROUND($E214/사용안내!$C$16,3)))</f>
        <v/>
      </c>
      <c r="G214" s="24" t="str">
        <f aca="false">IF($A214="","",IF($F214&lt;=0,"사용기록없음",ROUND($D214/$F214,0)))</f>
        <v/>
      </c>
      <c r="H214" s="25" t="str">
        <f aca="false">IF(OR($A214="",$F214&lt;=0),"",$B$3+$G214)</f>
        <v/>
      </c>
      <c r="I214" s="21" t="str">
        <f aca="false">IF($A214="","",IF(품목마스터!$F211="",0,품목마스터!$F211))</f>
        <v/>
      </c>
      <c r="J214" s="25" t="str">
        <f aca="false">IF(OR($A214="",$F214&lt;=0),"",$H214-$I214)</f>
        <v/>
      </c>
      <c r="K214" s="22" t="n">
        <f aca="false">IF(OR($A214="",$F214&lt;=0),0,MAX(0,CEILING(MAX(0,($I214+사용안내!$C$17)*$F214-$D214),MAX(1,IF(품목마스터!$H211="",1,품목마스터!$H211)))))</f>
        <v>0</v>
      </c>
      <c r="L214" s="21" t="str">
        <f aca="false">IF($A214="","",IF($F214&lt;=0,"-",IF($J214&lt;=$B$3,"발주",IF($J214&lt;=$B$3+7,"임박","정상"))))</f>
        <v/>
      </c>
    </row>
    <row r="215" customFormat="false" ht="15" hidden="false" customHeight="true" outlineLevel="0" collapsed="false">
      <c r="A215" s="17" t="str">
        <f aca="false">IF(품목마스터!$A212="","",품목마스터!$A212)</f>
        <v/>
      </c>
      <c r="B215" s="17" t="str">
        <f aca="false">IF($A215="","",품목마스터!$B212)</f>
        <v/>
      </c>
      <c r="C215" s="21" t="str">
        <f aca="false">IF($A215="","",품목마스터!$D212)</f>
        <v/>
      </c>
      <c r="D215" s="22" t="str">
        <f aca="false">IF($A215="","",IF(품목마스터!$E212="",0,품목마스터!$E212))</f>
        <v/>
      </c>
      <c r="E215" s="22" t="str">
        <f aca="false">IF($A215="","",SUMIFS(사용내역!$E$3:$E$3002,사용내역!$B$3:$B$3002,$A215,사용내역!$A$3:$A$3002,"&gt;"&amp;($B$3-사용안내!$C$16),사용내역!$A$3:$A$3002,"&lt;="&amp;$B$3))</f>
        <v/>
      </c>
      <c r="F215" s="23" t="str">
        <f aca="false">IF($A215="","",IF(사용안내!$C$16=0,0,ROUND($E215/사용안내!$C$16,3)))</f>
        <v/>
      </c>
      <c r="G215" s="24" t="str">
        <f aca="false">IF($A215="","",IF($F215&lt;=0,"사용기록없음",ROUND($D215/$F215,0)))</f>
        <v/>
      </c>
      <c r="H215" s="25" t="str">
        <f aca="false">IF(OR($A215="",$F215&lt;=0),"",$B$3+$G215)</f>
        <v/>
      </c>
      <c r="I215" s="21" t="str">
        <f aca="false">IF($A215="","",IF(품목마스터!$F212="",0,품목마스터!$F212))</f>
        <v/>
      </c>
      <c r="J215" s="25" t="str">
        <f aca="false">IF(OR($A215="",$F215&lt;=0),"",$H215-$I215)</f>
        <v/>
      </c>
      <c r="K215" s="22" t="n">
        <f aca="false">IF(OR($A215="",$F215&lt;=0),0,MAX(0,CEILING(MAX(0,($I215+사용안내!$C$17)*$F215-$D215),MAX(1,IF(품목마스터!$H212="",1,품목마스터!$H212)))))</f>
        <v>0</v>
      </c>
      <c r="L215" s="21" t="str">
        <f aca="false">IF($A215="","",IF($F215&lt;=0,"-",IF($J215&lt;=$B$3,"발주",IF($J215&lt;=$B$3+7,"임박","정상"))))</f>
        <v/>
      </c>
    </row>
    <row r="216" customFormat="false" ht="15" hidden="false" customHeight="true" outlineLevel="0" collapsed="false">
      <c r="A216" s="17" t="str">
        <f aca="false">IF(품목마스터!$A213="","",품목마스터!$A213)</f>
        <v/>
      </c>
      <c r="B216" s="17" t="str">
        <f aca="false">IF($A216="","",품목마스터!$B213)</f>
        <v/>
      </c>
      <c r="C216" s="21" t="str">
        <f aca="false">IF($A216="","",품목마스터!$D213)</f>
        <v/>
      </c>
      <c r="D216" s="22" t="str">
        <f aca="false">IF($A216="","",IF(품목마스터!$E213="",0,품목마스터!$E213))</f>
        <v/>
      </c>
      <c r="E216" s="22" t="str">
        <f aca="false">IF($A216="","",SUMIFS(사용내역!$E$3:$E$3002,사용내역!$B$3:$B$3002,$A216,사용내역!$A$3:$A$3002,"&gt;"&amp;($B$3-사용안내!$C$16),사용내역!$A$3:$A$3002,"&lt;="&amp;$B$3))</f>
        <v/>
      </c>
      <c r="F216" s="23" t="str">
        <f aca="false">IF($A216="","",IF(사용안내!$C$16=0,0,ROUND($E216/사용안내!$C$16,3)))</f>
        <v/>
      </c>
      <c r="G216" s="24" t="str">
        <f aca="false">IF($A216="","",IF($F216&lt;=0,"사용기록없음",ROUND($D216/$F216,0)))</f>
        <v/>
      </c>
      <c r="H216" s="25" t="str">
        <f aca="false">IF(OR($A216="",$F216&lt;=0),"",$B$3+$G216)</f>
        <v/>
      </c>
      <c r="I216" s="21" t="str">
        <f aca="false">IF($A216="","",IF(품목마스터!$F213="",0,품목마스터!$F213))</f>
        <v/>
      </c>
      <c r="J216" s="25" t="str">
        <f aca="false">IF(OR($A216="",$F216&lt;=0),"",$H216-$I216)</f>
        <v/>
      </c>
      <c r="K216" s="22" t="n">
        <f aca="false">IF(OR($A216="",$F216&lt;=0),0,MAX(0,CEILING(MAX(0,($I216+사용안내!$C$17)*$F216-$D216),MAX(1,IF(품목마스터!$H213="",1,품목마스터!$H213)))))</f>
        <v>0</v>
      </c>
      <c r="L216" s="21" t="str">
        <f aca="false">IF($A216="","",IF($F216&lt;=0,"-",IF($J216&lt;=$B$3,"발주",IF($J216&lt;=$B$3+7,"임박","정상"))))</f>
        <v/>
      </c>
    </row>
    <row r="217" customFormat="false" ht="15" hidden="false" customHeight="true" outlineLevel="0" collapsed="false">
      <c r="A217" s="17" t="str">
        <f aca="false">IF(품목마스터!$A214="","",품목마스터!$A214)</f>
        <v/>
      </c>
      <c r="B217" s="17" t="str">
        <f aca="false">IF($A217="","",품목마스터!$B214)</f>
        <v/>
      </c>
      <c r="C217" s="21" t="str">
        <f aca="false">IF($A217="","",품목마스터!$D214)</f>
        <v/>
      </c>
      <c r="D217" s="22" t="str">
        <f aca="false">IF($A217="","",IF(품목마스터!$E214="",0,품목마스터!$E214))</f>
        <v/>
      </c>
      <c r="E217" s="22" t="str">
        <f aca="false">IF($A217="","",SUMIFS(사용내역!$E$3:$E$3002,사용내역!$B$3:$B$3002,$A217,사용내역!$A$3:$A$3002,"&gt;"&amp;($B$3-사용안내!$C$16),사용내역!$A$3:$A$3002,"&lt;="&amp;$B$3))</f>
        <v/>
      </c>
      <c r="F217" s="23" t="str">
        <f aca="false">IF($A217="","",IF(사용안내!$C$16=0,0,ROUND($E217/사용안내!$C$16,3)))</f>
        <v/>
      </c>
      <c r="G217" s="24" t="str">
        <f aca="false">IF($A217="","",IF($F217&lt;=0,"사용기록없음",ROUND($D217/$F217,0)))</f>
        <v/>
      </c>
      <c r="H217" s="25" t="str">
        <f aca="false">IF(OR($A217="",$F217&lt;=0),"",$B$3+$G217)</f>
        <v/>
      </c>
      <c r="I217" s="21" t="str">
        <f aca="false">IF($A217="","",IF(품목마스터!$F214="",0,품목마스터!$F214))</f>
        <v/>
      </c>
      <c r="J217" s="25" t="str">
        <f aca="false">IF(OR($A217="",$F217&lt;=0),"",$H217-$I217)</f>
        <v/>
      </c>
      <c r="K217" s="22" t="n">
        <f aca="false">IF(OR($A217="",$F217&lt;=0),0,MAX(0,CEILING(MAX(0,($I217+사용안내!$C$17)*$F217-$D217),MAX(1,IF(품목마스터!$H214="",1,품목마스터!$H214)))))</f>
        <v>0</v>
      </c>
      <c r="L217" s="21" t="str">
        <f aca="false">IF($A217="","",IF($F217&lt;=0,"-",IF($J217&lt;=$B$3,"발주",IF($J217&lt;=$B$3+7,"임박","정상"))))</f>
        <v/>
      </c>
    </row>
    <row r="218" customFormat="false" ht="15" hidden="false" customHeight="true" outlineLevel="0" collapsed="false">
      <c r="A218" s="17" t="str">
        <f aca="false">IF(품목마스터!$A215="","",품목마스터!$A215)</f>
        <v/>
      </c>
      <c r="B218" s="17" t="str">
        <f aca="false">IF($A218="","",품목마스터!$B215)</f>
        <v/>
      </c>
      <c r="C218" s="21" t="str">
        <f aca="false">IF($A218="","",품목마스터!$D215)</f>
        <v/>
      </c>
      <c r="D218" s="22" t="str">
        <f aca="false">IF($A218="","",IF(품목마스터!$E215="",0,품목마스터!$E215))</f>
        <v/>
      </c>
      <c r="E218" s="22" t="str">
        <f aca="false">IF($A218="","",SUMIFS(사용내역!$E$3:$E$3002,사용내역!$B$3:$B$3002,$A218,사용내역!$A$3:$A$3002,"&gt;"&amp;($B$3-사용안내!$C$16),사용내역!$A$3:$A$3002,"&lt;="&amp;$B$3))</f>
        <v/>
      </c>
      <c r="F218" s="23" t="str">
        <f aca="false">IF($A218="","",IF(사용안내!$C$16=0,0,ROUND($E218/사용안내!$C$16,3)))</f>
        <v/>
      </c>
      <c r="G218" s="24" t="str">
        <f aca="false">IF($A218="","",IF($F218&lt;=0,"사용기록없음",ROUND($D218/$F218,0)))</f>
        <v/>
      </c>
      <c r="H218" s="25" t="str">
        <f aca="false">IF(OR($A218="",$F218&lt;=0),"",$B$3+$G218)</f>
        <v/>
      </c>
      <c r="I218" s="21" t="str">
        <f aca="false">IF($A218="","",IF(품목마스터!$F215="",0,품목마스터!$F215))</f>
        <v/>
      </c>
      <c r="J218" s="25" t="str">
        <f aca="false">IF(OR($A218="",$F218&lt;=0),"",$H218-$I218)</f>
        <v/>
      </c>
      <c r="K218" s="22" t="n">
        <f aca="false">IF(OR($A218="",$F218&lt;=0),0,MAX(0,CEILING(MAX(0,($I218+사용안내!$C$17)*$F218-$D218),MAX(1,IF(품목마스터!$H215="",1,품목마스터!$H215)))))</f>
        <v>0</v>
      </c>
      <c r="L218" s="21" t="str">
        <f aca="false">IF($A218="","",IF($F218&lt;=0,"-",IF($J218&lt;=$B$3,"발주",IF($J218&lt;=$B$3+7,"임박","정상"))))</f>
        <v/>
      </c>
    </row>
    <row r="219" customFormat="false" ht="15" hidden="false" customHeight="true" outlineLevel="0" collapsed="false">
      <c r="A219" s="17" t="str">
        <f aca="false">IF(품목마스터!$A216="","",품목마스터!$A216)</f>
        <v/>
      </c>
      <c r="B219" s="17" t="str">
        <f aca="false">IF($A219="","",품목마스터!$B216)</f>
        <v/>
      </c>
      <c r="C219" s="21" t="str">
        <f aca="false">IF($A219="","",품목마스터!$D216)</f>
        <v/>
      </c>
      <c r="D219" s="22" t="str">
        <f aca="false">IF($A219="","",IF(품목마스터!$E216="",0,품목마스터!$E216))</f>
        <v/>
      </c>
      <c r="E219" s="22" t="str">
        <f aca="false">IF($A219="","",SUMIFS(사용내역!$E$3:$E$3002,사용내역!$B$3:$B$3002,$A219,사용내역!$A$3:$A$3002,"&gt;"&amp;($B$3-사용안내!$C$16),사용내역!$A$3:$A$3002,"&lt;="&amp;$B$3))</f>
        <v/>
      </c>
      <c r="F219" s="23" t="str">
        <f aca="false">IF($A219="","",IF(사용안내!$C$16=0,0,ROUND($E219/사용안내!$C$16,3)))</f>
        <v/>
      </c>
      <c r="G219" s="24" t="str">
        <f aca="false">IF($A219="","",IF($F219&lt;=0,"사용기록없음",ROUND($D219/$F219,0)))</f>
        <v/>
      </c>
      <c r="H219" s="25" t="str">
        <f aca="false">IF(OR($A219="",$F219&lt;=0),"",$B$3+$G219)</f>
        <v/>
      </c>
      <c r="I219" s="21" t="str">
        <f aca="false">IF($A219="","",IF(품목마스터!$F216="",0,품목마스터!$F216))</f>
        <v/>
      </c>
      <c r="J219" s="25" t="str">
        <f aca="false">IF(OR($A219="",$F219&lt;=0),"",$H219-$I219)</f>
        <v/>
      </c>
      <c r="K219" s="22" t="n">
        <f aca="false">IF(OR($A219="",$F219&lt;=0),0,MAX(0,CEILING(MAX(0,($I219+사용안내!$C$17)*$F219-$D219),MAX(1,IF(품목마스터!$H216="",1,품목마스터!$H216)))))</f>
        <v>0</v>
      </c>
      <c r="L219" s="21" t="str">
        <f aca="false">IF($A219="","",IF($F219&lt;=0,"-",IF($J219&lt;=$B$3,"발주",IF($J219&lt;=$B$3+7,"임박","정상"))))</f>
        <v/>
      </c>
    </row>
    <row r="220" customFormat="false" ht="15" hidden="false" customHeight="true" outlineLevel="0" collapsed="false">
      <c r="A220" s="17" t="str">
        <f aca="false">IF(품목마스터!$A217="","",품목마스터!$A217)</f>
        <v/>
      </c>
      <c r="B220" s="17" t="str">
        <f aca="false">IF($A220="","",품목마스터!$B217)</f>
        <v/>
      </c>
      <c r="C220" s="21" t="str">
        <f aca="false">IF($A220="","",품목마스터!$D217)</f>
        <v/>
      </c>
      <c r="D220" s="22" t="str">
        <f aca="false">IF($A220="","",IF(품목마스터!$E217="",0,품목마스터!$E217))</f>
        <v/>
      </c>
      <c r="E220" s="22" t="str">
        <f aca="false">IF($A220="","",SUMIFS(사용내역!$E$3:$E$3002,사용내역!$B$3:$B$3002,$A220,사용내역!$A$3:$A$3002,"&gt;"&amp;($B$3-사용안내!$C$16),사용내역!$A$3:$A$3002,"&lt;="&amp;$B$3))</f>
        <v/>
      </c>
      <c r="F220" s="23" t="str">
        <f aca="false">IF($A220="","",IF(사용안내!$C$16=0,0,ROUND($E220/사용안내!$C$16,3)))</f>
        <v/>
      </c>
      <c r="G220" s="24" t="str">
        <f aca="false">IF($A220="","",IF($F220&lt;=0,"사용기록없음",ROUND($D220/$F220,0)))</f>
        <v/>
      </c>
      <c r="H220" s="25" t="str">
        <f aca="false">IF(OR($A220="",$F220&lt;=0),"",$B$3+$G220)</f>
        <v/>
      </c>
      <c r="I220" s="21" t="str">
        <f aca="false">IF($A220="","",IF(품목마스터!$F217="",0,품목마스터!$F217))</f>
        <v/>
      </c>
      <c r="J220" s="25" t="str">
        <f aca="false">IF(OR($A220="",$F220&lt;=0),"",$H220-$I220)</f>
        <v/>
      </c>
      <c r="K220" s="22" t="n">
        <f aca="false">IF(OR($A220="",$F220&lt;=0),0,MAX(0,CEILING(MAX(0,($I220+사용안내!$C$17)*$F220-$D220),MAX(1,IF(품목마스터!$H217="",1,품목마스터!$H217)))))</f>
        <v>0</v>
      </c>
      <c r="L220" s="21" t="str">
        <f aca="false">IF($A220="","",IF($F220&lt;=0,"-",IF($J220&lt;=$B$3,"발주",IF($J220&lt;=$B$3+7,"임박","정상"))))</f>
        <v/>
      </c>
    </row>
    <row r="221" customFormat="false" ht="15" hidden="false" customHeight="true" outlineLevel="0" collapsed="false">
      <c r="A221" s="17" t="str">
        <f aca="false">IF(품목마스터!$A218="","",품목마스터!$A218)</f>
        <v/>
      </c>
      <c r="B221" s="17" t="str">
        <f aca="false">IF($A221="","",품목마스터!$B218)</f>
        <v/>
      </c>
      <c r="C221" s="21" t="str">
        <f aca="false">IF($A221="","",품목마스터!$D218)</f>
        <v/>
      </c>
      <c r="D221" s="22" t="str">
        <f aca="false">IF($A221="","",IF(품목마스터!$E218="",0,품목마스터!$E218))</f>
        <v/>
      </c>
      <c r="E221" s="22" t="str">
        <f aca="false">IF($A221="","",SUMIFS(사용내역!$E$3:$E$3002,사용내역!$B$3:$B$3002,$A221,사용내역!$A$3:$A$3002,"&gt;"&amp;($B$3-사용안내!$C$16),사용내역!$A$3:$A$3002,"&lt;="&amp;$B$3))</f>
        <v/>
      </c>
      <c r="F221" s="23" t="str">
        <f aca="false">IF($A221="","",IF(사용안내!$C$16=0,0,ROUND($E221/사용안내!$C$16,3)))</f>
        <v/>
      </c>
      <c r="G221" s="24" t="str">
        <f aca="false">IF($A221="","",IF($F221&lt;=0,"사용기록없음",ROUND($D221/$F221,0)))</f>
        <v/>
      </c>
      <c r="H221" s="25" t="str">
        <f aca="false">IF(OR($A221="",$F221&lt;=0),"",$B$3+$G221)</f>
        <v/>
      </c>
      <c r="I221" s="21" t="str">
        <f aca="false">IF($A221="","",IF(품목마스터!$F218="",0,품목마스터!$F218))</f>
        <v/>
      </c>
      <c r="J221" s="25" t="str">
        <f aca="false">IF(OR($A221="",$F221&lt;=0),"",$H221-$I221)</f>
        <v/>
      </c>
      <c r="K221" s="22" t="n">
        <f aca="false">IF(OR($A221="",$F221&lt;=0),0,MAX(0,CEILING(MAX(0,($I221+사용안내!$C$17)*$F221-$D221),MAX(1,IF(품목마스터!$H218="",1,품목마스터!$H218)))))</f>
        <v>0</v>
      </c>
      <c r="L221" s="21" t="str">
        <f aca="false">IF($A221="","",IF($F221&lt;=0,"-",IF($J221&lt;=$B$3,"발주",IF($J221&lt;=$B$3+7,"임박","정상"))))</f>
        <v/>
      </c>
    </row>
    <row r="222" customFormat="false" ht="15" hidden="false" customHeight="true" outlineLevel="0" collapsed="false">
      <c r="A222" s="17" t="str">
        <f aca="false">IF(품목마스터!$A219="","",품목마스터!$A219)</f>
        <v/>
      </c>
      <c r="B222" s="17" t="str">
        <f aca="false">IF($A222="","",품목마스터!$B219)</f>
        <v/>
      </c>
      <c r="C222" s="21" t="str">
        <f aca="false">IF($A222="","",품목마스터!$D219)</f>
        <v/>
      </c>
      <c r="D222" s="22" t="str">
        <f aca="false">IF($A222="","",IF(품목마스터!$E219="",0,품목마스터!$E219))</f>
        <v/>
      </c>
      <c r="E222" s="22" t="str">
        <f aca="false">IF($A222="","",SUMIFS(사용내역!$E$3:$E$3002,사용내역!$B$3:$B$3002,$A222,사용내역!$A$3:$A$3002,"&gt;"&amp;($B$3-사용안내!$C$16),사용내역!$A$3:$A$3002,"&lt;="&amp;$B$3))</f>
        <v/>
      </c>
      <c r="F222" s="23" t="str">
        <f aca="false">IF($A222="","",IF(사용안내!$C$16=0,0,ROUND($E222/사용안내!$C$16,3)))</f>
        <v/>
      </c>
      <c r="G222" s="24" t="str">
        <f aca="false">IF($A222="","",IF($F222&lt;=0,"사용기록없음",ROUND($D222/$F222,0)))</f>
        <v/>
      </c>
      <c r="H222" s="25" t="str">
        <f aca="false">IF(OR($A222="",$F222&lt;=0),"",$B$3+$G222)</f>
        <v/>
      </c>
      <c r="I222" s="21" t="str">
        <f aca="false">IF($A222="","",IF(품목마스터!$F219="",0,품목마스터!$F219))</f>
        <v/>
      </c>
      <c r="J222" s="25" t="str">
        <f aca="false">IF(OR($A222="",$F222&lt;=0),"",$H222-$I222)</f>
        <v/>
      </c>
      <c r="K222" s="22" t="n">
        <f aca="false">IF(OR($A222="",$F222&lt;=0),0,MAX(0,CEILING(MAX(0,($I222+사용안내!$C$17)*$F222-$D222),MAX(1,IF(품목마스터!$H219="",1,품목마스터!$H219)))))</f>
        <v>0</v>
      </c>
      <c r="L222" s="21" t="str">
        <f aca="false">IF($A222="","",IF($F222&lt;=0,"-",IF($J222&lt;=$B$3,"발주",IF($J222&lt;=$B$3+7,"임박","정상"))))</f>
        <v/>
      </c>
    </row>
    <row r="223" customFormat="false" ht="15" hidden="false" customHeight="true" outlineLevel="0" collapsed="false">
      <c r="A223" s="17" t="str">
        <f aca="false">IF(품목마스터!$A220="","",품목마스터!$A220)</f>
        <v/>
      </c>
      <c r="B223" s="17" t="str">
        <f aca="false">IF($A223="","",품목마스터!$B220)</f>
        <v/>
      </c>
      <c r="C223" s="21" t="str">
        <f aca="false">IF($A223="","",품목마스터!$D220)</f>
        <v/>
      </c>
      <c r="D223" s="22" t="str">
        <f aca="false">IF($A223="","",IF(품목마스터!$E220="",0,품목마스터!$E220))</f>
        <v/>
      </c>
      <c r="E223" s="22" t="str">
        <f aca="false">IF($A223="","",SUMIFS(사용내역!$E$3:$E$3002,사용내역!$B$3:$B$3002,$A223,사용내역!$A$3:$A$3002,"&gt;"&amp;($B$3-사용안내!$C$16),사용내역!$A$3:$A$3002,"&lt;="&amp;$B$3))</f>
        <v/>
      </c>
      <c r="F223" s="23" t="str">
        <f aca="false">IF($A223="","",IF(사용안내!$C$16=0,0,ROUND($E223/사용안내!$C$16,3)))</f>
        <v/>
      </c>
      <c r="G223" s="24" t="str">
        <f aca="false">IF($A223="","",IF($F223&lt;=0,"사용기록없음",ROUND($D223/$F223,0)))</f>
        <v/>
      </c>
      <c r="H223" s="25" t="str">
        <f aca="false">IF(OR($A223="",$F223&lt;=0),"",$B$3+$G223)</f>
        <v/>
      </c>
      <c r="I223" s="21" t="str">
        <f aca="false">IF($A223="","",IF(품목마스터!$F220="",0,품목마스터!$F220))</f>
        <v/>
      </c>
      <c r="J223" s="25" t="str">
        <f aca="false">IF(OR($A223="",$F223&lt;=0),"",$H223-$I223)</f>
        <v/>
      </c>
      <c r="K223" s="22" t="n">
        <f aca="false">IF(OR($A223="",$F223&lt;=0),0,MAX(0,CEILING(MAX(0,($I223+사용안내!$C$17)*$F223-$D223),MAX(1,IF(품목마스터!$H220="",1,품목마스터!$H220)))))</f>
        <v>0</v>
      </c>
      <c r="L223" s="21" t="str">
        <f aca="false">IF($A223="","",IF($F223&lt;=0,"-",IF($J223&lt;=$B$3,"발주",IF($J223&lt;=$B$3+7,"임박","정상"))))</f>
        <v/>
      </c>
    </row>
    <row r="224" customFormat="false" ht="15" hidden="false" customHeight="true" outlineLevel="0" collapsed="false">
      <c r="A224" s="17" t="str">
        <f aca="false">IF(품목마스터!$A221="","",품목마스터!$A221)</f>
        <v/>
      </c>
      <c r="B224" s="17" t="str">
        <f aca="false">IF($A224="","",품목마스터!$B221)</f>
        <v/>
      </c>
      <c r="C224" s="21" t="str">
        <f aca="false">IF($A224="","",품목마스터!$D221)</f>
        <v/>
      </c>
      <c r="D224" s="22" t="str">
        <f aca="false">IF($A224="","",IF(품목마스터!$E221="",0,품목마스터!$E221))</f>
        <v/>
      </c>
      <c r="E224" s="22" t="str">
        <f aca="false">IF($A224="","",SUMIFS(사용내역!$E$3:$E$3002,사용내역!$B$3:$B$3002,$A224,사용내역!$A$3:$A$3002,"&gt;"&amp;($B$3-사용안내!$C$16),사용내역!$A$3:$A$3002,"&lt;="&amp;$B$3))</f>
        <v/>
      </c>
      <c r="F224" s="23" t="str">
        <f aca="false">IF($A224="","",IF(사용안내!$C$16=0,0,ROUND($E224/사용안내!$C$16,3)))</f>
        <v/>
      </c>
      <c r="G224" s="24" t="str">
        <f aca="false">IF($A224="","",IF($F224&lt;=0,"사용기록없음",ROUND($D224/$F224,0)))</f>
        <v/>
      </c>
      <c r="H224" s="25" t="str">
        <f aca="false">IF(OR($A224="",$F224&lt;=0),"",$B$3+$G224)</f>
        <v/>
      </c>
      <c r="I224" s="21" t="str">
        <f aca="false">IF($A224="","",IF(품목마스터!$F221="",0,품목마스터!$F221))</f>
        <v/>
      </c>
      <c r="J224" s="25" t="str">
        <f aca="false">IF(OR($A224="",$F224&lt;=0),"",$H224-$I224)</f>
        <v/>
      </c>
      <c r="K224" s="22" t="n">
        <f aca="false">IF(OR($A224="",$F224&lt;=0),0,MAX(0,CEILING(MAX(0,($I224+사용안내!$C$17)*$F224-$D224),MAX(1,IF(품목마스터!$H221="",1,품목마스터!$H221)))))</f>
        <v>0</v>
      </c>
      <c r="L224" s="21" t="str">
        <f aca="false">IF($A224="","",IF($F224&lt;=0,"-",IF($J224&lt;=$B$3,"발주",IF($J224&lt;=$B$3+7,"임박","정상"))))</f>
        <v/>
      </c>
    </row>
    <row r="225" customFormat="false" ht="15" hidden="false" customHeight="true" outlineLevel="0" collapsed="false">
      <c r="A225" s="17" t="str">
        <f aca="false">IF(품목마스터!$A222="","",품목마스터!$A222)</f>
        <v/>
      </c>
      <c r="B225" s="17" t="str">
        <f aca="false">IF($A225="","",품목마스터!$B222)</f>
        <v/>
      </c>
      <c r="C225" s="21" t="str">
        <f aca="false">IF($A225="","",품목마스터!$D222)</f>
        <v/>
      </c>
      <c r="D225" s="22" t="str">
        <f aca="false">IF($A225="","",IF(품목마스터!$E222="",0,품목마스터!$E222))</f>
        <v/>
      </c>
      <c r="E225" s="22" t="str">
        <f aca="false">IF($A225="","",SUMIFS(사용내역!$E$3:$E$3002,사용내역!$B$3:$B$3002,$A225,사용내역!$A$3:$A$3002,"&gt;"&amp;($B$3-사용안내!$C$16),사용내역!$A$3:$A$3002,"&lt;="&amp;$B$3))</f>
        <v/>
      </c>
      <c r="F225" s="23" t="str">
        <f aca="false">IF($A225="","",IF(사용안내!$C$16=0,0,ROUND($E225/사용안내!$C$16,3)))</f>
        <v/>
      </c>
      <c r="G225" s="24" t="str">
        <f aca="false">IF($A225="","",IF($F225&lt;=0,"사용기록없음",ROUND($D225/$F225,0)))</f>
        <v/>
      </c>
      <c r="H225" s="25" t="str">
        <f aca="false">IF(OR($A225="",$F225&lt;=0),"",$B$3+$G225)</f>
        <v/>
      </c>
      <c r="I225" s="21" t="str">
        <f aca="false">IF($A225="","",IF(품목마스터!$F222="",0,품목마스터!$F222))</f>
        <v/>
      </c>
      <c r="J225" s="25" t="str">
        <f aca="false">IF(OR($A225="",$F225&lt;=0),"",$H225-$I225)</f>
        <v/>
      </c>
      <c r="K225" s="22" t="n">
        <f aca="false">IF(OR($A225="",$F225&lt;=0),0,MAX(0,CEILING(MAX(0,($I225+사용안내!$C$17)*$F225-$D225),MAX(1,IF(품목마스터!$H222="",1,품목마스터!$H222)))))</f>
        <v>0</v>
      </c>
      <c r="L225" s="21" t="str">
        <f aca="false">IF($A225="","",IF($F225&lt;=0,"-",IF($J225&lt;=$B$3,"발주",IF($J225&lt;=$B$3+7,"임박","정상"))))</f>
        <v/>
      </c>
    </row>
    <row r="226" customFormat="false" ht="15" hidden="false" customHeight="true" outlineLevel="0" collapsed="false">
      <c r="A226" s="17" t="str">
        <f aca="false">IF(품목마스터!$A223="","",품목마스터!$A223)</f>
        <v/>
      </c>
      <c r="B226" s="17" t="str">
        <f aca="false">IF($A226="","",품목마스터!$B223)</f>
        <v/>
      </c>
      <c r="C226" s="21" t="str">
        <f aca="false">IF($A226="","",품목마스터!$D223)</f>
        <v/>
      </c>
      <c r="D226" s="22" t="str">
        <f aca="false">IF($A226="","",IF(품목마스터!$E223="",0,품목마스터!$E223))</f>
        <v/>
      </c>
      <c r="E226" s="22" t="str">
        <f aca="false">IF($A226="","",SUMIFS(사용내역!$E$3:$E$3002,사용내역!$B$3:$B$3002,$A226,사용내역!$A$3:$A$3002,"&gt;"&amp;($B$3-사용안내!$C$16),사용내역!$A$3:$A$3002,"&lt;="&amp;$B$3))</f>
        <v/>
      </c>
      <c r="F226" s="23" t="str">
        <f aca="false">IF($A226="","",IF(사용안내!$C$16=0,0,ROUND($E226/사용안내!$C$16,3)))</f>
        <v/>
      </c>
      <c r="G226" s="24" t="str">
        <f aca="false">IF($A226="","",IF($F226&lt;=0,"사용기록없음",ROUND($D226/$F226,0)))</f>
        <v/>
      </c>
      <c r="H226" s="25" t="str">
        <f aca="false">IF(OR($A226="",$F226&lt;=0),"",$B$3+$G226)</f>
        <v/>
      </c>
      <c r="I226" s="21" t="str">
        <f aca="false">IF($A226="","",IF(품목마스터!$F223="",0,품목마스터!$F223))</f>
        <v/>
      </c>
      <c r="J226" s="25" t="str">
        <f aca="false">IF(OR($A226="",$F226&lt;=0),"",$H226-$I226)</f>
        <v/>
      </c>
      <c r="K226" s="22" t="n">
        <f aca="false">IF(OR($A226="",$F226&lt;=0),0,MAX(0,CEILING(MAX(0,($I226+사용안내!$C$17)*$F226-$D226),MAX(1,IF(품목마스터!$H223="",1,품목마스터!$H223)))))</f>
        <v>0</v>
      </c>
      <c r="L226" s="21" t="str">
        <f aca="false">IF($A226="","",IF($F226&lt;=0,"-",IF($J226&lt;=$B$3,"발주",IF($J226&lt;=$B$3+7,"임박","정상"))))</f>
        <v/>
      </c>
    </row>
    <row r="227" customFormat="false" ht="15" hidden="false" customHeight="true" outlineLevel="0" collapsed="false">
      <c r="A227" s="17" t="str">
        <f aca="false">IF(품목마스터!$A224="","",품목마스터!$A224)</f>
        <v/>
      </c>
      <c r="B227" s="17" t="str">
        <f aca="false">IF($A227="","",품목마스터!$B224)</f>
        <v/>
      </c>
      <c r="C227" s="21" t="str">
        <f aca="false">IF($A227="","",품목마스터!$D224)</f>
        <v/>
      </c>
      <c r="D227" s="22" t="str">
        <f aca="false">IF($A227="","",IF(품목마스터!$E224="",0,품목마스터!$E224))</f>
        <v/>
      </c>
      <c r="E227" s="22" t="str">
        <f aca="false">IF($A227="","",SUMIFS(사용내역!$E$3:$E$3002,사용내역!$B$3:$B$3002,$A227,사용내역!$A$3:$A$3002,"&gt;"&amp;($B$3-사용안내!$C$16),사용내역!$A$3:$A$3002,"&lt;="&amp;$B$3))</f>
        <v/>
      </c>
      <c r="F227" s="23" t="str">
        <f aca="false">IF($A227="","",IF(사용안내!$C$16=0,0,ROUND($E227/사용안내!$C$16,3)))</f>
        <v/>
      </c>
      <c r="G227" s="24" t="str">
        <f aca="false">IF($A227="","",IF($F227&lt;=0,"사용기록없음",ROUND($D227/$F227,0)))</f>
        <v/>
      </c>
      <c r="H227" s="25" t="str">
        <f aca="false">IF(OR($A227="",$F227&lt;=0),"",$B$3+$G227)</f>
        <v/>
      </c>
      <c r="I227" s="21" t="str">
        <f aca="false">IF($A227="","",IF(품목마스터!$F224="",0,품목마스터!$F224))</f>
        <v/>
      </c>
      <c r="J227" s="25" t="str">
        <f aca="false">IF(OR($A227="",$F227&lt;=0),"",$H227-$I227)</f>
        <v/>
      </c>
      <c r="K227" s="22" t="n">
        <f aca="false">IF(OR($A227="",$F227&lt;=0),0,MAX(0,CEILING(MAX(0,($I227+사용안내!$C$17)*$F227-$D227),MAX(1,IF(품목마스터!$H224="",1,품목마스터!$H224)))))</f>
        <v>0</v>
      </c>
      <c r="L227" s="21" t="str">
        <f aca="false">IF($A227="","",IF($F227&lt;=0,"-",IF($J227&lt;=$B$3,"발주",IF($J227&lt;=$B$3+7,"임박","정상"))))</f>
        <v/>
      </c>
    </row>
    <row r="228" customFormat="false" ht="15" hidden="false" customHeight="true" outlineLevel="0" collapsed="false">
      <c r="A228" s="17" t="str">
        <f aca="false">IF(품목마스터!$A225="","",품목마스터!$A225)</f>
        <v/>
      </c>
      <c r="B228" s="17" t="str">
        <f aca="false">IF($A228="","",품목마스터!$B225)</f>
        <v/>
      </c>
      <c r="C228" s="21" t="str">
        <f aca="false">IF($A228="","",품목마스터!$D225)</f>
        <v/>
      </c>
      <c r="D228" s="22" t="str">
        <f aca="false">IF($A228="","",IF(품목마스터!$E225="",0,품목마스터!$E225))</f>
        <v/>
      </c>
      <c r="E228" s="22" t="str">
        <f aca="false">IF($A228="","",SUMIFS(사용내역!$E$3:$E$3002,사용내역!$B$3:$B$3002,$A228,사용내역!$A$3:$A$3002,"&gt;"&amp;($B$3-사용안내!$C$16),사용내역!$A$3:$A$3002,"&lt;="&amp;$B$3))</f>
        <v/>
      </c>
      <c r="F228" s="23" t="str">
        <f aca="false">IF($A228="","",IF(사용안내!$C$16=0,0,ROUND($E228/사용안내!$C$16,3)))</f>
        <v/>
      </c>
      <c r="G228" s="24" t="str">
        <f aca="false">IF($A228="","",IF($F228&lt;=0,"사용기록없음",ROUND($D228/$F228,0)))</f>
        <v/>
      </c>
      <c r="H228" s="25" t="str">
        <f aca="false">IF(OR($A228="",$F228&lt;=0),"",$B$3+$G228)</f>
        <v/>
      </c>
      <c r="I228" s="21" t="str">
        <f aca="false">IF($A228="","",IF(품목마스터!$F225="",0,품목마스터!$F225))</f>
        <v/>
      </c>
      <c r="J228" s="25" t="str">
        <f aca="false">IF(OR($A228="",$F228&lt;=0),"",$H228-$I228)</f>
        <v/>
      </c>
      <c r="K228" s="22" t="n">
        <f aca="false">IF(OR($A228="",$F228&lt;=0),0,MAX(0,CEILING(MAX(0,($I228+사용안내!$C$17)*$F228-$D228),MAX(1,IF(품목마스터!$H225="",1,품목마스터!$H225)))))</f>
        <v>0</v>
      </c>
      <c r="L228" s="21" t="str">
        <f aca="false">IF($A228="","",IF($F228&lt;=0,"-",IF($J228&lt;=$B$3,"발주",IF($J228&lt;=$B$3+7,"임박","정상"))))</f>
        <v/>
      </c>
    </row>
    <row r="229" customFormat="false" ht="15" hidden="false" customHeight="true" outlineLevel="0" collapsed="false">
      <c r="A229" s="17" t="str">
        <f aca="false">IF(품목마스터!$A226="","",품목마스터!$A226)</f>
        <v/>
      </c>
      <c r="B229" s="17" t="str">
        <f aca="false">IF($A229="","",품목마스터!$B226)</f>
        <v/>
      </c>
      <c r="C229" s="21" t="str">
        <f aca="false">IF($A229="","",품목마스터!$D226)</f>
        <v/>
      </c>
      <c r="D229" s="22" t="str">
        <f aca="false">IF($A229="","",IF(품목마스터!$E226="",0,품목마스터!$E226))</f>
        <v/>
      </c>
      <c r="E229" s="22" t="str">
        <f aca="false">IF($A229="","",SUMIFS(사용내역!$E$3:$E$3002,사용내역!$B$3:$B$3002,$A229,사용내역!$A$3:$A$3002,"&gt;"&amp;($B$3-사용안내!$C$16),사용내역!$A$3:$A$3002,"&lt;="&amp;$B$3))</f>
        <v/>
      </c>
      <c r="F229" s="23" t="str">
        <f aca="false">IF($A229="","",IF(사용안내!$C$16=0,0,ROUND($E229/사용안내!$C$16,3)))</f>
        <v/>
      </c>
      <c r="G229" s="24" t="str">
        <f aca="false">IF($A229="","",IF($F229&lt;=0,"사용기록없음",ROUND($D229/$F229,0)))</f>
        <v/>
      </c>
      <c r="H229" s="25" t="str">
        <f aca="false">IF(OR($A229="",$F229&lt;=0),"",$B$3+$G229)</f>
        <v/>
      </c>
      <c r="I229" s="21" t="str">
        <f aca="false">IF($A229="","",IF(품목마스터!$F226="",0,품목마스터!$F226))</f>
        <v/>
      </c>
      <c r="J229" s="25" t="str">
        <f aca="false">IF(OR($A229="",$F229&lt;=0),"",$H229-$I229)</f>
        <v/>
      </c>
      <c r="K229" s="22" t="n">
        <f aca="false">IF(OR($A229="",$F229&lt;=0),0,MAX(0,CEILING(MAX(0,($I229+사용안내!$C$17)*$F229-$D229),MAX(1,IF(품목마스터!$H226="",1,품목마스터!$H226)))))</f>
        <v>0</v>
      </c>
      <c r="L229" s="21" t="str">
        <f aca="false">IF($A229="","",IF($F229&lt;=0,"-",IF($J229&lt;=$B$3,"발주",IF($J229&lt;=$B$3+7,"임박","정상"))))</f>
        <v/>
      </c>
    </row>
    <row r="230" customFormat="false" ht="15" hidden="false" customHeight="true" outlineLevel="0" collapsed="false">
      <c r="A230" s="17" t="str">
        <f aca="false">IF(품목마스터!$A227="","",품목마스터!$A227)</f>
        <v/>
      </c>
      <c r="B230" s="17" t="str">
        <f aca="false">IF($A230="","",품목마스터!$B227)</f>
        <v/>
      </c>
      <c r="C230" s="21" t="str">
        <f aca="false">IF($A230="","",품목마스터!$D227)</f>
        <v/>
      </c>
      <c r="D230" s="22" t="str">
        <f aca="false">IF($A230="","",IF(품목마스터!$E227="",0,품목마스터!$E227))</f>
        <v/>
      </c>
      <c r="E230" s="22" t="str">
        <f aca="false">IF($A230="","",SUMIFS(사용내역!$E$3:$E$3002,사용내역!$B$3:$B$3002,$A230,사용내역!$A$3:$A$3002,"&gt;"&amp;($B$3-사용안내!$C$16),사용내역!$A$3:$A$3002,"&lt;="&amp;$B$3))</f>
        <v/>
      </c>
      <c r="F230" s="23" t="str">
        <f aca="false">IF($A230="","",IF(사용안내!$C$16=0,0,ROUND($E230/사용안내!$C$16,3)))</f>
        <v/>
      </c>
      <c r="G230" s="24" t="str">
        <f aca="false">IF($A230="","",IF($F230&lt;=0,"사용기록없음",ROUND($D230/$F230,0)))</f>
        <v/>
      </c>
      <c r="H230" s="25" t="str">
        <f aca="false">IF(OR($A230="",$F230&lt;=0),"",$B$3+$G230)</f>
        <v/>
      </c>
      <c r="I230" s="21" t="str">
        <f aca="false">IF($A230="","",IF(품목마스터!$F227="",0,품목마스터!$F227))</f>
        <v/>
      </c>
      <c r="J230" s="25" t="str">
        <f aca="false">IF(OR($A230="",$F230&lt;=0),"",$H230-$I230)</f>
        <v/>
      </c>
      <c r="K230" s="22" t="n">
        <f aca="false">IF(OR($A230="",$F230&lt;=0),0,MAX(0,CEILING(MAX(0,($I230+사용안내!$C$17)*$F230-$D230),MAX(1,IF(품목마스터!$H227="",1,품목마스터!$H227)))))</f>
        <v>0</v>
      </c>
      <c r="L230" s="21" t="str">
        <f aca="false">IF($A230="","",IF($F230&lt;=0,"-",IF($J230&lt;=$B$3,"발주",IF($J230&lt;=$B$3+7,"임박","정상"))))</f>
        <v/>
      </c>
    </row>
    <row r="231" customFormat="false" ht="15" hidden="false" customHeight="true" outlineLevel="0" collapsed="false">
      <c r="A231" s="17" t="str">
        <f aca="false">IF(품목마스터!$A228="","",품목마스터!$A228)</f>
        <v/>
      </c>
      <c r="B231" s="17" t="str">
        <f aca="false">IF($A231="","",품목마스터!$B228)</f>
        <v/>
      </c>
      <c r="C231" s="21" t="str">
        <f aca="false">IF($A231="","",품목마스터!$D228)</f>
        <v/>
      </c>
      <c r="D231" s="22" t="str">
        <f aca="false">IF($A231="","",IF(품목마스터!$E228="",0,품목마스터!$E228))</f>
        <v/>
      </c>
      <c r="E231" s="22" t="str">
        <f aca="false">IF($A231="","",SUMIFS(사용내역!$E$3:$E$3002,사용내역!$B$3:$B$3002,$A231,사용내역!$A$3:$A$3002,"&gt;"&amp;($B$3-사용안내!$C$16),사용내역!$A$3:$A$3002,"&lt;="&amp;$B$3))</f>
        <v/>
      </c>
      <c r="F231" s="23" t="str">
        <f aca="false">IF($A231="","",IF(사용안내!$C$16=0,0,ROUND($E231/사용안내!$C$16,3)))</f>
        <v/>
      </c>
      <c r="G231" s="24" t="str">
        <f aca="false">IF($A231="","",IF($F231&lt;=0,"사용기록없음",ROUND($D231/$F231,0)))</f>
        <v/>
      </c>
      <c r="H231" s="25" t="str">
        <f aca="false">IF(OR($A231="",$F231&lt;=0),"",$B$3+$G231)</f>
        <v/>
      </c>
      <c r="I231" s="21" t="str">
        <f aca="false">IF($A231="","",IF(품목마스터!$F228="",0,품목마스터!$F228))</f>
        <v/>
      </c>
      <c r="J231" s="25" t="str">
        <f aca="false">IF(OR($A231="",$F231&lt;=0),"",$H231-$I231)</f>
        <v/>
      </c>
      <c r="K231" s="22" t="n">
        <f aca="false">IF(OR($A231="",$F231&lt;=0),0,MAX(0,CEILING(MAX(0,($I231+사용안내!$C$17)*$F231-$D231),MAX(1,IF(품목마스터!$H228="",1,품목마스터!$H228)))))</f>
        <v>0</v>
      </c>
      <c r="L231" s="21" t="str">
        <f aca="false">IF($A231="","",IF($F231&lt;=0,"-",IF($J231&lt;=$B$3,"발주",IF($J231&lt;=$B$3+7,"임박","정상"))))</f>
        <v/>
      </c>
    </row>
    <row r="232" customFormat="false" ht="15" hidden="false" customHeight="true" outlineLevel="0" collapsed="false">
      <c r="A232" s="17" t="str">
        <f aca="false">IF(품목마스터!$A229="","",품목마스터!$A229)</f>
        <v/>
      </c>
      <c r="B232" s="17" t="str">
        <f aca="false">IF($A232="","",품목마스터!$B229)</f>
        <v/>
      </c>
      <c r="C232" s="21" t="str">
        <f aca="false">IF($A232="","",품목마스터!$D229)</f>
        <v/>
      </c>
      <c r="D232" s="22" t="str">
        <f aca="false">IF($A232="","",IF(품목마스터!$E229="",0,품목마스터!$E229))</f>
        <v/>
      </c>
      <c r="E232" s="22" t="str">
        <f aca="false">IF($A232="","",SUMIFS(사용내역!$E$3:$E$3002,사용내역!$B$3:$B$3002,$A232,사용내역!$A$3:$A$3002,"&gt;"&amp;($B$3-사용안내!$C$16),사용내역!$A$3:$A$3002,"&lt;="&amp;$B$3))</f>
        <v/>
      </c>
      <c r="F232" s="23" t="str">
        <f aca="false">IF($A232="","",IF(사용안내!$C$16=0,0,ROUND($E232/사용안내!$C$16,3)))</f>
        <v/>
      </c>
      <c r="G232" s="24" t="str">
        <f aca="false">IF($A232="","",IF($F232&lt;=0,"사용기록없음",ROUND($D232/$F232,0)))</f>
        <v/>
      </c>
      <c r="H232" s="25" t="str">
        <f aca="false">IF(OR($A232="",$F232&lt;=0),"",$B$3+$G232)</f>
        <v/>
      </c>
      <c r="I232" s="21" t="str">
        <f aca="false">IF($A232="","",IF(품목마스터!$F229="",0,품목마스터!$F229))</f>
        <v/>
      </c>
      <c r="J232" s="25" t="str">
        <f aca="false">IF(OR($A232="",$F232&lt;=0),"",$H232-$I232)</f>
        <v/>
      </c>
      <c r="K232" s="22" t="n">
        <f aca="false">IF(OR($A232="",$F232&lt;=0),0,MAX(0,CEILING(MAX(0,($I232+사용안내!$C$17)*$F232-$D232),MAX(1,IF(품목마스터!$H229="",1,품목마스터!$H229)))))</f>
        <v>0</v>
      </c>
      <c r="L232" s="21" t="str">
        <f aca="false">IF($A232="","",IF($F232&lt;=0,"-",IF($J232&lt;=$B$3,"발주",IF($J232&lt;=$B$3+7,"임박","정상"))))</f>
        <v/>
      </c>
    </row>
    <row r="233" customFormat="false" ht="15" hidden="false" customHeight="true" outlineLevel="0" collapsed="false">
      <c r="A233" s="17" t="str">
        <f aca="false">IF(품목마스터!$A230="","",품목마스터!$A230)</f>
        <v/>
      </c>
      <c r="B233" s="17" t="str">
        <f aca="false">IF($A233="","",품목마스터!$B230)</f>
        <v/>
      </c>
      <c r="C233" s="21" t="str">
        <f aca="false">IF($A233="","",품목마스터!$D230)</f>
        <v/>
      </c>
      <c r="D233" s="22" t="str">
        <f aca="false">IF($A233="","",IF(품목마스터!$E230="",0,품목마스터!$E230))</f>
        <v/>
      </c>
      <c r="E233" s="22" t="str">
        <f aca="false">IF($A233="","",SUMIFS(사용내역!$E$3:$E$3002,사용내역!$B$3:$B$3002,$A233,사용내역!$A$3:$A$3002,"&gt;"&amp;($B$3-사용안내!$C$16),사용내역!$A$3:$A$3002,"&lt;="&amp;$B$3))</f>
        <v/>
      </c>
      <c r="F233" s="23" t="str">
        <f aca="false">IF($A233="","",IF(사용안내!$C$16=0,0,ROUND($E233/사용안내!$C$16,3)))</f>
        <v/>
      </c>
      <c r="G233" s="24" t="str">
        <f aca="false">IF($A233="","",IF($F233&lt;=0,"사용기록없음",ROUND($D233/$F233,0)))</f>
        <v/>
      </c>
      <c r="H233" s="25" t="str">
        <f aca="false">IF(OR($A233="",$F233&lt;=0),"",$B$3+$G233)</f>
        <v/>
      </c>
      <c r="I233" s="21" t="str">
        <f aca="false">IF($A233="","",IF(품목마스터!$F230="",0,품목마스터!$F230))</f>
        <v/>
      </c>
      <c r="J233" s="25" t="str">
        <f aca="false">IF(OR($A233="",$F233&lt;=0),"",$H233-$I233)</f>
        <v/>
      </c>
      <c r="K233" s="22" t="n">
        <f aca="false">IF(OR($A233="",$F233&lt;=0),0,MAX(0,CEILING(MAX(0,($I233+사용안내!$C$17)*$F233-$D233),MAX(1,IF(품목마스터!$H230="",1,품목마스터!$H230)))))</f>
        <v>0</v>
      </c>
      <c r="L233" s="21" t="str">
        <f aca="false">IF($A233="","",IF($F233&lt;=0,"-",IF($J233&lt;=$B$3,"발주",IF($J233&lt;=$B$3+7,"임박","정상"))))</f>
        <v/>
      </c>
    </row>
    <row r="234" customFormat="false" ht="15" hidden="false" customHeight="true" outlineLevel="0" collapsed="false">
      <c r="A234" s="17" t="str">
        <f aca="false">IF(품목마스터!$A231="","",품목마스터!$A231)</f>
        <v/>
      </c>
      <c r="B234" s="17" t="str">
        <f aca="false">IF($A234="","",품목마스터!$B231)</f>
        <v/>
      </c>
      <c r="C234" s="21" t="str">
        <f aca="false">IF($A234="","",품목마스터!$D231)</f>
        <v/>
      </c>
      <c r="D234" s="22" t="str">
        <f aca="false">IF($A234="","",IF(품목마스터!$E231="",0,품목마스터!$E231))</f>
        <v/>
      </c>
      <c r="E234" s="22" t="str">
        <f aca="false">IF($A234="","",SUMIFS(사용내역!$E$3:$E$3002,사용내역!$B$3:$B$3002,$A234,사용내역!$A$3:$A$3002,"&gt;"&amp;($B$3-사용안내!$C$16),사용내역!$A$3:$A$3002,"&lt;="&amp;$B$3))</f>
        <v/>
      </c>
      <c r="F234" s="23" t="str">
        <f aca="false">IF($A234="","",IF(사용안내!$C$16=0,0,ROUND($E234/사용안내!$C$16,3)))</f>
        <v/>
      </c>
      <c r="G234" s="24" t="str">
        <f aca="false">IF($A234="","",IF($F234&lt;=0,"사용기록없음",ROUND($D234/$F234,0)))</f>
        <v/>
      </c>
      <c r="H234" s="25" t="str">
        <f aca="false">IF(OR($A234="",$F234&lt;=0),"",$B$3+$G234)</f>
        <v/>
      </c>
      <c r="I234" s="21" t="str">
        <f aca="false">IF($A234="","",IF(품목마스터!$F231="",0,품목마스터!$F231))</f>
        <v/>
      </c>
      <c r="J234" s="25" t="str">
        <f aca="false">IF(OR($A234="",$F234&lt;=0),"",$H234-$I234)</f>
        <v/>
      </c>
      <c r="K234" s="22" t="n">
        <f aca="false">IF(OR($A234="",$F234&lt;=0),0,MAX(0,CEILING(MAX(0,($I234+사용안내!$C$17)*$F234-$D234),MAX(1,IF(품목마스터!$H231="",1,품목마스터!$H231)))))</f>
        <v>0</v>
      </c>
      <c r="L234" s="21" t="str">
        <f aca="false">IF($A234="","",IF($F234&lt;=0,"-",IF($J234&lt;=$B$3,"발주",IF($J234&lt;=$B$3+7,"임박","정상"))))</f>
        <v/>
      </c>
    </row>
    <row r="235" customFormat="false" ht="15" hidden="false" customHeight="true" outlineLevel="0" collapsed="false">
      <c r="A235" s="17" t="str">
        <f aca="false">IF(품목마스터!$A232="","",품목마스터!$A232)</f>
        <v/>
      </c>
      <c r="B235" s="17" t="str">
        <f aca="false">IF($A235="","",품목마스터!$B232)</f>
        <v/>
      </c>
      <c r="C235" s="21" t="str">
        <f aca="false">IF($A235="","",품목마스터!$D232)</f>
        <v/>
      </c>
      <c r="D235" s="22" t="str">
        <f aca="false">IF($A235="","",IF(품목마스터!$E232="",0,품목마스터!$E232))</f>
        <v/>
      </c>
      <c r="E235" s="22" t="str">
        <f aca="false">IF($A235="","",SUMIFS(사용내역!$E$3:$E$3002,사용내역!$B$3:$B$3002,$A235,사용내역!$A$3:$A$3002,"&gt;"&amp;($B$3-사용안내!$C$16),사용내역!$A$3:$A$3002,"&lt;="&amp;$B$3))</f>
        <v/>
      </c>
      <c r="F235" s="23" t="str">
        <f aca="false">IF($A235="","",IF(사용안내!$C$16=0,0,ROUND($E235/사용안내!$C$16,3)))</f>
        <v/>
      </c>
      <c r="G235" s="24" t="str">
        <f aca="false">IF($A235="","",IF($F235&lt;=0,"사용기록없음",ROUND($D235/$F235,0)))</f>
        <v/>
      </c>
      <c r="H235" s="25" t="str">
        <f aca="false">IF(OR($A235="",$F235&lt;=0),"",$B$3+$G235)</f>
        <v/>
      </c>
      <c r="I235" s="21" t="str">
        <f aca="false">IF($A235="","",IF(품목마스터!$F232="",0,품목마스터!$F232))</f>
        <v/>
      </c>
      <c r="J235" s="25" t="str">
        <f aca="false">IF(OR($A235="",$F235&lt;=0),"",$H235-$I235)</f>
        <v/>
      </c>
      <c r="K235" s="22" t="n">
        <f aca="false">IF(OR($A235="",$F235&lt;=0),0,MAX(0,CEILING(MAX(0,($I235+사용안내!$C$17)*$F235-$D235),MAX(1,IF(품목마스터!$H232="",1,품목마스터!$H232)))))</f>
        <v>0</v>
      </c>
      <c r="L235" s="21" t="str">
        <f aca="false">IF($A235="","",IF($F235&lt;=0,"-",IF($J235&lt;=$B$3,"발주",IF($J235&lt;=$B$3+7,"임박","정상"))))</f>
        <v/>
      </c>
    </row>
    <row r="236" customFormat="false" ht="15" hidden="false" customHeight="true" outlineLevel="0" collapsed="false">
      <c r="A236" s="17" t="str">
        <f aca="false">IF(품목마스터!$A233="","",품목마스터!$A233)</f>
        <v/>
      </c>
      <c r="B236" s="17" t="str">
        <f aca="false">IF($A236="","",품목마스터!$B233)</f>
        <v/>
      </c>
      <c r="C236" s="21" t="str">
        <f aca="false">IF($A236="","",품목마스터!$D233)</f>
        <v/>
      </c>
      <c r="D236" s="22" t="str">
        <f aca="false">IF($A236="","",IF(품목마스터!$E233="",0,품목마스터!$E233))</f>
        <v/>
      </c>
      <c r="E236" s="22" t="str">
        <f aca="false">IF($A236="","",SUMIFS(사용내역!$E$3:$E$3002,사용내역!$B$3:$B$3002,$A236,사용내역!$A$3:$A$3002,"&gt;"&amp;($B$3-사용안내!$C$16),사용내역!$A$3:$A$3002,"&lt;="&amp;$B$3))</f>
        <v/>
      </c>
      <c r="F236" s="23" t="str">
        <f aca="false">IF($A236="","",IF(사용안내!$C$16=0,0,ROUND($E236/사용안내!$C$16,3)))</f>
        <v/>
      </c>
      <c r="G236" s="24" t="str">
        <f aca="false">IF($A236="","",IF($F236&lt;=0,"사용기록없음",ROUND($D236/$F236,0)))</f>
        <v/>
      </c>
      <c r="H236" s="25" t="str">
        <f aca="false">IF(OR($A236="",$F236&lt;=0),"",$B$3+$G236)</f>
        <v/>
      </c>
      <c r="I236" s="21" t="str">
        <f aca="false">IF($A236="","",IF(품목마스터!$F233="",0,품목마스터!$F233))</f>
        <v/>
      </c>
      <c r="J236" s="25" t="str">
        <f aca="false">IF(OR($A236="",$F236&lt;=0),"",$H236-$I236)</f>
        <v/>
      </c>
      <c r="K236" s="22" t="n">
        <f aca="false">IF(OR($A236="",$F236&lt;=0),0,MAX(0,CEILING(MAX(0,($I236+사용안내!$C$17)*$F236-$D236),MAX(1,IF(품목마스터!$H233="",1,품목마스터!$H233)))))</f>
        <v>0</v>
      </c>
      <c r="L236" s="21" t="str">
        <f aca="false">IF($A236="","",IF($F236&lt;=0,"-",IF($J236&lt;=$B$3,"발주",IF($J236&lt;=$B$3+7,"임박","정상"))))</f>
        <v/>
      </c>
    </row>
    <row r="237" customFormat="false" ht="15" hidden="false" customHeight="true" outlineLevel="0" collapsed="false">
      <c r="A237" s="17" t="str">
        <f aca="false">IF(품목마스터!$A234="","",품목마스터!$A234)</f>
        <v/>
      </c>
      <c r="B237" s="17" t="str">
        <f aca="false">IF($A237="","",품목마스터!$B234)</f>
        <v/>
      </c>
      <c r="C237" s="21" t="str">
        <f aca="false">IF($A237="","",품목마스터!$D234)</f>
        <v/>
      </c>
      <c r="D237" s="22" t="str">
        <f aca="false">IF($A237="","",IF(품목마스터!$E234="",0,품목마스터!$E234))</f>
        <v/>
      </c>
      <c r="E237" s="22" t="str">
        <f aca="false">IF($A237="","",SUMIFS(사용내역!$E$3:$E$3002,사용내역!$B$3:$B$3002,$A237,사용내역!$A$3:$A$3002,"&gt;"&amp;($B$3-사용안내!$C$16),사용내역!$A$3:$A$3002,"&lt;="&amp;$B$3))</f>
        <v/>
      </c>
      <c r="F237" s="23" t="str">
        <f aca="false">IF($A237="","",IF(사용안내!$C$16=0,0,ROUND($E237/사용안내!$C$16,3)))</f>
        <v/>
      </c>
      <c r="G237" s="24" t="str">
        <f aca="false">IF($A237="","",IF($F237&lt;=0,"사용기록없음",ROUND($D237/$F237,0)))</f>
        <v/>
      </c>
      <c r="H237" s="25" t="str">
        <f aca="false">IF(OR($A237="",$F237&lt;=0),"",$B$3+$G237)</f>
        <v/>
      </c>
      <c r="I237" s="21" t="str">
        <f aca="false">IF($A237="","",IF(품목마스터!$F234="",0,품목마스터!$F234))</f>
        <v/>
      </c>
      <c r="J237" s="25" t="str">
        <f aca="false">IF(OR($A237="",$F237&lt;=0),"",$H237-$I237)</f>
        <v/>
      </c>
      <c r="K237" s="22" t="n">
        <f aca="false">IF(OR($A237="",$F237&lt;=0),0,MAX(0,CEILING(MAX(0,($I237+사용안내!$C$17)*$F237-$D237),MAX(1,IF(품목마스터!$H234="",1,품목마스터!$H234)))))</f>
        <v>0</v>
      </c>
      <c r="L237" s="21" t="str">
        <f aca="false">IF($A237="","",IF($F237&lt;=0,"-",IF($J237&lt;=$B$3,"발주",IF($J237&lt;=$B$3+7,"임박","정상"))))</f>
        <v/>
      </c>
    </row>
    <row r="238" customFormat="false" ht="15" hidden="false" customHeight="true" outlineLevel="0" collapsed="false">
      <c r="A238" s="17" t="str">
        <f aca="false">IF(품목마스터!$A235="","",품목마스터!$A235)</f>
        <v/>
      </c>
      <c r="B238" s="17" t="str">
        <f aca="false">IF($A238="","",품목마스터!$B235)</f>
        <v/>
      </c>
      <c r="C238" s="21" t="str">
        <f aca="false">IF($A238="","",품목마스터!$D235)</f>
        <v/>
      </c>
      <c r="D238" s="22" t="str">
        <f aca="false">IF($A238="","",IF(품목마스터!$E235="",0,품목마스터!$E235))</f>
        <v/>
      </c>
      <c r="E238" s="22" t="str">
        <f aca="false">IF($A238="","",SUMIFS(사용내역!$E$3:$E$3002,사용내역!$B$3:$B$3002,$A238,사용내역!$A$3:$A$3002,"&gt;"&amp;($B$3-사용안내!$C$16),사용내역!$A$3:$A$3002,"&lt;="&amp;$B$3))</f>
        <v/>
      </c>
      <c r="F238" s="23" t="str">
        <f aca="false">IF($A238="","",IF(사용안내!$C$16=0,0,ROUND($E238/사용안내!$C$16,3)))</f>
        <v/>
      </c>
      <c r="G238" s="24" t="str">
        <f aca="false">IF($A238="","",IF($F238&lt;=0,"사용기록없음",ROUND($D238/$F238,0)))</f>
        <v/>
      </c>
      <c r="H238" s="25" t="str">
        <f aca="false">IF(OR($A238="",$F238&lt;=0),"",$B$3+$G238)</f>
        <v/>
      </c>
      <c r="I238" s="21" t="str">
        <f aca="false">IF($A238="","",IF(품목마스터!$F235="",0,품목마스터!$F235))</f>
        <v/>
      </c>
      <c r="J238" s="25" t="str">
        <f aca="false">IF(OR($A238="",$F238&lt;=0),"",$H238-$I238)</f>
        <v/>
      </c>
      <c r="K238" s="22" t="n">
        <f aca="false">IF(OR($A238="",$F238&lt;=0),0,MAX(0,CEILING(MAX(0,($I238+사용안내!$C$17)*$F238-$D238),MAX(1,IF(품목마스터!$H235="",1,품목마스터!$H235)))))</f>
        <v>0</v>
      </c>
      <c r="L238" s="21" t="str">
        <f aca="false">IF($A238="","",IF($F238&lt;=0,"-",IF($J238&lt;=$B$3,"발주",IF($J238&lt;=$B$3+7,"임박","정상"))))</f>
        <v/>
      </c>
    </row>
    <row r="239" customFormat="false" ht="15" hidden="false" customHeight="true" outlineLevel="0" collapsed="false">
      <c r="A239" s="17" t="str">
        <f aca="false">IF(품목마스터!$A236="","",품목마스터!$A236)</f>
        <v/>
      </c>
      <c r="B239" s="17" t="str">
        <f aca="false">IF($A239="","",품목마스터!$B236)</f>
        <v/>
      </c>
      <c r="C239" s="21" t="str">
        <f aca="false">IF($A239="","",품목마스터!$D236)</f>
        <v/>
      </c>
      <c r="D239" s="22" t="str">
        <f aca="false">IF($A239="","",IF(품목마스터!$E236="",0,품목마스터!$E236))</f>
        <v/>
      </c>
      <c r="E239" s="22" t="str">
        <f aca="false">IF($A239="","",SUMIFS(사용내역!$E$3:$E$3002,사용내역!$B$3:$B$3002,$A239,사용내역!$A$3:$A$3002,"&gt;"&amp;($B$3-사용안내!$C$16),사용내역!$A$3:$A$3002,"&lt;="&amp;$B$3))</f>
        <v/>
      </c>
      <c r="F239" s="23" t="str">
        <f aca="false">IF($A239="","",IF(사용안내!$C$16=0,0,ROUND($E239/사용안내!$C$16,3)))</f>
        <v/>
      </c>
      <c r="G239" s="24" t="str">
        <f aca="false">IF($A239="","",IF($F239&lt;=0,"사용기록없음",ROUND($D239/$F239,0)))</f>
        <v/>
      </c>
      <c r="H239" s="25" t="str">
        <f aca="false">IF(OR($A239="",$F239&lt;=0),"",$B$3+$G239)</f>
        <v/>
      </c>
      <c r="I239" s="21" t="str">
        <f aca="false">IF($A239="","",IF(품목마스터!$F236="",0,품목마스터!$F236))</f>
        <v/>
      </c>
      <c r="J239" s="25" t="str">
        <f aca="false">IF(OR($A239="",$F239&lt;=0),"",$H239-$I239)</f>
        <v/>
      </c>
      <c r="K239" s="22" t="n">
        <f aca="false">IF(OR($A239="",$F239&lt;=0),0,MAX(0,CEILING(MAX(0,($I239+사용안내!$C$17)*$F239-$D239),MAX(1,IF(품목마스터!$H236="",1,품목마스터!$H236)))))</f>
        <v>0</v>
      </c>
      <c r="L239" s="21" t="str">
        <f aca="false">IF($A239="","",IF($F239&lt;=0,"-",IF($J239&lt;=$B$3,"발주",IF($J239&lt;=$B$3+7,"임박","정상"))))</f>
        <v/>
      </c>
    </row>
    <row r="240" customFormat="false" ht="15" hidden="false" customHeight="true" outlineLevel="0" collapsed="false">
      <c r="A240" s="17" t="str">
        <f aca="false">IF(품목마스터!$A237="","",품목마스터!$A237)</f>
        <v/>
      </c>
      <c r="B240" s="17" t="str">
        <f aca="false">IF($A240="","",품목마스터!$B237)</f>
        <v/>
      </c>
      <c r="C240" s="21" t="str">
        <f aca="false">IF($A240="","",품목마스터!$D237)</f>
        <v/>
      </c>
      <c r="D240" s="22" t="str">
        <f aca="false">IF($A240="","",IF(품목마스터!$E237="",0,품목마스터!$E237))</f>
        <v/>
      </c>
      <c r="E240" s="22" t="str">
        <f aca="false">IF($A240="","",SUMIFS(사용내역!$E$3:$E$3002,사용내역!$B$3:$B$3002,$A240,사용내역!$A$3:$A$3002,"&gt;"&amp;($B$3-사용안내!$C$16),사용내역!$A$3:$A$3002,"&lt;="&amp;$B$3))</f>
        <v/>
      </c>
      <c r="F240" s="23" t="str">
        <f aca="false">IF($A240="","",IF(사용안내!$C$16=0,0,ROUND($E240/사용안내!$C$16,3)))</f>
        <v/>
      </c>
      <c r="G240" s="24" t="str">
        <f aca="false">IF($A240="","",IF($F240&lt;=0,"사용기록없음",ROUND($D240/$F240,0)))</f>
        <v/>
      </c>
      <c r="H240" s="25" t="str">
        <f aca="false">IF(OR($A240="",$F240&lt;=0),"",$B$3+$G240)</f>
        <v/>
      </c>
      <c r="I240" s="21" t="str">
        <f aca="false">IF($A240="","",IF(품목마스터!$F237="",0,품목마스터!$F237))</f>
        <v/>
      </c>
      <c r="J240" s="25" t="str">
        <f aca="false">IF(OR($A240="",$F240&lt;=0),"",$H240-$I240)</f>
        <v/>
      </c>
      <c r="K240" s="22" t="n">
        <f aca="false">IF(OR($A240="",$F240&lt;=0),0,MAX(0,CEILING(MAX(0,($I240+사용안내!$C$17)*$F240-$D240),MAX(1,IF(품목마스터!$H237="",1,품목마스터!$H237)))))</f>
        <v>0</v>
      </c>
      <c r="L240" s="21" t="str">
        <f aca="false">IF($A240="","",IF($F240&lt;=0,"-",IF($J240&lt;=$B$3,"발주",IF($J240&lt;=$B$3+7,"임박","정상"))))</f>
        <v/>
      </c>
    </row>
    <row r="241" customFormat="false" ht="15" hidden="false" customHeight="true" outlineLevel="0" collapsed="false">
      <c r="A241" s="17" t="str">
        <f aca="false">IF(품목마스터!$A238="","",품목마스터!$A238)</f>
        <v/>
      </c>
      <c r="B241" s="17" t="str">
        <f aca="false">IF($A241="","",품목마스터!$B238)</f>
        <v/>
      </c>
      <c r="C241" s="21" t="str">
        <f aca="false">IF($A241="","",품목마스터!$D238)</f>
        <v/>
      </c>
      <c r="D241" s="22" t="str">
        <f aca="false">IF($A241="","",IF(품목마스터!$E238="",0,품목마스터!$E238))</f>
        <v/>
      </c>
      <c r="E241" s="22" t="str">
        <f aca="false">IF($A241="","",SUMIFS(사용내역!$E$3:$E$3002,사용내역!$B$3:$B$3002,$A241,사용내역!$A$3:$A$3002,"&gt;"&amp;($B$3-사용안내!$C$16),사용내역!$A$3:$A$3002,"&lt;="&amp;$B$3))</f>
        <v/>
      </c>
      <c r="F241" s="23" t="str">
        <f aca="false">IF($A241="","",IF(사용안내!$C$16=0,0,ROUND($E241/사용안내!$C$16,3)))</f>
        <v/>
      </c>
      <c r="G241" s="24" t="str">
        <f aca="false">IF($A241="","",IF($F241&lt;=0,"사용기록없음",ROUND($D241/$F241,0)))</f>
        <v/>
      </c>
      <c r="H241" s="25" t="str">
        <f aca="false">IF(OR($A241="",$F241&lt;=0),"",$B$3+$G241)</f>
        <v/>
      </c>
      <c r="I241" s="21" t="str">
        <f aca="false">IF($A241="","",IF(품목마스터!$F238="",0,품목마스터!$F238))</f>
        <v/>
      </c>
      <c r="J241" s="25" t="str">
        <f aca="false">IF(OR($A241="",$F241&lt;=0),"",$H241-$I241)</f>
        <v/>
      </c>
      <c r="K241" s="22" t="n">
        <f aca="false">IF(OR($A241="",$F241&lt;=0),0,MAX(0,CEILING(MAX(0,($I241+사용안내!$C$17)*$F241-$D241),MAX(1,IF(품목마스터!$H238="",1,품목마스터!$H238)))))</f>
        <v>0</v>
      </c>
      <c r="L241" s="21" t="str">
        <f aca="false">IF($A241="","",IF($F241&lt;=0,"-",IF($J241&lt;=$B$3,"발주",IF($J241&lt;=$B$3+7,"임박","정상"))))</f>
        <v/>
      </c>
    </row>
    <row r="242" customFormat="false" ht="15" hidden="false" customHeight="true" outlineLevel="0" collapsed="false">
      <c r="A242" s="17" t="str">
        <f aca="false">IF(품목마스터!$A239="","",품목마스터!$A239)</f>
        <v/>
      </c>
      <c r="B242" s="17" t="str">
        <f aca="false">IF($A242="","",품목마스터!$B239)</f>
        <v/>
      </c>
      <c r="C242" s="21" t="str">
        <f aca="false">IF($A242="","",품목마스터!$D239)</f>
        <v/>
      </c>
      <c r="D242" s="22" t="str">
        <f aca="false">IF($A242="","",IF(품목마스터!$E239="",0,품목마스터!$E239))</f>
        <v/>
      </c>
      <c r="E242" s="22" t="str">
        <f aca="false">IF($A242="","",SUMIFS(사용내역!$E$3:$E$3002,사용내역!$B$3:$B$3002,$A242,사용내역!$A$3:$A$3002,"&gt;"&amp;($B$3-사용안내!$C$16),사용내역!$A$3:$A$3002,"&lt;="&amp;$B$3))</f>
        <v/>
      </c>
      <c r="F242" s="23" t="str">
        <f aca="false">IF($A242="","",IF(사용안내!$C$16=0,0,ROUND($E242/사용안내!$C$16,3)))</f>
        <v/>
      </c>
      <c r="G242" s="24" t="str">
        <f aca="false">IF($A242="","",IF($F242&lt;=0,"사용기록없음",ROUND($D242/$F242,0)))</f>
        <v/>
      </c>
      <c r="H242" s="25" t="str">
        <f aca="false">IF(OR($A242="",$F242&lt;=0),"",$B$3+$G242)</f>
        <v/>
      </c>
      <c r="I242" s="21" t="str">
        <f aca="false">IF($A242="","",IF(품목마스터!$F239="",0,품목마스터!$F239))</f>
        <v/>
      </c>
      <c r="J242" s="25" t="str">
        <f aca="false">IF(OR($A242="",$F242&lt;=0),"",$H242-$I242)</f>
        <v/>
      </c>
      <c r="K242" s="22" t="n">
        <f aca="false">IF(OR($A242="",$F242&lt;=0),0,MAX(0,CEILING(MAX(0,($I242+사용안내!$C$17)*$F242-$D242),MAX(1,IF(품목마스터!$H239="",1,품목마스터!$H239)))))</f>
        <v>0</v>
      </c>
      <c r="L242" s="21" t="str">
        <f aca="false">IF($A242="","",IF($F242&lt;=0,"-",IF($J242&lt;=$B$3,"발주",IF($J242&lt;=$B$3+7,"임박","정상"))))</f>
        <v/>
      </c>
    </row>
    <row r="243" customFormat="false" ht="15" hidden="false" customHeight="true" outlineLevel="0" collapsed="false">
      <c r="A243" s="17" t="str">
        <f aca="false">IF(품목마스터!$A240="","",품목마스터!$A240)</f>
        <v/>
      </c>
      <c r="B243" s="17" t="str">
        <f aca="false">IF($A243="","",품목마스터!$B240)</f>
        <v/>
      </c>
      <c r="C243" s="21" t="str">
        <f aca="false">IF($A243="","",품목마스터!$D240)</f>
        <v/>
      </c>
      <c r="D243" s="22" t="str">
        <f aca="false">IF($A243="","",IF(품목마스터!$E240="",0,품목마스터!$E240))</f>
        <v/>
      </c>
      <c r="E243" s="22" t="str">
        <f aca="false">IF($A243="","",SUMIFS(사용내역!$E$3:$E$3002,사용내역!$B$3:$B$3002,$A243,사용내역!$A$3:$A$3002,"&gt;"&amp;($B$3-사용안내!$C$16),사용내역!$A$3:$A$3002,"&lt;="&amp;$B$3))</f>
        <v/>
      </c>
      <c r="F243" s="23" t="str">
        <f aca="false">IF($A243="","",IF(사용안내!$C$16=0,0,ROUND($E243/사용안내!$C$16,3)))</f>
        <v/>
      </c>
      <c r="G243" s="24" t="str">
        <f aca="false">IF($A243="","",IF($F243&lt;=0,"사용기록없음",ROUND($D243/$F243,0)))</f>
        <v/>
      </c>
      <c r="H243" s="25" t="str">
        <f aca="false">IF(OR($A243="",$F243&lt;=0),"",$B$3+$G243)</f>
        <v/>
      </c>
      <c r="I243" s="21" t="str">
        <f aca="false">IF($A243="","",IF(품목마스터!$F240="",0,품목마스터!$F240))</f>
        <v/>
      </c>
      <c r="J243" s="25" t="str">
        <f aca="false">IF(OR($A243="",$F243&lt;=0),"",$H243-$I243)</f>
        <v/>
      </c>
      <c r="K243" s="22" t="n">
        <f aca="false">IF(OR($A243="",$F243&lt;=0),0,MAX(0,CEILING(MAX(0,($I243+사용안내!$C$17)*$F243-$D243),MAX(1,IF(품목마스터!$H240="",1,품목마스터!$H240)))))</f>
        <v>0</v>
      </c>
      <c r="L243" s="21" t="str">
        <f aca="false">IF($A243="","",IF($F243&lt;=0,"-",IF($J243&lt;=$B$3,"발주",IF($J243&lt;=$B$3+7,"임박","정상"))))</f>
        <v/>
      </c>
    </row>
    <row r="244" customFormat="false" ht="15" hidden="false" customHeight="true" outlineLevel="0" collapsed="false">
      <c r="A244" s="17" t="str">
        <f aca="false">IF(품목마스터!$A241="","",품목마스터!$A241)</f>
        <v/>
      </c>
      <c r="B244" s="17" t="str">
        <f aca="false">IF($A244="","",품목마스터!$B241)</f>
        <v/>
      </c>
      <c r="C244" s="21" t="str">
        <f aca="false">IF($A244="","",품목마스터!$D241)</f>
        <v/>
      </c>
      <c r="D244" s="22" t="str">
        <f aca="false">IF($A244="","",IF(품목마스터!$E241="",0,품목마스터!$E241))</f>
        <v/>
      </c>
      <c r="E244" s="22" t="str">
        <f aca="false">IF($A244="","",SUMIFS(사용내역!$E$3:$E$3002,사용내역!$B$3:$B$3002,$A244,사용내역!$A$3:$A$3002,"&gt;"&amp;($B$3-사용안내!$C$16),사용내역!$A$3:$A$3002,"&lt;="&amp;$B$3))</f>
        <v/>
      </c>
      <c r="F244" s="23" t="str">
        <f aca="false">IF($A244="","",IF(사용안내!$C$16=0,0,ROUND($E244/사용안내!$C$16,3)))</f>
        <v/>
      </c>
      <c r="G244" s="24" t="str">
        <f aca="false">IF($A244="","",IF($F244&lt;=0,"사용기록없음",ROUND($D244/$F244,0)))</f>
        <v/>
      </c>
      <c r="H244" s="25" t="str">
        <f aca="false">IF(OR($A244="",$F244&lt;=0),"",$B$3+$G244)</f>
        <v/>
      </c>
      <c r="I244" s="21" t="str">
        <f aca="false">IF($A244="","",IF(품목마스터!$F241="",0,품목마스터!$F241))</f>
        <v/>
      </c>
      <c r="J244" s="25" t="str">
        <f aca="false">IF(OR($A244="",$F244&lt;=0),"",$H244-$I244)</f>
        <v/>
      </c>
      <c r="K244" s="22" t="n">
        <f aca="false">IF(OR($A244="",$F244&lt;=0),0,MAX(0,CEILING(MAX(0,($I244+사용안내!$C$17)*$F244-$D244),MAX(1,IF(품목마스터!$H241="",1,품목마스터!$H241)))))</f>
        <v>0</v>
      </c>
      <c r="L244" s="21" t="str">
        <f aca="false">IF($A244="","",IF($F244&lt;=0,"-",IF($J244&lt;=$B$3,"발주",IF($J244&lt;=$B$3+7,"임박","정상"))))</f>
        <v/>
      </c>
    </row>
    <row r="245" customFormat="false" ht="15" hidden="false" customHeight="true" outlineLevel="0" collapsed="false">
      <c r="A245" s="17" t="str">
        <f aca="false">IF(품목마스터!$A242="","",품목마스터!$A242)</f>
        <v/>
      </c>
      <c r="B245" s="17" t="str">
        <f aca="false">IF($A245="","",품목마스터!$B242)</f>
        <v/>
      </c>
      <c r="C245" s="21" t="str">
        <f aca="false">IF($A245="","",품목마스터!$D242)</f>
        <v/>
      </c>
      <c r="D245" s="22" t="str">
        <f aca="false">IF($A245="","",IF(품목마스터!$E242="",0,품목마스터!$E242))</f>
        <v/>
      </c>
      <c r="E245" s="22" t="str">
        <f aca="false">IF($A245="","",SUMIFS(사용내역!$E$3:$E$3002,사용내역!$B$3:$B$3002,$A245,사용내역!$A$3:$A$3002,"&gt;"&amp;($B$3-사용안내!$C$16),사용내역!$A$3:$A$3002,"&lt;="&amp;$B$3))</f>
        <v/>
      </c>
      <c r="F245" s="23" t="str">
        <f aca="false">IF($A245="","",IF(사용안내!$C$16=0,0,ROUND($E245/사용안내!$C$16,3)))</f>
        <v/>
      </c>
      <c r="G245" s="24" t="str">
        <f aca="false">IF($A245="","",IF($F245&lt;=0,"사용기록없음",ROUND($D245/$F245,0)))</f>
        <v/>
      </c>
      <c r="H245" s="25" t="str">
        <f aca="false">IF(OR($A245="",$F245&lt;=0),"",$B$3+$G245)</f>
        <v/>
      </c>
      <c r="I245" s="21" t="str">
        <f aca="false">IF($A245="","",IF(품목마스터!$F242="",0,품목마스터!$F242))</f>
        <v/>
      </c>
      <c r="J245" s="25" t="str">
        <f aca="false">IF(OR($A245="",$F245&lt;=0),"",$H245-$I245)</f>
        <v/>
      </c>
      <c r="K245" s="22" t="n">
        <f aca="false">IF(OR($A245="",$F245&lt;=0),0,MAX(0,CEILING(MAX(0,($I245+사용안내!$C$17)*$F245-$D245),MAX(1,IF(품목마스터!$H242="",1,품목마스터!$H242)))))</f>
        <v>0</v>
      </c>
      <c r="L245" s="21" t="str">
        <f aca="false">IF($A245="","",IF($F245&lt;=0,"-",IF($J245&lt;=$B$3,"발주",IF($J245&lt;=$B$3+7,"임박","정상"))))</f>
        <v/>
      </c>
    </row>
    <row r="246" customFormat="false" ht="15" hidden="false" customHeight="true" outlineLevel="0" collapsed="false">
      <c r="A246" s="17" t="str">
        <f aca="false">IF(품목마스터!$A243="","",품목마스터!$A243)</f>
        <v/>
      </c>
      <c r="B246" s="17" t="str">
        <f aca="false">IF($A246="","",품목마스터!$B243)</f>
        <v/>
      </c>
      <c r="C246" s="21" t="str">
        <f aca="false">IF($A246="","",품목마스터!$D243)</f>
        <v/>
      </c>
      <c r="D246" s="22" t="str">
        <f aca="false">IF($A246="","",IF(품목마스터!$E243="",0,품목마스터!$E243))</f>
        <v/>
      </c>
      <c r="E246" s="22" t="str">
        <f aca="false">IF($A246="","",SUMIFS(사용내역!$E$3:$E$3002,사용내역!$B$3:$B$3002,$A246,사용내역!$A$3:$A$3002,"&gt;"&amp;($B$3-사용안내!$C$16),사용내역!$A$3:$A$3002,"&lt;="&amp;$B$3))</f>
        <v/>
      </c>
      <c r="F246" s="23" t="str">
        <f aca="false">IF($A246="","",IF(사용안내!$C$16=0,0,ROUND($E246/사용안내!$C$16,3)))</f>
        <v/>
      </c>
      <c r="G246" s="24" t="str">
        <f aca="false">IF($A246="","",IF($F246&lt;=0,"사용기록없음",ROUND($D246/$F246,0)))</f>
        <v/>
      </c>
      <c r="H246" s="25" t="str">
        <f aca="false">IF(OR($A246="",$F246&lt;=0),"",$B$3+$G246)</f>
        <v/>
      </c>
      <c r="I246" s="21" t="str">
        <f aca="false">IF($A246="","",IF(품목마스터!$F243="",0,품목마스터!$F243))</f>
        <v/>
      </c>
      <c r="J246" s="25" t="str">
        <f aca="false">IF(OR($A246="",$F246&lt;=0),"",$H246-$I246)</f>
        <v/>
      </c>
      <c r="K246" s="22" t="n">
        <f aca="false">IF(OR($A246="",$F246&lt;=0),0,MAX(0,CEILING(MAX(0,($I246+사용안내!$C$17)*$F246-$D246),MAX(1,IF(품목마스터!$H243="",1,품목마스터!$H243)))))</f>
        <v>0</v>
      </c>
      <c r="L246" s="21" t="str">
        <f aca="false">IF($A246="","",IF($F246&lt;=0,"-",IF($J246&lt;=$B$3,"발주",IF($J246&lt;=$B$3+7,"임박","정상"))))</f>
        <v/>
      </c>
    </row>
    <row r="247" customFormat="false" ht="15" hidden="false" customHeight="true" outlineLevel="0" collapsed="false">
      <c r="A247" s="17" t="str">
        <f aca="false">IF(품목마스터!$A244="","",품목마스터!$A244)</f>
        <v/>
      </c>
      <c r="B247" s="17" t="str">
        <f aca="false">IF($A247="","",품목마스터!$B244)</f>
        <v/>
      </c>
      <c r="C247" s="21" t="str">
        <f aca="false">IF($A247="","",품목마스터!$D244)</f>
        <v/>
      </c>
      <c r="D247" s="22" t="str">
        <f aca="false">IF($A247="","",IF(품목마스터!$E244="",0,품목마스터!$E244))</f>
        <v/>
      </c>
      <c r="E247" s="22" t="str">
        <f aca="false">IF($A247="","",SUMIFS(사용내역!$E$3:$E$3002,사용내역!$B$3:$B$3002,$A247,사용내역!$A$3:$A$3002,"&gt;"&amp;($B$3-사용안내!$C$16),사용내역!$A$3:$A$3002,"&lt;="&amp;$B$3))</f>
        <v/>
      </c>
      <c r="F247" s="23" t="str">
        <f aca="false">IF($A247="","",IF(사용안내!$C$16=0,0,ROUND($E247/사용안내!$C$16,3)))</f>
        <v/>
      </c>
      <c r="G247" s="24" t="str">
        <f aca="false">IF($A247="","",IF($F247&lt;=0,"사용기록없음",ROUND($D247/$F247,0)))</f>
        <v/>
      </c>
      <c r="H247" s="25" t="str">
        <f aca="false">IF(OR($A247="",$F247&lt;=0),"",$B$3+$G247)</f>
        <v/>
      </c>
      <c r="I247" s="21" t="str">
        <f aca="false">IF($A247="","",IF(품목마스터!$F244="",0,품목마스터!$F244))</f>
        <v/>
      </c>
      <c r="J247" s="25" t="str">
        <f aca="false">IF(OR($A247="",$F247&lt;=0),"",$H247-$I247)</f>
        <v/>
      </c>
      <c r="K247" s="22" t="n">
        <f aca="false">IF(OR($A247="",$F247&lt;=0),0,MAX(0,CEILING(MAX(0,($I247+사용안내!$C$17)*$F247-$D247),MAX(1,IF(품목마스터!$H244="",1,품목마스터!$H244)))))</f>
        <v>0</v>
      </c>
      <c r="L247" s="21" t="str">
        <f aca="false">IF($A247="","",IF($F247&lt;=0,"-",IF($J247&lt;=$B$3,"발주",IF($J247&lt;=$B$3+7,"임박","정상"))))</f>
        <v/>
      </c>
    </row>
    <row r="248" customFormat="false" ht="15" hidden="false" customHeight="true" outlineLevel="0" collapsed="false">
      <c r="A248" s="17" t="str">
        <f aca="false">IF(품목마스터!$A245="","",품목마스터!$A245)</f>
        <v/>
      </c>
      <c r="B248" s="17" t="str">
        <f aca="false">IF($A248="","",품목마스터!$B245)</f>
        <v/>
      </c>
      <c r="C248" s="21" t="str">
        <f aca="false">IF($A248="","",품목마스터!$D245)</f>
        <v/>
      </c>
      <c r="D248" s="22" t="str">
        <f aca="false">IF($A248="","",IF(품목마스터!$E245="",0,품목마스터!$E245))</f>
        <v/>
      </c>
      <c r="E248" s="22" t="str">
        <f aca="false">IF($A248="","",SUMIFS(사용내역!$E$3:$E$3002,사용내역!$B$3:$B$3002,$A248,사용내역!$A$3:$A$3002,"&gt;"&amp;($B$3-사용안내!$C$16),사용내역!$A$3:$A$3002,"&lt;="&amp;$B$3))</f>
        <v/>
      </c>
      <c r="F248" s="23" t="str">
        <f aca="false">IF($A248="","",IF(사용안내!$C$16=0,0,ROUND($E248/사용안내!$C$16,3)))</f>
        <v/>
      </c>
      <c r="G248" s="24" t="str">
        <f aca="false">IF($A248="","",IF($F248&lt;=0,"사용기록없음",ROUND($D248/$F248,0)))</f>
        <v/>
      </c>
      <c r="H248" s="25" t="str">
        <f aca="false">IF(OR($A248="",$F248&lt;=0),"",$B$3+$G248)</f>
        <v/>
      </c>
      <c r="I248" s="21" t="str">
        <f aca="false">IF($A248="","",IF(품목마스터!$F245="",0,품목마스터!$F245))</f>
        <v/>
      </c>
      <c r="J248" s="25" t="str">
        <f aca="false">IF(OR($A248="",$F248&lt;=0),"",$H248-$I248)</f>
        <v/>
      </c>
      <c r="K248" s="22" t="n">
        <f aca="false">IF(OR($A248="",$F248&lt;=0),0,MAX(0,CEILING(MAX(0,($I248+사용안내!$C$17)*$F248-$D248),MAX(1,IF(품목마스터!$H245="",1,품목마스터!$H245)))))</f>
        <v>0</v>
      </c>
      <c r="L248" s="21" t="str">
        <f aca="false">IF($A248="","",IF($F248&lt;=0,"-",IF($J248&lt;=$B$3,"발주",IF($J248&lt;=$B$3+7,"임박","정상"))))</f>
        <v/>
      </c>
    </row>
    <row r="249" customFormat="false" ht="15" hidden="false" customHeight="true" outlineLevel="0" collapsed="false">
      <c r="A249" s="17" t="str">
        <f aca="false">IF(품목마스터!$A246="","",품목마스터!$A246)</f>
        <v/>
      </c>
      <c r="B249" s="17" t="str">
        <f aca="false">IF($A249="","",품목마스터!$B246)</f>
        <v/>
      </c>
      <c r="C249" s="21" t="str">
        <f aca="false">IF($A249="","",품목마스터!$D246)</f>
        <v/>
      </c>
      <c r="D249" s="22" t="str">
        <f aca="false">IF($A249="","",IF(품목마스터!$E246="",0,품목마스터!$E246))</f>
        <v/>
      </c>
      <c r="E249" s="22" t="str">
        <f aca="false">IF($A249="","",SUMIFS(사용내역!$E$3:$E$3002,사용내역!$B$3:$B$3002,$A249,사용내역!$A$3:$A$3002,"&gt;"&amp;($B$3-사용안내!$C$16),사용내역!$A$3:$A$3002,"&lt;="&amp;$B$3))</f>
        <v/>
      </c>
      <c r="F249" s="23" t="str">
        <f aca="false">IF($A249="","",IF(사용안내!$C$16=0,0,ROUND($E249/사용안내!$C$16,3)))</f>
        <v/>
      </c>
      <c r="G249" s="24" t="str">
        <f aca="false">IF($A249="","",IF($F249&lt;=0,"사용기록없음",ROUND($D249/$F249,0)))</f>
        <v/>
      </c>
      <c r="H249" s="25" t="str">
        <f aca="false">IF(OR($A249="",$F249&lt;=0),"",$B$3+$G249)</f>
        <v/>
      </c>
      <c r="I249" s="21" t="str">
        <f aca="false">IF($A249="","",IF(품목마스터!$F246="",0,품목마스터!$F246))</f>
        <v/>
      </c>
      <c r="J249" s="25" t="str">
        <f aca="false">IF(OR($A249="",$F249&lt;=0),"",$H249-$I249)</f>
        <v/>
      </c>
      <c r="K249" s="22" t="n">
        <f aca="false">IF(OR($A249="",$F249&lt;=0),0,MAX(0,CEILING(MAX(0,($I249+사용안내!$C$17)*$F249-$D249),MAX(1,IF(품목마스터!$H246="",1,품목마스터!$H246)))))</f>
        <v>0</v>
      </c>
      <c r="L249" s="21" t="str">
        <f aca="false">IF($A249="","",IF($F249&lt;=0,"-",IF($J249&lt;=$B$3,"발주",IF($J249&lt;=$B$3+7,"임박","정상"))))</f>
        <v/>
      </c>
    </row>
    <row r="250" customFormat="false" ht="15" hidden="false" customHeight="true" outlineLevel="0" collapsed="false">
      <c r="A250" s="17" t="str">
        <f aca="false">IF(품목마스터!$A247="","",품목마스터!$A247)</f>
        <v/>
      </c>
      <c r="B250" s="17" t="str">
        <f aca="false">IF($A250="","",품목마스터!$B247)</f>
        <v/>
      </c>
      <c r="C250" s="21" t="str">
        <f aca="false">IF($A250="","",품목마스터!$D247)</f>
        <v/>
      </c>
      <c r="D250" s="22" t="str">
        <f aca="false">IF($A250="","",IF(품목마스터!$E247="",0,품목마스터!$E247))</f>
        <v/>
      </c>
      <c r="E250" s="22" t="str">
        <f aca="false">IF($A250="","",SUMIFS(사용내역!$E$3:$E$3002,사용내역!$B$3:$B$3002,$A250,사용내역!$A$3:$A$3002,"&gt;"&amp;($B$3-사용안내!$C$16),사용내역!$A$3:$A$3002,"&lt;="&amp;$B$3))</f>
        <v/>
      </c>
      <c r="F250" s="23" t="str">
        <f aca="false">IF($A250="","",IF(사용안내!$C$16=0,0,ROUND($E250/사용안내!$C$16,3)))</f>
        <v/>
      </c>
      <c r="G250" s="24" t="str">
        <f aca="false">IF($A250="","",IF($F250&lt;=0,"사용기록없음",ROUND($D250/$F250,0)))</f>
        <v/>
      </c>
      <c r="H250" s="25" t="str">
        <f aca="false">IF(OR($A250="",$F250&lt;=0),"",$B$3+$G250)</f>
        <v/>
      </c>
      <c r="I250" s="21" t="str">
        <f aca="false">IF($A250="","",IF(품목마스터!$F247="",0,품목마스터!$F247))</f>
        <v/>
      </c>
      <c r="J250" s="25" t="str">
        <f aca="false">IF(OR($A250="",$F250&lt;=0),"",$H250-$I250)</f>
        <v/>
      </c>
      <c r="K250" s="22" t="n">
        <f aca="false">IF(OR($A250="",$F250&lt;=0),0,MAX(0,CEILING(MAX(0,($I250+사용안내!$C$17)*$F250-$D250),MAX(1,IF(품목마스터!$H247="",1,품목마스터!$H247)))))</f>
        <v>0</v>
      </c>
      <c r="L250" s="21" t="str">
        <f aca="false">IF($A250="","",IF($F250&lt;=0,"-",IF($J250&lt;=$B$3,"발주",IF($J250&lt;=$B$3+7,"임박","정상"))))</f>
        <v/>
      </c>
    </row>
    <row r="251" customFormat="false" ht="15" hidden="false" customHeight="true" outlineLevel="0" collapsed="false">
      <c r="A251" s="17" t="str">
        <f aca="false">IF(품목마스터!$A248="","",품목마스터!$A248)</f>
        <v/>
      </c>
      <c r="B251" s="17" t="str">
        <f aca="false">IF($A251="","",품목마스터!$B248)</f>
        <v/>
      </c>
      <c r="C251" s="21" t="str">
        <f aca="false">IF($A251="","",품목마스터!$D248)</f>
        <v/>
      </c>
      <c r="D251" s="22" t="str">
        <f aca="false">IF($A251="","",IF(품목마스터!$E248="",0,품목마스터!$E248))</f>
        <v/>
      </c>
      <c r="E251" s="22" t="str">
        <f aca="false">IF($A251="","",SUMIFS(사용내역!$E$3:$E$3002,사용내역!$B$3:$B$3002,$A251,사용내역!$A$3:$A$3002,"&gt;"&amp;($B$3-사용안내!$C$16),사용내역!$A$3:$A$3002,"&lt;="&amp;$B$3))</f>
        <v/>
      </c>
      <c r="F251" s="23" t="str">
        <f aca="false">IF($A251="","",IF(사용안내!$C$16=0,0,ROUND($E251/사용안내!$C$16,3)))</f>
        <v/>
      </c>
      <c r="G251" s="24" t="str">
        <f aca="false">IF($A251="","",IF($F251&lt;=0,"사용기록없음",ROUND($D251/$F251,0)))</f>
        <v/>
      </c>
      <c r="H251" s="25" t="str">
        <f aca="false">IF(OR($A251="",$F251&lt;=0),"",$B$3+$G251)</f>
        <v/>
      </c>
      <c r="I251" s="21" t="str">
        <f aca="false">IF($A251="","",IF(품목마스터!$F248="",0,품목마스터!$F248))</f>
        <v/>
      </c>
      <c r="J251" s="25" t="str">
        <f aca="false">IF(OR($A251="",$F251&lt;=0),"",$H251-$I251)</f>
        <v/>
      </c>
      <c r="K251" s="22" t="n">
        <f aca="false">IF(OR($A251="",$F251&lt;=0),0,MAX(0,CEILING(MAX(0,($I251+사용안내!$C$17)*$F251-$D251),MAX(1,IF(품목마스터!$H248="",1,품목마스터!$H248)))))</f>
        <v>0</v>
      </c>
      <c r="L251" s="21" t="str">
        <f aca="false">IF($A251="","",IF($F251&lt;=0,"-",IF($J251&lt;=$B$3,"발주",IF($J251&lt;=$B$3+7,"임박","정상"))))</f>
        <v/>
      </c>
    </row>
    <row r="252" customFormat="false" ht="15" hidden="false" customHeight="true" outlineLevel="0" collapsed="false">
      <c r="A252" s="17" t="str">
        <f aca="false">IF(품목마스터!$A249="","",품목마스터!$A249)</f>
        <v/>
      </c>
      <c r="B252" s="17" t="str">
        <f aca="false">IF($A252="","",품목마스터!$B249)</f>
        <v/>
      </c>
      <c r="C252" s="21" t="str">
        <f aca="false">IF($A252="","",품목마스터!$D249)</f>
        <v/>
      </c>
      <c r="D252" s="22" t="str">
        <f aca="false">IF($A252="","",IF(품목마스터!$E249="",0,품목마스터!$E249))</f>
        <v/>
      </c>
      <c r="E252" s="22" t="str">
        <f aca="false">IF($A252="","",SUMIFS(사용내역!$E$3:$E$3002,사용내역!$B$3:$B$3002,$A252,사용내역!$A$3:$A$3002,"&gt;"&amp;($B$3-사용안내!$C$16),사용내역!$A$3:$A$3002,"&lt;="&amp;$B$3))</f>
        <v/>
      </c>
      <c r="F252" s="23" t="str">
        <f aca="false">IF($A252="","",IF(사용안내!$C$16=0,0,ROUND($E252/사용안내!$C$16,3)))</f>
        <v/>
      </c>
      <c r="G252" s="24" t="str">
        <f aca="false">IF($A252="","",IF($F252&lt;=0,"사용기록없음",ROUND($D252/$F252,0)))</f>
        <v/>
      </c>
      <c r="H252" s="25" t="str">
        <f aca="false">IF(OR($A252="",$F252&lt;=0),"",$B$3+$G252)</f>
        <v/>
      </c>
      <c r="I252" s="21" t="str">
        <f aca="false">IF($A252="","",IF(품목마스터!$F249="",0,품목마스터!$F249))</f>
        <v/>
      </c>
      <c r="J252" s="25" t="str">
        <f aca="false">IF(OR($A252="",$F252&lt;=0),"",$H252-$I252)</f>
        <v/>
      </c>
      <c r="K252" s="22" t="n">
        <f aca="false">IF(OR($A252="",$F252&lt;=0),0,MAX(0,CEILING(MAX(0,($I252+사용안내!$C$17)*$F252-$D252),MAX(1,IF(품목마스터!$H249="",1,품목마스터!$H249)))))</f>
        <v>0</v>
      </c>
      <c r="L252" s="21" t="str">
        <f aca="false">IF($A252="","",IF($F252&lt;=0,"-",IF($J252&lt;=$B$3,"발주",IF($J252&lt;=$B$3+7,"임박","정상"))))</f>
        <v/>
      </c>
    </row>
    <row r="253" customFormat="false" ht="15" hidden="false" customHeight="true" outlineLevel="0" collapsed="false">
      <c r="A253" s="17" t="str">
        <f aca="false">IF(품목마스터!$A250="","",품목마스터!$A250)</f>
        <v/>
      </c>
      <c r="B253" s="17" t="str">
        <f aca="false">IF($A253="","",품목마스터!$B250)</f>
        <v/>
      </c>
      <c r="C253" s="21" t="str">
        <f aca="false">IF($A253="","",품목마스터!$D250)</f>
        <v/>
      </c>
      <c r="D253" s="22" t="str">
        <f aca="false">IF($A253="","",IF(품목마스터!$E250="",0,품목마스터!$E250))</f>
        <v/>
      </c>
      <c r="E253" s="22" t="str">
        <f aca="false">IF($A253="","",SUMIFS(사용내역!$E$3:$E$3002,사용내역!$B$3:$B$3002,$A253,사용내역!$A$3:$A$3002,"&gt;"&amp;($B$3-사용안내!$C$16),사용내역!$A$3:$A$3002,"&lt;="&amp;$B$3))</f>
        <v/>
      </c>
      <c r="F253" s="23" t="str">
        <f aca="false">IF($A253="","",IF(사용안내!$C$16=0,0,ROUND($E253/사용안내!$C$16,3)))</f>
        <v/>
      </c>
      <c r="G253" s="24" t="str">
        <f aca="false">IF($A253="","",IF($F253&lt;=0,"사용기록없음",ROUND($D253/$F253,0)))</f>
        <v/>
      </c>
      <c r="H253" s="25" t="str">
        <f aca="false">IF(OR($A253="",$F253&lt;=0),"",$B$3+$G253)</f>
        <v/>
      </c>
      <c r="I253" s="21" t="str">
        <f aca="false">IF($A253="","",IF(품목마스터!$F250="",0,품목마스터!$F250))</f>
        <v/>
      </c>
      <c r="J253" s="25" t="str">
        <f aca="false">IF(OR($A253="",$F253&lt;=0),"",$H253-$I253)</f>
        <v/>
      </c>
      <c r="K253" s="22" t="n">
        <f aca="false">IF(OR($A253="",$F253&lt;=0),0,MAX(0,CEILING(MAX(0,($I253+사용안내!$C$17)*$F253-$D253),MAX(1,IF(품목마스터!$H250="",1,품목마스터!$H250)))))</f>
        <v>0</v>
      </c>
      <c r="L253" s="21" t="str">
        <f aca="false">IF($A253="","",IF($F253&lt;=0,"-",IF($J253&lt;=$B$3,"발주",IF($J253&lt;=$B$3+7,"임박","정상"))))</f>
        <v/>
      </c>
    </row>
    <row r="254" customFormat="false" ht="15" hidden="false" customHeight="true" outlineLevel="0" collapsed="false">
      <c r="A254" s="17" t="str">
        <f aca="false">IF(품목마스터!$A251="","",품목마스터!$A251)</f>
        <v/>
      </c>
      <c r="B254" s="17" t="str">
        <f aca="false">IF($A254="","",품목마스터!$B251)</f>
        <v/>
      </c>
      <c r="C254" s="21" t="str">
        <f aca="false">IF($A254="","",품목마스터!$D251)</f>
        <v/>
      </c>
      <c r="D254" s="22" t="str">
        <f aca="false">IF($A254="","",IF(품목마스터!$E251="",0,품목마스터!$E251))</f>
        <v/>
      </c>
      <c r="E254" s="22" t="str">
        <f aca="false">IF($A254="","",SUMIFS(사용내역!$E$3:$E$3002,사용내역!$B$3:$B$3002,$A254,사용내역!$A$3:$A$3002,"&gt;"&amp;($B$3-사용안내!$C$16),사용내역!$A$3:$A$3002,"&lt;="&amp;$B$3))</f>
        <v/>
      </c>
      <c r="F254" s="23" t="str">
        <f aca="false">IF($A254="","",IF(사용안내!$C$16=0,0,ROUND($E254/사용안내!$C$16,3)))</f>
        <v/>
      </c>
      <c r="G254" s="24" t="str">
        <f aca="false">IF($A254="","",IF($F254&lt;=0,"사용기록없음",ROUND($D254/$F254,0)))</f>
        <v/>
      </c>
      <c r="H254" s="25" t="str">
        <f aca="false">IF(OR($A254="",$F254&lt;=0),"",$B$3+$G254)</f>
        <v/>
      </c>
      <c r="I254" s="21" t="str">
        <f aca="false">IF($A254="","",IF(품목마스터!$F251="",0,품목마스터!$F251))</f>
        <v/>
      </c>
      <c r="J254" s="25" t="str">
        <f aca="false">IF(OR($A254="",$F254&lt;=0),"",$H254-$I254)</f>
        <v/>
      </c>
      <c r="K254" s="22" t="n">
        <f aca="false">IF(OR($A254="",$F254&lt;=0),0,MAX(0,CEILING(MAX(0,($I254+사용안내!$C$17)*$F254-$D254),MAX(1,IF(품목마스터!$H251="",1,품목마스터!$H251)))))</f>
        <v>0</v>
      </c>
      <c r="L254" s="21" t="str">
        <f aca="false">IF($A254="","",IF($F254&lt;=0,"-",IF($J254&lt;=$B$3,"발주",IF($J254&lt;=$B$3+7,"임박","정상"))))</f>
        <v/>
      </c>
    </row>
    <row r="255" customFormat="false" ht="15" hidden="false" customHeight="true" outlineLevel="0" collapsed="false">
      <c r="A255" s="17" t="str">
        <f aca="false">IF(품목마스터!$A252="","",품목마스터!$A252)</f>
        <v/>
      </c>
      <c r="B255" s="17" t="str">
        <f aca="false">IF($A255="","",품목마스터!$B252)</f>
        <v/>
      </c>
      <c r="C255" s="21" t="str">
        <f aca="false">IF($A255="","",품목마스터!$D252)</f>
        <v/>
      </c>
      <c r="D255" s="22" t="str">
        <f aca="false">IF($A255="","",IF(품목마스터!$E252="",0,품목마스터!$E252))</f>
        <v/>
      </c>
      <c r="E255" s="22" t="str">
        <f aca="false">IF($A255="","",SUMIFS(사용내역!$E$3:$E$3002,사용내역!$B$3:$B$3002,$A255,사용내역!$A$3:$A$3002,"&gt;"&amp;($B$3-사용안내!$C$16),사용내역!$A$3:$A$3002,"&lt;="&amp;$B$3))</f>
        <v/>
      </c>
      <c r="F255" s="23" t="str">
        <f aca="false">IF($A255="","",IF(사용안내!$C$16=0,0,ROUND($E255/사용안내!$C$16,3)))</f>
        <v/>
      </c>
      <c r="G255" s="24" t="str">
        <f aca="false">IF($A255="","",IF($F255&lt;=0,"사용기록없음",ROUND($D255/$F255,0)))</f>
        <v/>
      </c>
      <c r="H255" s="25" t="str">
        <f aca="false">IF(OR($A255="",$F255&lt;=0),"",$B$3+$G255)</f>
        <v/>
      </c>
      <c r="I255" s="21" t="str">
        <f aca="false">IF($A255="","",IF(품목마스터!$F252="",0,품목마스터!$F252))</f>
        <v/>
      </c>
      <c r="J255" s="25" t="str">
        <f aca="false">IF(OR($A255="",$F255&lt;=0),"",$H255-$I255)</f>
        <v/>
      </c>
      <c r="K255" s="22" t="n">
        <f aca="false">IF(OR($A255="",$F255&lt;=0),0,MAX(0,CEILING(MAX(0,($I255+사용안내!$C$17)*$F255-$D255),MAX(1,IF(품목마스터!$H252="",1,품목마스터!$H252)))))</f>
        <v>0</v>
      </c>
      <c r="L255" s="21" t="str">
        <f aca="false">IF($A255="","",IF($F255&lt;=0,"-",IF($J255&lt;=$B$3,"발주",IF($J255&lt;=$B$3+7,"임박","정상"))))</f>
        <v/>
      </c>
    </row>
    <row r="256" customFormat="false" ht="15" hidden="false" customHeight="true" outlineLevel="0" collapsed="false">
      <c r="A256" s="17" t="str">
        <f aca="false">IF(품목마스터!$A253="","",품목마스터!$A253)</f>
        <v/>
      </c>
      <c r="B256" s="17" t="str">
        <f aca="false">IF($A256="","",품목마스터!$B253)</f>
        <v/>
      </c>
      <c r="C256" s="21" t="str">
        <f aca="false">IF($A256="","",품목마스터!$D253)</f>
        <v/>
      </c>
      <c r="D256" s="22" t="str">
        <f aca="false">IF($A256="","",IF(품목마스터!$E253="",0,품목마스터!$E253))</f>
        <v/>
      </c>
      <c r="E256" s="22" t="str">
        <f aca="false">IF($A256="","",SUMIFS(사용내역!$E$3:$E$3002,사용내역!$B$3:$B$3002,$A256,사용내역!$A$3:$A$3002,"&gt;"&amp;($B$3-사용안내!$C$16),사용내역!$A$3:$A$3002,"&lt;="&amp;$B$3))</f>
        <v/>
      </c>
      <c r="F256" s="23" t="str">
        <f aca="false">IF($A256="","",IF(사용안내!$C$16=0,0,ROUND($E256/사용안내!$C$16,3)))</f>
        <v/>
      </c>
      <c r="G256" s="24" t="str">
        <f aca="false">IF($A256="","",IF($F256&lt;=0,"사용기록없음",ROUND($D256/$F256,0)))</f>
        <v/>
      </c>
      <c r="H256" s="25" t="str">
        <f aca="false">IF(OR($A256="",$F256&lt;=0),"",$B$3+$G256)</f>
        <v/>
      </c>
      <c r="I256" s="21" t="str">
        <f aca="false">IF($A256="","",IF(품목마스터!$F253="",0,품목마스터!$F253))</f>
        <v/>
      </c>
      <c r="J256" s="25" t="str">
        <f aca="false">IF(OR($A256="",$F256&lt;=0),"",$H256-$I256)</f>
        <v/>
      </c>
      <c r="K256" s="22" t="n">
        <f aca="false">IF(OR($A256="",$F256&lt;=0),0,MAX(0,CEILING(MAX(0,($I256+사용안내!$C$17)*$F256-$D256),MAX(1,IF(품목마스터!$H253="",1,품목마스터!$H253)))))</f>
        <v>0</v>
      </c>
      <c r="L256" s="21" t="str">
        <f aca="false">IF($A256="","",IF($F256&lt;=0,"-",IF($J256&lt;=$B$3,"발주",IF($J256&lt;=$B$3+7,"임박","정상"))))</f>
        <v/>
      </c>
    </row>
    <row r="257" customFormat="false" ht="15" hidden="false" customHeight="true" outlineLevel="0" collapsed="false">
      <c r="A257" s="17" t="str">
        <f aca="false">IF(품목마스터!$A254="","",품목마스터!$A254)</f>
        <v/>
      </c>
      <c r="B257" s="17" t="str">
        <f aca="false">IF($A257="","",품목마스터!$B254)</f>
        <v/>
      </c>
      <c r="C257" s="21" t="str">
        <f aca="false">IF($A257="","",품목마스터!$D254)</f>
        <v/>
      </c>
      <c r="D257" s="22" t="str">
        <f aca="false">IF($A257="","",IF(품목마스터!$E254="",0,품목마스터!$E254))</f>
        <v/>
      </c>
      <c r="E257" s="22" t="str">
        <f aca="false">IF($A257="","",SUMIFS(사용내역!$E$3:$E$3002,사용내역!$B$3:$B$3002,$A257,사용내역!$A$3:$A$3002,"&gt;"&amp;($B$3-사용안내!$C$16),사용내역!$A$3:$A$3002,"&lt;="&amp;$B$3))</f>
        <v/>
      </c>
      <c r="F257" s="23" t="str">
        <f aca="false">IF($A257="","",IF(사용안내!$C$16=0,0,ROUND($E257/사용안내!$C$16,3)))</f>
        <v/>
      </c>
      <c r="G257" s="24" t="str">
        <f aca="false">IF($A257="","",IF($F257&lt;=0,"사용기록없음",ROUND($D257/$F257,0)))</f>
        <v/>
      </c>
      <c r="H257" s="25" t="str">
        <f aca="false">IF(OR($A257="",$F257&lt;=0),"",$B$3+$G257)</f>
        <v/>
      </c>
      <c r="I257" s="21" t="str">
        <f aca="false">IF($A257="","",IF(품목마스터!$F254="",0,품목마스터!$F254))</f>
        <v/>
      </c>
      <c r="J257" s="25" t="str">
        <f aca="false">IF(OR($A257="",$F257&lt;=0),"",$H257-$I257)</f>
        <v/>
      </c>
      <c r="K257" s="22" t="n">
        <f aca="false">IF(OR($A257="",$F257&lt;=0),0,MAX(0,CEILING(MAX(0,($I257+사용안내!$C$17)*$F257-$D257),MAX(1,IF(품목마스터!$H254="",1,품목마스터!$H254)))))</f>
        <v>0</v>
      </c>
      <c r="L257" s="21" t="str">
        <f aca="false">IF($A257="","",IF($F257&lt;=0,"-",IF($J257&lt;=$B$3,"발주",IF($J257&lt;=$B$3+7,"임박","정상"))))</f>
        <v/>
      </c>
    </row>
    <row r="258" customFormat="false" ht="15" hidden="false" customHeight="true" outlineLevel="0" collapsed="false">
      <c r="A258" s="17" t="str">
        <f aca="false">IF(품목마스터!$A255="","",품목마스터!$A255)</f>
        <v/>
      </c>
      <c r="B258" s="17" t="str">
        <f aca="false">IF($A258="","",품목마스터!$B255)</f>
        <v/>
      </c>
      <c r="C258" s="21" t="str">
        <f aca="false">IF($A258="","",품목마스터!$D255)</f>
        <v/>
      </c>
      <c r="D258" s="22" t="str">
        <f aca="false">IF($A258="","",IF(품목마스터!$E255="",0,품목마스터!$E255))</f>
        <v/>
      </c>
      <c r="E258" s="22" t="str">
        <f aca="false">IF($A258="","",SUMIFS(사용내역!$E$3:$E$3002,사용내역!$B$3:$B$3002,$A258,사용내역!$A$3:$A$3002,"&gt;"&amp;($B$3-사용안내!$C$16),사용내역!$A$3:$A$3002,"&lt;="&amp;$B$3))</f>
        <v/>
      </c>
      <c r="F258" s="23" t="str">
        <f aca="false">IF($A258="","",IF(사용안내!$C$16=0,0,ROUND($E258/사용안내!$C$16,3)))</f>
        <v/>
      </c>
      <c r="G258" s="24" t="str">
        <f aca="false">IF($A258="","",IF($F258&lt;=0,"사용기록없음",ROUND($D258/$F258,0)))</f>
        <v/>
      </c>
      <c r="H258" s="25" t="str">
        <f aca="false">IF(OR($A258="",$F258&lt;=0),"",$B$3+$G258)</f>
        <v/>
      </c>
      <c r="I258" s="21" t="str">
        <f aca="false">IF($A258="","",IF(품목마스터!$F255="",0,품목마스터!$F255))</f>
        <v/>
      </c>
      <c r="J258" s="25" t="str">
        <f aca="false">IF(OR($A258="",$F258&lt;=0),"",$H258-$I258)</f>
        <v/>
      </c>
      <c r="K258" s="22" t="n">
        <f aca="false">IF(OR($A258="",$F258&lt;=0),0,MAX(0,CEILING(MAX(0,($I258+사용안내!$C$17)*$F258-$D258),MAX(1,IF(품목마스터!$H255="",1,품목마스터!$H255)))))</f>
        <v>0</v>
      </c>
      <c r="L258" s="21" t="str">
        <f aca="false">IF($A258="","",IF($F258&lt;=0,"-",IF($J258&lt;=$B$3,"발주",IF($J258&lt;=$B$3+7,"임박","정상"))))</f>
        <v/>
      </c>
    </row>
    <row r="259" customFormat="false" ht="15" hidden="false" customHeight="true" outlineLevel="0" collapsed="false">
      <c r="A259" s="17" t="str">
        <f aca="false">IF(품목마스터!$A256="","",품목마스터!$A256)</f>
        <v/>
      </c>
      <c r="B259" s="17" t="str">
        <f aca="false">IF($A259="","",품목마스터!$B256)</f>
        <v/>
      </c>
      <c r="C259" s="21" t="str">
        <f aca="false">IF($A259="","",품목마스터!$D256)</f>
        <v/>
      </c>
      <c r="D259" s="22" t="str">
        <f aca="false">IF($A259="","",IF(품목마스터!$E256="",0,품목마스터!$E256))</f>
        <v/>
      </c>
      <c r="E259" s="22" t="str">
        <f aca="false">IF($A259="","",SUMIFS(사용내역!$E$3:$E$3002,사용내역!$B$3:$B$3002,$A259,사용내역!$A$3:$A$3002,"&gt;"&amp;($B$3-사용안내!$C$16),사용내역!$A$3:$A$3002,"&lt;="&amp;$B$3))</f>
        <v/>
      </c>
      <c r="F259" s="23" t="str">
        <f aca="false">IF($A259="","",IF(사용안내!$C$16=0,0,ROUND($E259/사용안내!$C$16,3)))</f>
        <v/>
      </c>
      <c r="G259" s="24" t="str">
        <f aca="false">IF($A259="","",IF($F259&lt;=0,"사용기록없음",ROUND($D259/$F259,0)))</f>
        <v/>
      </c>
      <c r="H259" s="25" t="str">
        <f aca="false">IF(OR($A259="",$F259&lt;=0),"",$B$3+$G259)</f>
        <v/>
      </c>
      <c r="I259" s="21" t="str">
        <f aca="false">IF($A259="","",IF(품목마스터!$F256="",0,품목마스터!$F256))</f>
        <v/>
      </c>
      <c r="J259" s="25" t="str">
        <f aca="false">IF(OR($A259="",$F259&lt;=0),"",$H259-$I259)</f>
        <v/>
      </c>
      <c r="K259" s="22" t="n">
        <f aca="false">IF(OR($A259="",$F259&lt;=0),0,MAX(0,CEILING(MAX(0,($I259+사용안내!$C$17)*$F259-$D259),MAX(1,IF(품목마스터!$H256="",1,품목마스터!$H256)))))</f>
        <v>0</v>
      </c>
      <c r="L259" s="21" t="str">
        <f aca="false">IF($A259="","",IF($F259&lt;=0,"-",IF($J259&lt;=$B$3,"발주",IF($J259&lt;=$B$3+7,"임박","정상"))))</f>
        <v/>
      </c>
    </row>
    <row r="260" customFormat="false" ht="15" hidden="false" customHeight="true" outlineLevel="0" collapsed="false">
      <c r="A260" s="17" t="str">
        <f aca="false">IF(품목마스터!$A257="","",품목마스터!$A257)</f>
        <v/>
      </c>
      <c r="B260" s="17" t="str">
        <f aca="false">IF($A260="","",품목마스터!$B257)</f>
        <v/>
      </c>
      <c r="C260" s="21" t="str">
        <f aca="false">IF($A260="","",품목마스터!$D257)</f>
        <v/>
      </c>
      <c r="D260" s="22" t="str">
        <f aca="false">IF($A260="","",IF(품목마스터!$E257="",0,품목마스터!$E257))</f>
        <v/>
      </c>
      <c r="E260" s="22" t="str">
        <f aca="false">IF($A260="","",SUMIFS(사용내역!$E$3:$E$3002,사용내역!$B$3:$B$3002,$A260,사용내역!$A$3:$A$3002,"&gt;"&amp;($B$3-사용안내!$C$16),사용내역!$A$3:$A$3002,"&lt;="&amp;$B$3))</f>
        <v/>
      </c>
      <c r="F260" s="23" t="str">
        <f aca="false">IF($A260="","",IF(사용안내!$C$16=0,0,ROUND($E260/사용안내!$C$16,3)))</f>
        <v/>
      </c>
      <c r="G260" s="24" t="str">
        <f aca="false">IF($A260="","",IF($F260&lt;=0,"사용기록없음",ROUND($D260/$F260,0)))</f>
        <v/>
      </c>
      <c r="H260" s="25" t="str">
        <f aca="false">IF(OR($A260="",$F260&lt;=0),"",$B$3+$G260)</f>
        <v/>
      </c>
      <c r="I260" s="21" t="str">
        <f aca="false">IF($A260="","",IF(품목마스터!$F257="",0,품목마스터!$F257))</f>
        <v/>
      </c>
      <c r="J260" s="25" t="str">
        <f aca="false">IF(OR($A260="",$F260&lt;=0),"",$H260-$I260)</f>
        <v/>
      </c>
      <c r="K260" s="22" t="n">
        <f aca="false">IF(OR($A260="",$F260&lt;=0),0,MAX(0,CEILING(MAX(0,($I260+사용안내!$C$17)*$F260-$D260),MAX(1,IF(품목마스터!$H257="",1,품목마스터!$H257)))))</f>
        <v>0</v>
      </c>
      <c r="L260" s="21" t="str">
        <f aca="false">IF($A260="","",IF($F260&lt;=0,"-",IF($J260&lt;=$B$3,"발주",IF($J260&lt;=$B$3+7,"임박","정상"))))</f>
        <v/>
      </c>
    </row>
    <row r="261" customFormat="false" ht="15" hidden="false" customHeight="true" outlineLevel="0" collapsed="false">
      <c r="A261" s="17" t="str">
        <f aca="false">IF(품목마스터!$A258="","",품목마스터!$A258)</f>
        <v/>
      </c>
      <c r="B261" s="17" t="str">
        <f aca="false">IF($A261="","",품목마스터!$B258)</f>
        <v/>
      </c>
      <c r="C261" s="21" t="str">
        <f aca="false">IF($A261="","",품목마스터!$D258)</f>
        <v/>
      </c>
      <c r="D261" s="22" t="str">
        <f aca="false">IF($A261="","",IF(품목마스터!$E258="",0,품목마스터!$E258))</f>
        <v/>
      </c>
      <c r="E261" s="22" t="str">
        <f aca="false">IF($A261="","",SUMIFS(사용내역!$E$3:$E$3002,사용내역!$B$3:$B$3002,$A261,사용내역!$A$3:$A$3002,"&gt;"&amp;($B$3-사용안내!$C$16),사용내역!$A$3:$A$3002,"&lt;="&amp;$B$3))</f>
        <v/>
      </c>
      <c r="F261" s="23" t="str">
        <f aca="false">IF($A261="","",IF(사용안내!$C$16=0,0,ROUND($E261/사용안내!$C$16,3)))</f>
        <v/>
      </c>
      <c r="G261" s="24" t="str">
        <f aca="false">IF($A261="","",IF($F261&lt;=0,"사용기록없음",ROUND($D261/$F261,0)))</f>
        <v/>
      </c>
      <c r="H261" s="25" t="str">
        <f aca="false">IF(OR($A261="",$F261&lt;=0),"",$B$3+$G261)</f>
        <v/>
      </c>
      <c r="I261" s="21" t="str">
        <f aca="false">IF($A261="","",IF(품목마스터!$F258="",0,품목마스터!$F258))</f>
        <v/>
      </c>
      <c r="J261" s="25" t="str">
        <f aca="false">IF(OR($A261="",$F261&lt;=0),"",$H261-$I261)</f>
        <v/>
      </c>
      <c r="K261" s="22" t="n">
        <f aca="false">IF(OR($A261="",$F261&lt;=0),0,MAX(0,CEILING(MAX(0,($I261+사용안내!$C$17)*$F261-$D261),MAX(1,IF(품목마스터!$H258="",1,품목마스터!$H258)))))</f>
        <v>0</v>
      </c>
      <c r="L261" s="21" t="str">
        <f aca="false">IF($A261="","",IF($F261&lt;=0,"-",IF($J261&lt;=$B$3,"발주",IF($J261&lt;=$B$3+7,"임박","정상"))))</f>
        <v/>
      </c>
    </row>
    <row r="262" customFormat="false" ht="15" hidden="false" customHeight="true" outlineLevel="0" collapsed="false">
      <c r="A262" s="17" t="str">
        <f aca="false">IF(품목마스터!$A259="","",품목마스터!$A259)</f>
        <v/>
      </c>
      <c r="B262" s="17" t="str">
        <f aca="false">IF($A262="","",품목마스터!$B259)</f>
        <v/>
      </c>
      <c r="C262" s="21" t="str">
        <f aca="false">IF($A262="","",품목마스터!$D259)</f>
        <v/>
      </c>
      <c r="D262" s="22" t="str">
        <f aca="false">IF($A262="","",IF(품목마스터!$E259="",0,품목마스터!$E259))</f>
        <v/>
      </c>
      <c r="E262" s="22" t="str">
        <f aca="false">IF($A262="","",SUMIFS(사용내역!$E$3:$E$3002,사용내역!$B$3:$B$3002,$A262,사용내역!$A$3:$A$3002,"&gt;"&amp;($B$3-사용안내!$C$16),사용내역!$A$3:$A$3002,"&lt;="&amp;$B$3))</f>
        <v/>
      </c>
      <c r="F262" s="23" t="str">
        <f aca="false">IF($A262="","",IF(사용안내!$C$16=0,0,ROUND($E262/사용안내!$C$16,3)))</f>
        <v/>
      </c>
      <c r="G262" s="24" t="str">
        <f aca="false">IF($A262="","",IF($F262&lt;=0,"사용기록없음",ROUND($D262/$F262,0)))</f>
        <v/>
      </c>
      <c r="H262" s="25" t="str">
        <f aca="false">IF(OR($A262="",$F262&lt;=0),"",$B$3+$G262)</f>
        <v/>
      </c>
      <c r="I262" s="21" t="str">
        <f aca="false">IF($A262="","",IF(품목마스터!$F259="",0,품목마스터!$F259))</f>
        <v/>
      </c>
      <c r="J262" s="25" t="str">
        <f aca="false">IF(OR($A262="",$F262&lt;=0),"",$H262-$I262)</f>
        <v/>
      </c>
      <c r="K262" s="22" t="n">
        <f aca="false">IF(OR($A262="",$F262&lt;=0),0,MAX(0,CEILING(MAX(0,($I262+사용안내!$C$17)*$F262-$D262),MAX(1,IF(품목마스터!$H259="",1,품목마스터!$H259)))))</f>
        <v>0</v>
      </c>
      <c r="L262" s="21" t="str">
        <f aca="false">IF($A262="","",IF($F262&lt;=0,"-",IF($J262&lt;=$B$3,"발주",IF($J262&lt;=$B$3+7,"임박","정상"))))</f>
        <v/>
      </c>
    </row>
    <row r="263" customFormat="false" ht="15" hidden="false" customHeight="true" outlineLevel="0" collapsed="false">
      <c r="A263" s="17" t="str">
        <f aca="false">IF(품목마스터!$A260="","",품목마스터!$A260)</f>
        <v/>
      </c>
      <c r="B263" s="17" t="str">
        <f aca="false">IF($A263="","",품목마스터!$B260)</f>
        <v/>
      </c>
      <c r="C263" s="21" t="str">
        <f aca="false">IF($A263="","",품목마스터!$D260)</f>
        <v/>
      </c>
      <c r="D263" s="22" t="str">
        <f aca="false">IF($A263="","",IF(품목마스터!$E260="",0,품목마스터!$E260))</f>
        <v/>
      </c>
      <c r="E263" s="22" t="str">
        <f aca="false">IF($A263="","",SUMIFS(사용내역!$E$3:$E$3002,사용내역!$B$3:$B$3002,$A263,사용내역!$A$3:$A$3002,"&gt;"&amp;($B$3-사용안내!$C$16),사용내역!$A$3:$A$3002,"&lt;="&amp;$B$3))</f>
        <v/>
      </c>
      <c r="F263" s="23" t="str">
        <f aca="false">IF($A263="","",IF(사용안내!$C$16=0,0,ROUND($E263/사용안내!$C$16,3)))</f>
        <v/>
      </c>
      <c r="G263" s="24" t="str">
        <f aca="false">IF($A263="","",IF($F263&lt;=0,"사용기록없음",ROUND($D263/$F263,0)))</f>
        <v/>
      </c>
      <c r="H263" s="25" t="str">
        <f aca="false">IF(OR($A263="",$F263&lt;=0),"",$B$3+$G263)</f>
        <v/>
      </c>
      <c r="I263" s="21" t="str">
        <f aca="false">IF($A263="","",IF(품목마스터!$F260="",0,품목마스터!$F260))</f>
        <v/>
      </c>
      <c r="J263" s="25" t="str">
        <f aca="false">IF(OR($A263="",$F263&lt;=0),"",$H263-$I263)</f>
        <v/>
      </c>
      <c r="K263" s="22" t="n">
        <f aca="false">IF(OR($A263="",$F263&lt;=0),0,MAX(0,CEILING(MAX(0,($I263+사용안내!$C$17)*$F263-$D263),MAX(1,IF(품목마스터!$H260="",1,품목마스터!$H260)))))</f>
        <v>0</v>
      </c>
      <c r="L263" s="21" t="str">
        <f aca="false">IF($A263="","",IF($F263&lt;=0,"-",IF($J263&lt;=$B$3,"발주",IF($J263&lt;=$B$3+7,"임박","정상"))))</f>
        <v/>
      </c>
    </row>
    <row r="264" customFormat="false" ht="15" hidden="false" customHeight="true" outlineLevel="0" collapsed="false">
      <c r="A264" s="17" t="str">
        <f aca="false">IF(품목마스터!$A261="","",품목마스터!$A261)</f>
        <v/>
      </c>
      <c r="B264" s="17" t="str">
        <f aca="false">IF($A264="","",품목마스터!$B261)</f>
        <v/>
      </c>
      <c r="C264" s="21" t="str">
        <f aca="false">IF($A264="","",품목마스터!$D261)</f>
        <v/>
      </c>
      <c r="D264" s="22" t="str">
        <f aca="false">IF($A264="","",IF(품목마스터!$E261="",0,품목마스터!$E261))</f>
        <v/>
      </c>
      <c r="E264" s="22" t="str">
        <f aca="false">IF($A264="","",SUMIFS(사용내역!$E$3:$E$3002,사용내역!$B$3:$B$3002,$A264,사용내역!$A$3:$A$3002,"&gt;"&amp;($B$3-사용안내!$C$16),사용내역!$A$3:$A$3002,"&lt;="&amp;$B$3))</f>
        <v/>
      </c>
      <c r="F264" s="23" t="str">
        <f aca="false">IF($A264="","",IF(사용안내!$C$16=0,0,ROUND($E264/사용안내!$C$16,3)))</f>
        <v/>
      </c>
      <c r="G264" s="24" t="str">
        <f aca="false">IF($A264="","",IF($F264&lt;=0,"사용기록없음",ROUND($D264/$F264,0)))</f>
        <v/>
      </c>
      <c r="H264" s="25" t="str">
        <f aca="false">IF(OR($A264="",$F264&lt;=0),"",$B$3+$G264)</f>
        <v/>
      </c>
      <c r="I264" s="21" t="str">
        <f aca="false">IF($A264="","",IF(품목마스터!$F261="",0,품목마스터!$F261))</f>
        <v/>
      </c>
      <c r="J264" s="25" t="str">
        <f aca="false">IF(OR($A264="",$F264&lt;=0),"",$H264-$I264)</f>
        <v/>
      </c>
      <c r="K264" s="22" t="n">
        <f aca="false">IF(OR($A264="",$F264&lt;=0),0,MAX(0,CEILING(MAX(0,($I264+사용안내!$C$17)*$F264-$D264),MAX(1,IF(품목마스터!$H261="",1,품목마스터!$H261)))))</f>
        <v>0</v>
      </c>
      <c r="L264" s="21" t="str">
        <f aca="false">IF($A264="","",IF($F264&lt;=0,"-",IF($J264&lt;=$B$3,"발주",IF($J264&lt;=$B$3+7,"임박","정상"))))</f>
        <v/>
      </c>
    </row>
    <row r="265" customFormat="false" ht="15" hidden="false" customHeight="true" outlineLevel="0" collapsed="false">
      <c r="A265" s="17" t="str">
        <f aca="false">IF(품목마스터!$A262="","",품목마스터!$A262)</f>
        <v/>
      </c>
      <c r="B265" s="17" t="str">
        <f aca="false">IF($A265="","",품목마스터!$B262)</f>
        <v/>
      </c>
      <c r="C265" s="21" t="str">
        <f aca="false">IF($A265="","",품목마스터!$D262)</f>
        <v/>
      </c>
      <c r="D265" s="22" t="str">
        <f aca="false">IF($A265="","",IF(품목마스터!$E262="",0,품목마스터!$E262))</f>
        <v/>
      </c>
      <c r="E265" s="22" t="str">
        <f aca="false">IF($A265="","",SUMIFS(사용내역!$E$3:$E$3002,사용내역!$B$3:$B$3002,$A265,사용내역!$A$3:$A$3002,"&gt;"&amp;($B$3-사용안내!$C$16),사용내역!$A$3:$A$3002,"&lt;="&amp;$B$3))</f>
        <v/>
      </c>
      <c r="F265" s="23" t="str">
        <f aca="false">IF($A265="","",IF(사용안내!$C$16=0,0,ROUND($E265/사용안내!$C$16,3)))</f>
        <v/>
      </c>
      <c r="G265" s="24" t="str">
        <f aca="false">IF($A265="","",IF($F265&lt;=0,"사용기록없음",ROUND($D265/$F265,0)))</f>
        <v/>
      </c>
      <c r="H265" s="25" t="str">
        <f aca="false">IF(OR($A265="",$F265&lt;=0),"",$B$3+$G265)</f>
        <v/>
      </c>
      <c r="I265" s="21" t="str">
        <f aca="false">IF($A265="","",IF(품목마스터!$F262="",0,품목마스터!$F262))</f>
        <v/>
      </c>
      <c r="J265" s="25" t="str">
        <f aca="false">IF(OR($A265="",$F265&lt;=0),"",$H265-$I265)</f>
        <v/>
      </c>
      <c r="K265" s="22" t="n">
        <f aca="false">IF(OR($A265="",$F265&lt;=0),0,MAX(0,CEILING(MAX(0,($I265+사용안내!$C$17)*$F265-$D265),MAX(1,IF(품목마스터!$H262="",1,품목마스터!$H262)))))</f>
        <v>0</v>
      </c>
      <c r="L265" s="21" t="str">
        <f aca="false">IF($A265="","",IF($F265&lt;=0,"-",IF($J265&lt;=$B$3,"발주",IF($J265&lt;=$B$3+7,"임박","정상"))))</f>
        <v/>
      </c>
    </row>
    <row r="266" customFormat="false" ht="15" hidden="false" customHeight="true" outlineLevel="0" collapsed="false">
      <c r="A266" s="17" t="str">
        <f aca="false">IF(품목마스터!$A263="","",품목마스터!$A263)</f>
        <v/>
      </c>
      <c r="B266" s="17" t="str">
        <f aca="false">IF($A266="","",품목마스터!$B263)</f>
        <v/>
      </c>
      <c r="C266" s="21" t="str">
        <f aca="false">IF($A266="","",품목마스터!$D263)</f>
        <v/>
      </c>
      <c r="D266" s="22" t="str">
        <f aca="false">IF($A266="","",IF(품목마스터!$E263="",0,품목마스터!$E263))</f>
        <v/>
      </c>
      <c r="E266" s="22" t="str">
        <f aca="false">IF($A266="","",SUMIFS(사용내역!$E$3:$E$3002,사용내역!$B$3:$B$3002,$A266,사용내역!$A$3:$A$3002,"&gt;"&amp;($B$3-사용안내!$C$16),사용내역!$A$3:$A$3002,"&lt;="&amp;$B$3))</f>
        <v/>
      </c>
      <c r="F266" s="23" t="str">
        <f aca="false">IF($A266="","",IF(사용안내!$C$16=0,0,ROUND($E266/사용안내!$C$16,3)))</f>
        <v/>
      </c>
      <c r="G266" s="24" t="str">
        <f aca="false">IF($A266="","",IF($F266&lt;=0,"사용기록없음",ROUND($D266/$F266,0)))</f>
        <v/>
      </c>
      <c r="H266" s="25" t="str">
        <f aca="false">IF(OR($A266="",$F266&lt;=0),"",$B$3+$G266)</f>
        <v/>
      </c>
      <c r="I266" s="21" t="str">
        <f aca="false">IF($A266="","",IF(품목마스터!$F263="",0,품목마스터!$F263))</f>
        <v/>
      </c>
      <c r="J266" s="25" t="str">
        <f aca="false">IF(OR($A266="",$F266&lt;=0),"",$H266-$I266)</f>
        <v/>
      </c>
      <c r="K266" s="22" t="n">
        <f aca="false">IF(OR($A266="",$F266&lt;=0),0,MAX(0,CEILING(MAX(0,($I266+사용안내!$C$17)*$F266-$D266),MAX(1,IF(품목마스터!$H263="",1,품목마스터!$H263)))))</f>
        <v>0</v>
      </c>
      <c r="L266" s="21" t="str">
        <f aca="false">IF($A266="","",IF($F266&lt;=0,"-",IF($J266&lt;=$B$3,"발주",IF($J266&lt;=$B$3+7,"임박","정상"))))</f>
        <v/>
      </c>
    </row>
    <row r="267" customFormat="false" ht="15" hidden="false" customHeight="true" outlineLevel="0" collapsed="false">
      <c r="A267" s="17" t="str">
        <f aca="false">IF(품목마스터!$A264="","",품목마스터!$A264)</f>
        <v/>
      </c>
      <c r="B267" s="17" t="str">
        <f aca="false">IF($A267="","",품목마스터!$B264)</f>
        <v/>
      </c>
      <c r="C267" s="21" t="str">
        <f aca="false">IF($A267="","",품목마스터!$D264)</f>
        <v/>
      </c>
      <c r="D267" s="22" t="str">
        <f aca="false">IF($A267="","",IF(품목마스터!$E264="",0,품목마스터!$E264))</f>
        <v/>
      </c>
      <c r="E267" s="22" t="str">
        <f aca="false">IF($A267="","",SUMIFS(사용내역!$E$3:$E$3002,사용내역!$B$3:$B$3002,$A267,사용내역!$A$3:$A$3002,"&gt;"&amp;($B$3-사용안내!$C$16),사용내역!$A$3:$A$3002,"&lt;="&amp;$B$3))</f>
        <v/>
      </c>
      <c r="F267" s="23" t="str">
        <f aca="false">IF($A267="","",IF(사용안내!$C$16=0,0,ROUND($E267/사용안내!$C$16,3)))</f>
        <v/>
      </c>
      <c r="G267" s="24" t="str">
        <f aca="false">IF($A267="","",IF($F267&lt;=0,"사용기록없음",ROUND($D267/$F267,0)))</f>
        <v/>
      </c>
      <c r="H267" s="25" t="str">
        <f aca="false">IF(OR($A267="",$F267&lt;=0),"",$B$3+$G267)</f>
        <v/>
      </c>
      <c r="I267" s="21" t="str">
        <f aca="false">IF($A267="","",IF(품목마스터!$F264="",0,품목마스터!$F264))</f>
        <v/>
      </c>
      <c r="J267" s="25" t="str">
        <f aca="false">IF(OR($A267="",$F267&lt;=0),"",$H267-$I267)</f>
        <v/>
      </c>
      <c r="K267" s="22" t="n">
        <f aca="false">IF(OR($A267="",$F267&lt;=0),0,MAX(0,CEILING(MAX(0,($I267+사용안내!$C$17)*$F267-$D267),MAX(1,IF(품목마스터!$H264="",1,품목마스터!$H264)))))</f>
        <v>0</v>
      </c>
      <c r="L267" s="21" t="str">
        <f aca="false">IF($A267="","",IF($F267&lt;=0,"-",IF($J267&lt;=$B$3,"발주",IF($J267&lt;=$B$3+7,"임박","정상"))))</f>
        <v/>
      </c>
    </row>
    <row r="268" customFormat="false" ht="15" hidden="false" customHeight="true" outlineLevel="0" collapsed="false">
      <c r="A268" s="17" t="str">
        <f aca="false">IF(품목마스터!$A265="","",품목마스터!$A265)</f>
        <v/>
      </c>
      <c r="B268" s="17" t="str">
        <f aca="false">IF($A268="","",품목마스터!$B265)</f>
        <v/>
      </c>
      <c r="C268" s="21" t="str">
        <f aca="false">IF($A268="","",품목마스터!$D265)</f>
        <v/>
      </c>
      <c r="D268" s="22" t="str">
        <f aca="false">IF($A268="","",IF(품목마스터!$E265="",0,품목마스터!$E265))</f>
        <v/>
      </c>
      <c r="E268" s="22" t="str">
        <f aca="false">IF($A268="","",SUMIFS(사용내역!$E$3:$E$3002,사용내역!$B$3:$B$3002,$A268,사용내역!$A$3:$A$3002,"&gt;"&amp;($B$3-사용안내!$C$16),사용내역!$A$3:$A$3002,"&lt;="&amp;$B$3))</f>
        <v/>
      </c>
      <c r="F268" s="23" t="str">
        <f aca="false">IF($A268="","",IF(사용안내!$C$16=0,0,ROUND($E268/사용안내!$C$16,3)))</f>
        <v/>
      </c>
      <c r="G268" s="24" t="str">
        <f aca="false">IF($A268="","",IF($F268&lt;=0,"사용기록없음",ROUND($D268/$F268,0)))</f>
        <v/>
      </c>
      <c r="H268" s="25" t="str">
        <f aca="false">IF(OR($A268="",$F268&lt;=0),"",$B$3+$G268)</f>
        <v/>
      </c>
      <c r="I268" s="21" t="str">
        <f aca="false">IF($A268="","",IF(품목마스터!$F265="",0,품목마스터!$F265))</f>
        <v/>
      </c>
      <c r="J268" s="25" t="str">
        <f aca="false">IF(OR($A268="",$F268&lt;=0),"",$H268-$I268)</f>
        <v/>
      </c>
      <c r="K268" s="22" t="n">
        <f aca="false">IF(OR($A268="",$F268&lt;=0),0,MAX(0,CEILING(MAX(0,($I268+사용안내!$C$17)*$F268-$D268),MAX(1,IF(품목마스터!$H265="",1,품목마스터!$H265)))))</f>
        <v>0</v>
      </c>
      <c r="L268" s="21" t="str">
        <f aca="false">IF($A268="","",IF($F268&lt;=0,"-",IF($J268&lt;=$B$3,"발주",IF($J268&lt;=$B$3+7,"임박","정상"))))</f>
        <v/>
      </c>
    </row>
    <row r="269" customFormat="false" ht="15" hidden="false" customHeight="true" outlineLevel="0" collapsed="false">
      <c r="A269" s="17" t="str">
        <f aca="false">IF(품목마스터!$A266="","",품목마스터!$A266)</f>
        <v/>
      </c>
      <c r="B269" s="17" t="str">
        <f aca="false">IF($A269="","",품목마스터!$B266)</f>
        <v/>
      </c>
      <c r="C269" s="21" t="str">
        <f aca="false">IF($A269="","",품목마스터!$D266)</f>
        <v/>
      </c>
      <c r="D269" s="22" t="str">
        <f aca="false">IF($A269="","",IF(품목마스터!$E266="",0,품목마스터!$E266))</f>
        <v/>
      </c>
      <c r="E269" s="22" t="str">
        <f aca="false">IF($A269="","",SUMIFS(사용내역!$E$3:$E$3002,사용내역!$B$3:$B$3002,$A269,사용내역!$A$3:$A$3002,"&gt;"&amp;($B$3-사용안내!$C$16),사용내역!$A$3:$A$3002,"&lt;="&amp;$B$3))</f>
        <v/>
      </c>
      <c r="F269" s="23" t="str">
        <f aca="false">IF($A269="","",IF(사용안내!$C$16=0,0,ROUND($E269/사용안내!$C$16,3)))</f>
        <v/>
      </c>
      <c r="G269" s="24" t="str">
        <f aca="false">IF($A269="","",IF($F269&lt;=0,"사용기록없음",ROUND($D269/$F269,0)))</f>
        <v/>
      </c>
      <c r="H269" s="25" t="str">
        <f aca="false">IF(OR($A269="",$F269&lt;=0),"",$B$3+$G269)</f>
        <v/>
      </c>
      <c r="I269" s="21" t="str">
        <f aca="false">IF($A269="","",IF(품목마스터!$F266="",0,품목마스터!$F266))</f>
        <v/>
      </c>
      <c r="J269" s="25" t="str">
        <f aca="false">IF(OR($A269="",$F269&lt;=0),"",$H269-$I269)</f>
        <v/>
      </c>
      <c r="K269" s="22" t="n">
        <f aca="false">IF(OR($A269="",$F269&lt;=0),0,MAX(0,CEILING(MAX(0,($I269+사용안내!$C$17)*$F269-$D269),MAX(1,IF(품목마스터!$H266="",1,품목마스터!$H266)))))</f>
        <v>0</v>
      </c>
      <c r="L269" s="21" t="str">
        <f aca="false">IF($A269="","",IF($F269&lt;=0,"-",IF($J269&lt;=$B$3,"발주",IF($J269&lt;=$B$3+7,"임박","정상"))))</f>
        <v/>
      </c>
    </row>
    <row r="270" customFormat="false" ht="15" hidden="false" customHeight="true" outlineLevel="0" collapsed="false">
      <c r="A270" s="17" t="str">
        <f aca="false">IF(품목마스터!$A267="","",품목마스터!$A267)</f>
        <v/>
      </c>
      <c r="B270" s="17" t="str">
        <f aca="false">IF($A270="","",품목마스터!$B267)</f>
        <v/>
      </c>
      <c r="C270" s="21" t="str">
        <f aca="false">IF($A270="","",품목마스터!$D267)</f>
        <v/>
      </c>
      <c r="D270" s="22" t="str">
        <f aca="false">IF($A270="","",IF(품목마스터!$E267="",0,품목마스터!$E267))</f>
        <v/>
      </c>
      <c r="E270" s="22" t="str">
        <f aca="false">IF($A270="","",SUMIFS(사용내역!$E$3:$E$3002,사용내역!$B$3:$B$3002,$A270,사용내역!$A$3:$A$3002,"&gt;"&amp;($B$3-사용안내!$C$16),사용내역!$A$3:$A$3002,"&lt;="&amp;$B$3))</f>
        <v/>
      </c>
      <c r="F270" s="23" t="str">
        <f aca="false">IF($A270="","",IF(사용안내!$C$16=0,0,ROUND($E270/사용안내!$C$16,3)))</f>
        <v/>
      </c>
      <c r="G270" s="24" t="str">
        <f aca="false">IF($A270="","",IF($F270&lt;=0,"사용기록없음",ROUND($D270/$F270,0)))</f>
        <v/>
      </c>
      <c r="H270" s="25" t="str">
        <f aca="false">IF(OR($A270="",$F270&lt;=0),"",$B$3+$G270)</f>
        <v/>
      </c>
      <c r="I270" s="21" t="str">
        <f aca="false">IF($A270="","",IF(품목마스터!$F267="",0,품목마스터!$F267))</f>
        <v/>
      </c>
      <c r="J270" s="25" t="str">
        <f aca="false">IF(OR($A270="",$F270&lt;=0),"",$H270-$I270)</f>
        <v/>
      </c>
      <c r="K270" s="22" t="n">
        <f aca="false">IF(OR($A270="",$F270&lt;=0),0,MAX(0,CEILING(MAX(0,($I270+사용안내!$C$17)*$F270-$D270),MAX(1,IF(품목마스터!$H267="",1,품목마스터!$H267)))))</f>
        <v>0</v>
      </c>
      <c r="L270" s="21" t="str">
        <f aca="false">IF($A270="","",IF($F270&lt;=0,"-",IF($J270&lt;=$B$3,"발주",IF($J270&lt;=$B$3+7,"임박","정상"))))</f>
        <v/>
      </c>
    </row>
    <row r="271" customFormat="false" ht="15" hidden="false" customHeight="true" outlineLevel="0" collapsed="false">
      <c r="A271" s="17" t="str">
        <f aca="false">IF(품목마스터!$A268="","",품목마스터!$A268)</f>
        <v/>
      </c>
      <c r="B271" s="17" t="str">
        <f aca="false">IF($A271="","",품목마스터!$B268)</f>
        <v/>
      </c>
      <c r="C271" s="21" t="str">
        <f aca="false">IF($A271="","",품목마스터!$D268)</f>
        <v/>
      </c>
      <c r="D271" s="22" t="str">
        <f aca="false">IF($A271="","",IF(품목마스터!$E268="",0,품목마스터!$E268))</f>
        <v/>
      </c>
      <c r="E271" s="22" t="str">
        <f aca="false">IF($A271="","",SUMIFS(사용내역!$E$3:$E$3002,사용내역!$B$3:$B$3002,$A271,사용내역!$A$3:$A$3002,"&gt;"&amp;($B$3-사용안내!$C$16),사용내역!$A$3:$A$3002,"&lt;="&amp;$B$3))</f>
        <v/>
      </c>
      <c r="F271" s="23" t="str">
        <f aca="false">IF($A271="","",IF(사용안내!$C$16=0,0,ROUND($E271/사용안내!$C$16,3)))</f>
        <v/>
      </c>
      <c r="G271" s="24" t="str">
        <f aca="false">IF($A271="","",IF($F271&lt;=0,"사용기록없음",ROUND($D271/$F271,0)))</f>
        <v/>
      </c>
      <c r="H271" s="25" t="str">
        <f aca="false">IF(OR($A271="",$F271&lt;=0),"",$B$3+$G271)</f>
        <v/>
      </c>
      <c r="I271" s="21" t="str">
        <f aca="false">IF($A271="","",IF(품목마스터!$F268="",0,품목마스터!$F268))</f>
        <v/>
      </c>
      <c r="J271" s="25" t="str">
        <f aca="false">IF(OR($A271="",$F271&lt;=0),"",$H271-$I271)</f>
        <v/>
      </c>
      <c r="K271" s="22" t="n">
        <f aca="false">IF(OR($A271="",$F271&lt;=0),0,MAX(0,CEILING(MAX(0,($I271+사용안내!$C$17)*$F271-$D271),MAX(1,IF(품목마스터!$H268="",1,품목마스터!$H268)))))</f>
        <v>0</v>
      </c>
      <c r="L271" s="21" t="str">
        <f aca="false">IF($A271="","",IF($F271&lt;=0,"-",IF($J271&lt;=$B$3,"발주",IF($J271&lt;=$B$3+7,"임박","정상"))))</f>
        <v/>
      </c>
    </row>
    <row r="272" customFormat="false" ht="15" hidden="false" customHeight="true" outlineLevel="0" collapsed="false">
      <c r="A272" s="17" t="str">
        <f aca="false">IF(품목마스터!$A269="","",품목마스터!$A269)</f>
        <v/>
      </c>
      <c r="B272" s="17" t="str">
        <f aca="false">IF($A272="","",품목마스터!$B269)</f>
        <v/>
      </c>
      <c r="C272" s="21" t="str">
        <f aca="false">IF($A272="","",품목마스터!$D269)</f>
        <v/>
      </c>
      <c r="D272" s="22" t="str">
        <f aca="false">IF($A272="","",IF(품목마스터!$E269="",0,품목마스터!$E269))</f>
        <v/>
      </c>
      <c r="E272" s="22" t="str">
        <f aca="false">IF($A272="","",SUMIFS(사용내역!$E$3:$E$3002,사용내역!$B$3:$B$3002,$A272,사용내역!$A$3:$A$3002,"&gt;"&amp;($B$3-사용안내!$C$16),사용내역!$A$3:$A$3002,"&lt;="&amp;$B$3))</f>
        <v/>
      </c>
      <c r="F272" s="23" t="str">
        <f aca="false">IF($A272="","",IF(사용안내!$C$16=0,0,ROUND($E272/사용안내!$C$16,3)))</f>
        <v/>
      </c>
      <c r="G272" s="24" t="str">
        <f aca="false">IF($A272="","",IF($F272&lt;=0,"사용기록없음",ROUND($D272/$F272,0)))</f>
        <v/>
      </c>
      <c r="H272" s="25" t="str">
        <f aca="false">IF(OR($A272="",$F272&lt;=0),"",$B$3+$G272)</f>
        <v/>
      </c>
      <c r="I272" s="21" t="str">
        <f aca="false">IF($A272="","",IF(품목마스터!$F269="",0,품목마스터!$F269))</f>
        <v/>
      </c>
      <c r="J272" s="25" t="str">
        <f aca="false">IF(OR($A272="",$F272&lt;=0),"",$H272-$I272)</f>
        <v/>
      </c>
      <c r="K272" s="22" t="n">
        <f aca="false">IF(OR($A272="",$F272&lt;=0),0,MAX(0,CEILING(MAX(0,($I272+사용안내!$C$17)*$F272-$D272),MAX(1,IF(품목마스터!$H269="",1,품목마스터!$H269)))))</f>
        <v>0</v>
      </c>
      <c r="L272" s="21" t="str">
        <f aca="false">IF($A272="","",IF($F272&lt;=0,"-",IF($J272&lt;=$B$3,"발주",IF($J272&lt;=$B$3+7,"임박","정상"))))</f>
        <v/>
      </c>
    </row>
    <row r="273" customFormat="false" ht="15" hidden="false" customHeight="true" outlineLevel="0" collapsed="false">
      <c r="A273" s="17" t="str">
        <f aca="false">IF(품목마스터!$A270="","",품목마스터!$A270)</f>
        <v/>
      </c>
      <c r="B273" s="17" t="str">
        <f aca="false">IF($A273="","",품목마스터!$B270)</f>
        <v/>
      </c>
      <c r="C273" s="21" t="str">
        <f aca="false">IF($A273="","",품목마스터!$D270)</f>
        <v/>
      </c>
      <c r="D273" s="22" t="str">
        <f aca="false">IF($A273="","",IF(품목마스터!$E270="",0,품목마스터!$E270))</f>
        <v/>
      </c>
      <c r="E273" s="22" t="str">
        <f aca="false">IF($A273="","",SUMIFS(사용내역!$E$3:$E$3002,사용내역!$B$3:$B$3002,$A273,사용내역!$A$3:$A$3002,"&gt;"&amp;($B$3-사용안내!$C$16),사용내역!$A$3:$A$3002,"&lt;="&amp;$B$3))</f>
        <v/>
      </c>
      <c r="F273" s="23" t="str">
        <f aca="false">IF($A273="","",IF(사용안내!$C$16=0,0,ROUND($E273/사용안내!$C$16,3)))</f>
        <v/>
      </c>
      <c r="G273" s="24" t="str">
        <f aca="false">IF($A273="","",IF($F273&lt;=0,"사용기록없음",ROUND($D273/$F273,0)))</f>
        <v/>
      </c>
      <c r="H273" s="25" t="str">
        <f aca="false">IF(OR($A273="",$F273&lt;=0),"",$B$3+$G273)</f>
        <v/>
      </c>
      <c r="I273" s="21" t="str">
        <f aca="false">IF($A273="","",IF(품목마스터!$F270="",0,품목마스터!$F270))</f>
        <v/>
      </c>
      <c r="J273" s="25" t="str">
        <f aca="false">IF(OR($A273="",$F273&lt;=0),"",$H273-$I273)</f>
        <v/>
      </c>
      <c r="K273" s="22" t="n">
        <f aca="false">IF(OR($A273="",$F273&lt;=0),0,MAX(0,CEILING(MAX(0,($I273+사용안내!$C$17)*$F273-$D273),MAX(1,IF(품목마스터!$H270="",1,품목마스터!$H270)))))</f>
        <v>0</v>
      </c>
      <c r="L273" s="21" t="str">
        <f aca="false">IF($A273="","",IF($F273&lt;=0,"-",IF($J273&lt;=$B$3,"발주",IF($J273&lt;=$B$3+7,"임박","정상"))))</f>
        <v/>
      </c>
    </row>
    <row r="274" customFormat="false" ht="15" hidden="false" customHeight="true" outlineLevel="0" collapsed="false">
      <c r="A274" s="17" t="str">
        <f aca="false">IF(품목마스터!$A271="","",품목마스터!$A271)</f>
        <v/>
      </c>
      <c r="B274" s="17" t="str">
        <f aca="false">IF($A274="","",품목마스터!$B271)</f>
        <v/>
      </c>
      <c r="C274" s="21" t="str">
        <f aca="false">IF($A274="","",품목마스터!$D271)</f>
        <v/>
      </c>
      <c r="D274" s="22" t="str">
        <f aca="false">IF($A274="","",IF(품목마스터!$E271="",0,품목마스터!$E271))</f>
        <v/>
      </c>
      <c r="E274" s="22" t="str">
        <f aca="false">IF($A274="","",SUMIFS(사용내역!$E$3:$E$3002,사용내역!$B$3:$B$3002,$A274,사용내역!$A$3:$A$3002,"&gt;"&amp;($B$3-사용안내!$C$16),사용내역!$A$3:$A$3002,"&lt;="&amp;$B$3))</f>
        <v/>
      </c>
      <c r="F274" s="23" t="str">
        <f aca="false">IF($A274="","",IF(사용안내!$C$16=0,0,ROUND($E274/사용안내!$C$16,3)))</f>
        <v/>
      </c>
      <c r="G274" s="24" t="str">
        <f aca="false">IF($A274="","",IF($F274&lt;=0,"사용기록없음",ROUND($D274/$F274,0)))</f>
        <v/>
      </c>
      <c r="H274" s="25" t="str">
        <f aca="false">IF(OR($A274="",$F274&lt;=0),"",$B$3+$G274)</f>
        <v/>
      </c>
      <c r="I274" s="21" t="str">
        <f aca="false">IF($A274="","",IF(품목마스터!$F271="",0,품목마스터!$F271))</f>
        <v/>
      </c>
      <c r="J274" s="25" t="str">
        <f aca="false">IF(OR($A274="",$F274&lt;=0),"",$H274-$I274)</f>
        <v/>
      </c>
      <c r="K274" s="22" t="n">
        <f aca="false">IF(OR($A274="",$F274&lt;=0),0,MAX(0,CEILING(MAX(0,($I274+사용안내!$C$17)*$F274-$D274),MAX(1,IF(품목마스터!$H271="",1,품목마스터!$H271)))))</f>
        <v>0</v>
      </c>
      <c r="L274" s="21" t="str">
        <f aca="false">IF($A274="","",IF($F274&lt;=0,"-",IF($J274&lt;=$B$3,"발주",IF($J274&lt;=$B$3+7,"임박","정상"))))</f>
        <v/>
      </c>
    </row>
    <row r="275" customFormat="false" ht="15" hidden="false" customHeight="true" outlineLevel="0" collapsed="false">
      <c r="A275" s="17" t="str">
        <f aca="false">IF(품목마스터!$A272="","",품목마스터!$A272)</f>
        <v/>
      </c>
      <c r="B275" s="17" t="str">
        <f aca="false">IF($A275="","",품목마스터!$B272)</f>
        <v/>
      </c>
      <c r="C275" s="21" t="str">
        <f aca="false">IF($A275="","",품목마스터!$D272)</f>
        <v/>
      </c>
      <c r="D275" s="22" t="str">
        <f aca="false">IF($A275="","",IF(품목마스터!$E272="",0,품목마스터!$E272))</f>
        <v/>
      </c>
      <c r="E275" s="22" t="str">
        <f aca="false">IF($A275="","",SUMIFS(사용내역!$E$3:$E$3002,사용내역!$B$3:$B$3002,$A275,사용내역!$A$3:$A$3002,"&gt;"&amp;($B$3-사용안내!$C$16),사용내역!$A$3:$A$3002,"&lt;="&amp;$B$3))</f>
        <v/>
      </c>
      <c r="F275" s="23" t="str">
        <f aca="false">IF($A275="","",IF(사용안내!$C$16=0,0,ROUND($E275/사용안내!$C$16,3)))</f>
        <v/>
      </c>
      <c r="G275" s="24" t="str">
        <f aca="false">IF($A275="","",IF($F275&lt;=0,"사용기록없음",ROUND($D275/$F275,0)))</f>
        <v/>
      </c>
      <c r="H275" s="25" t="str">
        <f aca="false">IF(OR($A275="",$F275&lt;=0),"",$B$3+$G275)</f>
        <v/>
      </c>
      <c r="I275" s="21" t="str">
        <f aca="false">IF($A275="","",IF(품목마스터!$F272="",0,품목마스터!$F272))</f>
        <v/>
      </c>
      <c r="J275" s="25" t="str">
        <f aca="false">IF(OR($A275="",$F275&lt;=0),"",$H275-$I275)</f>
        <v/>
      </c>
      <c r="K275" s="22" t="n">
        <f aca="false">IF(OR($A275="",$F275&lt;=0),0,MAX(0,CEILING(MAX(0,($I275+사용안내!$C$17)*$F275-$D275),MAX(1,IF(품목마스터!$H272="",1,품목마스터!$H272)))))</f>
        <v>0</v>
      </c>
      <c r="L275" s="21" t="str">
        <f aca="false">IF($A275="","",IF($F275&lt;=0,"-",IF($J275&lt;=$B$3,"발주",IF($J275&lt;=$B$3+7,"임박","정상"))))</f>
        <v/>
      </c>
    </row>
    <row r="276" customFormat="false" ht="15" hidden="false" customHeight="true" outlineLevel="0" collapsed="false">
      <c r="A276" s="17" t="str">
        <f aca="false">IF(품목마스터!$A273="","",품목마스터!$A273)</f>
        <v/>
      </c>
      <c r="B276" s="17" t="str">
        <f aca="false">IF($A276="","",품목마스터!$B273)</f>
        <v/>
      </c>
      <c r="C276" s="21" t="str">
        <f aca="false">IF($A276="","",품목마스터!$D273)</f>
        <v/>
      </c>
      <c r="D276" s="22" t="str">
        <f aca="false">IF($A276="","",IF(품목마스터!$E273="",0,품목마스터!$E273))</f>
        <v/>
      </c>
      <c r="E276" s="22" t="str">
        <f aca="false">IF($A276="","",SUMIFS(사용내역!$E$3:$E$3002,사용내역!$B$3:$B$3002,$A276,사용내역!$A$3:$A$3002,"&gt;"&amp;($B$3-사용안내!$C$16),사용내역!$A$3:$A$3002,"&lt;="&amp;$B$3))</f>
        <v/>
      </c>
      <c r="F276" s="23" t="str">
        <f aca="false">IF($A276="","",IF(사용안내!$C$16=0,0,ROUND($E276/사용안내!$C$16,3)))</f>
        <v/>
      </c>
      <c r="G276" s="24" t="str">
        <f aca="false">IF($A276="","",IF($F276&lt;=0,"사용기록없음",ROUND($D276/$F276,0)))</f>
        <v/>
      </c>
      <c r="H276" s="25" t="str">
        <f aca="false">IF(OR($A276="",$F276&lt;=0),"",$B$3+$G276)</f>
        <v/>
      </c>
      <c r="I276" s="21" t="str">
        <f aca="false">IF($A276="","",IF(품목마스터!$F273="",0,품목마스터!$F273))</f>
        <v/>
      </c>
      <c r="J276" s="25" t="str">
        <f aca="false">IF(OR($A276="",$F276&lt;=0),"",$H276-$I276)</f>
        <v/>
      </c>
      <c r="K276" s="22" t="n">
        <f aca="false">IF(OR($A276="",$F276&lt;=0),0,MAX(0,CEILING(MAX(0,($I276+사용안내!$C$17)*$F276-$D276),MAX(1,IF(품목마스터!$H273="",1,품목마스터!$H273)))))</f>
        <v>0</v>
      </c>
      <c r="L276" s="21" t="str">
        <f aca="false">IF($A276="","",IF($F276&lt;=0,"-",IF($J276&lt;=$B$3,"발주",IF($J276&lt;=$B$3+7,"임박","정상"))))</f>
        <v/>
      </c>
    </row>
    <row r="277" customFormat="false" ht="15" hidden="false" customHeight="true" outlineLevel="0" collapsed="false">
      <c r="A277" s="17" t="str">
        <f aca="false">IF(품목마스터!$A274="","",품목마스터!$A274)</f>
        <v/>
      </c>
      <c r="B277" s="17" t="str">
        <f aca="false">IF($A277="","",품목마스터!$B274)</f>
        <v/>
      </c>
      <c r="C277" s="21" t="str">
        <f aca="false">IF($A277="","",품목마스터!$D274)</f>
        <v/>
      </c>
      <c r="D277" s="22" t="str">
        <f aca="false">IF($A277="","",IF(품목마스터!$E274="",0,품목마스터!$E274))</f>
        <v/>
      </c>
      <c r="E277" s="22" t="str">
        <f aca="false">IF($A277="","",SUMIFS(사용내역!$E$3:$E$3002,사용내역!$B$3:$B$3002,$A277,사용내역!$A$3:$A$3002,"&gt;"&amp;($B$3-사용안내!$C$16),사용내역!$A$3:$A$3002,"&lt;="&amp;$B$3))</f>
        <v/>
      </c>
      <c r="F277" s="23" t="str">
        <f aca="false">IF($A277="","",IF(사용안내!$C$16=0,0,ROUND($E277/사용안내!$C$16,3)))</f>
        <v/>
      </c>
      <c r="G277" s="24" t="str">
        <f aca="false">IF($A277="","",IF($F277&lt;=0,"사용기록없음",ROUND($D277/$F277,0)))</f>
        <v/>
      </c>
      <c r="H277" s="25" t="str">
        <f aca="false">IF(OR($A277="",$F277&lt;=0),"",$B$3+$G277)</f>
        <v/>
      </c>
      <c r="I277" s="21" t="str">
        <f aca="false">IF($A277="","",IF(품목마스터!$F274="",0,품목마스터!$F274))</f>
        <v/>
      </c>
      <c r="J277" s="25" t="str">
        <f aca="false">IF(OR($A277="",$F277&lt;=0),"",$H277-$I277)</f>
        <v/>
      </c>
      <c r="K277" s="22" t="n">
        <f aca="false">IF(OR($A277="",$F277&lt;=0),0,MAX(0,CEILING(MAX(0,($I277+사용안내!$C$17)*$F277-$D277),MAX(1,IF(품목마스터!$H274="",1,품목마스터!$H274)))))</f>
        <v>0</v>
      </c>
      <c r="L277" s="21" t="str">
        <f aca="false">IF($A277="","",IF($F277&lt;=0,"-",IF($J277&lt;=$B$3,"발주",IF($J277&lt;=$B$3+7,"임박","정상"))))</f>
        <v/>
      </c>
    </row>
    <row r="278" customFormat="false" ht="15" hidden="false" customHeight="true" outlineLevel="0" collapsed="false">
      <c r="A278" s="17" t="str">
        <f aca="false">IF(품목마스터!$A275="","",품목마스터!$A275)</f>
        <v/>
      </c>
      <c r="B278" s="17" t="str">
        <f aca="false">IF($A278="","",품목마스터!$B275)</f>
        <v/>
      </c>
      <c r="C278" s="21" t="str">
        <f aca="false">IF($A278="","",품목마스터!$D275)</f>
        <v/>
      </c>
      <c r="D278" s="22" t="str">
        <f aca="false">IF($A278="","",IF(품목마스터!$E275="",0,품목마스터!$E275))</f>
        <v/>
      </c>
      <c r="E278" s="22" t="str">
        <f aca="false">IF($A278="","",SUMIFS(사용내역!$E$3:$E$3002,사용내역!$B$3:$B$3002,$A278,사용내역!$A$3:$A$3002,"&gt;"&amp;($B$3-사용안내!$C$16),사용내역!$A$3:$A$3002,"&lt;="&amp;$B$3))</f>
        <v/>
      </c>
      <c r="F278" s="23" t="str">
        <f aca="false">IF($A278="","",IF(사용안내!$C$16=0,0,ROUND($E278/사용안내!$C$16,3)))</f>
        <v/>
      </c>
      <c r="G278" s="24" t="str">
        <f aca="false">IF($A278="","",IF($F278&lt;=0,"사용기록없음",ROUND($D278/$F278,0)))</f>
        <v/>
      </c>
      <c r="H278" s="25" t="str">
        <f aca="false">IF(OR($A278="",$F278&lt;=0),"",$B$3+$G278)</f>
        <v/>
      </c>
      <c r="I278" s="21" t="str">
        <f aca="false">IF($A278="","",IF(품목마스터!$F275="",0,품목마스터!$F275))</f>
        <v/>
      </c>
      <c r="J278" s="25" t="str">
        <f aca="false">IF(OR($A278="",$F278&lt;=0),"",$H278-$I278)</f>
        <v/>
      </c>
      <c r="K278" s="22" t="n">
        <f aca="false">IF(OR($A278="",$F278&lt;=0),0,MAX(0,CEILING(MAX(0,($I278+사용안내!$C$17)*$F278-$D278),MAX(1,IF(품목마스터!$H275="",1,품목마스터!$H275)))))</f>
        <v>0</v>
      </c>
      <c r="L278" s="21" t="str">
        <f aca="false">IF($A278="","",IF($F278&lt;=0,"-",IF($J278&lt;=$B$3,"발주",IF($J278&lt;=$B$3+7,"임박","정상"))))</f>
        <v/>
      </c>
    </row>
    <row r="279" customFormat="false" ht="15" hidden="false" customHeight="true" outlineLevel="0" collapsed="false">
      <c r="A279" s="17" t="str">
        <f aca="false">IF(품목마스터!$A276="","",품목마스터!$A276)</f>
        <v/>
      </c>
      <c r="B279" s="17" t="str">
        <f aca="false">IF($A279="","",품목마스터!$B276)</f>
        <v/>
      </c>
      <c r="C279" s="21" t="str">
        <f aca="false">IF($A279="","",품목마스터!$D276)</f>
        <v/>
      </c>
      <c r="D279" s="22" t="str">
        <f aca="false">IF($A279="","",IF(품목마스터!$E276="",0,품목마스터!$E276))</f>
        <v/>
      </c>
      <c r="E279" s="22" t="str">
        <f aca="false">IF($A279="","",SUMIFS(사용내역!$E$3:$E$3002,사용내역!$B$3:$B$3002,$A279,사용내역!$A$3:$A$3002,"&gt;"&amp;($B$3-사용안내!$C$16),사용내역!$A$3:$A$3002,"&lt;="&amp;$B$3))</f>
        <v/>
      </c>
      <c r="F279" s="23" t="str">
        <f aca="false">IF($A279="","",IF(사용안내!$C$16=0,0,ROUND($E279/사용안내!$C$16,3)))</f>
        <v/>
      </c>
      <c r="G279" s="24" t="str">
        <f aca="false">IF($A279="","",IF($F279&lt;=0,"사용기록없음",ROUND($D279/$F279,0)))</f>
        <v/>
      </c>
      <c r="H279" s="25" t="str">
        <f aca="false">IF(OR($A279="",$F279&lt;=0),"",$B$3+$G279)</f>
        <v/>
      </c>
      <c r="I279" s="21" t="str">
        <f aca="false">IF($A279="","",IF(품목마스터!$F276="",0,품목마스터!$F276))</f>
        <v/>
      </c>
      <c r="J279" s="25" t="str">
        <f aca="false">IF(OR($A279="",$F279&lt;=0),"",$H279-$I279)</f>
        <v/>
      </c>
      <c r="K279" s="22" t="n">
        <f aca="false">IF(OR($A279="",$F279&lt;=0),0,MAX(0,CEILING(MAX(0,($I279+사용안내!$C$17)*$F279-$D279),MAX(1,IF(품목마스터!$H276="",1,품목마스터!$H276)))))</f>
        <v>0</v>
      </c>
      <c r="L279" s="21" t="str">
        <f aca="false">IF($A279="","",IF($F279&lt;=0,"-",IF($J279&lt;=$B$3,"발주",IF($J279&lt;=$B$3+7,"임박","정상"))))</f>
        <v/>
      </c>
    </row>
    <row r="280" customFormat="false" ht="15" hidden="false" customHeight="true" outlineLevel="0" collapsed="false">
      <c r="A280" s="17" t="str">
        <f aca="false">IF(품목마스터!$A277="","",품목마스터!$A277)</f>
        <v/>
      </c>
      <c r="B280" s="17" t="str">
        <f aca="false">IF($A280="","",품목마스터!$B277)</f>
        <v/>
      </c>
      <c r="C280" s="21" t="str">
        <f aca="false">IF($A280="","",품목마스터!$D277)</f>
        <v/>
      </c>
      <c r="D280" s="22" t="str">
        <f aca="false">IF($A280="","",IF(품목마스터!$E277="",0,품목마스터!$E277))</f>
        <v/>
      </c>
      <c r="E280" s="22" t="str">
        <f aca="false">IF($A280="","",SUMIFS(사용내역!$E$3:$E$3002,사용내역!$B$3:$B$3002,$A280,사용내역!$A$3:$A$3002,"&gt;"&amp;($B$3-사용안내!$C$16),사용내역!$A$3:$A$3002,"&lt;="&amp;$B$3))</f>
        <v/>
      </c>
      <c r="F280" s="23" t="str">
        <f aca="false">IF($A280="","",IF(사용안내!$C$16=0,0,ROUND($E280/사용안내!$C$16,3)))</f>
        <v/>
      </c>
      <c r="G280" s="24" t="str">
        <f aca="false">IF($A280="","",IF($F280&lt;=0,"사용기록없음",ROUND($D280/$F280,0)))</f>
        <v/>
      </c>
      <c r="H280" s="25" t="str">
        <f aca="false">IF(OR($A280="",$F280&lt;=0),"",$B$3+$G280)</f>
        <v/>
      </c>
      <c r="I280" s="21" t="str">
        <f aca="false">IF($A280="","",IF(품목마스터!$F277="",0,품목마스터!$F277))</f>
        <v/>
      </c>
      <c r="J280" s="25" t="str">
        <f aca="false">IF(OR($A280="",$F280&lt;=0),"",$H280-$I280)</f>
        <v/>
      </c>
      <c r="K280" s="22" t="n">
        <f aca="false">IF(OR($A280="",$F280&lt;=0),0,MAX(0,CEILING(MAX(0,($I280+사용안내!$C$17)*$F280-$D280),MAX(1,IF(품목마스터!$H277="",1,품목마스터!$H277)))))</f>
        <v>0</v>
      </c>
      <c r="L280" s="21" t="str">
        <f aca="false">IF($A280="","",IF($F280&lt;=0,"-",IF($J280&lt;=$B$3,"발주",IF($J280&lt;=$B$3+7,"임박","정상"))))</f>
        <v/>
      </c>
    </row>
    <row r="281" customFormat="false" ht="15" hidden="false" customHeight="true" outlineLevel="0" collapsed="false">
      <c r="A281" s="17" t="str">
        <f aca="false">IF(품목마스터!$A278="","",품목마스터!$A278)</f>
        <v/>
      </c>
      <c r="B281" s="17" t="str">
        <f aca="false">IF($A281="","",품목마스터!$B278)</f>
        <v/>
      </c>
      <c r="C281" s="21" t="str">
        <f aca="false">IF($A281="","",품목마스터!$D278)</f>
        <v/>
      </c>
      <c r="D281" s="22" t="str">
        <f aca="false">IF($A281="","",IF(품목마스터!$E278="",0,품목마스터!$E278))</f>
        <v/>
      </c>
      <c r="E281" s="22" t="str">
        <f aca="false">IF($A281="","",SUMIFS(사용내역!$E$3:$E$3002,사용내역!$B$3:$B$3002,$A281,사용내역!$A$3:$A$3002,"&gt;"&amp;($B$3-사용안내!$C$16),사용내역!$A$3:$A$3002,"&lt;="&amp;$B$3))</f>
        <v/>
      </c>
      <c r="F281" s="23" t="str">
        <f aca="false">IF($A281="","",IF(사용안내!$C$16=0,0,ROUND($E281/사용안내!$C$16,3)))</f>
        <v/>
      </c>
      <c r="G281" s="24" t="str">
        <f aca="false">IF($A281="","",IF($F281&lt;=0,"사용기록없음",ROUND($D281/$F281,0)))</f>
        <v/>
      </c>
      <c r="H281" s="25" t="str">
        <f aca="false">IF(OR($A281="",$F281&lt;=0),"",$B$3+$G281)</f>
        <v/>
      </c>
      <c r="I281" s="21" t="str">
        <f aca="false">IF($A281="","",IF(품목마스터!$F278="",0,품목마스터!$F278))</f>
        <v/>
      </c>
      <c r="J281" s="25" t="str">
        <f aca="false">IF(OR($A281="",$F281&lt;=0),"",$H281-$I281)</f>
        <v/>
      </c>
      <c r="K281" s="22" t="n">
        <f aca="false">IF(OR($A281="",$F281&lt;=0),0,MAX(0,CEILING(MAX(0,($I281+사용안내!$C$17)*$F281-$D281),MAX(1,IF(품목마스터!$H278="",1,품목마스터!$H278)))))</f>
        <v>0</v>
      </c>
      <c r="L281" s="21" t="str">
        <f aca="false">IF($A281="","",IF($F281&lt;=0,"-",IF($J281&lt;=$B$3,"발주",IF($J281&lt;=$B$3+7,"임박","정상"))))</f>
        <v/>
      </c>
    </row>
    <row r="282" customFormat="false" ht="15" hidden="false" customHeight="true" outlineLevel="0" collapsed="false">
      <c r="A282" s="17" t="str">
        <f aca="false">IF(품목마스터!$A279="","",품목마스터!$A279)</f>
        <v/>
      </c>
      <c r="B282" s="17" t="str">
        <f aca="false">IF($A282="","",품목마스터!$B279)</f>
        <v/>
      </c>
      <c r="C282" s="21" t="str">
        <f aca="false">IF($A282="","",품목마스터!$D279)</f>
        <v/>
      </c>
      <c r="D282" s="22" t="str">
        <f aca="false">IF($A282="","",IF(품목마스터!$E279="",0,품목마스터!$E279))</f>
        <v/>
      </c>
      <c r="E282" s="22" t="str">
        <f aca="false">IF($A282="","",SUMIFS(사용내역!$E$3:$E$3002,사용내역!$B$3:$B$3002,$A282,사용내역!$A$3:$A$3002,"&gt;"&amp;($B$3-사용안내!$C$16),사용내역!$A$3:$A$3002,"&lt;="&amp;$B$3))</f>
        <v/>
      </c>
      <c r="F282" s="23" t="str">
        <f aca="false">IF($A282="","",IF(사용안내!$C$16=0,0,ROUND($E282/사용안내!$C$16,3)))</f>
        <v/>
      </c>
      <c r="G282" s="24" t="str">
        <f aca="false">IF($A282="","",IF($F282&lt;=0,"사용기록없음",ROUND($D282/$F282,0)))</f>
        <v/>
      </c>
      <c r="H282" s="25" t="str">
        <f aca="false">IF(OR($A282="",$F282&lt;=0),"",$B$3+$G282)</f>
        <v/>
      </c>
      <c r="I282" s="21" t="str">
        <f aca="false">IF($A282="","",IF(품목마스터!$F279="",0,품목마스터!$F279))</f>
        <v/>
      </c>
      <c r="J282" s="25" t="str">
        <f aca="false">IF(OR($A282="",$F282&lt;=0),"",$H282-$I282)</f>
        <v/>
      </c>
      <c r="K282" s="22" t="n">
        <f aca="false">IF(OR($A282="",$F282&lt;=0),0,MAX(0,CEILING(MAX(0,($I282+사용안내!$C$17)*$F282-$D282),MAX(1,IF(품목마스터!$H279="",1,품목마스터!$H279)))))</f>
        <v>0</v>
      </c>
      <c r="L282" s="21" t="str">
        <f aca="false">IF($A282="","",IF($F282&lt;=0,"-",IF($J282&lt;=$B$3,"발주",IF($J282&lt;=$B$3+7,"임박","정상"))))</f>
        <v/>
      </c>
    </row>
    <row r="283" customFormat="false" ht="15" hidden="false" customHeight="true" outlineLevel="0" collapsed="false">
      <c r="A283" s="17" t="str">
        <f aca="false">IF(품목마스터!$A280="","",품목마스터!$A280)</f>
        <v/>
      </c>
      <c r="B283" s="17" t="str">
        <f aca="false">IF($A283="","",품목마스터!$B280)</f>
        <v/>
      </c>
      <c r="C283" s="21" t="str">
        <f aca="false">IF($A283="","",품목마스터!$D280)</f>
        <v/>
      </c>
      <c r="D283" s="22" t="str">
        <f aca="false">IF($A283="","",IF(품목마스터!$E280="",0,품목마스터!$E280))</f>
        <v/>
      </c>
      <c r="E283" s="22" t="str">
        <f aca="false">IF($A283="","",SUMIFS(사용내역!$E$3:$E$3002,사용내역!$B$3:$B$3002,$A283,사용내역!$A$3:$A$3002,"&gt;"&amp;($B$3-사용안내!$C$16),사용내역!$A$3:$A$3002,"&lt;="&amp;$B$3))</f>
        <v/>
      </c>
      <c r="F283" s="23" t="str">
        <f aca="false">IF($A283="","",IF(사용안내!$C$16=0,0,ROUND($E283/사용안내!$C$16,3)))</f>
        <v/>
      </c>
      <c r="G283" s="24" t="str">
        <f aca="false">IF($A283="","",IF($F283&lt;=0,"사용기록없음",ROUND($D283/$F283,0)))</f>
        <v/>
      </c>
      <c r="H283" s="25" t="str">
        <f aca="false">IF(OR($A283="",$F283&lt;=0),"",$B$3+$G283)</f>
        <v/>
      </c>
      <c r="I283" s="21" t="str">
        <f aca="false">IF($A283="","",IF(품목마스터!$F280="",0,품목마스터!$F280))</f>
        <v/>
      </c>
      <c r="J283" s="25" t="str">
        <f aca="false">IF(OR($A283="",$F283&lt;=0),"",$H283-$I283)</f>
        <v/>
      </c>
      <c r="K283" s="22" t="n">
        <f aca="false">IF(OR($A283="",$F283&lt;=0),0,MAX(0,CEILING(MAX(0,($I283+사용안내!$C$17)*$F283-$D283),MAX(1,IF(품목마스터!$H280="",1,품목마스터!$H280)))))</f>
        <v>0</v>
      </c>
      <c r="L283" s="21" t="str">
        <f aca="false">IF($A283="","",IF($F283&lt;=0,"-",IF($J283&lt;=$B$3,"발주",IF($J283&lt;=$B$3+7,"임박","정상"))))</f>
        <v/>
      </c>
    </row>
    <row r="284" customFormat="false" ht="15" hidden="false" customHeight="true" outlineLevel="0" collapsed="false">
      <c r="A284" s="17" t="str">
        <f aca="false">IF(품목마스터!$A281="","",품목마스터!$A281)</f>
        <v/>
      </c>
      <c r="B284" s="17" t="str">
        <f aca="false">IF($A284="","",품목마스터!$B281)</f>
        <v/>
      </c>
      <c r="C284" s="21" t="str">
        <f aca="false">IF($A284="","",품목마스터!$D281)</f>
        <v/>
      </c>
      <c r="D284" s="22" t="str">
        <f aca="false">IF($A284="","",IF(품목마스터!$E281="",0,품목마스터!$E281))</f>
        <v/>
      </c>
      <c r="E284" s="22" t="str">
        <f aca="false">IF($A284="","",SUMIFS(사용내역!$E$3:$E$3002,사용내역!$B$3:$B$3002,$A284,사용내역!$A$3:$A$3002,"&gt;"&amp;($B$3-사용안내!$C$16),사용내역!$A$3:$A$3002,"&lt;="&amp;$B$3))</f>
        <v/>
      </c>
      <c r="F284" s="23" t="str">
        <f aca="false">IF($A284="","",IF(사용안내!$C$16=0,0,ROUND($E284/사용안내!$C$16,3)))</f>
        <v/>
      </c>
      <c r="G284" s="24" t="str">
        <f aca="false">IF($A284="","",IF($F284&lt;=0,"사용기록없음",ROUND($D284/$F284,0)))</f>
        <v/>
      </c>
      <c r="H284" s="25" t="str">
        <f aca="false">IF(OR($A284="",$F284&lt;=0),"",$B$3+$G284)</f>
        <v/>
      </c>
      <c r="I284" s="21" t="str">
        <f aca="false">IF($A284="","",IF(품목마스터!$F281="",0,품목마스터!$F281))</f>
        <v/>
      </c>
      <c r="J284" s="25" t="str">
        <f aca="false">IF(OR($A284="",$F284&lt;=0),"",$H284-$I284)</f>
        <v/>
      </c>
      <c r="K284" s="22" t="n">
        <f aca="false">IF(OR($A284="",$F284&lt;=0),0,MAX(0,CEILING(MAX(0,($I284+사용안내!$C$17)*$F284-$D284),MAX(1,IF(품목마스터!$H281="",1,품목마스터!$H281)))))</f>
        <v>0</v>
      </c>
      <c r="L284" s="21" t="str">
        <f aca="false">IF($A284="","",IF($F284&lt;=0,"-",IF($J284&lt;=$B$3,"발주",IF($J284&lt;=$B$3+7,"임박","정상"))))</f>
        <v/>
      </c>
    </row>
    <row r="285" customFormat="false" ht="15" hidden="false" customHeight="true" outlineLevel="0" collapsed="false">
      <c r="A285" s="17" t="str">
        <f aca="false">IF(품목마스터!$A282="","",품목마스터!$A282)</f>
        <v/>
      </c>
      <c r="B285" s="17" t="str">
        <f aca="false">IF($A285="","",품목마스터!$B282)</f>
        <v/>
      </c>
      <c r="C285" s="21" t="str">
        <f aca="false">IF($A285="","",품목마스터!$D282)</f>
        <v/>
      </c>
      <c r="D285" s="22" t="str">
        <f aca="false">IF($A285="","",IF(품목마스터!$E282="",0,품목마스터!$E282))</f>
        <v/>
      </c>
      <c r="E285" s="22" t="str">
        <f aca="false">IF($A285="","",SUMIFS(사용내역!$E$3:$E$3002,사용내역!$B$3:$B$3002,$A285,사용내역!$A$3:$A$3002,"&gt;"&amp;($B$3-사용안내!$C$16),사용내역!$A$3:$A$3002,"&lt;="&amp;$B$3))</f>
        <v/>
      </c>
      <c r="F285" s="23" t="str">
        <f aca="false">IF($A285="","",IF(사용안내!$C$16=0,0,ROUND($E285/사용안내!$C$16,3)))</f>
        <v/>
      </c>
      <c r="G285" s="24" t="str">
        <f aca="false">IF($A285="","",IF($F285&lt;=0,"사용기록없음",ROUND($D285/$F285,0)))</f>
        <v/>
      </c>
      <c r="H285" s="25" t="str">
        <f aca="false">IF(OR($A285="",$F285&lt;=0),"",$B$3+$G285)</f>
        <v/>
      </c>
      <c r="I285" s="21" t="str">
        <f aca="false">IF($A285="","",IF(품목마스터!$F282="",0,품목마스터!$F282))</f>
        <v/>
      </c>
      <c r="J285" s="25" t="str">
        <f aca="false">IF(OR($A285="",$F285&lt;=0),"",$H285-$I285)</f>
        <v/>
      </c>
      <c r="K285" s="22" t="n">
        <f aca="false">IF(OR($A285="",$F285&lt;=0),0,MAX(0,CEILING(MAX(0,($I285+사용안내!$C$17)*$F285-$D285),MAX(1,IF(품목마스터!$H282="",1,품목마스터!$H282)))))</f>
        <v>0</v>
      </c>
      <c r="L285" s="21" t="str">
        <f aca="false">IF($A285="","",IF($F285&lt;=0,"-",IF($J285&lt;=$B$3,"발주",IF($J285&lt;=$B$3+7,"임박","정상"))))</f>
        <v/>
      </c>
    </row>
    <row r="286" customFormat="false" ht="15" hidden="false" customHeight="true" outlineLevel="0" collapsed="false">
      <c r="A286" s="17" t="str">
        <f aca="false">IF(품목마스터!$A283="","",품목마스터!$A283)</f>
        <v/>
      </c>
      <c r="B286" s="17" t="str">
        <f aca="false">IF($A286="","",품목마스터!$B283)</f>
        <v/>
      </c>
      <c r="C286" s="21" t="str">
        <f aca="false">IF($A286="","",품목마스터!$D283)</f>
        <v/>
      </c>
      <c r="D286" s="22" t="str">
        <f aca="false">IF($A286="","",IF(품목마스터!$E283="",0,품목마스터!$E283))</f>
        <v/>
      </c>
      <c r="E286" s="22" t="str">
        <f aca="false">IF($A286="","",SUMIFS(사용내역!$E$3:$E$3002,사용내역!$B$3:$B$3002,$A286,사용내역!$A$3:$A$3002,"&gt;"&amp;($B$3-사용안내!$C$16),사용내역!$A$3:$A$3002,"&lt;="&amp;$B$3))</f>
        <v/>
      </c>
      <c r="F286" s="23" t="str">
        <f aca="false">IF($A286="","",IF(사용안내!$C$16=0,0,ROUND($E286/사용안내!$C$16,3)))</f>
        <v/>
      </c>
      <c r="G286" s="24" t="str">
        <f aca="false">IF($A286="","",IF($F286&lt;=0,"사용기록없음",ROUND($D286/$F286,0)))</f>
        <v/>
      </c>
      <c r="H286" s="25" t="str">
        <f aca="false">IF(OR($A286="",$F286&lt;=0),"",$B$3+$G286)</f>
        <v/>
      </c>
      <c r="I286" s="21" t="str">
        <f aca="false">IF($A286="","",IF(품목마스터!$F283="",0,품목마스터!$F283))</f>
        <v/>
      </c>
      <c r="J286" s="25" t="str">
        <f aca="false">IF(OR($A286="",$F286&lt;=0),"",$H286-$I286)</f>
        <v/>
      </c>
      <c r="K286" s="22" t="n">
        <f aca="false">IF(OR($A286="",$F286&lt;=0),0,MAX(0,CEILING(MAX(0,($I286+사용안내!$C$17)*$F286-$D286),MAX(1,IF(품목마스터!$H283="",1,품목마스터!$H283)))))</f>
        <v>0</v>
      </c>
      <c r="L286" s="21" t="str">
        <f aca="false">IF($A286="","",IF($F286&lt;=0,"-",IF($J286&lt;=$B$3,"발주",IF($J286&lt;=$B$3+7,"임박","정상"))))</f>
        <v/>
      </c>
    </row>
    <row r="287" customFormat="false" ht="15" hidden="false" customHeight="true" outlineLevel="0" collapsed="false">
      <c r="A287" s="17" t="str">
        <f aca="false">IF(품목마스터!$A284="","",품목마스터!$A284)</f>
        <v/>
      </c>
      <c r="B287" s="17" t="str">
        <f aca="false">IF($A287="","",품목마스터!$B284)</f>
        <v/>
      </c>
      <c r="C287" s="21" t="str">
        <f aca="false">IF($A287="","",품목마스터!$D284)</f>
        <v/>
      </c>
      <c r="D287" s="22" t="str">
        <f aca="false">IF($A287="","",IF(품목마스터!$E284="",0,품목마스터!$E284))</f>
        <v/>
      </c>
      <c r="E287" s="22" t="str">
        <f aca="false">IF($A287="","",SUMIFS(사용내역!$E$3:$E$3002,사용내역!$B$3:$B$3002,$A287,사용내역!$A$3:$A$3002,"&gt;"&amp;($B$3-사용안내!$C$16),사용내역!$A$3:$A$3002,"&lt;="&amp;$B$3))</f>
        <v/>
      </c>
      <c r="F287" s="23" t="str">
        <f aca="false">IF($A287="","",IF(사용안내!$C$16=0,0,ROUND($E287/사용안내!$C$16,3)))</f>
        <v/>
      </c>
      <c r="G287" s="24" t="str">
        <f aca="false">IF($A287="","",IF($F287&lt;=0,"사용기록없음",ROUND($D287/$F287,0)))</f>
        <v/>
      </c>
      <c r="H287" s="25" t="str">
        <f aca="false">IF(OR($A287="",$F287&lt;=0),"",$B$3+$G287)</f>
        <v/>
      </c>
      <c r="I287" s="21" t="str">
        <f aca="false">IF($A287="","",IF(품목마스터!$F284="",0,품목마스터!$F284))</f>
        <v/>
      </c>
      <c r="J287" s="25" t="str">
        <f aca="false">IF(OR($A287="",$F287&lt;=0),"",$H287-$I287)</f>
        <v/>
      </c>
      <c r="K287" s="22" t="n">
        <f aca="false">IF(OR($A287="",$F287&lt;=0),0,MAX(0,CEILING(MAX(0,($I287+사용안내!$C$17)*$F287-$D287),MAX(1,IF(품목마스터!$H284="",1,품목마스터!$H284)))))</f>
        <v>0</v>
      </c>
      <c r="L287" s="21" t="str">
        <f aca="false">IF($A287="","",IF($F287&lt;=0,"-",IF($J287&lt;=$B$3,"발주",IF($J287&lt;=$B$3+7,"임박","정상"))))</f>
        <v/>
      </c>
    </row>
    <row r="288" customFormat="false" ht="15" hidden="false" customHeight="true" outlineLevel="0" collapsed="false">
      <c r="A288" s="17" t="str">
        <f aca="false">IF(품목마스터!$A285="","",품목마스터!$A285)</f>
        <v/>
      </c>
      <c r="B288" s="17" t="str">
        <f aca="false">IF($A288="","",품목마스터!$B285)</f>
        <v/>
      </c>
      <c r="C288" s="21" t="str">
        <f aca="false">IF($A288="","",품목마스터!$D285)</f>
        <v/>
      </c>
      <c r="D288" s="22" t="str">
        <f aca="false">IF($A288="","",IF(품목마스터!$E285="",0,품목마스터!$E285))</f>
        <v/>
      </c>
      <c r="E288" s="22" t="str">
        <f aca="false">IF($A288="","",SUMIFS(사용내역!$E$3:$E$3002,사용내역!$B$3:$B$3002,$A288,사용내역!$A$3:$A$3002,"&gt;"&amp;($B$3-사용안내!$C$16),사용내역!$A$3:$A$3002,"&lt;="&amp;$B$3))</f>
        <v/>
      </c>
      <c r="F288" s="23" t="str">
        <f aca="false">IF($A288="","",IF(사용안내!$C$16=0,0,ROUND($E288/사용안내!$C$16,3)))</f>
        <v/>
      </c>
      <c r="G288" s="24" t="str">
        <f aca="false">IF($A288="","",IF($F288&lt;=0,"사용기록없음",ROUND($D288/$F288,0)))</f>
        <v/>
      </c>
      <c r="H288" s="25" t="str">
        <f aca="false">IF(OR($A288="",$F288&lt;=0),"",$B$3+$G288)</f>
        <v/>
      </c>
      <c r="I288" s="21" t="str">
        <f aca="false">IF($A288="","",IF(품목마스터!$F285="",0,품목마스터!$F285))</f>
        <v/>
      </c>
      <c r="J288" s="25" t="str">
        <f aca="false">IF(OR($A288="",$F288&lt;=0),"",$H288-$I288)</f>
        <v/>
      </c>
      <c r="K288" s="22" t="n">
        <f aca="false">IF(OR($A288="",$F288&lt;=0),0,MAX(0,CEILING(MAX(0,($I288+사용안내!$C$17)*$F288-$D288),MAX(1,IF(품목마스터!$H285="",1,품목마스터!$H285)))))</f>
        <v>0</v>
      </c>
      <c r="L288" s="21" t="str">
        <f aca="false">IF($A288="","",IF($F288&lt;=0,"-",IF($J288&lt;=$B$3,"발주",IF($J288&lt;=$B$3+7,"임박","정상"))))</f>
        <v/>
      </c>
    </row>
    <row r="289" customFormat="false" ht="15" hidden="false" customHeight="true" outlineLevel="0" collapsed="false">
      <c r="A289" s="17" t="str">
        <f aca="false">IF(품목마스터!$A286="","",품목마스터!$A286)</f>
        <v/>
      </c>
      <c r="B289" s="17" t="str">
        <f aca="false">IF($A289="","",품목마스터!$B286)</f>
        <v/>
      </c>
      <c r="C289" s="21" t="str">
        <f aca="false">IF($A289="","",품목마스터!$D286)</f>
        <v/>
      </c>
      <c r="D289" s="22" t="str">
        <f aca="false">IF($A289="","",IF(품목마스터!$E286="",0,품목마스터!$E286))</f>
        <v/>
      </c>
      <c r="E289" s="22" t="str">
        <f aca="false">IF($A289="","",SUMIFS(사용내역!$E$3:$E$3002,사용내역!$B$3:$B$3002,$A289,사용내역!$A$3:$A$3002,"&gt;"&amp;($B$3-사용안내!$C$16),사용내역!$A$3:$A$3002,"&lt;="&amp;$B$3))</f>
        <v/>
      </c>
      <c r="F289" s="23" t="str">
        <f aca="false">IF($A289="","",IF(사용안내!$C$16=0,0,ROUND($E289/사용안내!$C$16,3)))</f>
        <v/>
      </c>
      <c r="G289" s="24" t="str">
        <f aca="false">IF($A289="","",IF($F289&lt;=0,"사용기록없음",ROUND($D289/$F289,0)))</f>
        <v/>
      </c>
      <c r="H289" s="25" t="str">
        <f aca="false">IF(OR($A289="",$F289&lt;=0),"",$B$3+$G289)</f>
        <v/>
      </c>
      <c r="I289" s="21" t="str">
        <f aca="false">IF($A289="","",IF(품목마스터!$F286="",0,품목마스터!$F286))</f>
        <v/>
      </c>
      <c r="J289" s="25" t="str">
        <f aca="false">IF(OR($A289="",$F289&lt;=0),"",$H289-$I289)</f>
        <v/>
      </c>
      <c r="K289" s="22" t="n">
        <f aca="false">IF(OR($A289="",$F289&lt;=0),0,MAX(0,CEILING(MAX(0,($I289+사용안내!$C$17)*$F289-$D289),MAX(1,IF(품목마스터!$H286="",1,품목마스터!$H286)))))</f>
        <v>0</v>
      </c>
      <c r="L289" s="21" t="str">
        <f aca="false">IF($A289="","",IF($F289&lt;=0,"-",IF($J289&lt;=$B$3,"발주",IF($J289&lt;=$B$3+7,"임박","정상"))))</f>
        <v/>
      </c>
    </row>
    <row r="290" customFormat="false" ht="15" hidden="false" customHeight="true" outlineLevel="0" collapsed="false">
      <c r="A290" s="17" t="str">
        <f aca="false">IF(품목마스터!$A287="","",품목마스터!$A287)</f>
        <v/>
      </c>
      <c r="B290" s="17" t="str">
        <f aca="false">IF($A290="","",품목마스터!$B287)</f>
        <v/>
      </c>
      <c r="C290" s="21" t="str">
        <f aca="false">IF($A290="","",품목마스터!$D287)</f>
        <v/>
      </c>
      <c r="D290" s="22" t="str">
        <f aca="false">IF($A290="","",IF(품목마스터!$E287="",0,품목마스터!$E287))</f>
        <v/>
      </c>
      <c r="E290" s="22" t="str">
        <f aca="false">IF($A290="","",SUMIFS(사용내역!$E$3:$E$3002,사용내역!$B$3:$B$3002,$A290,사용내역!$A$3:$A$3002,"&gt;"&amp;($B$3-사용안내!$C$16),사용내역!$A$3:$A$3002,"&lt;="&amp;$B$3))</f>
        <v/>
      </c>
      <c r="F290" s="23" t="str">
        <f aca="false">IF($A290="","",IF(사용안내!$C$16=0,0,ROUND($E290/사용안내!$C$16,3)))</f>
        <v/>
      </c>
      <c r="G290" s="24" t="str">
        <f aca="false">IF($A290="","",IF($F290&lt;=0,"사용기록없음",ROUND($D290/$F290,0)))</f>
        <v/>
      </c>
      <c r="H290" s="25" t="str">
        <f aca="false">IF(OR($A290="",$F290&lt;=0),"",$B$3+$G290)</f>
        <v/>
      </c>
      <c r="I290" s="21" t="str">
        <f aca="false">IF($A290="","",IF(품목마스터!$F287="",0,품목마스터!$F287))</f>
        <v/>
      </c>
      <c r="J290" s="25" t="str">
        <f aca="false">IF(OR($A290="",$F290&lt;=0),"",$H290-$I290)</f>
        <v/>
      </c>
      <c r="K290" s="22" t="n">
        <f aca="false">IF(OR($A290="",$F290&lt;=0),0,MAX(0,CEILING(MAX(0,($I290+사용안내!$C$17)*$F290-$D290),MAX(1,IF(품목마스터!$H287="",1,품목마스터!$H287)))))</f>
        <v>0</v>
      </c>
      <c r="L290" s="21" t="str">
        <f aca="false">IF($A290="","",IF($F290&lt;=0,"-",IF($J290&lt;=$B$3,"발주",IF($J290&lt;=$B$3+7,"임박","정상"))))</f>
        <v/>
      </c>
    </row>
    <row r="291" customFormat="false" ht="15" hidden="false" customHeight="true" outlineLevel="0" collapsed="false">
      <c r="A291" s="17" t="str">
        <f aca="false">IF(품목마스터!$A288="","",품목마스터!$A288)</f>
        <v/>
      </c>
      <c r="B291" s="17" t="str">
        <f aca="false">IF($A291="","",품목마스터!$B288)</f>
        <v/>
      </c>
      <c r="C291" s="21" t="str">
        <f aca="false">IF($A291="","",품목마스터!$D288)</f>
        <v/>
      </c>
      <c r="D291" s="22" t="str">
        <f aca="false">IF($A291="","",IF(품목마스터!$E288="",0,품목마스터!$E288))</f>
        <v/>
      </c>
      <c r="E291" s="22" t="str">
        <f aca="false">IF($A291="","",SUMIFS(사용내역!$E$3:$E$3002,사용내역!$B$3:$B$3002,$A291,사용내역!$A$3:$A$3002,"&gt;"&amp;($B$3-사용안내!$C$16),사용내역!$A$3:$A$3002,"&lt;="&amp;$B$3))</f>
        <v/>
      </c>
      <c r="F291" s="23" t="str">
        <f aca="false">IF($A291="","",IF(사용안내!$C$16=0,0,ROUND($E291/사용안내!$C$16,3)))</f>
        <v/>
      </c>
      <c r="G291" s="24" t="str">
        <f aca="false">IF($A291="","",IF($F291&lt;=0,"사용기록없음",ROUND($D291/$F291,0)))</f>
        <v/>
      </c>
      <c r="H291" s="25" t="str">
        <f aca="false">IF(OR($A291="",$F291&lt;=0),"",$B$3+$G291)</f>
        <v/>
      </c>
      <c r="I291" s="21" t="str">
        <f aca="false">IF($A291="","",IF(품목마스터!$F288="",0,품목마스터!$F288))</f>
        <v/>
      </c>
      <c r="J291" s="25" t="str">
        <f aca="false">IF(OR($A291="",$F291&lt;=0),"",$H291-$I291)</f>
        <v/>
      </c>
      <c r="K291" s="22" t="n">
        <f aca="false">IF(OR($A291="",$F291&lt;=0),0,MAX(0,CEILING(MAX(0,($I291+사용안내!$C$17)*$F291-$D291),MAX(1,IF(품목마스터!$H288="",1,품목마스터!$H288)))))</f>
        <v>0</v>
      </c>
      <c r="L291" s="21" t="str">
        <f aca="false">IF($A291="","",IF($F291&lt;=0,"-",IF($J291&lt;=$B$3,"발주",IF($J291&lt;=$B$3+7,"임박","정상"))))</f>
        <v/>
      </c>
    </row>
    <row r="292" customFormat="false" ht="15" hidden="false" customHeight="true" outlineLevel="0" collapsed="false">
      <c r="A292" s="17" t="str">
        <f aca="false">IF(품목마스터!$A289="","",품목마스터!$A289)</f>
        <v/>
      </c>
      <c r="B292" s="17" t="str">
        <f aca="false">IF($A292="","",품목마스터!$B289)</f>
        <v/>
      </c>
      <c r="C292" s="21" t="str">
        <f aca="false">IF($A292="","",품목마스터!$D289)</f>
        <v/>
      </c>
      <c r="D292" s="22" t="str">
        <f aca="false">IF($A292="","",IF(품목마스터!$E289="",0,품목마스터!$E289))</f>
        <v/>
      </c>
      <c r="E292" s="22" t="str">
        <f aca="false">IF($A292="","",SUMIFS(사용내역!$E$3:$E$3002,사용내역!$B$3:$B$3002,$A292,사용내역!$A$3:$A$3002,"&gt;"&amp;($B$3-사용안내!$C$16),사용내역!$A$3:$A$3002,"&lt;="&amp;$B$3))</f>
        <v/>
      </c>
      <c r="F292" s="23" t="str">
        <f aca="false">IF($A292="","",IF(사용안내!$C$16=0,0,ROUND($E292/사용안내!$C$16,3)))</f>
        <v/>
      </c>
      <c r="G292" s="24" t="str">
        <f aca="false">IF($A292="","",IF($F292&lt;=0,"사용기록없음",ROUND($D292/$F292,0)))</f>
        <v/>
      </c>
      <c r="H292" s="25" t="str">
        <f aca="false">IF(OR($A292="",$F292&lt;=0),"",$B$3+$G292)</f>
        <v/>
      </c>
      <c r="I292" s="21" t="str">
        <f aca="false">IF($A292="","",IF(품목마스터!$F289="",0,품목마스터!$F289))</f>
        <v/>
      </c>
      <c r="J292" s="25" t="str">
        <f aca="false">IF(OR($A292="",$F292&lt;=0),"",$H292-$I292)</f>
        <v/>
      </c>
      <c r="K292" s="22" t="n">
        <f aca="false">IF(OR($A292="",$F292&lt;=0),0,MAX(0,CEILING(MAX(0,($I292+사용안내!$C$17)*$F292-$D292),MAX(1,IF(품목마스터!$H289="",1,품목마스터!$H289)))))</f>
        <v>0</v>
      </c>
      <c r="L292" s="21" t="str">
        <f aca="false">IF($A292="","",IF($F292&lt;=0,"-",IF($J292&lt;=$B$3,"발주",IF($J292&lt;=$B$3+7,"임박","정상"))))</f>
        <v/>
      </c>
    </row>
    <row r="293" customFormat="false" ht="15" hidden="false" customHeight="true" outlineLevel="0" collapsed="false">
      <c r="A293" s="17" t="str">
        <f aca="false">IF(품목마스터!$A290="","",품목마스터!$A290)</f>
        <v/>
      </c>
      <c r="B293" s="17" t="str">
        <f aca="false">IF($A293="","",품목마스터!$B290)</f>
        <v/>
      </c>
      <c r="C293" s="21" t="str">
        <f aca="false">IF($A293="","",품목마스터!$D290)</f>
        <v/>
      </c>
      <c r="D293" s="22" t="str">
        <f aca="false">IF($A293="","",IF(품목마스터!$E290="",0,품목마스터!$E290))</f>
        <v/>
      </c>
      <c r="E293" s="22" t="str">
        <f aca="false">IF($A293="","",SUMIFS(사용내역!$E$3:$E$3002,사용내역!$B$3:$B$3002,$A293,사용내역!$A$3:$A$3002,"&gt;"&amp;($B$3-사용안내!$C$16),사용내역!$A$3:$A$3002,"&lt;="&amp;$B$3))</f>
        <v/>
      </c>
      <c r="F293" s="23" t="str">
        <f aca="false">IF($A293="","",IF(사용안내!$C$16=0,0,ROUND($E293/사용안내!$C$16,3)))</f>
        <v/>
      </c>
      <c r="G293" s="24" t="str">
        <f aca="false">IF($A293="","",IF($F293&lt;=0,"사용기록없음",ROUND($D293/$F293,0)))</f>
        <v/>
      </c>
      <c r="H293" s="25" t="str">
        <f aca="false">IF(OR($A293="",$F293&lt;=0),"",$B$3+$G293)</f>
        <v/>
      </c>
      <c r="I293" s="21" t="str">
        <f aca="false">IF($A293="","",IF(품목마스터!$F290="",0,품목마스터!$F290))</f>
        <v/>
      </c>
      <c r="J293" s="25" t="str">
        <f aca="false">IF(OR($A293="",$F293&lt;=0),"",$H293-$I293)</f>
        <v/>
      </c>
      <c r="K293" s="22" t="n">
        <f aca="false">IF(OR($A293="",$F293&lt;=0),0,MAX(0,CEILING(MAX(0,($I293+사용안내!$C$17)*$F293-$D293),MAX(1,IF(품목마스터!$H290="",1,품목마스터!$H290)))))</f>
        <v>0</v>
      </c>
      <c r="L293" s="21" t="str">
        <f aca="false">IF($A293="","",IF($F293&lt;=0,"-",IF($J293&lt;=$B$3,"발주",IF($J293&lt;=$B$3+7,"임박","정상"))))</f>
        <v/>
      </c>
    </row>
    <row r="294" customFormat="false" ht="15" hidden="false" customHeight="true" outlineLevel="0" collapsed="false">
      <c r="A294" s="17" t="str">
        <f aca="false">IF(품목마스터!$A291="","",품목마스터!$A291)</f>
        <v/>
      </c>
      <c r="B294" s="17" t="str">
        <f aca="false">IF($A294="","",품목마스터!$B291)</f>
        <v/>
      </c>
      <c r="C294" s="21" t="str">
        <f aca="false">IF($A294="","",품목마스터!$D291)</f>
        <v/>
      </c>
      <c r="D294" s="22" t="str">
        <f aca="false">IF($A294="","",IF(품목마스터!$E291="",0,품목마스터!$E291))</f>
        <v/>
      </c>
      <c r="E294" s="22" t="str">
        <f aca="false">IF($A294="","",SUMIFS(사용내역!$E$3:$E$3002,사용내역!$B$3:$B$3002,$A294,사용내역!$A$3:$A$3002,"&gt;"&amp;($B$3-사용안내!$C$16),사용내역!$A$3:$A$3002,"&lt;="&amp;$B$3))</f>
        <v/>
      </c>
      <c r="F294" s="23" t="str">
        <f aca="false">IF($A294="","",IF(사용안내!$C$16=0,0,ROUND($E294/사용안내!$C$16,3)))</f>
        <v/>
      </c>
      <c r="G294" s="24" t="str">
        <f aca="false">IF($A294="","",IF($F294&lt;=0,"사용기록없음",ROUND($D294/$F294,0)))</f>
        <v/>
      </c>
      <c r="H294" s="25" t="str">
        <f aca="false">IF(OR($A294="",$F294&lt;=0),"",$B$3+$G294)</f>
        <v/>
      </c>
      <c r="I294" s="21" t="str">
        <f aca="false">IF($A294="","",IF(품목마스터!$F291="",0,품목마스터!$F291))</f>
        <v/>
      </c>
      <c r="J294" s="25" t="str">
        <f aca="false">IF(OR($A294="",$F294&lt;=0),"",$H294-$I294)</f>
        <v/>
      </c>
      <c r="K294" s="22" t="n">
        <f aca="false">IF(OR($A294="",$F294&lt;=0),0,MAX(0,CEILING(MAX(0,($I294+사용안내!$C$17)*$F294-$D294),MAX(1,IF(품목마스터!$H291="",1,품목마스터!$H291)))))</f>
        <v>0</v>
      </c>
      <c r="L294" s="21" t="str">
        <f aca="false">IF($A294="","",IF($F294&lt;=0,"-",IF($J294&lt;=$B$3,"발주",IF($J294&lt;=$B$3+7,"임박","정상"))))</f>
        <v/>
      </c>
    </row>
    <row r="295" customFormat="false" ht="15" hidden="false" customHeight="true" outlineLevel="0" collapsed="false">
      <c r="A295" s="17" t="str">
        <f aca="false">IF(품목마스터!$A292="","",품목마스터!$A292)</f>
        <v/>
      </c>
      <c r="B295" s="17" t="str">
        <f aca="false">IF($A295="","",품목마스터!$B292)</f>
        <v/>
      </c>
      <c r="C295" s="21" t="str">
        <f aca="false">IF($A295="","",품목마스터!$D292)</f>
        <v/>
      </c>
      <c r="D295" s="22" t="str">
        <f aca="false">IF($A295="","",IF(품목마스터!$E292="",0,품목마스터!$E292))</f>
        <v/>
      </c>
      <c r="E295" s="22" t="str">
        <f aca="false">IF($A295="","",SUMIFS(사용내역!$E$3:$E$3002,사용내역!$B$3:$B$3002,$A295,사용내역!$A$3:$A$3002,"&gt;"&amp;($B$3-사용안내!$C$16),사용내역!$A$3:$A$3002,"&lt;="&amp;$B$3))</f>
        <v/>
      </c>
      <c r="F295" s="23" t="str">
        <f aca="false">IF($A295="","",IF(사용안내!$C$16=0,0,ROUND($E295/사용안내!$C$16,3)))</f>
        <v/>
      </c>
      <c r="G295" s="24" t="str">
        <f aca="false">IF($A295="","",IF($F295&lt;=0,"사용기록없음",ROUND($D295/$F295,0)))</f>
        <v/>
      </c>
      <c r="H295" s="25" t="str">
        <f aca="false">IF(OR($A295="",$F295&lt;=0),"",$B$3+$G295)</f>
        <v/>
      </c>
      <c r="I295" s="21" t="str">
        <f aca="false">IF($A295="","",IF(품목마스터!$F292="",0,품목마스터!$F292))</f>
        <v/>
      </c>
      <c r="J295" s="25" t="str">
        <f aca="false">IF(OR($A295="",$F295&lt;=0),"",$H295-$I295)</f>
        <v/>
      </c>
      <c r="K295" s="22" t="n">
        <f aca="false">IF(OR($A295="",$F295&lt;=0),0,MAX(0,CEILING(MAX(0,($I295+사용안내!$C$17)*$F295-$D295),MAX(1,IF(품목마스터!$H292="",1,품목마스터!$H292)))))</f>
        <v>0</v>
      </c>
      <c r="L295" s="21" t="str">
        <f aca="false">IF($A295="","",IF($F295&lt;=0,"-",IF($J295&lt;=$B$3,"발주",IF($J295&lt;=$B$3+7,"임박","정상"))))</f>
        <v/>
      </c>
    </row>
    <row r="296" customFormat="false" ht="15" hidden="false" customHeight="true" outlineLevel="0" collapsed="false">
      <c r="A296" s="17" t="str">
        <f aca="false">IF(품목마스터!$A293="","",품목마스터!$A293)</f>
        <v/>
      </c>
      <c r="B296" s="17" t="str">
        <f aca="false">IF($A296="","",품목마스터!$B293)</f>
        <v/>
      </c>
      <c r="C296" s="21" t="str">
        <f aca="false">IF($A296="","",품목마스터!$D293)</f>
        <v/>
      </c>
      <c r="D296" s="22" t="str">
        <f aca="false">IF($A296="","",IF(품목마스터!$E293="",0,품목마스터!$E293))</f>
        <v/>
      </c>
      <c r="E296" s="22" t="str">
        <f aca="false">IF($A296="","",SUMIFS(사용내역!$E$3:$E$3002,사용내역!$B$3:$B$3002,$A296,사용내역!$A$3:$A$3002,"&gt;"&amp;($B$3-사용안내!$C$16),사용내역!$A$3:$A$3002,"&lt;="&amp;$B$3))</f>
        <v/>
      </c>
      <c r="F296" s="23" t="str">
        <f aca="false">IF($A296="","",IF(사용안내!$C$16=0,0,ROUND($E296/사용안내!$C$16,3)))</f>
        <v/>
      </c>
      <c r="G296" s="24" t="str">
        <f aca="false">IF($A296="","",IF($F296&lt;=0,"사용기록없음",ROUND($D296/$F296,0)))</f>
        <v/>
      </c>
      <c r="H296" s="25" t="str">
        <f aca="false">IF(OR($A296="",$F296&lt;=0),"",$B$3+$G296)</f>
        <v/>
      </c>
      <c r="I296" s="21" t="str">
        <f aca="false">IF($A296="","",IF(품목마스터!$F293="",0,품목마스터!$F293))</f>
        <v/>
      </c>
      <c r="J296" s="25" t="str">
        <f aca="false">IF(OR($A296="",$F296&lt;=0),"",$H296-$I296)</f>
        <v/>
      </c>
      <c r="K296" s="22" t="n">
        <f aca="false">IF(OR($A296="",$F296&lt;=0),0,MAX(0,CEILING(MAX(0,($I296+사용안내!$C$17)*$F296-$D296),MAX(1,IF(품목마스터!$H293="",1,품목마스터!$H293)))))</f>
        <v>0</v>
      </c>
      <c r="L296" s="21" t="str">
        <f aca="false">IF($A296="","",IF($F296&lt;=0,"-",IF($J296&lt;=$B$3,"발주",IF($J296&lt;=$B$3+7,"임박","정상"))))</f>
        <v/>
      </c>
    </row>
    <row r="297" customFormat="false" ht="15" hidden="false" customHeight="true" outlineLevel="0" collapsed="false">
      <c r="A297" s="17" t="str">
        <f aca="false">IF(품목마스터!$A294="","",품목마스터!$A294)</f>
        <v/>
      </c>
      <c r="B297" s="17" t="str">
        <f aca="false">IF($A297="","",품목마스터!$B294)</f>
        <v/>
      </c>
      <c r="C297" s="21" t="str">
        <f aca="false">IF($A297="","",품목마스터!$D294)</f>
        <v/>
      </c>
      <c r="D297" s="22" t="str">
        <f aca="false">IF($A297="","",IF(품목마스터!$E294="",0,품목마스터!$E294))</f>
        <v/>
      </c>
      <c r="E297" s="22" t="str">
        <f aca="false">IF($A297="","",SUMIFS(사용내역!$E$3:$E$3002,사용내역!$B$3:$B$3002,$A297,사용내역!$A$3:$A$3002,"&gt;"&amp;($B$3-사용안내!$C$16),사용내역!$A$3:$A$3002,"&lt;="&amp;$B$3))</f>
        <v/>
      </c>
      <c r="F297" s="23" t="str">
        <f aca="false">IF($A297="","",IF(사용안내!$C$16=0,0,ROUND($E297/사용안내!$C$16,3)))</f>
        <v/>
      </c>
      <c r="G297" s="24" t="str">
        <f aca="false">IF($A297="","",IF($F297&lt;=0,"사용기록없음",ROUND($D297/$F297,0)))</f>
        <v/>
      </c>
      <c r="H297" s="25" t="str">
        <f aca="false">IF(OR($A297="",$F297&lt;=0),"",$B$3+$G297)</f>
        <v/>
      </c>
      <c r="I297" s="21" t="str">
        <f aca="false">IF($A297="","",IF(품목마스터!$F294="",0,품목마스터!$F294))</f>
        <v/>
      </c>
      <c r="J297" s="25" t="str">
        <f aca="false">IF(OR($A297="",$F297&lt;=0),"",$H297-$I297)</f>
        <v/>
      </c>
      <c r="K297" s="22" t="n">
        <f aca="false">IF(OR($A297="",$F297&lt;=0),0,MAX(0,CEILING(MAX(0,($I297+사용안내!$C$17)*$F297-$D297),MAX(1,IF(품목마스터!$H294="",1,품목마스터!$H294)))))</f>
        <v>0</v>
      </c>
      <c r="L297" s="21" t="str">
        <f aca="false">IF($A297="","",IF($F297&lt;=0,"-",IF($J297&lt;=$B$3,"발주",IF($J297&lt;=$B$3+7,"임박","정상"))))</f>
        <v/>
      </c>
    </row>
    <row r="298" customFormat="false" ht="15" hidden="false" customHeight="true" outlineLevel="0" collapsed="false">
      <c r="A298" s="17" t="str">
        <f aca="false">IF(품목마스터!$A295="","",품목마스터!$A295)</f>
        <v/>
      </c>
      <c r="B298" s="17" t="str">
        <f aca="false">IF($A298="","",품목마스터!$B295)</f>
        <v/>
      </c>
      <c r="C298" s="21" t="str">
        <f aca="false">IF($A298="","",품목마스터!$D295)</f>
        <v/>
      </c>
      <c r="D298" s="22" t="str">
        <f aca="false">IF($A298="","",IF(품목마스터!$E295="",0,품목마스터!$E295))</f>
        <v/>
      </c>
      <c r="E298" s="22" t="str">
        <f aca="false">IF($A298="","",SUMIFS(사용내역!$E$3:$E$3002,사용내역!$B$3:$B$3002,$A298,사용내역!$A$3:$A$3002,"&gt;"&amp;($B$3-사용안내!$C$16),사용내역!$A$3:$A$3002,"&lt;="&amp;$B$3))</f>
        <v/>
      </c>
      <c r="F298" s="23" t="str">
        <f aca="false">IF($A298="","",IF(사용안내!$C$16=0,0,ROUND($E298/사용안내!$C$16,3)))</f>
        <v/>
      </c>
      <c r="G298" s="24" t="str">
        <f aca="false">IF($A298="","",IF($F298&lt;=0,"사용기록없음",ROUND($D298/$F298,0)))</f>
        <v/>
      </c>
      <c r="H298" s="25" t="str">
        <f aca="false">IF(OR($A298="",$F298&lt;=0),"",$B$3+$G298)</f>
        <v/>
      </c>
      <c r="I298" s="21" t="str">
        <f aca="false">IF($A298="","",IF(품목마스터!$F295="",0,품목마스터!$F295))</f>
        <v/>
      </c>
      <c r="J298" s="25" t="str">
        <f aca="false">IF(OR($A298="",$F298&lt;=0),"",$H298-$I298)</f>
        <v/>
      </c>
      <c r="K298" s="22" t="n">
        <f aca="false">IF(OR($A298="",$F298&lt;=0),0,MAX(0,CEILING(MAX(0,($I298+사용안내!$C$17)*$F298-$D298),MAX(1,IF(품목마스터!$H295="",1,품목마스터!$H295)))))</f>
        <v>0</v>
      </c>
      <c r="L298" s="21" t="str">
        <f aca="false">IF($A298="","",IF($F298&lt;=0,"-",IF($J298&lt;=$B$3,"발주",IF($J298&lt;=$B$3+7,"임박","정상"))))</f>
        <v/>
      </c>
    </row>
    <row r="299" customFormat="false" ht="15" hidden="false" customHeight="true" outlineLevel="0" collapsed="false">
      <c r="A299" s="17" t="str">
        <f aca="false">IF(품목마스터!$A296="","",품목마스터!$A296)</f>
        <v/>
      </c>
      <c r="B299" s="17" t="str">
        <f aca="false">IF($A299="","",품목마스터!$B296)</f>
        <v/>
      </c>
      <c r="C299" s="21" t="str">
        <f aca="false">IF($A299="","",품목마스터!$D296)</f>
        <v/>
      </c>
      <c r="D299" s="22" t="str">
        <f aca="false">IF($A299="","",IF(품목마스터!$E296="",0,품목마스터!$E296))</f>
        <v/>
      </c>
      <c r="E299" s="22" t="str">
        <f aca="false">IF($A299="","",SUMIFS(사용내역!$E$3:$E$3002,사용내역!$B$3:$B$3002,$A299,사용내역!$A$3:$A$3002,"&gt;"&amp;($B$3-사용안내!$C$16),사용내역!$A$3:$A$3002,"&lt;="&amp;$B$3))</f>
        <v/>
      </c>
      <c r="F299" s="23" t="str">
        <f aca="false">IF($A299="","",IF(사용안내!$C$16=0,0,ROUND($E299/사용안내!$C$16,3)))</f>
        <v/>
      </c>
      <c r="G299" s="24" t="str">
        <f aca="false">IF($A299="","",IF($F299&lt;=0,"사용기록없음",ROUND($D299/$F299,0)))</f>
        <v/>
      </c>
      <c r="H299" s="25" t="str">
        <f aca="false">IF(OR($A299="",$F299&lt;=0),"",$B$3+$G299)</f>
        <v/>
      </c>
      <c r="I299" s="21" t="str">
        <f aca="false">IF($A299="","",IF(품목마스터!$F296="",0,품목마스터!$F296))</f>
        <v/>
      </c>
      <c r="J299" s="25" t="str">
        <f aca="false">IF(OR($A299="",$F299&lt;=0),"",$H299-$I299)</f>
        <v/>
      </c>
      <c r="K299" s="22" t="n">
        <f aca="false">IF(OR($A299="",$F299&lt;=0),0,MAX(0,CEILING(MAX(0,($I299+사용안내!$C$17)*$F299-$D299),MAX(1,IF(품목마스터!$H296="",1,품목마스터!$H296)))))</f>
        <v>0</v>
      </c>
      <c r="L299" s="21" t="str">
        <f aca="false">IF($A299="","",IF($F299&lt;=0,"-",IF($J299&lt;=$B$3,"발주",IF($J299&lt;=$B$3+7,"임박","정상"))))</f>
        <v/>
      </c>
    </row>
    <row r="300" customFormat="false" ht="15" hidden="false" customHeight="true" outlineLevel="0" collapsed="false">
      <c r="A300" s="17" t="str">
        <f aca="false">IF(품목마스터!$A297="","",품목마스터!$A297)</f>
        <v/>
      </c>
      <c r="B300" s="17" t="str">
        <f aca="false">IF($A300="","",품목마스터!$B297)</f>
        <v/>
      </c>
      <c r="C300" s="21" t="str">
        <f aca="false">IF($A300="","",품목마스터!$D297)</f>
        <v/>
      </c>
      <c r="D300" s="22" t="str">
        <f aca="false">IF($A300="","",IF(품목마스터!$E297="",0,품목마스터!$E297))</f>
        <v/>
      </c>
      <c r="E300" s="22" t="str">
        <f aca="false">IF($A300="","",SUMIFS(사용내역!$E$3:$E$3002,사용내역!$B$3:$B$3002,$A300,사용내역!$A$3:$A$3002,"&gt;"&amp;($B$3-사용안내!$C$16),사용내역!$A$3:$A$3002,"&lt;="&amp;$B$3))</f>
        <v/>
      </c>
      <c r="F300" s="23" t="str">
        <f aca="false">IF($A300="","",IF(사용안내!$C$16=0,0,ROUND($E300/사용안내!$C$16,3)))</f>
        <v/>
      </c>
      <c r="G300" s="24" t="str">
        <f aca="false">IF($A300="","",IF($F300&lt;=0,"사용기록없음",ROUND($D300/$F300,0)))</f>
        <v/>
      </c>
      <c r="H300" s="25" t="str">
        <f aca="false">IF(OR($A300="",$F300&lt;=0),"",$B$3+$G300)</f>
        <v/>
      </c>
      <c r="I300" s="21" t="str">
        <f aca="false">IF($A300="","",IF(품목마스터!$F297="",0,품목마스터!$F297))</f>
        <v/>
      </c>
      <c r="J300" s="25" t="str">
        <f aca="false">IF(OR($A300="",$F300&lt;=0),"",$H300-$I300)</f>
        <v/>
      </c>
      <c r="K300" s="22" t="n">
        <f aca="false">IF(OR($A300="",$F300&lt;=0),0,MAX(0,CEILING(MAX(0,($I300+사용안내!$C$17)*$F300-$D300),MAX(1,IF(품목마스터!$H297="",1,품목마스터!$H297)))))</f>
        <v>0</v>
      </c>
      <c r="L300" s="21" t="str">
        <f aca="false">IF($A300="","",IF($F300&lt;=0,"-",IF($J300&lt;=$B$3,"발주",IF($J300&lt;=$B$3+7,"임박","정상"))))</f>
        <v/>
      </c>
    </row>
    <row r="301" customFormat="false" ht="15" hidden="false" customHeight="true" outlineLevel="0" collapsed="false">
      <c r="A301" s="17" t="str">
        <f aca="false">IF(품목마스터!$A298="","",품목마스터!$A298)</f>
        <v/>
      </c>
      <c r="B301" s="17" t="str">
        <f aca="false">IF($A301="","",품목마스터!$B298)</f>
        <v/>
      </c>
      <c r="C301" s="21" t="str">
        <f aca="false">IF($A301="","",품목마스터!$D298)</f>
        <v/>
      </c>
      <c r="D301" s="22" t="str">
        <f aca="false">IF($A301="","",IF(품목마스터!$E298="",0,품목마스터!$E298))</f>
        <v/>
      </c>
      <c r="E301" s="22" t="str">
        <f aca="false">IF($A301="","",SUMIFS(사용내역!$E$3:$E$3002,사용내역!$B$3:$B$3002,$A301,사용내역!$A$3:$A$3002,"&gt;"&amp;($B$3-사용안내!$C$16),사용내역!$A$3:$A$3002,"&lt;="&amp;$B$3))</f>
        <v/>
      </c>
      <c r="F301" s="23" t="str">
        <f aca="false">IF($A301="","",IF(사용안내!$C$16=0,0,ROUND($E301/사용안내!$C$16,3)))</f>
        <v/>
      </c>
      <c r="G301" s="24" t="str">
        <f aca="false">IF($A301="","",IF($F301&lt;=0,"사용기록없음",ROUND($D301/$F301,0)))</f>
        <v/>
      </c>
      <c r="H301" s="25" t="str">
        <f aca="false">IF(OR($A301="",$F301&lt;=0),"",$B$3+$G301)</f>
        <v/>
      </c>
      <c r="I301" s="21" t="str">
        <f aca="false">IF($A301="","",IF(품목마스터!$F298="",0,품목마스터!$F298))</f>
        <v/>
      </c>
      <c r="J301" s="25" t="str">
        <f aca="false">IF(OR($A301="",$F301&lt;=0),"",$H301-$I301)</f>
        <v/>
      </c>
      <c r="K301" s="22" t="n">
        <f aca="false">IF(OR($A301="",$F301&lt;=0),0,MAX(0,CEILING(MAX(0,($I301+사용안내!$C$17)*$F301-$D301),MAX(1,IF(품목마스터!$H298="",1,품목마스터!$H298)))))</f>
        <v>0</v>
      </c>
      <c r="L301" s="21" t="str">
        <f aca="false">IF($A301="","",IF($F301&lt;=0,"-",IF($J301&lt;=$B$3,"발주",IF($J301&lt;=$B$3+7,"임박","정상"))))</f>
        <v/>
      </c>
    </row>
    <row r="302" customFormat="false" ht="15" hidden="false" customHeight="true" outlineLevel="0" collapsed="false">
      <c r="A302" s="17" t="str">
        <f aca="false">IF(품목마스터!$A299="","",품목마스터!$A299)</f>
        <v/>
      </c>
      <c r="B302" s="17" t="str">
        <f aca="false">IF($A302="","",품목마스터!$B299)</f>
        <v/>
      </c>
      <c r="C302" s="21" t="str">
        <f aca="false">IF($A302="","",품목마스터!$D299)</f>
        <v/>
      </c>
      <c r="D302" s="22" t="str">
        <f aca="false">IF($A302="","",IF(품목마스터!$E299="",0,품목마스터!$E299))</f>
        <v/>
      </c>
      <c r="E302" s="22" t="str">
        <f aca="false">IF($A302="","",SUMIFS(사용내역!$E$3:$E$3002,사용내역!$B$3:$B$3002,$A302,사용내역!$A$3:$A$3002,"&gt;"&amp;($B$3-사용안내!$C$16),사용내역!$A$3:$A$3002,"&lt;="&amp;$B$3))</f>
        <v/>
      </c>
      <c r="F302" s="23" t="str">
        <f aca="false">IF($A302="","",IF(사용안내!$C$16=0,0,ROUND($E302/사용안내!$C$16,3)))</f>
        <v/>
      </c>
      <c r="G302" s="24" t="str">
        <f aca="false">IF($A302="","",IF($F302&lt;=0,"사용기록없음",ROUND($D302/$F302,0)))</f>
        <v/>
      </c>
      <c r="H302" s="25" t="str">
        <f aca="false">IF(OR($A302="",$F302&lt;=0),"",$B$3+$G302)</f>
        <v/>
      </c>
      <c r="I302" s="21" t="str">
        <f aca="false">IF($A302="","",IF(품목마스터!$F299="",0,품목마스터!$F299))</f>
        <v/>
      </c>
      <c r="J302" s="25" t="str">
        <f aca="false">IF(OR($A302="",$F302&lt;=0),"",$H302-$I302)</f>
        <v/>
      </c>
      <c r="K302" s="22" t="n">
        <f aca="false">IF(OR($A302="",$F302&lt;=0),0,MAX(0,CEILING(MAX(0,($I302+사용안내!$C$17)*$F302-$D302),MAX(1,IF(품목마스터!$H299="",1,품목마스터!$H299)))))</f>
        <v>0</v>
      </c>
      <c r="L302" s="21" t="str">
        <f aca="false">IF($A302="","",IF($F302&lt;=0,"-",IF($J302&lt;=$B$3,"발주",IF($J302&lt;=$B$3+7,"임박","정상"))))</f>
        <v/>
      </c>
    </row>
    <row r="303" customFormat="false" ht="15" hidden="false" customHeight="true" outlineLevel="0" collapsed="false">
      <c r="A303" s="17" t="str">
        <f aca="false">IF(품목마스터!$A300="","",품목마스터!$A300)</f>
        <v/>
      </c>
      <c r="B303" s="17" t="str">
        <f aca="false">IF($A303="","",품목마스터!$B300)</f>
        <v/>
      </c>
      <c r="C303" s="21" t="str">
        <f aca="false">IF($A303="","",품목마스터!$D300)</f>
        <v/>
      </c>
      <c r="D303" s="22" t="str">
        <f aca="false">IF($A303="","",IF(품목마스터!$E300="",0,품목마스터!$E300))</f>
        <v/>
      </c>
      <c r="E303" s="22" t="str">
        <f aca="false">IF($A303="","",SUMIFS(사용내역!$E$3:$E$3002,사용내역!$B$3:$B$3002,$A303,사용내역!$A$3:$A$3002,"&gt;"&amp;($B$3-사용안내!$C$16),사용내역!$A$3:$A$3002,"&lt;="&amp;$B$3))</f>
        <v/>
      </c>
      <c r="F303" s="23" t="str">
        <f aca="false">IF($A303="","",IF(사용안내!$C$16=0,0,ROUND($E303/사용안내!$C$16,3)))</f>
        <v/>
      </c>
      <c r="G303" s="24" t="str">
        <f aca="false">IF($A303="","",IF($F303&lt;=0,"사용기록없음",ROUND($D303/$F303,0)))</f>
        <v/>
      </c>
      <c r="H303" s="25" t="str">
        <f aca="false">IF(OR($A303="",$F303&lt;=0),"",$B$3+$G303)</f>
        <v/>
      </c>
      <c r="I303" s="21" t="str">
        <f aca="false">IF($A303="","",IF(품목마스터!$F300="",0,품목마스터!$F300))</f>
        <v/>
      </c>
      <c r="J303" s="25" t="str">
        <f aca="false">IF(OR($A303="",$F303&lt;=0),"",$H303-$I303)</f>
        <v/>
      </c>
      <c r="K303" s="22" t="n">
        <f aca="false">IF(OR($A303="",$F303&lt;=0),0,MAX(0,CEILING(MAX(0,($I303+사용안내!$C$17)*$F303-$D303),MAX(1,IF(품목마스터!$H300="",1,품목마스터!$H300)))))</f>
        <v>0</v>
      </c>
      <c r="L303" s="21" t="str">
        <f aca="false">IF($A303="","",IF($F303&lt;=0,"-",IF($J303&lt;=$B$3,"발주",IF($J303&lt;=$B$3+7,"임박","정상"))))</f>
        <v/>
      </c>
    </row>
    <row r="304" customFormat="false" ht="15" hidden="false" customHeight="true" outlineLevel="0" collapsed="false">
      <c r="A304" s="17" t="str">
        <f aca="false">IF(품목마스터!$A301="","",품목마스터!$A301)</f>
        <v/>
      </c>
      <c r="B304" s="17" t="str">
        <f aca="false">IF($A304="","",품목마스터!$B301)</f>
        <v/>
      </c>
      <c r="C304" s="21" t="str">
        <f aca="false">IF($A304="","",품목마스터!$D301)</f>
        <v/>
      </c>
      <c r="D304" s="22" t="str">
        <f aca="false">IF($A304="","",IF(품목마스터!$E301="",0,품목마스터!$E301))</f>
        <v/>
      </c>
      <c r="E304" s="22" t="str">
        <f aca="false">IF($A304="","",SUMIFS(사용내역!$E$3:$E$3002,사용내역!$B$3:$B$3002,$A304,사용내역!$A$3:$A$3002,"&gt;"&amp;($B$3-사용안내!$C$16),사용내역!$A$3:$A$3002,"&lt;="&amp;$B$3))</f>
        <v/>
      </c>
      <c r="F304" s="23" t="str">
        <f aca="false">IF($A304="","",IF(사용안내!$C$16=0,0,ROUND($E304/사용안내!$C$16,3)))</f>
        <v/>
      </c>
      <c r="G304" s="24" t="str">
        <f aca="false">IF($A304="","",IF($F304&lt;=0,"사용기록없음",ROUND($D304/$F304,0)))</f>
        <v/>
      </c>
      <c r="H304" s="25" t="str">
        <f aca="false">IF(OR($A304="",$F304&lt;=0),"",$B$3+$G304)</f>
        <v/>
      </c>
      <c r="I304" s="21" t="str">
        <f aca="false">IF($A304="","",IF(품목마스터!$F301="",0,품목마스터!$F301))</f>
        <v/>
      </c>
      <c r="J304" s="25" t="str">
        <f aca="false">IF(OR($A304="",$F304&lt;=0),"",$H304-$I304)</f>
        <v/>
      </c>
      <c r="K304" s="22" t="n">
        <f aca="false">IF(OR($A304="",$F304&lt;=0),0,MAX(0,CEILING(MAX(0,($I304+사용안내!$C$17)*$F304-$D304),MAX(1,IF(품목마스터!$H301="",1,품목마스터!$H301)))))</f>
        <v>0</v>
      </c>
      <c r="L304" s="21" t="str">
        <f aca="false">IF($A304="","",IF($F304&lt;=0,"-",IF($J304&lt;=$B$3,"발주",IF($J304&lt;=$B$3+7,"임박","정상"))))</f>
        <v/>
      </c>
    </row>
    <row r="305" customFormat="false" ht="15" hidden="false" customHeight="true" outlineLevel="0" collapsed="false">
      <c r="A305" s="17" t="str">
        <f aca="false">IF(품목마스터!$A302="","",품목마스터!$A302)</f>
        <v/>
      </c>
      <c r="B305" s="17" t="str">
        <f aca="false">IF($A305="","",품목마스터!$B302)</f>
        <v/>
      </c>
      <c r="C305" s="21" t="str">
        <f aca="false">IF($A305="","",품목마스터!$D302)</f>
        <v/>
      </c>
      <c r="D305" s="22" t="str">
        <f aca="false">IF($A305="","",IF(품목마스터!$E302="",0,품목마스터!$E302))</f>
        <v/>
      </c>
      <c r="E305" s="22" t="str">
        <f aca="false">IF($A305="","",SUMIFS(사용내역!$E$3:$E$3002,사용내역!$B$3:$B$3002,$A305,사용내역!$A$3:$A$3002,"&gt;"&amp;($B$3-사용안내!$C$16),사용내역!$A$3:$A$3002,"&lt;="&amp;$B$3))</f>
        <v/>
      </c>
      <c r="F305" s="23" t="str">
        <f aca="false">IF($A305="","",IF(사용안내!$C$16=0,0,ROUND($E305/사용안내!$C$16,3)))</f>
        <v/>
      </c>
      <c r="G305" s="24" t="str">
        <f aca="false">IF($A305="","",IF($F305&lt;=0,"사용기록없음",ROUND($D305/$F305,0)))</f>
        <v/>
      </c>
      <c r="H305" s="25" t="str">
        <f aca="false">IF(OR($A305="",$F305&lt;=0),"",$B$3+$G305)</f>
        <v/>
      </c>
      <c r="I305" s="21" t="str">
        <f aca="false">IF($A305="","",IF(품목마스터!$F302="",0,품목마스터!$F302))</f>
        <v/>
      </c>
      <c r="J305" s="25" t="str">
        <f aca="false">IF(OR($A305="",$F305&lt;=0),"",$H305-$I305)</f>
        <v/>
      </c>
      <c r="K305" s="22" t="n">
        <f aca="false">IF(OR($A305="",$F305&lt;=0),0,MAX(0,CEILING(MAX(0,($I305+사용안내!$C$17)*$F305-$D305),MAX(1,IF(품목마스터!$H302="",1,품목마스터!$H302)))))</f>
        <v>0</v>
      </c>
      <c r="L305" s="21" t="str">
        <f aca="false">IF($A305="","",IF($F305&lt;=0,"-",IF($J305&lt;=$B$3,"발주",IF($J305&lt;=$B$3+7,"임박","정상"))))</f>
        <v/>
      </c>
    </row>
    <row r="307" customFormat="false" ht="15" hidden="false" customHeight="true" outlineLevel="0" collapsed="false">
      <c r="A307" s="7" t="s">
        <v>72</v>
      </c>
    </row>
    <row r="308" customFormat="false" ht="15" hidden="false" customHeight="true" outlineLevel="0" collapsed="false">
      <c r="A308" s="7" t="s">
        <v>73</v>
      </c>
    </row>
  </sheetData>
  <mergeCells count="1">
    <mergeCell ref="A1:L1"/>
  </mergeCells>
  <conditionalFormatting sqref="A6:L305">
    <cfRule type="expression" priority="2" aboveAverage="0" equalAverage="0" bottom="0" percent="0" rank="0" text="" dxfId="0">
      <formula>$L6="발주"</formula>
    </cfRule>
    <cfRule type="expression" priority="3" aboveAverage="0" equalAverage="0" bottom="0" percent="0" rank="0" text="" dxfId="1">
      <formula>$L6="임박"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8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11" min="10" style="1" width="12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75</v>
      </c>
      <c r="B3" s="27" t="s">
        <v>76</v>
      </c>
      <c r="D3" s="3" t="s">
        <v>77</v>
      </c>
      <c r="E3" s="20" t="n">
        <f aca="false">COUNTIF($J$6:$J$305,TRUE())</f>
        <v>2</v>
      </c>
    </row>
    <row r="5" customFormat="false" ht="15" hidden="false" customHeight="true" outlineLevel="0" collapsed="false">
      <c r="A5" s="9" t="s">
        <v>78</v>
      </c>
      <c r="B5" s="9" t="s">
        <v>27</v>
      </c>
      <c r="C5" s="9" t="s">
        <v>28</v>
      </c>
      <c r="D5" s="9" t="s">
        <v>30</v>
      </c>
      <c r="E5" s="9" t="s">
        <v>31</v>
      </c>
      <c r="F5" s="9" t="s">
        <v>18</v>
      </c>
      <c r="G5" s="9" t="s">
        <v>35</v>
      </c>
      <c r="H5" s="9" t="s">
        <v>70</v>
      </c>
      <c r="J5" s="7" t="s">
        <v>79</v>
      </c>
      <c r="K5" s="7" t="s">
        <v>80</v>
      </c>
      <c r="L5" s="7" t="s">
        <v>81</v>
      </c>
    </row>
    <row r="6" customFormat="false" ht="15" hidden="false" customHeight="true" outlineLevel="0" collapsed="false">
      <c r="A6" s="28" t="n">
        <f aca="false">IF($B6="","",1)</f>
        <v>1</v>
      </c>
      <c r="B6" s="17" t="str">
        <f aca="false">IFERROR(INDEX(소진분석!$A$6:$A$305,MATCH("R"&amp;1,발주목록!$L$6:$L$305,0)),"")</f>
        <v>M003</v>
      </c>
      <c r="C6" s="17" t="str">
        <f aca="false">IF($B6="","",IFERROR(INDEX(소진분석!$B$6:$B$305,MATCH("R"&amp;1,발주목록!$L$6:$L$305,0)),""))</f>
        <v>소독용 알코올</v>
      </c>
      <c r="D6" s="28" t="str">
        <f aca="false">IF($B6="","",IFERROR(INDEX(소진분석!$C$6:$C$305,MATCH("R"&amp;1,발주목록!$L$6:$L$305,0)),""))</f>
        <v>통</v>
      </c>
      <c r="E6" s="22" t="n">
        <f aca="false">IF($B6="","",IFERROR(INDEX(소진분석!$D$6:$D$305,MATCH("R"&amp;1,발주목록!$L$6:$L$305,0)),""))</f>
        <v>3</v>
      </c>
      <c r="F6" s="22" t="n">
        <f aca="false">IF($B6="","",IFERROR(INDEX(소진분석!$K$6:$K$305,MATCH("R"&amp;1,발주목록!$L$6:$L$305,0)),""))</f>
        <v>18</v>
      </c>
      <c r="G6" s="17" t="str">
        <f aca="false">IF($B6="","",IFERROR(INDEX(품목마스터!$I$3:$I$302,MATCH($B6,품목마스터!$A$3:$A$302,0)),""))</f>
        <v>△△상사</v>
      </c>
      <c r="H6" s="25" t="n">
        <f aca="false">IF($B6="","",IFERROR(INDEX(소진분석!$J$6:$J$305,MATCH("R"&amp;1,발주목록!$L$6:$L$305,0)),""))</f>
        <v>46279</v>
      </c>
      <c r="J6" s="29" t="b">
        <f aca="false">IF(소진분석!$A6="",FALSE(),IF($B$3="발주만",소진분석!$L6="발주",OR(소진분석!$L6="발주",소진분석!$L6="임박")))</f>
        <v>0</v>
      </c>
      <c r="K6" s="7" t="str">
        <f aca="false">IF($J6=FALSE(),"",COUNTIF($J$6:$J6,TRUE()))</f>
        <v/>
      </c>
      <c r="L6" s="7" t="str">
        <f aca="false">IF($K6="","","R"&amp;$K6)</f>
        <v/>
      </c>
    </row>
    <row r="7" customFormat="false" ht="15" hidden="false" customHeight="true" outlineLevel="0" collapsed="false">
      <c r="A7" s="28" t="n">
        <f aca="false">IF($B7="","",2)</f>
        <v>2</v>
      </c>
      <c r="B7" s="17" t="str">
        <f aca="false">IFERROR(INDEX(소진분석!$A$6:$A$305,MATCH("R"&amp;2,발주목록!$L$6:$L$305,0)),"")</f>
        <v>M004</v>
      </c>
      <c r="C7" s="17" t="str">
        <f aca="false">IF($B7="","",IFERROR(INDEX(소진분석!$B$6:$B$305,MATCH("R"&amp;2,발주목록!$L$6:$L$305,0)),""))</f>
        <v>라텍스 장갑 M</v>
      </c>
      <c r="D7" s="28" t="str">
        <f aca="false">IF($B7="","",IFERROR(INDEX(소진분석!$C$6:$C$305,MATCH("R"&amp;2,발주목록!$L$6:$L$305,0)),""))</f>
        <v>박스</v>
      </c>
      <c r="E7" s="22" t="n">
        <f aca="false">IF($B7="","",IFERROR(INDEX(소진분석!$D$6:$D$305,MATCH("R"&amp;2,발주목록!$L$6:$L$305,0)),""))</f>
        <v>2</v>
      </c>
      <c r="F7" s="22" t="n">
        <f aca="false">IF($B7="","",IFERROR(INDEX(소진분석!$K$6:$K$305,MATCH("R"&amp;2,발주목록!$L$6:$L$305,0)),""))</f>
        <v>5</v>
      </c>
      <c r="G7" s="17" t="str">
        <f aca="false">IF($B7="","",IFERROR(INDEX(품목마스터!$I$3:$I$302,MATCH($B7,품목마스터!$A$3:$A$302,0)),""))</f>
        <v>△△상사</v>
      </c>
      <c r="H7" s="25" t="n">
        <f aca="false">IF($B7="","",IFERROR(INDEX(소진분석!$J$6:$J$305,MATCH("R"&amp;2,발주목록!$L$6:$L$305,0)),""))</f>
        <v>46276</v>
      </c>
      <c r="J7" s="29" t="b">
        <f aca="false">IF(소진분석!$A7="",FALSE(),IF($B$3="발주만",소진분석!$L7="발주",OR(소진분석!$L7="발주",소진분석!$L7="임박")))</f>
        <v>0</v>
      </c>
      <c r="K7" s="7" t="str">
        <f aca="false">IF($J7=FALSE(),"",COUNTIF($J$6:$J7,TRUE()))</f>
        <v/>
      </c>
      <c r="L7" s="7" t="str">
        <f aca="false">IF($K7="","","R"&amp;$K7)</f>
        <v/>
      </c>
    </row>
    <row r="8" customFormat="false" ht="15" hidden="false" customHeight="true" outlineLevel="0" collapsed="false">
      <c r="A8" s="28" t="str">
        <f aca="false">IF($B8="","",3)</f>
        <v/>
      </c>
      <c r="B8" s="17" t="str">
        <f aca="false">IFERROR(INDEX(소진분석!$A$6:$A$305,MATCH("R"&amp;3,발주목록!$L$6:$L$305,0)),"")</f>
        <v/>
      </c>
      <c r="C8" s="17" t="str">
        <f aca="false">IF($B8="","",IFERROR(INDEX(소진분석!$B$6:$B$305,MATCH("R"&amp;3,발주목록!$L$6:$L$305,0)),""))</f>
        <v/>
      </c>
      <c r="D8" s="28" t="str">
        <f aca="false">IF($B8="","",IFERROR(INDEX(소진분석!$C$6:$C$305,MATCH("R"&amp;3,발주목록!$L$6:$L$305,0)),""))</f>
        <v/>
      </c>
      <c r="E8" s="22" t="str">
        <f aca="false">IF($B8="","",IFERROR(INDEX(소진분석!$D$6:$D$305,MATCH("R"&amp;3,발주목록!$L$6:$L$305,0)),""))</f>
        <v/>
      </c>
      <c r="F8" s="22" t="str">
        <f aca="false">IF($B8="","",IFERROR(INDEX(소진분석!$K$6:$K$305,MATCH("R"&amp;3,발주목록!$L$6:$L$305,0)),""))</f>
        <v/>
      </c>
      <c r="G8" s="17" t="str">
        <f aca="false">IF($B8="","",IFERROR(INDEX(품목마스터!$I$3:$I$302,MATCH($B8,품목마스터!$A$3:$A$302,0)),""))</f>
        <v/>
      </c>
      <c r="H8" s="25" t="str">
        <f aca="false">IF($B8="","",IFERROR(INDEX(소진분석!$J$6:$J$305,MATCH("R"&amp;3,발주목록!$L$6:$L$305,0)),""))</f>
        <v/>
      </c>
      <c r="J8" s="29" t="b">
        <f aca="false">IF(소진분석!$A8="",FALSE(),IF($B$3="발주만",소진분석!$L8="발주",OR(소진분석!$L8="발주",소진분석!$L8="임박")))</f>
        <v>1</v>
      </c>
      <c r="K8" s="7" t="n">
        <f aca="false">IF($J8=FALSE(),"",COUNTIF($J$6:$J8,TRUE()))</f>
        <v>1</v>
      </c>
      <c r="L8" s="7" t="str">
        <f aca="false">IF($K8="","","R"&amp;$K8)</f>
        <v>R1</v>
      </c>
    </row>
    <row r="9" customFormat="false" ht="15" hidden="false" customHeight="true" outlineLevel="0" collapsed="false">
      <c r="A9" s="28" t="str">
        <f aca="false">IF($B9="","",4)</f>
        <v/>
      </c>
      <c r="B9" s="17" t="str">
        <f aca="false">IFERROR(INDEX(소진분석!$A$6:$A$305,MATCH("R"&amp;4,발주목록!$L$6:$L$305,0)),"")</f>
        <v/>
      </c>
      <c r="C9" s="17" t="str">
        <f aca="false">IF($B9="","",IFERROR(INDEX(소진분석!$B$6:$B$305,MATCH("R"&amp;4,발주목록!$L$6:$L$305,0)),""))</f>
        <v/>
      </c>
      <c r="D9" s="28" t="str">
        <f aca="false">IF($B9="","",IFERROR(INDEX(소진분석!$C$6:$C$305,MATCH("R"&amp;4,발주목록!$L$6:$L$305,0)),""))</f>
        <v/>
      </c>
      <c r="E9" s="22" t="str">
        <f aca="false">IF($B9="","",IFERROR(INDEX(소진분석!$D$6:$D$305,MATCH("R"&amp;4,발주목록!$L$6:$L$305,0)),""))</f>
        <v/>
      </c>
      <c r="F9" s="22" t="str">
        <f aca="false">IF($B9="","",IFERROR(INDEX(소진분석!$K$6:$K$305,MATCH("R"&amp;4,발주목록!$L$6:$L$305,0)),""))</f>
        <v/>
      </c>
      <c r="G9" s="17" t="str">
        <f aca="false">IF($B9="","",IFERROR(INDEX(품목마스터!$I$3:$I$302,MATCH($B9,품목마스터!$A$3:$A$302,0)),""))</f>
        <v/>
      </c>
      <c r="H9" s="25" t="str">
        <f aca="false">IF($B9="","",IFERROR(INDEX(소진분석!$J$6:$J$305,MATCH("R"&amp;4,발주목록!$L$6:$L$305,0)),""))</f>
        <v/>
      </c>
      <c r="J9" s="29" t="b">
        <f aca="false">IF(소진분석!$A9="",FALSE(),IF($B$3="발주만",소진분석!$L9="발주",OR(소진분석!$L9="발주",소진분석!$L9="임박")))</f>
        <v>1</v>
      </c>
      <c r="K9" s="7" t="n">
        <f aca="false">IF($J9=FALSE(),"",COUNTIF($J$6:$J9,TRUE()))</f>
        <v>2</v>
      </c>
      <c r="L9" s="7" t="str">
        <f aca="false">IF($K9="","","R"&amp;$K9)</f>
        <v>R2</v>
      </c>
    </row>
    <row r="10" customFormat="false" ht="15" hidden="false" customHeight="true" outlineLevel="0" collapsed="false">
      <c r="A10" s="28" t="str">
        <f aca="false">IF($B10="","",5)</f>
        <v/>
      </c>
      <c r="B10" s="17" t="str">
        <f aca="false">IFERROR(INDEX(소진분석!$A$6:$A$305,MATCH("R"&amp;5,발주목록!$L$6:$L$305,0)),"")</f>
        <v/>
      </c>
      <c r="C10" s="17" t="str">
        <f aca="false">IF($B10="","",IFERROR(INDEX(소진분석!$B$6:$B$305,MATCH("R"&amp;5,발주목록!$L$6:$L$305,0)),""))</f>
        <v/>
      </c>
      <c r="D10" s="28" t="str">
        <f aca="false">IF($B10="","",IFERROR(INDEX(소진분석!$C$6:$C$305,MATCH("R"&amp;5,발주목록!$L$6:$L$305,0)),""))</f>
        <v/>
      </c>
      <c r="E10" s="22" t="str">
        <f aca="false">IF($B10="","",IFERROR(INDEX(소진분석!$D$6:$D$305,MATCH("R"&amp;5,발주목록!$L$6:$L$305,0)),""))</f>
        <v/>
      </c>
      <c r="F10" s="22" t="str">
        <f aca="false">IF($B10="","",IFERROR(INDEX(소진분석!$K$6:$K$305,MATCH("R"&amp;5,발주목록!$L$6:$L$305,0)),""))</f>
        <v/>
      </c>
      <c r="G10" s="17" t="str">
        <f aca="false">IF($B10="","",IFERROR(INDEX(품목마스터!$I$3:$I$302,MATCH($B10,품목마스터!$A$3:$A$302,0)),""))</f>
        <v/>
      </c>
      <c r="H10" s="25" t="str">
        <f aca="false">IF($B10="","",IFERROR(INDEX(소진분석!$J$6:$J$305,MATCH("R"&amp;5,발주목록!$L$6:$L$305,0)),""))</f>
        <v/>
      </c>
      <c r="J10" s="29" t="b">
        <f aca="false">IF(소진분석!$A10="",FALSE(),IF($B$3="발주만",소진분석!$L10="발주",OR(소진분석!$L10="발주",소진분석!$L10="임박")))</f>
        <v>0</v>
      </c>
      <c r="K10" s="7" t="str">
        <f aca="false">IF($J10=FALSE(),"",COUNTIF($J$6:$J10,TRUE()))</f>
        <v/>
      </c>
      <c r="L10" s="7" t="str">
        <f aca="false">IF($K10="","","R"&amp;$K10)</f>
        <v/>
      </c>
    </row>
    <row r="11" customFormat="false" ht="15" hidden="false" customHeight="true" outlineLevel="0" collapsed="false">
      <c r="A11" s="28" t="str">
        <f aca="false">IF($B11="","",6)</f>
        <v/>
      </c>
      <c r="B11" s="17" t="str">
        <f aca="false">IFERROR(INDEX(소진분석!$A$6:$A$305,MATCH("R"&amp;6,발주목록!$L$6:$L$305,0)),"")</f>
        <v/>
      </c>
      <c r="C11" s="17" t="str">
        <f aca="false">IF($B11="","",IFERROR(INDEX(소진분석!$B$6:$B$305,MATCH("R"&amp;6,발주목록!$L$6:$L$305,0)),""))</f>
        <v/>
      </c>
      <c r="D11" s="28" t="str">
        <f aca="false">IF($B11="","",IFERROR(INDEX(소진분석!$C$6:$C$305,MATCH("R"&amp;6,발주목록!$L$6:$L$305,0)),""))</f>
        <v/>
      </c>
      <c r="E11" s="22" t="str">
        <f aca="false">IF($B11="","",IFERROR(INDEX(소진분석!$D$6:$D$305,MATCH("R"&amp;6,발주목록!$L$6:$L$305,0)),""))</f>
        <v/>
      </c>
      <c r="F11" s="22" t="str">
        <f aca="false">IF($B11="","",IFERROR(INDEX(소진분석!$K$6:$K$305,MATCH("R"&amp;6,발주목록!$L$6:$L$305,0)),""))</f>
        <v/>
      </c>
      <c r="G11" s="17" t="str">
        <f aca="false">IF($B11="","",IFERROR(INDEX(품목마스터!$I$3:$I$302,MATCH($B11,품목마스터!$A$3:$A$302,0)),""))</f>
        <v/>
      </c>
      <c r="H11" s="25" t="str">
        <f aca="false">IF($B11="","",IFERROR(INDEX(소진분석!$J$6:$J$305,MATCH("R"&amp;6,발주목록!$L$6:$L$305,0)),""))</f>
        <v/>
      </c>
      <c r="J11" s="29" t="b">
        <f aca="false">IF(소진분석!$A11="",FALSE(),IF($B$3="발주만",소진분석!$L11="발주",OR(소진분석!$L11="발주",소진분석!$L11="임박")))</f>
        <v>0</v>
      </c>
      <c r="K11" s="7" t="str">
        <f aca="false">IF($J11=FALSE(),"",COUNTIF($J$6:$J11,TRUE()))</f>
        <v/>
      </c>
      <c r="L11" s="7" t="str">
        <f aca="false">IF($K11="","","R"&amp;$K11)</f>
        <v/>
      </c>
    </row>
    <row r="12" customFormat="false" ht="15" hidden="false" customHeight="true" outlineLevel="0" collapsed="false">
      <c r="A12" s="28" t="str">
        <f aca="false">IF($B12="","",7)</f>
        <v/>
      </c>
      <c r="B12" s="17" t="str">
        <f aca="false">IFERROR(INDEX(소진분석!$A$6:$A$305,MATCH("R"&amp;7,발주목록!$L$6:$L$305,0)),"")</f>
        <v/>
      </c>
      <c r="C12" s="17" t="str">
        <f aca="false">IF($B12="","",IFERROR(INDEX(소진분석!$B$6:$B$305,MATCH("R"&amp;7,발주목록!$L$6:$L$305,0)),""))</f>
        <v/>
      </c>
      <c r="D12" s="28" t="str">
        <f aca="false">IF($B12="","",IFERROR(INDEX(소진분석!$C$6:$C$305,MATCH("R"&amp;7,발주목록!$L$6:$L$305,0)),""))</f>
        <v/>
      </c>
      <c r="E12" s="22" t="str">
        <f aca="false">IF($B12="","",IFERROR(INDEX(소진분석!$D$6:$D$305,MATCH("R"&amp;7,발주목록!$L$6:$L$305,0)),""))</f>
        <v/>
      </c>
      <c r="F12" s="22" t="str">
        <f aca="false">IF($B12="","",IFERROR(INDEX(소진분석!$K$6:$K$305,MATCH("R"&amp;7,발주목록!$L$6:$L$305,0)),""))</f>
        <v/>
      </c>
      <c r="G12" s="17" t="str">
        <f aca="false">IF($B12="","",IFERROR(INDEX(품목마스터!$I$3:$I$302,MATCH($B12,품목마스터!$A$3:$A$302,0)),""))</f>
        <v/>
      </c>
      <c r="H12" s="25" t="str">
        <f aca="false">IF($B12="","",IFERROR(INDEX(소진분석!$J$6:$J$305,MATCH("R"&amp;7,발주목록!$L$6:$L$305,0)),""))</f>
        <v/>
      </c>
      <c r="J12" s="29" t="b">
        <f aca="false">IF(소진분석!$A12="",FALSE(),IF($B$3="발주만",소진분석!$L12="발주",OR(소진분석!$L12="발주",소진분석!$L12="임박")))</f>
        <v>0</v>
      </c>
      <c r="K12" s="7" t="str">
        <f aca="false">IF($J12=FALSE(),"",COUNTIF($J$6:$J12,TRUE()))</f>
        <v/>
      </c>
      <c r="L12" s="7" t="str">
        <f aca="false">IF($K12="","","R"&amp;$K12)</f>
        <v/>
      </c>
    </row>
    <row r="13" customFormat="false" ht="15" hidden="false" customHeight="true" outlineLevel="0" collapsed="false">
      <c r="A13" s="28" t="str">
        <f aca="false">IF($B13="","",8)</f>
        <v/>
      </c>
      <c r="B13" s="17" t="str">
        <f aca="false">IFERROR(INDEX(소진분석!$A$6:$A$305,MATCH("R"&amp;8,발주목록!$L$6:$L$305,0)),"")</f>
        <v/>
      </c>
      <c r="C13" s="17" t="str">
        <f aca="false">IF($B13="","",IFERROR(INDEX(소진분석!$B$6:$B$305,MATCH("R"&amp;8,발주목록!$L$6:$L$305,0)),""))</f>
        <v/>
      </c>
      <c r="D13" s="28" t="str">
        <f aca="false">IF($B13="","",IFERROR(INDEX(소진분석!$C$6:$C$305,MATCH("R"&amp;8,발주목록!$L$6:$L$305,0)),""))</f>
        <v/>
      </c>
      <c r="E13" s="22" t="str">
        <f aca="false">IF($B13="","",IFERROR(INDEX(소진분석!$D$6:$D$305,MATCH("R"&amp;8,발주목록!$L$6:$L$305,0)),""))</f>
        <v/>
      </c>
      <c r="F13" s="22" t="str">
        <f aca="false">IF($B13="","",IFERROR(INDEX(소진분석!$K$6:$K$305,MATCH("R"&amp;8,발주목록!$L$6:$L$305,0)),""))</f>
        <v/>
      </c>
      <c r="G13" s="17" t="str">
        <f aca="false">IF($B13="","",IFERROR(INDEX(품목마스터!$I$3:$I$302,MATCH($B13,품목마스터!$A$3:$A$302,0)),""))</f>
        <v/>
      </c>
      <c r="H13" s="25" t="str">
        <f aca="false">IF($B13="","",IFERROR(INDEX(소진분석!$J$6:$J$305,MATCH("R"&amp;8,발주목록!$L$6:$L$305,0)),""))</f>
        <v/>
      </c>
      <c r="J13" s="29" t="b">
        <f aca="false">IF(소진분석!$A13="",FALSE(),IF($B$3="발주만",소진분석!$L13="발주",OR(소진분석!$L13="발주",소진분석!$L13="임박")))</f>
        <v>0</v>
      </c>
      <c r="K13" s="7" t="str">
        <f aca="false">IF($J13=FALSE(),"",COUNTIF($J$6:$J13,TRUE()))</f>
        <v/>
      </c>
      <c r="L13" s="7" t="str">
        <f aca="false">IF($K13="","","R"&amp;$K13)</f>
        <v/>
      </c>
    </row>
    <row r="14" customFormat="false" ht="15" hidden="false" customHeight="true" outlineLevel="0" collapsed="false">
      <c r="A14" s="28" t="str">
        <f aca="false">IF($B14="","",9)</f>
        <v/>
      </c>
      <c r="B14" s="17" t="str">
        <f aca="false">IFERROR(INDEX(소진분석!$A$6:$A$305,MATCH("R"&amp;9,발주목록!$L$6:$L$305,0)),"")</f>
        <v/>
      </c>
      <c r="C14" s="17" t="str">
        <f aca="false">IF($B14="","",IFERROR(INDEX(소진분석!$B$6:$B$305,MATCH("R"&amp;9,발주목록!$L$6:$L$305,0)),""))</f>
        <v/>
      </c>
      <c r="D14" s="28" t="str">
        <f aca="false">IF($B14="","",IFERROR(INDEX(소진분석!$C$6:$C$305,MATCH("R"&amp;9,발주목록!$L$6:$L$305,0)),""))</f>
        <v/>
      </c>
      <c r="E14" s="22" t="str">
        <f aca="false">IF($B14="","",IFERROR(INDEX(소진분석!$D$6:$D$305,MATCH("R"&amp;9,발주목록!$L$6:$L$305,0)),""))</f>
        <v/>
      </c>
      <c r="F14" s="22" t="str">
        <f aca="false">IF($B14="","",IFERROR(INDEX(소진분석!$K$6:$K$305,MATCH("R"&amp;9,발주목록!$L$6:$L$305,0)),""))</f>
        <v/>
      </c>
      <c r="G14" s="17" t="str">
        <f aca="false">IF($B14="","",IFERROR(INDEX(품목마스터!$I$3:$I$302,MATCH($B14,품목마스터!$A$3:$A$302,0)),""))</f>
        <v/>
      </c>
      <c r="H14" s="25" t="str">
        <f aca="false">IF($B14="","",IFERROR(INDEX(소진분석!$J$6:$J$305,MATCH("R"&amp;9,발주목록!$L$6:$L$305,0)),""))</f>
        <v/>
      </c>
      <c r="J14" s="29" t="b">
        <f aca="false">IF(소진분석!$A14="",FALSE(),IF($B$3="발주만",소진분석!$L14="발주",OR(소진분석!$L14="발주",소진분석!$L14="임박")))</f>
        <v>0</v>
      </c>
      <c r="K14" s="7" t="str">
        <f aca="false">IF($J14=FALSE(),"",COUNTIF($J$6:$J14,TRUE()))</f>
        <v/>
      </c>
      <c r="L14" s="7" t="str">
        <f aca="false">IF($K14="","","R"&amp;$K14)</f>
        <v/>
      </c>
    </row>
    <row r="15" customFormat="false" ht="15" hidden="false" customHeight="true" outlineLevel="0" collapsed="false">
      <c r="A15" s="28" t="str">
        <f aca="false">IF($B15="","",10)</f>
        <v/>
      </c>
      <c r="B15" s="17" t="str">
        <f aca="false">IFERROR(INDEX(소진분석!$A$6:$A$305,MATCH("R"&amp;10,발주목록!$L$6:$L$305,0)),"")</f>
        <v/>
      </c>
      <c r="C15" s="17" t="str">
        <f aca="false">IF($B15="","",IFERROR(INDEX(소진분석!$B$6:$B$305,MATCH("R"&amp;10,발주목록!$L$6:$L$305,0)),""))</f>
        <v/>
      </c>
      <c r="D15" s="28" t="str">
        <f aca="false">IF($B15="","",IFERROR(INDEX(소진분석!$C$6:$C$305,MATCH("R"&amp;10,발주목록!$L$6:$L$305,0)),""))</f>
        <v/>
      </c>
      <c r="E15" s="22" t="str">
        <f aca="false">IF($B15="","",IFERROR(INDEX(소진분석!$D$6:$D$305,MATCH("R"&amp;10,발주목록!$L$6:$L$305,0)),""))</f>
        <v/>
      </c>
      <c r="F15" s="22" t="str">
        <f aca="false">IF($B15="","",IFERROR(INDEX(소진분석!$K$6:$K$305,MATCH("R"&amp;10,발주목록!$L$6:$L$305,0)),""))</f>
        <v/>
      </c>
      <c r="G15" s="17" t="str">
        <f aca="false">IF($B15="","",IFERROR(INDEX(품목마스터!$I$3:$I$302,MATCH($B15,품목마스터!$A$3:$A$302,0)),""))</f>
        <v/>
      </c>
      <c r="H15" s="25" t="str">
        <f aca="false">IF($B15="","",IFERROR(INDEX(소진분석!$J$6:$J$305,MATCH("R"&amp;10,발주목록!$L$6:$L$305,0)),""))</f>
        <v/>
      </c>
      <c r="J15" s="29" t="b">
        <f aca="false">IF(소진분석!$A15="",FALSE(),IF($B$3="발주만",소진분석!$L15="발주",OR(소진분석!$L15="발주",소진분석!$L15="임박")))</f>
        <v>0</v>
      </c>
      <c r="K15" s="7" t="str">
        <f aca="false">IF($J15=FALSE(),"",COUNTIF($J$6:$J15,TRUE()))</f>
        <v/>
      </c>
      <c r="L15" s="7" t="str">
        <f aca="false">IF($K15="","","R"&amp;$K15)</f>
        <v/>
      </c>
    </row>
    <row r="16" customFormat="false" ht="15" hidden="false" customHeight="true" outlineLevel="0" collapsed="false">
      <c r="A16" s="28" t="str">
        <f aca="false">IF($B16="","",11)</f>
        <v/>
      </c>
      <c r="B16" s="17" t="str">
        <f aca="false">IFERROR(INDEX(소진분석!$A$6:$A$305,MATCH("R"&amp;11,발주목록!$L$6:$L$305,0)),"")</f>
        <v/>
      </c>
      <c r="C16" s="17" t="str">
        <f aca="false">IF($B16="","",IFERROR(INDEX(소진분석!$B$6:$B$305,MATCH("R"&amp;11,발주목록!$L$6:$L$305,0)),""))</f>
        <v/>
      </c>
      <c r="D16" s="28" t="str">
        <f aca="false">IF($B16="","",IFERROR(INDEX(소진분석!$C$6:$C$305,MATCH("R"&amp;11,발주목록!$L$6:$L$305,0)),""))</f>
        <v/>
      </c>
      <c r="E16" s="22" t="str">
        <f aca="false">IF($B16="","",IFERROR(INDEX(소진분석!$D$6:$D$305,MATCH("R"&amp;11,발주목록!$L$6:$L$305,0)),""))</f>
        <v/>
      </c>
      <c r="F16" s="22" t="str">
        <f aca="false">IF($B16="","",IFERROR(INDEX(소진분석!$K$6:$K$305,MATCH("R"&amp;11,발주목록!$L$6:$L$305,0)),""))</f>
        <v/>
      </c>
      <c r="G16" s="17" t="str">
        <f aca="false">IF($B16="","",IFERROR(INDEX(품목마스터!$I$3:$I$302,MATCH($B16,품목마스터!$A$3:$A$302,0)),""))</f>
        <v/>
      </c>
      <c r="H16" s="25" t="str">
        <f aca="false">IF($B16="","",IFERROR(INDEX(소진분석!$J$6:$J$305,MATCH("R"&amp;11,발주목록!$L$6:$L$305,0)),""))</f>
        <v/>
      </c>
      <c r="J16" s="29" t="b">
        <f aca="false">IF(소진분석!$A16="",FALSE(),IF($B$3="발주만",소진분석!$L16="발주",OR(소진분석!$L16="발주",소진분석!$L16="임박")))</f>
        <v>0</v>
      </c>
      <c r="K16" s="7" t="str">
        <f aca="false">IF($J16=FALSE(),"",COUNTIF($J$6:$J16,TRUE()))</f>
        <v/>
      </c>
      <c r="L16" s="7" t="str">
        <f aca="false">IF($K16="","","R"&amp;$K16)</f>
        <v/>
      </c>
    </row>
    <row r="17" customFormat="false" ht="15" hidden="false" customHeight="true" outlineLevel="0" collapsed="false">
      <c r="A17" s="28" t="str">
        <f aca="false">IF($B17="","",12)</f>
        <v/>
      </c>
      <c r="B17" s="17" t="str">
        <f aca="false">IFERROR(INDEX(소진분석!$A$6:$A$305,MATCH("R"&amp;12,발주목록!$L$6:$L$305,0)),"")</f>
        <v/>
      </c>
      <c r="C17" s="17" t="str">
        <f aca="false">IF($B17="","",IFERROR(INDEX(소진분석!$B$6:$B$305,MATCH("R"&amp;12,발주목록!$L$6:$L$305,0)),""))</f>
        <v/>
      </c>
      <c r="D17" s="28" t="str">
        <f aca="false">IF($B17="","",IFERROR(INDEX(소진분석!$C$6:$C$305,MATCH("R"&amp;12,발주목록!$L$6:$L$305,0)),""))</f>
        <v/>
      </c>
      <c r="E17" s="22" t="str">
        <f aca="false">IF($B17="","",IFERROR(INDEX(소진분석!$D$6:$D$305,MATCH("R"&amp;12,발주목록!$L$6:$L$305,0)),""))</f>
        <v/>
      </c>
      <c r="F17" s="22" t="str">
        <f aca="false">IF($B17="","",IFERROR(INDEX(소진분석!$K$6:$K$305,MATCH("R"&amp;12,발주목록!$L$6:$L$305,0)),""))</f>
        <v/>
      </c>
      <c r="G17" s="17" t="str">
        <f aca="false">IF($B17="","",IFERROR(INDEX(품목마스터!$I$3:$I$302,MATCH($B17,품목마스터!$A$3:$A$302,0)),""))</f>
        <v/>
      </c>
      <c r="H17" s="25" t="str">
        <f aca="false">IF($B17="","",IFERROR(INDEX(소진분석!$J$6:$J$305,MATCH("R"&amp;12,발주목록!$L$6:$L$305,0)),""))</f>
        <v/>
      </c>
      <c r="J17" s="29" t="b">
        <f aca="false">IF(소진분석!$A17="",FALSE(),IF($B$3="발주만",소진분석!$L17="발주",OR(소진분석!$L17="발주",소진분석!$L17="임박")))</f>
        <v>0</v>
      </c>
      <c r="K17" s="7" t="str">
        <f aca="false">IF($J17=FALSE(),"",COUNTIF($J$6:$J17,TRUE()))</f>
        <v/>
      </c>
      <c r="L17" s="7" t="str">
        <f aca="false">IF($K17="","","R"&amp;$K17)</f>
        <v/>
      </c>
    </row>
    <row r="18" customFormat="false" ht="15" hidden="false" customHeight="true" outlineLevel="0" collapsed="false">
      <c r="A18" s="28" t="str">
        <f aca="false">IF($B18="","",13)</f>
        <v/>
      </c>
      <c r="B18" s="17" t="str">
        <f aca="false">IFERROR(INDEX(소진분석!$A$6:$A$305,MATCH("R"&amp;13,발주목록!$L$6:$L$305,0)),"")</f>
        <v/>
      </c>
      <c r="C18" s="17" t="str">
        <f aca="false">IF($B18="","",IFERROR(INDEX(소진분석!$B$6:$B$305,MATCH("R"&amp;13,발주목록!$L$6:$L$305,0)),""))</f>
        <v/>
      </c>
      <c r="D18" s="28" t="str">
        <f aca="false">IF($B18="","",IFERROR(INDEX(소진분석!$C$6:$C$305,MATCH("R"&amp;13,발주목록!$L$6:$L$305,0)),""))</f>
        <v/>
      </c>
      <c r="E18" s="22" t="str">
        <f aca="false">IF($B18="","",IFERROR(INDEX(소진분석!$D$6:$D$305,MATCH("R"&amp;13,발주목록!$L$6:$L$305,0)),""))</f>
        <v/>
      </c>
      <c r="F18" s="22" t="str">
        <f aca="false">IF($B18="","",IFERROR(INDEX(소진분석!$K$6:$K$305,MATCH("R"&amp;13,발주목록!$L$6:$L$305,0)),""))</f>
        <v/>
      </c>
      <c r="G18" s="17" t="str">
        <f aca="false">IF($B18="","",IFERROR(INDEX(품목마스터!$I$3:$I$302,MATCH($B18,품목마스터!$A$3:$A$302,0)),""))</f>
        <v/>
      </c>
      <c r="H18" s="25" t="str">
        <f aca="false">IF($B18="","",IFERROR(INDEX(소진분석!$J$6:$J$305,MATCH("R"&amp;13,발주목록!$L$6:$L$305,0)),""))</f>
        <v/>
      </c>
      <c r="J18" s="29" t="b">
        <f aca="false">IF(소진분석!$A18="",FALSE(),IF($B$3="발주만",소진분석!$L18="발주",OR(소진분석!$L18="발주",소진분석!$L18="임박")))</f>
        <v>0</v>
      </c>
      <c r="K18" s="7" t="str">
        <f aca="false">IF($J18=FALSE(),"",COUNTIF($J$6:$J18,TRUE()))</f>
        <v/>
      </c>
      <c r="L18" s="7" t="str">
        <f aca="false">IF($K18="","","R"&amp;$K18)</f>
        <v/>
      </c>
    </row>
    <row r="19" customFormat="false" ht="15" hidden="false" customHeight="true" outlineLevel="0" collapsed="false">
      <c r="A19" s="28" t="str">
        <f aca="false">IF($B19="","",14)</f>
        <v/>
      </c>
      <c r="B19" s="17" t="str">
        <f aca="false">IFERROR(INDEX(소진분석!$A$6:$A$305,MATCH("R"&amp;14,발주목록!$L$6:$L$305,0)),"")</f>
        <v/>
      </c>
      <c r="C19" s="17" t="str">
        <f aca="false">IF($B19="","",IFERROR(INDEX(소진분석!$B$6:$B$305,MATCH("R"&amp;14,발주목록!$L$6:$L$305,0)),""))</f>
        <v/>
      </c>
      <c r="D19" s="28" t="str">
        <f aca="false">IF($B19="","",IFERROR(INDEX(소진분석!$C$6:$C$305,MATCH("R"&amp;14,발주목록!$L$6:$L$305,0)),""))</f>
        <v/>
      </c>
      <c r="E19" s="22" t="str">
        <f aca="false">IF($B19="","",IFERROR(INDEX(소진분석!$D$6:$D$305,MATCH("R"&amp;14,발주목록!$L$6:$L$305,0)),""))</f>
        <v/>
      </c>
      <c r="F19" s="22" t="str">
        <f aca="false">IF($B19="","",IFERROR(INDEX(소진분석!$K$6:$K$305,MATCH("R"&amp;14,발주목록!$L$6:$L$305,0)),""))</f>
        <v/>
      </c>
      <c r="G19" s="17" t="str">
        <f aca="false">IF($B19="","",IFERROR(INDEX(품목마스터!$I$3:$I$302,MATCH($B19,품목마스터!$A$3:$A$302,0)),""))</f>
        <v/>
      </c>
      <c r="H19" s="25" t="str">
        <f aca="false">IF($B19="","",IFERROR(INDEX(소진분석!$J$6:$J$305,MATCH("R"&amp;14,발주목록!$L$6:$L$305,0)),""))</f>
        <v/>
      </c>
      <c r="J19" s="29" t="b">
        <f aca="false">IF(소진분석!$A19="",FALSE(),IF($B$3="발주만",소진분석!$L19="발주",OR(소진분석!$L19="발주",소진분석!$L19="임박")))</f>
        <v>0</v>
      </c>
      <c r="K19" s="7" t="str">
        <f aca="false">IF($J19=FALSE(),"",COUNTIF($J$6:$J19,TRUE()))</f>
        <v/>
      </c>
      <c r="L19" s="7" t="str">
        <f aca="false">IF($K19="","","R"&amp;$K19)</f>
        <v/>
      </c>
    </row>
    <row r="20" customFormat="false" ht="15" hidden="false" customHeight="true" outlineLevel="0" collapsed="false">
      <c r="A20" s="28" t="str">
        <f aca="false">IF($B20="","",15)</f>
        <v/>
      </c>
      <c r="B20" s="17" t="str">
        <f aca="false">IFERROR(INDEX(소진분석!$A$6:$A$305,MATCH("R"&amp;15,발주목록!$L$6:$L$305,0)),"")</f>
        <v/>
      </c>
      <c r="C20" s="17" t="str">
        <f aca="false">IF($B20="","",IFERROR(INDEX(소진분석!$B$6:$B$305,MATCH("R"&amp;15,발주목록!$L$6:$L$305,0)),""))</f>
        <v/>
      </c>
      <c r="D20" s="28" t="str">
        <f aca="false">IF($B20="","",IFERROR(INDEX(소진분석!$C$6:$C$305,MATCH("R"&amp;15,발주목록!$L$6:$L$305,0)),""))</f>
        <v/>
      </c>
      <c r="E20" s="22" t="str">
        <f aca="false">IF($B20="","",IFERROR(INDEX(소진분석!$D$6:$D$305,MATCH("R"&amp;15,발주목록!$L$6:$L$305,0)),""))</f>
        <v/>
      </c>
      <c r="F20" s="22" t="str">
        <f aca="false">IF($B20="","",IFERROR(INDEX(소진분석!$K$6:$K$305,MATCH("R"&amp;15,발주목록!$L$6:$L$305,0)),""))</f>
        <v/>
      </c>
      <c r="G20" s="17" t="str">
        <f aca="false">IF($B20="","",IFERROR(INDEX(품목마스터!$I$3:$I$302,MATCH($B20,품목마스터!$A$3:$A$302,0)),""))</f>
        <v/>
      </c>
      <c r="H20" s="25" t="str">
        <f aca="false">IF($B20="","",IFERROR(INDEX(소진분석!$J$6:$J$305,MATCH("R"&amp;15,발주목록!$L$6:$L$305,0)),""))</f>
        <v/>
      </c>
      <c r="J20" s="29" t="b">
        <f aca="false">IF(소진분석!$A20="",FALSE(),IF($B$3="발주만",소진분석!$L20="발주",OR(소진분석!$L20="발주",소진분석!$L20="임박")))</f>
        <v>0</v>
      </c>
      <c r="K20" s="7" t="str">
        <f aca="false">IF($J20=FALSE(),"",COUNTIF($J$6:$J20,TRUE()))</f>
        <v/>
      </c>
      <c r="L20" s="7" t="str">
        <f aca="false">IF($K20="","","R"&amp;$K20)</f>
        <v/>
      </c>
    </row>
    <row r="21" customFormat="false" ht="15" hidden="false" customHeight="true" outlineLevel="0" collapsed="false">
      <c r="A21" s="28" t="str">
        <f aca="false">IF($B21="","",16)</f>
        <v/>
      </c>
      <c r="B21" s="17" t="str">
        <f aca="false">IFERROR(INDEX(소진분석!$A$6:$A$305,MATCH("R"&amp;16,발주목록!$L$6:$L$305,0)),"")</f>
        <v/>
      </c>
      <c r="C21" s="17" t="str">
        <f aca="false">IF($B21="","",IFERROR(INDEX(소진분석!$B$6:$B$305,MATCH("R"&amp;16,발주목록!$L$6:$L$305,0)),""))</f>
        <v/>
      </c>
      <c r="D21" s="28" t="str">
        <f aca="false">IF($B21="","",IFERROR(INDEX(소진분석!$C$6:$C$305,MATCH("R"&amp;16,발주목록!$L$6:$L$305,0)),""))</f>
        <v/>
      </c>
      <c r="E21" s="22" t="str">
        <f aca="false">IF($B21="","",IFERROR(INDEX(소진분석!$D$6:$D$305,MATCH("R"&amp;16,발주목록!$L$6:$L$305,0)),""))</f>
        <v/>
      </c>
      <c r="F21" s="22" t="str">
        <f aca="false">IF($B21="","",IFERROR(INDEX(소진분석!$K$6:$K$305,MATCH("R"&amp;16,발주목록!$L$6:$L$305,0)),""))</f>
        <v/>
      </c>
      <c r="G21" s="17" t="str">
        <f aca="false">IF($B21="","",IFERROR(INDEX(품목마스터!$I$3:$I$302,MATCH($B21,품목마스터!$A$3:$A$302,0)),""))</f>
        <v/>
      </c>
      <c r="H21" s="25" t="str">
        <f aca="false">IF($B21="","",IFERROR(INDEX(소진분석!$J$6:$J$305,MATCH("R"&amp;16,발주목록!$L$6:$L$305,0)),""))</f>
        <v/>
      </c>
      <c r="J21" s="29" t="b">
        <f aca="false">IF(소진분석!$A21="",FALSE(),IF($B$3="발주만",소진분석!$L21="발주",OR(소진분석!$L21="발주",소진분석!$L21="임박")))</f>
        <v>0</v>
      </c>
      <c r="K21" s="7" t="str">
        <f aca="false">IF($J21=FALSE(),"",COUNTIF($J$6:$J21,TRUE()))</f>
        <v/>
      </c>
      <c r="L21" s="7" t="str">
        <f aca="false">IF($K21="","","R"&amp;$K21)</f>
        <v/>
      </c>
    </row>
    <row r="22" customFormat="false" ht="15" hidden="false" customHeight="true" outlineLevel="0" collapsed="false">
      <c r="A22" s="28" t="str">
        <f aca="false">IF($B22="","",17)</f>
        <v/>
      </c>
      <c r="B22" s="17" t="str">
        <f aca="false">IFERROR(INDEX(소진분석!$A$6:$A$305,MATCH("R"&amp;17,발주목록!$L$6:$L$305,0)),"")</f>
        <v/>
      </c>
      <c r="C22" s="17" t="str">
        <f aca="false">IF($B22="","",IFERROR(INDEX(소진분석!$B$6:$B$305,MATCH("R"&amp;17,발주목록!$L$6:$L$305,0)),""))</f>
        <v/>
      </c>
      <c r="D22" s="28" t="str">
        <f aca="false">IF($B22="","",IFERROR(INDEX(소진분석!$C$6:$C$305,MATCH("R"&amp;17,발주목록!$L$6:$L$305,0)),""))</f>
        <v/>
      </c>
      <c r="E22" s="22" t="str">
        <f aca="false">IF($B22="","",IFERROR(INDEX(소진분석!$D$6:$D$305,MATCH("R"&amp;17,발주목록!$L$6:$L$305,0)),""))</f>
        <v/>
      </c>
      <c r="F22" s="22" t="str">
        <f aca="false">IF($B22="","",IFERROR(INDEX(소진분석!$K$6:$K$305,MATCH("R"&amp;17,발주목록!$L$6:$L$305,0)),""))</f>
        <v/>
      </c>
      <c r="G22" s="17" t="str">
        <f aca="false">IF($B22="","",IFERROR(INDEX(품목마스터!$I$3:$I$302,MATCH($B22,품목마스터!$A$3:$A$302,0)),""))</f>
        <v/>
      </c>
      <c r="H22" s="25" t="str">
        <f aca="false">IF($B22="","",IFERROR(INDEX(소진분석!$J$6:$J$305,MATCH("R"&amp;17,발주목록!$L$6:$L$305,0)),""))</f>
        <v/>
      </c>
      <c r="J22" s="29" t="b">
        <f aca="false">IF(소진분석!$A22="",FALSE(),IF($B$3="발주만",소진분석!$L22="발주",OR(소진분석!$L22="발주",소진분석!$L22="임박")))</f>
        <v>0</v>
      </c>
      <c r="K22" s="7" t="str">
        <f aca="false">IF($J22=FALSE(),"",COUNTIF($J$6:$J22,TRUE()))</f>
        <v/>
      </c>
      <c r="L22" s="7" t="str">
        <f aca="false">IF($K22="","","R"&amp;$K22)</f>
        <v/>
      </c>
    </row>
    <row r="23" customFormat="false" ht="15" hidden="false" customHeight="true" outlineLevel="0" collapsed="false">
      <c r="A23" s="28" t="str">
        <f aca="false">IF($B23="","",18)</f>
        <v/>
      </c>
      <c r="B23" s="17" t="str">
        <f aca="false">IFERROR(INDEX(소진분석!$A$6:$A$305,MATCH("R"&amp;18,발주목록!$L$6:$L$305,0)),"")</f>
        <v/>
      </c>
      <c r="C23" s="17" t="str">
        <f aca="false">IF($B23="","",IFERROR(INDEX(소진분석!$B$6:$B$305,MATCH("R"&amp;18,발주목록!$L$6:$L$305,0)),""))</f>
        <v/>
      </c>
      <c r="D23" s="28" t="str">
        <f aca="false">IF($B23="","",IFERROR(INDEX(소진분석!$C$6:$C$305,MATCH("R"&amp;18,발주목록!$L$6:$L$305,0)),""))</f>
        <v/>
      </c>
      <c r="E23" s="22" t="str">
        <f aca="false">IF($B23="","",IFERROR(INDEX(소진분석!$D$6:$D$305,MATCH("R"&amp;18,발주목록!$L$6:$L$305,0)),""))</f>
        <v/>
      </c>
      <c r="F23" s="22" t="str">
        <f aca="false">IF($B23="","",IFERROR(INDEX(소진분석!$K$6:$K$305,MATCH("R"&amp;18,발주목록!$L$6:$L$305,0)),""))</f>
        <v/>
      </c>
      <c r="G23" s="17" t="str">
        <f aca="false">IF($B23="","",IFERROR(INDEX(품목마스터!$I$3:$I$302,MATCH($B23,품목마스터!$A$3:$A$302,0)),""))</f>
        <v/>
      </c>
      <c r="H23" s="25" t="str">
        <f aca="false">IF($B23="","",IFERROR(INDEX(소진분석!$J$6:$J$305,MATCH("R"&amp;18,발주목록!$L$6:$L$305,0)),""))</f>
        <v/>
      </c>
      <c r="J23" s="29" t="b">
        <f aca="false">IF(소진분석!$A23="",FALSE(),IF($B$3="발주만",소진분석!$L23="발주",OR(소진분석!$L23="발주",소진분석!$L23="임박")))</f>
        <v>0</v>
      </c>
      <c r="K23" s="7" t="str">
        <f aca="false">IF($J23=FALSE(),"",COUNTIF($J$6:$J23,TRUE()))</f>
        <v/>
      </c>
      <c r="L23" s="7" t="str">
        <f aca="false">IF($K23="","","R"&amp;$K23)</f>
        <v/>
      </c>
    </row>
    <row r="24" customFormat="false" ht="15" hidden="false" customHeight="true" outlineLevel="0" collapsed="false">
      <c r="A24" s="28" t="str">
        <f aca="false">IF($B24="","",19)</f>
        <v/>
      </c>
      <c r="B24" s="17" t="str">
        <f aca="false">IFERROR(INDEX(소진분석!$A$6:$A$305,MATCH("R"&amp;19,발주목록!$L$6:$L$305,0)),"")</f>
        <v/>
      </c>
      <c r="C24" s="17" t="str">
        <f aca="false">IF($B24="","",IFERROR(INDEX(소진분석!$B$6:$B$305,MATCH("R"&amp;19,발주목록!$L$6:$L$305,0)),""))</f>
        <v/>
      </c>
      <c r="D24" s="28" t="str">
        <f aca="false">IF($B24="","",IFERROR(INDEX(소진분석!$C$6:$C$305,MATCH("R"&amp;19,발주목록!$L$6:$L$305,0)),""))</f>
        <v/>
      </c>
      <c r="E24" s="22" t="str">
        <f aca="false">IF($B24="","",IFERROR(INDEX(소진분석!$D$6:$D$305,MATCH("R"&amp;19,발주목록!$L$6:$L$305,0)),""))</f>
        <v/>
      </c>
      <c r="F24" s="22" t="str">
        <f aca="false">IF($B24="","",IFERROR(INDEX(소진분석!$K$6:$K$305,MATCH("R"&amp;19,발주목록!$L$6:$L$305,0)),""))</f>
        <v/>
      </c>
      <c r="G24" s="17" t="str">
        <f aca="false">IF($B24="","",IFERROR(INDEX(품목마스터!$I$3:$I$302,MATCH($B24,품목마스터!$A$3:$A$302,0)),""))</f>
        <v/>
      </c>
      <c r="H24" s="25" t="str">
        <f aca="false">IF($B24="","",IFERROR(INDEX(소진분석!$J$6:$J$305,MATCH("R"&amp;19,발주목록!$L$6:$L$305,0)),""))</f>
        <v/>
      </c>
      <c r="J24" s="29" t="b">
        <f aca="false">IF(소진분석!$A24="",FALSE(),IF($B$3="발주만",소진분석!$L24="발주",OR(소진분석!$L24="발주",소진분석!$L24="임박")))</f>
        <v>0</v>
      </c>
      <c r="K24" s="7" t="str">
        <f aca="false">IF($J24=FALSE(),"",COUNTIF($J$6:$J24,TRUE()))</f>
        <v/>
      </c>
      <c r="L24" s="7" t="str">
        <f aca="false">IF($K24="","","R"&amp;$K24)</f>
        <v/>
      </c>
    </row>
    <row r="25" customFormat="false" ht="15" hidden="false" customHeight="true" outlineLevel="0" collapsed="false">
      <c r="A25" s="28" t="str">
        <f aca="false">IF($B25="","",20)</f>
        <v/>
      </c>
      <c r="B25" s="17" t="str">
        <f aca="false">IFERROR(INDEX(소진분석!$A$6:$A$305,MATCH("R"&amp;20,발주목록!$L$6:$L$305,0)),"")</f>
        <v/>
      </c>
      <c r="C25" s="17" t="str">
        <f aca="false">IF($B25="","",IFERROR(INDEX(소진분석!$B$6:$B$305,MATCH("R"&amp;20,발주목록!$L$6:$L$305,0)),""))</f>
        <v/>
      </c>
      <c r="D25" s="28" t="str">
        <f aca="false">IF($B25="","",IFERROR(INDEX(소진분석!$C$6:$C$305,MATCH("R"&amp;20,발주목록!$L$6:$L$305,0)),""))</f>
        <v/>
      </c>
      <c r="E25" s="22" t="str">
        <f aca="false">IF($B25="","",IFERROR(INDEX(소진분석!$D$6:$D$305,MATCH("R"&amp;20,발주목록!$L$6:$L$305,0)),""))</f>
        <v/>
      </c>
      <c r="F25" s="22" t="str">
        <f aca="false">IF($B25="","",IFERROR(INDEX(소진분석!$K$6:$K$305,MATCH("R"&amp;20,발주목록!$L$6:$L$305,0)),""))</f>
        <v/>
      </c>
      <c r="G25" s="17" t="str">
        <f aca="false">IF($B25="","",IFERROR(INDEX(품목마스터!$I$3:$I$302,MATCH($B25,품목마스터!$A$3:$A$302,0)),""))</f>
        <v/>
      </c>
      <c r="H25" s="25" t="str">
        <f aca="false">IF($B25="","",IFERROR(INDEX(소진분석!$J$6:$J$305,MATCH("R"&amp;20,발주목록!$L$6:$L$305,0)),""))</f>
        <v/>
      </c>
      <c r="J25" s="29" t="b">
        <f aca="false">IF(소진분석!$A25="",FALSE(),IF($B$3="발주만",소진분석!$L25="발주",OR(소진분석!$L25="발주",소진분석!$L25="임박")))</f>
        <v>0</v>
      </c>
      <c r="K25" s="7" t="str">
        <f aca="false">IF($J25=FALSE(),"",COUNTIF($J$6:$J25,TRUE()))</f>
        <v/>
      </c>
      <c r="L25" s="7" t="str">
        <f aca="false">IF($K25="","","R"&amp;$K25)</f>
        <v/>
      </c>
    </row>
    <row r="26" customFormat="false" ht="15" hidden="false" customHeight="true" outlineLevel="0" collapsed="false">
      <c r="A26" s="28" t="str">
        <f aca="false">IF($B26="","",21)</f>
        <v/>
      </c>
      <c r="B26" s="17" t="str">
        <f aca="false">IFERROR(INDEX(소진분석!$A$6:$A$305,MATCH("R"&amp;21,발주목록!$L$6:$L$305,0)),"")</f>
        <v/>
      </c>
      <c r="C26" s="17" t="str">
        <f aca="false">IF($B26="","",IFERROR(INDEX(소진분석!$B$6:$B$305,MATCH("R"&amp;21,발주목록!$L$6:$L$305,0)),""))</f>
        <v/>
      </c>
      <c r="D26" s="28" t="str">
        <f aca="false">IF($B26="","",IFERROR(INDEX(소진분석!$C$6:$C$305,MATCH("R"&amp;21,발주목록!$L$6:$L$305,0)),""))</f>
        <v/>
      </c>
      <c r="E26" s="22" t="str">
        <f aca="false">IF($B26="","",IFERROR(INDEX(소진분석!$D$6:$D$305,MATCH("R"&amp;21,발주목록!$L$6:$L$305,0)),""))</f>
        <v/>
      </c>
      <c r="F26" s="22" t="str">
        <f aca="false">IF($B26="","",IFERROR(INDEX(소진분석!$K$6:$K$305,MATCH("R"&amp;21,발주목록!$L$6:$L$305,0)),""))</f>
        <v/>
      </c>
      <c r="G26" s="17" t="str">
        <f aca="false">IF($B26="","",IFERROR(INDEX(품목마스터!$I$3:$I$302,MATCH($B26,품목마스터!$A$3:$A$302,0)),""))</f>
        <v/>
      </c>
      <c r="H26" s="25" t="str">
        <f aca="false">IF($B26="","",IFERROR(INDEX(소진분석!$J$6:$J$305,MATCH("R"&amp;21,발주목록!$L$6:$L$305,0)),""))</f>
        <v/>
      </c>
      <c r="J26" s="29" t="b">
        <f aca="false">IF(소진분석!$A26="",FALSE(),IF($B$3="발주만",소진분석!$L26="발주",OR(소진분석!$L26="발주",소진분석!$L26="임박")))</f>
        <v>0</v>
      </c>
      <c r="K26" s="7" t="str">
        <f aca="false">IF($J26=FALSE(),"",COUNTIF($J$6:$J26,TRUE()))</f>
        <v/>
      </c>
      <c r="L26" s="7" t="str">
        <f aca="false">IF($K26="","","R"&amp;$K26)</f>
        <v/>
      </c>
    </row>
    <row r="27" customFormat="false" ht="15" hidden="false" customHeight="true" outlineLevel="0" collapsed="false">
      <c r="A27" s="28" t="str">
        <f aca="false">IF($B27="","",22)</f>
        <v/>
      </c>
      <c r="B27" s="17" t="str">
        <f aca="false">IFERROR(INDEX(소진분석!$A$6:$A$305,MATCH("R"&amp;22,발주목록!$L$6:$L$305,0)),"")</f>
        <v/>
      </c>
      <c r="C27" s="17" t="str">
        <f aca="false">IF($B27="","",IFERROR(INDEX(소진분석!$B$6:$B$305,MATCH("R"&amp;22,발주목록!$L$6:$L$305,0)),""))</f>
        <v/>
      </c>
      <c r="D27" s="28" t="str">
        <f aca="false">IF($B27="","",IFERROR(INDEX(소진분석!$C$6:$C$305,MATCH("R"&amp;22,발주목록!$L$6:$L$305,0)),""))</f>
        <v/>
      </c>
      <c r="E27" s="22" t="str">
        <f aca="false">IF($B27="","",IFERROR(INDEX(소진분석!$D$6:$D$305,MATCH("R"&amp;22,발주목록!$L$6:$L$305,0)),""))</f>
        <v/>
      </c>
      <c r="F27" s="22" t="str">
        <f aca="false">IF($B27="","",IFERROR(INDEX(소진분석!$K$6:$K$305,MATCH("R"&amp;22,발주목록!$L$6:$L$305,0)),""))</f>
        <v/>
      </c>
      <c r="G27" s="17" t="str">
        <f aca="false">IF($B27="","",IFERROR(INDEX(품목마스터!$I$3:$I$302,MATCH($B27,품목마스터!$A$3:$A$302,0)),""))</f>
        <v/>
      </c>
      <c r="H27" s="25" t="str">
        <f aca="false">IF($B27="","",IFERROR(INDEX(소진분석!$J$6:$J$305,MATCH("R"&amp;22,발주목록!$L$6:$L$305,0)),""))</f>
        <v/>
      </c>
      <c r="J27" s="29" t="b">
        <f aca="false">IF(소진분석!$A27="",FALSE(),IF($B$3="발주만",소진분석!$L27="발주",OR(소진분석!$L27="발주",소진분석!$L27="임박")))</f>
        <v>0</v>
      </c>
      <c r="K27" s="7" t="str">
        <f aca="false">IF($J27=FALSE(),"",COUNTIF($J$6:$J27,TRUE()))</f>
        <v/>
      </c>
      <c r="L27" s="7" t="str">
        <f aca="false">IF($K27="","","R"&amp;$K27)</f>
        <v/>
      </c>
    </row>
    <row r="28" customFormat="false" ht="15" hidden="false" customHeight="true" outlineLevel="0" collapsed="false">
      <c r="A28" s="28" t="str">
        <f aca="false">IF($B28="","",23)</f>
        <v/>
      </c>
      <c r="B28" s="17" t="str">
        <f aca="false">IFERROR(INDEX(소진분석!$A$6:$A$305,MATCH("R"&amp;23,발주목록!$L$6:$L$305,0)),"")</f>
        <v/>
      </c>
      <c r="C28" s="17" t="str">
        <f aca="false">IF($B28="","",IFERROR(INDEX(소진분석!$B$6:$B$305,MATCH("R"&amp;23,발주목록!$L$6:$L$305,0)),""))</f>
        <v/>
      </c>
      <c r="D28" s="28" t="str">
        <f aca="false">IF($B28="","",IFERROR(INDEX(소진분석!$C$6:$C$305,MATCH("R"&amp;23,발주목록!$L$6:$L$305,0)),""))</f>
        <v/>
      </c>
      <c r="E28" s="22" t="str">
        <f aca="false">IF($B28="","",IFERROR(INDEX(소진분석!$D$6:$D$305,MATCH("R"&amp;23,발주목록!$L$6:$L$305,0)),""))</f>
        <v/>
      </c>
      <c r="F28" s="22" t="str">
        <f aca="false">IF($B28="","",IFERROR(INDEX(소진분석!$K$6:$K$305,MATCH("R"&amp;23,발주목록!$L$6:$L$305,0)),""))</f>
        <v/>
      </c>
      <c r="G28" s="17" t="str">
        <f aca="false">IF($B28="","",IFERROR(INDEX(품목마스터!$I$3:$I$302,MATCH($B28,품목마스터!$A$3:$A$302,0)),""))</f>
        <v/>
      </c>
      <c r="H28" s="25" t="str">
        <f aca="false">IF($B28="","",IFERROR(INDEX(소진분석!$J$6:$J$305,MATCH("R"&amp;23,발주목록!$L$6:$L$305,0)),""))</f>
        <v/>
      </c>
      <c r="J28" s="29" t="b">
        <f aca="false">IF(소진분석!$A28="",FALSE(),IF($B$3="발주만",소진분석!$L28="발주",OR(소진분석!$L28="발주",소진분석!$L28="임박")))</f>
        <v>0</v>
      </c>
      <c r="K28" s="7" t="str">
        <f aca="false">IF($J28=FALSE(),"",COUNTIF($J$6:$J28,TRUE()))</f>
        <v/>
      </c>
      <c r="L28" s="7" t="str">
        <f aca="false">IF($K28="","","R"&amp;$K28)</f>
        <v/>
      </c>
    </row>
    <row r="29" customFormat="false" ht="15" hidden="false" customHeight="true" outlineLevel="0" collapsed="false">
      <c r="A29" s="28" t="str">
        <f aca="false">IF($B29="","",24)</f>
        <v/>
      </c>
      <c r="B29" s="17" t="str">
        <f aca="false">IFERROR(INDEX(소진분석!$A$6:$A$305,MATCH("R"&amp;24,발주목록!$L$6:$L$305,0)),"")</f>
        <v/>
      </c>
      <c r="C29" s="17" t="str">
        <f aca="false">IF($B29="","",IFERROR(INDEX(소진분석!$B$6:$B$305,MATCH("R"&amp;24,발주목록!$L$6:$L$305,0)),""))</f>
        <v/>
      </c>
      <c r="D29" s="28" t="str">
        <f aca="false">IF($B29="","",IFERROR(INDEX(소진분석!$C$6:$C$305,MATCH("R"&amp;24,발주목록!$L$6:$L$305,0)),""))</f>
        <v/>
      </c>
      <c r="E29" s="22" t="str">
        <f aca="false">IF($B29="","",IFERROR(INDEX(소진분석!$D$6:$D$305,MATCH("R"&amp;24,발주목록!$L$6:$L$305,0)),""))</f>
        <v/>
      </c>
      <c r="F29" s="22" t="str">
        <f aca="false">IF($B29="","",IFERROR(INDEX(소진분석!$K$6:$K$305,MATCH("R"&amp;24,발주목록!$L$6:$L$305,0)),""))</f>
        <v/>
      </c>
      <c r="G29" s="17" t="str">
        <f aca="false">IF($B29="","",IFERROR(INDEX(품목마스터!$I$3:$I$302,MATCH($B29,품목마스터!$A$3:$A$302,0)),""))</f>
        <v/>
      </c>
      <c r="H29" s="25" t="str">
        <f aca="false">IF($B29="","",IFERROR(INDEX(소진분석!$J$6:$J$305,MATCH("R"&amp;24,발주목록!$L$6:$L$305,0)),""))</f>
        <v/>
      </c>
      <c r="J29" s="29" t="b">
        <f aca="false">IF(소진분석!$A29="",FALSE(),IF($B$3="발주만",소진분석!$L29="발주",OR(소진분석!$L29="발주",소진분석!$L29="임박")))</f>
        <v>0</v>
      </c>
      <c r="K29" s="7" t="str">
        <f aca="false">IF($J29=FALSE(),"",COUNTIF($J$6:$J29,TRUE()))</f>
        <v/>
      </c>
      <c r="L29" s="7" t="str">
        <f aca="false">IF($K29="","","R"&amp;$K29)</f>
        <v/>
      </c>
    </row>
    <row r="30" customFormat="false" ht="15" hidden="false" customHeight="true" outlineLevel="0" collapsed="false">
      <c r="A30" s="28" t="str">
        <f aca="false">IF($B30="","",25)</f>
        <v/>
      </c>
      <c r="B30" s="17" t="str">
        <f aca="false">IFERROR(INDEX(소진분석!$A$6:$A$305,MATCH("R"&amp;25,발주목록!$L$6:$L$305,0)),"")</f>
        <v/>
      </c>
      <c r="C30" s="17" t="str">
        <f aca="false">IF($B30="","",IFERROR(INDEX(소진분석!$B$6:$B$305,MATCH("R"&amp;25,발주목록!$L$6:$L$305,0)),""))</f>
        <v/>
      </c>
      <c r="D30" s="28" t="str">
        <f aca="false">IF($B30="","",IFERROR(INDEX(소진분석!$C$6:$C$305,MATCH("R"&amp;25,발주목록!$L$6:$L$305,0)),""))</f>
        <v/>
      </c>
      <c r="E30" s="22" t="str">
        <f aca="false">IF($B30="","",IFERROR(INDEX(소진분석!$D$6:$D$305,MATCH("R"&amp;25,발주목록!$L$6:$L$305,0)),""))</f>
        <v/>
      </c>
      <c r="F30" s="22" t="str">
        <f aca="false">IF($B30="","",IFERROR(INDEX(소진분석!$K$6:$K$305,MATCH("R"&amp;25,발주목록!$L$6:$L$305,0)),""))</f>
        <v/>
      </c>
      <c r="G30" s="17" t="str">
        <f aca="false">IF($B30="","",IFERROR(INDEX(품목마스터!$I$3:$I$302,MATCH($B30,품목마스터!$A$3:$A$302,0)),""))</f>
        <v/>
      </c>
      <c r="H30" s="25" t="str">
        <f aca="false">IF($B30="","",IFERROR(INDEX(소진분석!$J$6:$J$305,MATCH("R"&amp;25,발주목록!$L$6:$L$305,0)),""))</f>
        <v/>
      </c>
      <c r="J30" s="29" t="b">
        <f aca="false">IF(소진분석!$A30="",FALSE(),IF($B$3="발주만",소진분석!$L30="발주",OR(소진분석!$L30="발주",소진분석!$L30="임박")))</f>
        <v>0</v>
      </c>
      <c r="K30" s="7" t="str">
        <f aca="false">IF($J30=FALSE(),"",COUNTIF($J$6:$J30,TRUE()))</f>
        <v/>
      </c>
      <c r="L30" s="7" t="str">
        <f aca="false">IF($K30="","","R"&amp;$K30)</f>
        <v/>
      </c>
    </row>
    <row r="31" customFormat="false" ht="15" hidden="false" customHeight="true" outlineLevel="0" collapsed="false">
      <c r="A31" s="28" t="str">
        <f aca="false">IF($B31="","",26)</f>
        <v/>
      </c>
      <c r="B31" s="17" t="str">
        <f aca="false">IFERROR(INDEX(소진분석!$A$6:$A$305,MATCH("R"&amp;26,발주목록!$L$6:$L$305,0)),"")</f>
        <v/>
      </c>
      <c r="C31" s="17" t="str">
        <f aca="false">IF($B31="","",IFERROR(INDEX(소진분석!$B$6:$B$305,MATCH("R"&amp;26,발주목록!$L$6:$L$305,0)),""))</f>
        <v/>
      </c>
      <c r="D31" s="28" t="str">
        <f aca="false">IF($B31="","",IFERROR(INDEX(소진분석!$C$6:$C$305,MATCH("R"&amp;26,발주목록!$L$6:$L$305,0)),""))</f>
        <v/>
      </c>
      <c r="E31" s="22" t="str">
        <f aca="false">IF($B31="","",IFERROR(INDEX(소진분석!$D$6:$D$305,MATCH("R"&amp;26,발주목록!$L$6:$L$305,0)),""))</f>
        <v/>
      </c>
      <c r="F31" s="22" t="str">
        <f aca="false">IF($B31="","",IFERROR(INDEX(소진분석!$K$6:$K$305,MATCH("R"&amp;26,발주목록!$L$6:$L$305,0)),""))</f>
        <v/>
      </c>
      <c r="G31" s="17" t="str">
        <f aca="false">IF($B31="","",IFERROR(INDEX(품목마스터!$I$3:$I$302,MATCH($B31,품목마스터!$A$3:$A$302,0)),""))</f>
        <v/>
      </c>
      <c r="H31" s="25" t="str">
        <f aca="false">IF($B31="","",IFERROR(INDEX(소진분석!$J$6:$J$305,MATCH("R"&amp;26,발주목록!$L$6:$L$305,0)),""))</f>
        <v/>
      </c>
      <c r="J31" s="29" t="b">
        <f aca="false">IF(소진분석!$A31="",FALSE(),IF($B$3="발주만",소진분석!$L31="발주",OR(소진분석!$L31="발주",소진분석!$L31="임박")))</f>
        <v>0</v>
      </c>
      <c r="K31" s="7" t="str">
        <f aca="false">IF($J31=FALSE(),"",COUNTIF($J$6:$J31,TRUE()))</f>
        <v/>
      </c>
      <c r="L31" s="7" t="str">
        <f aca="false">IF($K31="","","R"&amp;$K31)</f>
        <v/>
      </c>
    </row>
    <row r="32" customFormat="false" ht="15" hidden="false" customHeight="true" outlineLevel="0" collapsed="false">
      <c r="A32" s="28" t="str">
        <f aca="false">IF($B32="","",27)</f>
        <v/>
      </c>
      <c r="B32" s="17" t="str">
        <f aca="false">IFERROR(INDEX(소진분석!$A$6:$A$305,MATCH("R"&amp;27,발주목록!$L$6:$L$305,0)),"")</f>
        <v/>
      </c>
      <c r="C32" s="17" t="str">
        <f aca="false">IF($B32="","",IFERROR(INDEX(소진분석!$B$6:$B$305,MATCH("R"&amp;27,발주목록!$L$6:$L$305,0)),""))</f>
        <v/>
      </c>
      <c r="D32" s="28" t="str">
        <f aca="false">IF($B32="","",IFERROR(INDEX(소진분석!$C$6:$C$305,MATCH("R"&amp;27,발주목록!$L$6:$L$305,0)),""))</f>
        <v/>
      </c>
      <c r="E32" s="22" t="str">
        <f aca="false">IF($B32="","",IFERROR(INDEX(소진분석!$D$6:$D$305,MATCH("R"&amp;27,발주목록!$L$6:$L$305,0)),""))</f>
        <v/>
      </c>
      <c r="F32" s="22" t="str">
        <f aca="false">IF($B32="","",IFERROR(INDEX(소진분석!$K$6:$K$305,MATCH("R"&amp;27,발주목록!$L$6:$L$305,0)),""))</f>
        <v/>
      </c>
      <c r="G32" s="17" t="str">
        <f aca="false">IF($B32="","",IFERROR(INDEX(품목마스터!$I$3:$I$302,MATCH($B32,품목마스터!$A$3:$A$302,0)),""))</f>
        <v/>
      </c>
      <c r="H32" s="25" t="str">
        <f aca="false">IF($B32="","",IFERROR(INDEX(소진분석!$J$6:$J$305,MATCH("R"&amp;27,발주목록!$L$6:$L$305,0)),""))</f>
        <v/>
      </c>
      <c r="J32" s="29" t="b">
        <f aca="false">IF(소진분석!$A32="",FALSE(),IF($B$3="발주만",소진분석!$L32="발주",OR(소진분석!$L32="발주",소진분석!$L32="임박")))</f>
        <v>0</v>
      </c>
      <c r="K32" s="7" t="str">
        <f aca="false">IF($J32=FALSE(),"",COUNTIF($J$6:$J32,TRUE()))</f>
        <v/>
      </c>
      <c r="L32" s="7" t="str">
        <f aca="false">IF($K32="","","R"&amp;$K32)</f>
        <v/>
      </c>
    </row>
    <row r="33" customFormat="false" ht="15" hidden="false" customHeight="true" outlineLevel="0" collapsed="false">
      <c r="A33" s="28" t="str">
        <f aca="false">IF($B33="","",28)</f>
        <v/>
      </c>
      <c r="B33" s="17" t="str">
        <f aca="false">IFERROR(INDEX(소진분석!$A$6:$A$305,MATCH("R"&amp;28,발주목록!$L$6:$L$305,0)),"")</f>
        <v/>
      </c>
      <c r="C33" s="17" t="str">
        <f aca="false">IF($B33="","",IFERROR(INDEX(소진분석!$B$6:$B$305,MATCH("R"&amp;28,발주목록!$L$6:$L$305,0)),""))</f>
        <v/>
      </c>
      <c r="D33" s="28" t="str">
        <f aca="false">IF($B33="","",IFERROR(INDEX(소진분석!$C$6:$C$305,MATCH("R"&amp;28,발주목록!$L$6:$L$305,0)),""))</f>
        <v/>
      </c>
      <c r="E33" s="22" t="str">
        <f aca="false">IF($B33="","",IFERROR(INDEX(소진분석!$D$6:$D$305,MATCH("R"&amp;28,발주목록!$L$6:$L$305,0)),""))</f>
        <v/>
      </c>
      <c r="F33" s="22" t="str">
        <f aca="false">IF($B33="","",IFERROR(INDEX(소진분석!$K$6:$K$305,MATCH("R"&amp;28,발주목록!$L$6:$L$305,0)),""))</f>
        <v/>
      </c>
      <c r="G33" s="17" t="str">
        <f aca="false">IF($B33="","",IFERROR(INDEX(품목마스터!$I$3:$I$302,MATCH($B33,품목마스터!$A$3:$A$302,0)),""))</f>
        <v/>
      </c>
      <c r="H33" s="25" t="str">
        <f aca="false">IF($B33="","",IFERROR(INDEX(소진분석!$J$6:$J$305,MATCH("R"&amp;28,발주목록!$L$6:$L$305,0)),""))</f>
        <v/>
      </c>
      <c r="J33" s="29" t="b">
        <f aca="false">IF(소진분석!$A33="",FALSE(),IF($B$3="발주만",소진분석!$L33="발주",OR(소진분석!$L33="발주",소진분석!$L33="임박")))</f>
        <v>0</v>
      </c>
      <c r="K33" s="7" t="str">
        <f aca="false">IF($J33=FALSE(),"",COUNTIF($J$6:$J33,TRUE()))</f>
        <v/>
      </c>
      <c r="L33" s="7" t="str">
        <f aca="false">IF($K33="","","R"&amp;$K33)</f>
        <v/>
      </c>
    </row>
    <row r="34" customFormat="false" ht="15" hidden="false" customHeight="true" outlineLevel="0" collapsed="false">
      <c r="A34" s="28" t="str">
        <f aca="false">IF($B34="","",29)</f>
        <v/>
      </c>
      <c r="B34" s="17" t="str">
        <f aca="false">IFERROR(INDEX(소진분석!$A$6:$A$305,MATCH("R"&amp;29,발주목록!$L$6:$L$305,0)),"")</f>
        <v/>
      </c>
      <c r="C34" s="17" t="str">
        <f aca="false">IF($B34="","",IFERROR(INDEX(소진분석!$B$6:$B$305,MATCH("R"&amp;29,발주목록!$L$6:$L$305,0)),""))</f>
        <v/>
      </c>
      <c r="D34" s="28" t="str">
        <f aca="false">IF($B34="","",IFERROR(INDEX(소진분석!$C$6:$C$305,MATCH("R"&amp;29,발주목록!$L$6:$L$305,0)),""))</f>
        <v/>
      </c>
      <c r="E34" s="22" t="str">
        <f aca="false">IF($B34="","",IFERROR(INDEX(소진분석!$D$6:$D$305,MATCH("R"&amp;29,발주목록!$L$6:$L$305,0)),""))</f>
        <v/>
      </c>
      <c r="F34" s="22" t="str">
        <f aca="false">IF($B34="","",IFERROR(INDEX(소진분석!$K$6:$K$305,MATCH("R"&amp;29,발주목록!$L$6:$L$305,0)),""))</f>
        <v/>
      </c>
      <c r="G34" s="17" t="str">
        <f aca="false">IF($B34="","",IFERROR(INDEX(품목마스터!$I$3:$I$302,MATCH($B34,품목마스터!$A$3:$A$302,0)),""))</f>
        <v/>
      </c>
      <c r="H34" s="25" t="str">
        <f aca="false">IF($B34="","",IFERROR(INDEX(소진분석!$J$6:$J$305,MATCH("R"&amp;29,발주목록!$L$6:$L$305,0)),""))</f>
        <v/>
      </c>
      <c r="J34" s="29" t="b">
        <f aca="false">IF(소진분석!$A34="",FALSE(),IF($B$3="발주만",소진분석!$L34="발주",OR(소진분석!$L34="발주",소진분석!$L34="임박")))</f>
        <v>0</v>
      </c>
      <c r="K34" s="7" t="str">
        <f aca="false">IF($J34=FALSE(),"",COUNTIF($J$6:$J34,TRUE()))</f>
        <v/>
      </c>
      <c r="L34" s="7" t="str">
        <f aca="false">IF($K34="","","R"&amp;$K34)</f>
        <v/>
      </c>
    </row>
    <row r="35" customFormat="false" ht="15" hidden="false" customHeight="true" outlineLevel="0" collapsed="false">
      <c r="A35" s="28" t="str">
        <f aca="false">IF($B35="","",30)</f>
        <v/>
      </c>
      <c r="B35" s="17" t="str">
        <f aca="false">IFERROR(INDEX(소진분석!$A$6:$A$305,MATCH("R"&amp;30,발주목록!$L$6:$L$305,0)),"")</f>
        <v/>
      </c>
      <c r="C35" s="17" t="str">
        <f aca="false">IF($B35="","",IFERROR(INDEX(소진분석!$B$6:$B$305,MATCH("R"&amp;30,발주목록!$L$6:$L$305,0)),""))</f>
        <v/>
      </c>
      <c r="D35" s="28" t="str">
        <f aca="false">IF($B35="","",IFERROR(INDEX(소진분석!$C$6:$C$305,MATCH("R"&amp;30,발주목록!$L$6:$L$305,0)),""))</f>
        <v/>
      </c>
      <c r="E35" s="22" t="str">
        <f aca="false">IF($B35="","",IFERROR(INDEX(소진분석!$D$6:$D$305,MATCH("R"&amp;30,발주목록!$L$6:$L$305,0)),""))</f>
        <v/>
      </c>
      <c r="F35" s="22" t="str">
        <f aca="false">IF($B35="","",IFERROR(INDEX(소진분석!$K$6:$K$305,MATCH("R"&amp;30,발주목록!$L$6:$L$305,0)),""))</f>
        <v/>
      </c>
      <c r="G35" s="17" t="str">
        <f aca="false">IF($B35="","",IFERROR(INDEX(품목마스터!$I$3:$I$302,MATCH($B35,품목마스터!$A$3:$A$302,0)),""))</f>
        <v/>
      </c>
      <c r="H35" s="25" t="str">
        <f aca="false">IF($B35="","",IFERROR(INDEX(소진분석!$J$6:$J$305,MATCH("R"&amp;30,발주목록!$L$6:$L$305,0)),""))</f>
        <v/>
      </c>
      <c r="J35" s="29" t="b">
        <f aca="false">IF(소진분석!$A35="",FALSE(),IF($B$3="발주만",소진분석!$L35="발주",OR(소진분석!$L35="발주",소진분석!$L35="임박")))</f>
        <v>0</v>
      </c>
      <c r="K35" s="7" t="str">
        <f aca="false">IF($J35=FALSE(),"",COUNTIF($J$6:$J35,TRUE()))</f>
        <v/>
      </c>
      <c r="L35" s="7" t="str">
        <f aca="false">IF($K35="","","R"&amp;$K35)</f>
        <v/>
      </c>
    </row>
    <row r="36" customFormat="false" ht="15" hidden="false" customHeight="true" outlineLevel="0" collapsed="false">
      <c r="A36" s="28" t="str">
        <f aca="false">IF($B36="","",31)</f>
        <v/>
      </c>
      <c r="B36" s="17" t="str">
        <f aca="false">IFERROR(INDEX(소진분석!$A$6:$A$305,MATCH("R"&amp;31,발주목록!$L$6:$L$305,0)),"")</f>
        <v/>
      </c>
      <c r="C36" s="17" t="str">
        <f aca="false">IF($B36="","",IFERROR(INDEX(소진분석!$B$6:$B$305,MATCH("R"&amp;31,발주목록!$L$6:$L$305,0)),""))</f>
        <v/>
      </c>
      <c r="D36" s="28" t="str">
        <f aca="false">IF($B36="","",IFERROR(INDEX(소진분석!$C$6:$C$305,MATCH("R"&amp;31,발주목록!$L$6:$L$305,0)),""))</f>
        <v/>
      </c>
      <c r="E36" s="22" t="str">
        <f aca="false">IF($B36="","",IFERROR(INDEX(소진분석!$D$6:$D$305,MATCH("R"&amp;31,발주목록!$L$6:$L$305,0)),""))</f>
        <v/>
      </c>
      <c r="F36" s="22" t="str">
        <f aca="false">IF($B36="","",IFERROR(INDEX(소진분석!$K$6:$K$305,MATCH("R"&amp;31,발주목록!$L$6:$L$305,0)),""))</f>
        <v/>
      </c>
      <c r="G36" s="17" t="str">
        <f aca="false">IF($B36="","",IFERROR(INDEX(품목마스터!$I$3:$I$302,MATCH($B36,품목마스터!$A$3:$A$302,0)),""))</f>
        <v/>
      </c>
      <c r="H36" s="25" t="str">
        <f aca="false">IF($B36="","",IFERROR(INDEX(소진분석!$J$6:$J$305,MATCH("R"&amp;31,발주목록!$L$6:$L$305,0)),""))</f>
        <v/>
      </c>
      <c r="J36" s="29" t="b">
        <f aca="false">IF(소진분석!$A36="",FALSE(),IF($B$3="발주만",소진분석!$L36="발주",OR(소진분석!$L36="발주",소진분석!$L36="임박")))</f>
        <v>0</v>
      </c>
      <c r="K36" s="7" t="str">
        <f aca="false">IF($J36=FALSE(),"",COUNTIF($J$6:$J36,TRUE()))</f>
        <v/>
      </c>
      <c r="L36" s="7" t="str">
        <f aca="false">IF($K36="","","R"&amp;$K36)</f>
        <v/>
      </c>
    </row>
    <row r="37" customFormat="false" ht="15" hidden="false" customHeight="true" outlineLevel="0" collapsed="false">
      <c r="A37" s="28" t="str">
        <f aca="false">IF($B37="","",32)</f>
        <v/>
      </c>
      <c r="B37" s="17" t="str">
        <f aca="false">IFERROR(INDEX(소진분석!$A$6:$A$305,MATCH("R"&amp;32,발주목록!$L$6:$L$305,0)),"")</f>
        <v/>
      </c>
      <c r="C37" s="17" t="str">
        <f aca="false">IF($B37="","",IFERROR(INDEX(소진분석!$B$6:$B$305,MATCH("R"&amp;32,발주목록!$L$6:$L$305,0)),""))</f>
        <v/>
      </c>
      <c r="D37" s="28" t="str">
        <f aca="false">IF($B37="","",IFERROR(INDEX(소진분석!$C$6:$C$305,MATCH("R"&amp;32,발주목록!$L$6:$L$305,0)),""))</f>
        <v/>
      </c>
      <c r="E37" s="22" t="str">
        <f aca="false">IF($B37="","",IFERROR(INDEX(소진분석!$D$6:$D$305,MATCH("R"&amp;32,발주목록!$L$6:$L$305,0)),""))</f>
        <v/>
      </c>
      <c r="F37" s="22" t="str">
        <f aca="false">IF($B37="","",IFERROR(INDEX(소진분석!$K$6:$K$305,MATCH("R"&amp;32,발주목록!$L$6:$L$305,0)),""))</f>
        <v/>
      </c>
      <c r="G37" s="17" t="str">
        <f aca="false">IF($B37="","",IFERROR(INDEX(품목마스터!$I$3:$I$302,MATCH($B37,품목마스터!$A$3:$A$302,0)),""))</f>
        <v/>
      </c>
      <c r="H37" s="25" t="str">
        <f aca="false">IF($B37="","",IFERROR(INDEX(소진분석!$J$6:$J$305,MATCH("R"&amp;32,발주목록!$L$6:$L$305,0)),""))</f>
        <v/>
      </c>
      <c r="J37" s="29" t="b">
        <f aca="false">IF(소진분석!$A37="",FALSE(),IF($B$3="발주만",소진분석!$L37="발주",OR(소진분석!$L37="발주",소진분석!$L37="임박")))</f>
        <v>0</v>
      </c>
      <c r="K37" s="7" t="str">
        <f aca="false">IF($J37=FALSE(),"",COUNTIF($J$6:$J37,TRUE()))</f>
        <v/>
      </c>
      <c r="L37" s="7" t="str">
        <f aca="false">IF($K37="","","R"&amp;$K37)</f>
        <v/>
      </c>
    </row>
    <row r="38" customFormat="false" ht="15" hidden="false" customHeight="true" outlineLevel="0" collapsed="false">
      <c r="A38" s="28" t="str">
        <f aca="false">IF($B38="","",33)</f>
        <v/>
      </c>
      <c r="B38" s="17" t="str">
        <f aca="false">IFERROR(INDEX(소진분석!$A$6:$A$305,MATCH("R"&amp;33,발주목록!$L$6:$L$305,0)),"")</f>
        <v/>
      </c>
      <c r="C38" s="17" t="str">
        <f aca="false">IF($B38="","",IFERROR(INDEX(소진분석!$B$6:$B$305,MATCH("R"&amp;33,발주목록!$L$6:$L$305,0)),""))</f>
        <v/>
      </c>
      <c r="D38" s="28" t="str">
        <f aca="false">IF($B38="","",IFERROR(INDEX(소진분석!$C$6:$C$305,MATCH("R"&amp;33,발주목록!$L$6:$L$305,0)),""))</f>
        <v/>
      </c>
      <c r="E38" s="22" t="str">
        <f aca="false">IF($B38="","",IFERROR(INDEX(소진분석!$D$6:$D$305,MATCH("R"&amp;33,발주목록!$L$6:$L$305,0)),""))</f>
        <v/>
      </c>
      <c r="F38" s="22" t="str">
        <f aca="false">IF($B38="","",IFERROR(INDEX(소진분석!$K$6:$K$305,MATCH("R"&amp;33,발주목록!$L$6:$L$305,0)),""))</f>
        <v/>
      </c>
      <c r="G38" s="17" t="str">
        <f aca="false">IF($B38="","",IFERROR(INDEX(품목마스터!$I$3:$I$302,MATCH($B38,품목마스터!$A$3:$A$302,0)),""))</f>
        <v/>
      </c>
      <c r="H38" s="25" t="str">
        <f aca="false">IF($B38="","",IFERROR(INDEX(소진분석!$J$6:$J$305,MATCH("R"&amp;33,발주목록!$L$6:$L$305,0)),""))</f>
        <v/>
      </c>
      <c r="J38" s="29" t="b">
        <f aca="false">IF(소진분석!$A38="",FALSE(),IF($B$3="발주만",소진분석!$L38="발주",OR(소진분석!$L38="발주",소진분석!$L38="임박")))</f>
        <v>0</v>
      </c>
      <c r="K38" s="7" t="str">
        <f aca="false">IF($J38=FALSE(),"",COUNTIF($J$6:$J38,TRUE()))</f>
        <v/>
      </c>
      <c r="L38" s="7" t="str">
        <f aca="false">IF($K38="","","R"&amp;$K38)</f>
        <v/>
      </c>
    </row>
    <row r="39" customFormat="false" ht="15" hidden="false" customHeight="true" outlineLevel="0" collapsed="false">
      <c r="A39" s="28" t="str">
        <f aca="false">IF($B39="","",34)</f>
        <v/>
      </c>
      <c r="B39" s="17" t="str">
        <f aca="false">IFERROR(INDEX(소진분석!$A$6:$A$305,MATCH("R"&amp;34,발주목록!$L$6:$L$305,0)),"")</f>
        <v/>
      </c>
      <c r="C39" s="17" t="str">
        <f aca="false">IF($B39="","",IFERROR(INDEX(소진분석!$B$6:$B$305,MATCH("R"&amp;34,발주목록!$L$6:$L$305,0)),""))</f>
        <v/>
      </c>
      <c r="D39" s="28" t="str">
        <f aca="false">IF($B39="","",IFERROR(INDEX(소진분석!$C$6:$C$305,MATCH("R"&amp;34,발주목록!$L$6:$L$305,0)),""))</f>
        <v/>
      </c>
      <c r="E39" s="22" t="str">
        <f aca="false">IF($B39="","",IFERROR(INDEX(소진분석!$D$6:$D$305,MATCH("R"&amp;34,발주목록!$L$6:$L$305,0)),""))</f>
        <v/>
      </c>
      <c r="F39" s="22" t="str">
        <f aca="false">IF($B39="","",IFERROR(INDEX(소진분석!$K$6:$K$305,MATCH("R"&amp;34,발주목록!$L$6:$L$305,0)),""))</f>
        <v/>
      </c>
      <c r="G39" s="17" t="str">
        <f aca="false">IF($B39="","",IFERROR(INDEX(품목마스터!$I$3:$I$302,MATCH($B39,품목마스터!$A$3:$A$302,0)),""))</f>
        <v/>
      </c>
      <c r="H39" s="25" t="str">
        <f aca="false">IF($B39="","",IFERROR(INDEX(소진분석!$J$6:$J$305,MATCH("R"&amp;34,발주목록!$L$6:$L$305,0)),""))</f>
        <v/>
      </c>
      <c r="J39" s="29" t="b">
        <f aca="false">IF(소진분석!$A39="",FALSE(),IF($B$3="발주만",소진분석!$L39="발주",OR(소진분석!$L39="발주",소진분석!$L39="임박")))</f>
        <v>0</v>
      </c>
      <c r="K39" s="7" t="str">
        <f aca="false">IF($J39=FALSE(),"",COUNTIF($J$6:$J39,TRUE()))</f>
        <v/>
      </c>
      <c r="L39" s="7" t="str">
        <f aca="false">IF($K39="","","R"&amp;$K39)</f>
        <v/>
      </c>
    </row>
    <row r="40" customFormat="false" ht="15" hidden="false" customHeight="true" outlineLevel="0" collapsed="false">
      <c r="A40" s="28" t="str">
        <f aca="false">IF($B40="","",35)</f>
        <v/>
      </c>
      <c r="B40" s="17" t="str">
        <f aca="false">IFERROR(INDEX(소진분석!$A$6:$A$305,MATCH("R"&amp;35,발주목록!$L$6:$L$305,0)),"")</f>
        <v/>
      </c>
      <c r="C40" s="17" t="str">
        <f aca="false">IF($B40="","",IFERROR(INDEX(소진분석!$B$6:$B$305,MATCH("R"&amp;35,발주목록!$L$6:$L$305,0)),""))</f>
        <v/>
      </c>
      <c r="D40" s="28" t="str">
        <f aca="false">IF($B40="","",IFERROR(INDEX(소진분석!$C$6:$C$305,MATCH("R"&amp;35,발주목록!$L$6:$L$305,0)),""))</f>
        <v/>
      </c>
      <c r="E40" s="22" t="str">
        <f aca="false">IF($B40="","",IFERROR(INDEX(소진분석!$D$6:$D$305,MATCH("R"&amp;35,발주목록!$L$6:$L$305,0)),""))</f>
        <v/>
      </c>
      <c r="F40" s="22" t="str">
        <f aca="false">IF($B40="","",IFERROR(INDEX(소진분석!$K$6:$K$305,MATCH("R"&amp;35,발주목록!$L$6:$L$305,0)),""))</f>
        <v/>
      </c>
      <c r="G40" s="17" t="str">
        <f aca="false">IF($B40="","",IFERROR(INDEX(품목마스터!$I$3:$I$302,MATCH($B40,품목마스터!$A$3:$A$302,0)),""))</f>
        <v/>
      </c>
      <c r="H40" s="25" t="str">
        <f aca="false">IF($B40="","",IFERROR(INDEX(소진분석!$J$6:$J$305,MATCH("R"&amp;35,발주목록!$L$6:$L$305,0)),""))</f>
        <v/>
      </c>
      <c r="J40" s="29" t="b">
        <f aca="false">IF(소진분석!$A40="",FALSE(),IF($B$3="발주만",소진분석!$L40="발주",OR(소진분석!$L40="발주",소진분석!$L40="임박")))</f>
        <v>0</v>
      </c>
      <c r="K40" s="7" t="str">
        <f aca="false">IF($J40=FALSE(),"",COUNTIF($J$6:$J40,TRUE()))</f>
        <v/>
      </c>
      <c r="L40" s="7" t="str">
        <f aca="false">IF($K40="","","R"&amp;$K40)</f>
        <v/>
      </c>
    </row>
    <row r="41" customFormat="false" ht="15" hidden="false" customHeight="true" outlineLevel="0" collapsed="false">
      <c r="A41" s="28" t="str">
        <f aca="false">IF($B41="","",36)</f>
        <v/>
      </c>
      <c r="B41" s="17" t="str">
        <f aca="false">IFERROR(INDEX(소진분석!$A$6:$A$305,MATCH("R"&amp;36,발주목록!$L$6:$L$305,0)),"")</f>
        <v/>
      </c>
      <c r="C41" s="17" t="str">
        <f aca="false">IF($B41="","",IFERROR(INDEX(소진분석!$B$6:$B$305,MATCH("R"&amp;36,발주목록!$L$6:$L$305,0)),""))</f>
        <v/>
      </c>
      <c r="D41" s="28" t="str">
        <f aca="false">IF($B41="","",IFERROR(INDEX(소진분석!$C$6:$C$305,MATCH("R"&amp;36,발주목록!$L$6:$L$305,0)),""))</f>
        <v/>
      </c>
      <c r="E41" s="22" t="str">
        <f aca="false">IF($B41="","",IFERROR(INDEX(소진분석!$D$6:$D$305,MATCH("R"&amp;36,발주목록!$L$6:$L$305,0)),""))</f>
        <v/>
      </c>
      <c r="F41" s="22" t="str">
        <f aca="false">IF($B41="","",IFERROR(INDEX(소진분석!$K$6:$K$305,MATCH("R"&amp;36,발주목록!$L$6:$L$305,0)),""))</f>
        <v/>
      </c>
      <c r="G41" s="17" t="str">
        <f aca="false">IF($B41="","",IFERROR(INDEX(품목마스터!$I$3:$I$302,MATCH($B41,품목마스터!$A$3:$A$302,0)),""))</f>
        <v/>
      </c>
      <c r="H41" s="25" t="str">
        <f aca="false">IF($B41="","",IFERROR(INDEX(소진분석!$J$6:$J$305,MATCH("R"&amp;36,발주목록!$L$6:$L$305,0)),""))</f>
        <v/>
      </c>
      <c r="J41" s="29" t="b">
        <f aca="false">IF(소진분석!$A41="",FALSE(),IF($B$3="발주만",소진분석!$L41="발주",OR(소진분석!$L41="발주",소진분석!$L41="임박")))</f>
        <v>0</v>
      </c>
      <c r="K41" s="7" t="str">
        <f aca="false">IF($J41=FALSE(),"",COUNTIF($J$6:$J41,TRUE()))</f>
        <v/>
      </c>
      <c r="L41" s="7" t="str">
        <f aca="false">IF($K41="","","R"&amp;$K41)</f>
        <v/>
      </c>
    </row>
    <row r="42" customFormat="false" ht="15" hidden="false" customHeight="true" outlineLevel="0" collapsed="false">
      <c r="A42" s="28" t="str">
        <f aca="false">IF($B42="","",37)</f>
        <v/>
      </c>
      <c r="B42" s="17" t="str">
        <f aca="false">IFERROR(INDEX(소진분석!$A$6:$A$305,MATCH("R"&amp;37,발주목록!$L$6:$L$305,0)),"")</f>
        <v/>
      </c>
      <c r="C42" s="17" t="str">
        <f aca="false">IF($B42="","",IFERROR(INDEX(소진분석!$B$6:$B$305,MATCH("R"&amp;37,발주목록!$L$6:$L$305,0)),""))</f>
        <v/>
      </c>
      <c r="D42" s="28" t="str">
        <f aca="false">IF($B42="","",IFERROR(INDEX(소진분석!$C$6:$C$305,MATCH("R"&amp;37,발주목록!$L$6:$L$305,0)),""))</f>
        <v/>
      </c>
      <c r="E42" s="22" t="str">
        <f aca="false">IF($B42="","",IFERROR(INDEX(소진분석!$D$6:$D$305,MATCH("R"&amp;37,발주목록!$L$6:$L$305,0)),""))</f>
        <v/>
      </c>
      <c r="F42" s="22" t="str">
        <f aca="false">IF($B42="","",IFERROR(INDEX(소진분석!$K$6:$K$305,MATCH("R"&amp;37,발주목록!$L$6:$L$305,0)),""))</f>
        <v/>
      </c>
      <c r="G42" s="17" t="str">
        <f aca="false">IF($B42="","",IFERROR(INDEX(품목마스터!$I$3:$I$302,MATCH($B42,품목마스터!$A$3:$A$302,0)),""))</f>
        <v/>
      </c>
      <c r="H42" s="25" t="str">
        <f aca="false">IF($B42="","",IFERROR(INDEX(소진분석!$J$6:$J$305,MATCH("R"&amp;37,발주목록!$L$6:$L$305,0)),""))</f>
        <v/>
      </c>
      <c r="J42" s="29" t="b">
        <f aca="false">IF(소진분석!$A42="",FALSE(),IF($B$3="발주만",소진분석!$L42="발주",OR(소진분석!$L42="발주",소진분석!$L42="임박")))</f>
        <v>0</v>
      </c>
      <c r="K42" s="7" t="str">
        <f aca="false">IF($J42=FALSE(),"",COUNTIF($J$6:$J42,TRUE()))</f>
        <v/>
      </c>
      <c r="L42" s="7" t="str">
        <f aca="false">IF($K42="","","R"&amp;$K42)</f>
        <v/>
      </c>
    </row>
    <row r="43" customFormat="false" ht="15" hidden="false" customHeight="true" outlineLevel="0" collapsed="false">
      <c r="A43" s="28" t="str">
        <f aca="false">IF($B43="","",38)</f>
        <v/>
      </c>
      <c r="B43" s="17" t="str">
        <f aca="false">IFERROR(INDEX(소진분석!$A$6:$A$305,MATCH("R"&amp;38,발주목록!$L$6:$L$305,0)),"")</f>
        <v/>
      </c>
      <c r="C43" s="17" t="str">
        <f aca="false">IF($B43="","",IFERROR(INDEX(소진분석!$B$6:$B$305,MATCH("R"&amp;38,발주목록!$L$6:$L$305,0)),""))</f>
        <v/>
      </c>
      <c r="D43" s="28" t="str">
        <f aca="false">IF($B43="","",IFERROR(INDEX(소진분석!$C$6:$C$305,MATCH("R"&amp;38,발주목록!$L$6:$L$305,0)),""))</f>
        <v/>
      </c>
      <c r="E43" s="22" t="str">
        <f aca="false">IF($B43="","",IFERROR(INDEX(소진분석!$D$6:$D$305,MATCH("R"&amp;38,발주목록!$L$6:$L$305,0)),""))</f>
        <v/>
      </c>
      <c r="F43" s="22" t="str">
        <f aca="false">IF($B43="","",IFERROR(INDEX(소진분석!$K$6:$K$305,MATCH("R"&amp;38,발주목록!$L$6:$L$305,0)),""))</f>
        <v/>
      </c>
      <c r="G43" s="17" t="str">
        <f aca="false">IF($B43="","",IFERROR(INDEX(품목마스터!$I$3:$I$302,MATCH($B43,품목마스터!$A$3:$A$302,0)),""))</f>
        <v/>
      </c>
      <c r="H43" s="25" t="str">
        <f aca="false">IF($B43="","",IFERROR(INDEX(소진분석!$J$6:$J$305,MATCH("R"&amp;38,발주목록!$L$6:$L$305,0)),""))</f>
        <v/>
      </c>
      <c r="J43" s="29" t="b">
        <f aca="false">IF(소진분석!$A43="",FALSE(),IF($B$3="발주만",소진분석!$L43="발주",OR(소진분석!$L43="발주",소진분석!$L43="임박")))</f>
        <v>0</v>
      </c>
      <c r="K43" s="7" t="str">
        <f aca="false">IF($J43=FALSE(),"",COUNTIF($J$6:$J43,TRUE()))</f>
        <v/>
      </c>
      <c r="L43" s="7" t="str">
        <f aca="false">IF($K43="","","R"&amp;$K43)</f>
        <v/>
      </c>
    </row>
    <row r="44" customFormat="false" ht="15" hidden="false" customHeight="true" outlineLevel="0" collapsed="false">
      <c r="A44" s="28" t="str">
        <f aca="false">IF($B44="","",39)</f>
        <v/>
      </c>
      <c r="B44" s="17" t="str">
        <f aca="false">IFERROR(INDEX(소진분석!$A$6:$A$305,MATCH("R"&amp;39,발주목록!$L$6:$L$305,0)),"")</f>
        <v/>
      </c>
      <c r="C44" s="17" t="str">
        <f aca="false">IF($B44="","",IFERROR(INDEX(소진분석!$B$6:$B$305,MATCH("R"&amp;39,발주목록!$L$6:$L$305,0)),""))</f>
        <v/>
      </c>
      <c r="D44" s="28" t="str">
        <f aca="false">IF($B44="","",IFERROR(INDEX(소진분석!$C$6:$C$305,MATCH("R"&amp;39,발주목록!$L$6:$L$305,0)),""))</f>
        <v/>
      </c>
      <c r="E44" s="22" t="str">
        <f aca="false">IF($B44="","",IFERROR(INDEX(소진분석!$D$6:$D$305,MATCH("R"&amp;39,발주목록!$L$6:$L$305,0)),""))</f>
        <v/>
      </c>
      <c r="F44" s="22" t="str">
        <f aca="false">IF($B44="","",IFERROR(INDEX(소진분석!$K$6:$K$305,MATCH("R"&amp;39,발주목록!$L$6:$L$305,0)),""))</f>
        <v/>
      </c>
      <c r="G44" s="17" t="str">
        <f aca="false">IF($B44="","",IFERROR(INDEX(품목마스터!$I$3:$I$302,MATCH($B44,품목마스터!$A$3:$A$302,0)),""))</f>
        <v/>
      </c>
      <c r="H44" s="25" t="str">
        <f aca="false">IF($B44="","",IFERROR(INDEX(소진분석!$J$6:$J$305,MATCH("R"&amp;39,발주목록!$L$6:$L$305,0)),""))</f>
        <v/>
      </c>
      <c r="J44" s="29" t="b">
        <f aca="false">IF(소진분석!$A44="",FALSE(),IF($B$3="발주만",소진분석!$L44="발주",OR(소진분석!$L44="발주",소진분석!$L44="임박")))</f>
        <v>0</v>
      </c>
      <c r="K44" s="7" t="str">
        <f aca="false">IF($J44=FALSE(),"",COUNTIF($J$6:$J44,TRUE()))</f>
        <v/>
      </c>
      <c r="L44" s="7" t="str">
        <f aca="false">IF($K44="","","R"&amp;$K44)</f>
        <v/>
      </c>
    </row>
    <row r="45" customFormat="false" ht="15" hidden="false" customHeight="true" outlineLevel="0" collapsed="false">
      <c r="A45" s="28" t="str">
        <f aca="false">IF($B45="","",40)</f>
        <v/>
      </c>
      <c r="B45" s="17" t="str">
        <f aca="false">IFERROR(INDEX(소진분석!$A$6:$A$305,MATCH("R"&amp;40,발주목록!$L$6:$L$305,0)),"")</f>
        <v/>
      </c>
      <c r="C45" s="17" t="str">
        <f aca="false">IF($B45="","",IFERROR(INDEX(소진분석!$B$6:$B$305,MATCH("R"&amp;40,발주목록!$L$6:$L$305,0)),""))</f>
        <v/>
      </c>
      <c r="D45" s="28" t="str">
        <f aca="false">IF($B45="","",IFERROR(INDEX(소진분석!$C$6:$C$305,MATCH("R"&amp;40,발주목록!$L$6:$L$305,0)),""))</f>
        <v/>
      </c>
      <c r="E45" s="22" t="str">
        <f aca="false">IF($B45="","",IFERROR(INDEX(소진분석!$D$6:$D$305,MATCH("R"&amp;40,발주목록!$L$6:$L$305,0)),""))</f>
        <v/>
      </c>
      <c r="F45" s="22" t="str">
        <f aca="false">IF($B45="","",IFERROR(INDEX(소진분석!$K$6:$K$305,MATCH("R"&amp;40,발주목록!$L$6:$L$305,0)),""))</f>
        <v/>
      </c>
      <c r="G45" s="17" t="str">
        <f aca="false">IF($B45="","",IFERROR(INDEX(품목마스터!$I$3:$I$302,MATCH($B45,품목마스터!$A$3:$A$302,0)),""))</f>
        <v/>
      </c>
      <c r="H45" s="25" t="str">
        <f aca="false">IF($B45="","",IFERROR(INDEX(소진분석!$J$6:$J$305,MATCH("R"&amp;40,발주목록!$L$6:$L$305,0)),""))</f>
        <v/>
      </c>
      <c r="J45" s="29" t="b">
        <f aca="false">IF(소진분석!$A45="",FALSE(),IF($B$3="발주만",소진분석!$L45="발주",OR(소진분석!$L45="발주",소진분석!$L45="임박")))</f>
        <v>0</v>
      </c>
      <c r="K45" s="7" t="str">
        <f aca="false">IF($J45=FALSE(),"",COUNTIF($J$6:$J45,TRUE()))</f>
        <v/>
      </c>
      <c r="L45" s="7" t="str">
        <f aca="false">IF($K45="","","R"&amp;$K45)</f>
        <v/>
      </c>
    </row>
    <row r="46" customFormat="false" ht="15" hidden="false" customHeight="true" outlineLevel="0" collapsed="false">
      <c r="A46" s="28" t="str">
        <f aca="false">IF($B46="","",41)</f>
        <v/>
      </c>
      <c r="B46" s="17" t="str">
        <f aca="false">IFERROR(INDEX(소진분석!$A$6:$A$305,MATCH("R"&amp;41,발주목록!$L$6:$L$305,0)),"")</f>
        <v/>
      </c>
      <c r="C46" s="17" t="str">
        <f aca="false">IF($B46="","",IFERROR(INDEX(소진분석!$B$6:$B$305,MATCH("R"&amp;41,발주목록!$L$6:$L$305,0)),""))</f>
        <v/>
      </c>
      <c r="D46" s="28" t="str">
        <f aca="false">IF($B46="","",IFERROR(INDEX(소진분석!$C$6:$C$305,MATCH("R"&amp;41,발주목록!$L$6:$L$305,0)),""))</f>
        <v/>
      </c>
      <c r="E46" s="22" t="str">
        <f aca="false">IF($B46="","",IFERROR(INDEX(소진분석!$D$6:$D$305,MATCH("R"&amp;41,발주목록!$L$6:$L$305,0)),""))</f>
        <v/>
      </c>
      <c r="F46" s="22" t="str">
        <f aca="false">IF($B46="","",IFERROR(INDEX(소진분석!$K$6:$K$305,MATCH("R"&amp;41,발주목록!$L$6:$L$305,0)),""))</f>
        <v/>
      </c>
      <c r="G46" s="17" t="str">
        <f aca="false">IF($B46="","",IFERROR(INDEX(품목마스터!$I$3:$I$302,MATCH($B46,품목마스터!$A$3:$A$302,0)),""))</f>
        <v/>
      </c>
      <c r="H46" s="25" t="str">
        <f aca="false">IF($B46="","",IFERROR(INDEX(소진분석!$J$6:$J$305,MATCH("R"&amp;41,발주목록!$L$6:$L$305,0)),""))</f>
        <v/>
      </c>
      <c r="J46" s="29" t="b">
        <f aca="false">IF(소진분석!$A46="",FALSE(),IF($B$3="발주만",소진분석!$L46="발주",OR(소진분석!$L46="발주",소진분석!$L46="임박")))</f>
        <v>0</v>
      </c>
      <c r="K46" s="7" t="str">
        <f aca="false">IF($J46=FALSE(),"",COUNTIF($J$6:$J46,TRUE()))</f>
        <v/>
      </c>
      <c r="L46" s="7" t="str">
        <f aca="false">IF($K46="","","R"&amp;$K46)</f>
        <v/>
      </c>
    </row>
    <row r="47" customFormat="false" ht="15" hidden="false" customHeight="true" outlineLevel="0" collapsed="false">
      <c r="A47" s="28" t="str">
        <f aca="false">IF($B47="","",42)</f>
        <v/>
      </c>
      <c r="B47" s="17" t="str">
        <f aca="false">IFERROR(INDEX(소진분석!$A$6:$A$305,MATCH("R"&amp;42,발주목록!$L$6:$L$305,0)),"")</f>
        <v/>
      </c>
      <c r="C47" s="17" t="str">
        <f aca="false">IF($B47="","",IFERROR(INDEX(소진분석!$B$6:$B$305,MATCH("R"&amp;42,발주목록!$L$6:$L$305,0)),""))</f>
        <v/>
      </c>
      <c r="D47" s="28" t="str">
        <f aca="false">IF($B47="","",IFERROR(INDEX(소진분석!$C$6:$C$305,MATCH("R"&amp;42,발주목록!$L$6:$L$305,0)),""))</f>
        <v/>
      </c>
      <c r="E47" s="22" t="str">
        <f aca="false">IF($B47="","",IFERROR(INDEX(소진분석!$D$6:$D$305,MATCH("R"&amp;42,발주목록!$L$6:$L$305,0)),""))</f>
        <v/>
      </c>
      <c r="F47" s="22" t="str">
        <f aca="false">IF($B47="","",IFERROR(INDEX(소진분석!$K$6:$K$305,MATCH("R"&amp;42,발주목록!$L$6:$L$305,0)),""))</f>
        <v/>
      </c>
      <c r="G47" s="17" t="str">
        <f aca="false">IF($B47="","",IFERROR(INDEX(품목마스터!$I$3:$I$302,MATCH($B47,품목마스터!$A$3:$A$302,0)),""))</f>
        <v/>
      </c>
      <c r="H47" s="25" t="str">
        <f aca="false">IF($B47="","",IFERROR(INDEX(소진분석!$J$6:$J$305,MATCH("R"&amp;42,발주목록!$L$6:$L$305,0)),""))</f>
        <v/>
      </c>
      <c r="J47" s="29" t="b">
        <f aca="false">IF(소진분석!$A47="",FALSE(),IF($B$3="발주만",소진분석!$L47="발주",OR(소진분석!$L47="발주",소진분석!$L47="임박")))</f>
        <v>0</v>
      </c>
      <c r="K47" s="7" t="str">
        <f aca="false">IF($J47=FALSE(),"",COUNTIF($J$6:$J47,TRUE()))</f>
        <v/>
      </c>
      <c r="L47" s="7" t="str">
        <f aca="false">IF($K47="","","R"&amp;$K47)</f>
        <v/>
      </c>
    </row>
    <row r="48" customFormat="false" ht="15" hidden="false" customHeight="true" outlineLevel="0" collapsed="false">
      <c r="A48" s="28" t="str">
        <f aca="false">IF($B48="","",43)</f>
        <v/>
      </c>
      <c r="B48" s="17" t="str">
        <f aca="false">IFERROR(INDEX(소진분석!$A$6:$A$305,MATCH("R"&amp;43,발주목록!$L$6:$L$305,0)),"")</f>
        <v/>
      </c>
      <c r="C48" s="17" t="str">
        <f aca="false">IF($B48="","",IFERROR(INDEX(소진분석!$B$6:$B$305,MATCH("R"&amp;43,발주목록!$L$6:$L$305,0)),""))</f>
        <v/>
      </c>
      <c r="D48" s="28" t="str">
        <f aca="false">IF($B48="","",IFERROR(INDEX(소진분석!$C$6:$C$305,MATCH("R"&amp;43,발주목록!$L$6:$L$305,0)),""))</f>
        <v/>
      </c>
      <c r="E48" s="22" t="str">
        <f aca="false">IF($B48="","",IFERROR(INDEX(소진분석!$D$6:$D$305,MATCH("R"&amp;43,발주목록!$L$6:$L$305,0)),""))</f>
        <v/>
      </c>
      <c r="F48" s="22" t="str">
        <f aca="false">IF($B48="","",IFERROR(INDEX(소진분석!$K$6:$K$305,MATCH("R"&amp;43,발주목록!$L$6:$L$305,0)),""))</f>
        <v/>
      </c>
      <c r="G48" s="17" t="str">
        <f aca="false">IF($B48="","",IFERROR(INDEX(품목마스터!$I$3:$I$302,MATCH($B48,품목마스터!$A$3:$A$302,0)),""))</f>
        <v/>
      </c>
      <c r="H48" s="25" t="str">
        <f aca="false">IF($B48="","",IFERROR(INDEX(소진분석!$J$6:$J$305,MATCH("R"&amp;43,발주목록!$L$6:$L$305,0)),""))</f>
        <v/>
      </c>
      <c r="J48" s="29" t="b">
        <f aca="false">IF(소진분석!$A48="",FALSE(),IF($B$3="발주만",소진분석!$L48="발주",OR(소진분석!$L48="발주",소진분석!$L48="임박")))</f>
        <v>0</v>
      </c>
      <c r="K48" s="7" t="str">
        <f aca="false">IF($J48=FALSE(),"",COUNTIF($J$6:$J48,TRUE()))</f>
        <v/>
      </c>
      <c r="L48" s="7" t="str">
        <f aca="false">IF($K48="","","R"&amp;$K48)</f>
        <v/>
      </c>
    </row>
    <row r="49" customFormat="false" ht="15" hidden="false" customHeight="true" outlineLevel="0" collapsed="false">
      <c r="A49" s="28" t="str">
        <f aca="false">IF($B49="","",44)</f>
        <v/>
      </c>
      <c r="B49" s="17" t="str">
        <f aca="false">IFERROR(INDEX(소진분석!$A$6:$A$305,MATCH("R"&amp;44,발주목록!$L$6:$L$305,0)),"")</f>
        <v/>
      </c>
      <c r="C49" s="17" t="str">
        <f aca="false">IF($B49="","",IFERROR(INDEX(소진분석!$B$6:$B$305,MATCH("R"&amp;44,발주목록!$L$6:$L$305,0)),""))</f>
        <v/>
      </c>
      <c r="D49" s="28" t="str">
        <f aca="false">IF($B49="","",IFERROR(INDEX(소진분석!$C$6:$C$305,MATCH("R"&amp;44,발주목록!$L$6:$L$305,0)),""))</f>
        <v/>
      </c>
      <c r="E49" s="22" t="str">
        <f aca="false">IF($B49="","",IFERROR(INDEX(소진분석!$D$6:$D$305,MATCH("R"&amp;44,발주목록!$L$6:$L$305,0)),""))</f>
        <v/>
      </c>
      <c r="F49" s="22" t="str">
        <f aca="false">IF($B49="","",IFERROR(INDEX(소진분석!$K$6:$K$305,MATCH("R"&amp;44,발주목록!$L$6:$L$305,0)),""))</f>
        <v/>
      </c>
      <c r="G49" s="17" t="str">
        <f aca="false">IF($B49="","",IFERROR(INDEX(품목마스터!$I$3:$I$302,MATCH($B49,품목마스터!$A$3:$A$302,0)),""))</f>
        <v/>
      </c>
      <c r="H49" s="25" t="str">
        <f aca="false">IF($B49="","",IFERROR(INDEX(소진분석!$J$6:$J$305,MATCH("R"&amp;44,발주목록!$L$6:$L$305,0)),""))</f>
        <v/>
      </c>
      <c r="J49" s="29" t="b">
        <f aca="false">IF(소진분석!$A49="",FALSE(),IF($B$3="발주만",소진분석!$L49="발주",OR(소진분석!$L49="발주",소진분석!$L49="임박")))</f>
        <v>0</v>
      </c>
      <c r="K49" s="7" t="str">
        <f aca="false">IF($J49=FALSE(),"",COUNTIF($J$6:$J49,TRUE()))</f>
        <v/>
      </c>
      <c r="L49" s="7" t="str">
        <f aca="false">IF($K49="","","R"&amp;$K49)</f>
        <v/>
      </c>
    </row>
    <row r="50" customFormat="false" ht="15" hidden="false" customHeight="true" outlineLevel="0" collapsed="false">
      <c r="A50" s="28" t="str">
        <f aca="false">IF($B50="","",45)</f>
        <v/>
      </c>
      <c r="B50" s="17" t="str">
        <f aca="false">IFERROR(INDEX(소진분석!$A$6:$A$305,MATCH("R"&amp;45,발주목록!$L$6:$L$305,0)),"")</f>
        <v/>
      </c>
      <c r="C50" s="17" t="str">
        <f aca="false">IF($B50="","",IFERROR(INDEX(소진분석!$B$6:$B$305,MATCH("R"&amp;45,발주목록!$L$6:$L$305,0)),""))</f>
        <v/>
      </c>
      <c r="D50" s="28" t="str">
        <f aca="false">IF($B50="","",IFERROR(INDEX(소진분석!$C$6:$C$305,MATCH("R"&amp;45,발주목록!$L$6:$L$305,0)),""))</f>
        <v/>
      </c>
      <c r="E50" s="22" t="str">
        <f aca="false">IF($B50="","",IFERROR(INDEX(소진분석!$D$6:$D$305,MATCH("R"&amp;45,발주목록!$L$6:$L$305,0)),""))</f>
        <v/>
      </c>
      <c r="F50" s="22" t="str">
        <f aca="false">IF($B50="","",IFERROR(INDEX(소진분석!$K$6:$K$305,MATCH("R"&amp;45,발주목록!$L$6:$L$305,0)),""))</f>
        <v/>
      </c>
      <c r="G50" s="17" t="str">
        <f aca="false">IF($B50="","",IFERROR(INDEX(품목마스터!$I$3:$I$302,MATCH($B50,품목마스터!$A$3:$A$302,0)),""))</f>
        <v/>
      </c>
      <c r="H50" s="25" t="str">
        <f aca="false">IF($B50="","",IFERROR(INDEX(소진분석!$J$6:$J$305,MATCH("R"&amp;45,발주목록!$L$6:$L$305,0)),""))</f>
        <v/>
      </c>
      <c r="J50" s="29" t="b">
        <f aca="false">IF(소진분석!$A50="",FALSE(),IF($B$3="발주만",소진분석!$L50="발주",OR(소진분석!$L50="발주",소진분석!$L50="임박")))</f>
        <v>0</v>
      </c>
      <c r="K50" s="7" t="str">
        <f aca="false">IF($J50=FALSE(),"",COUNTIF($J$6:$J50,TRUE()))</f>
        <v/>
      </c>
      <c r="L50" s="7" t="str">
        <f aca="false">IF($K50="","","R"&amp;$K50)</f>
        <v/>
      </c>
    </row>
    <row r="51" customFormat="false" ht="15" hidden="false" customHeight="true" outlineLevel="0" collapsed="false">
      <c r="A51" s="28" t="str">
        <f aca="false">IF($B51="","",46)</f>
        <v/>
      </c>
      <c r="B51" s="17" t="str">
        <f aca="false">IFERROR(INDEX(소진분석!$A$6:$A$305,MATCH("R"&amp;46,발주목록!$L$6:$L$305,0)),"")</f>
        <v/>
      </c>
      <c r="C51" s="17" t="str">
        <f aca="false">IF($B51="","",IFERROR(INDEX(소진분석!$B$6:$B$305,MATCH("R"&amp;46,발주목록!$L$6:$L$305,0)),""))</f>
        <v/>
      </c>
      <c r="D51" s="28" t="str">
        <f aca="false">IF($B51="","",IFERROR(INDEX(소진분석!$C$6:$C$305,MATCH("R"&amp;46,발주목록!$L$6:$L$305,0)),""))</f>
        <v/>
      </c>
      <c r="E51" s="22" t="str">
        <f aca="false">IF($B51="","",IFERROR(INDEX(소진분석!$D$6:$D$305,MATCH("R"&amp;46,발주목록!$L$6:$L$305,0)),""))</f>
        <v/>
      </c>
      <c r="F51" s="22" t="str">
        <f aca="false">IF($B51="","",IFERROR(INDEX(소진분석!$K$6:$K$305,MATCH("R"&amp;46,발주목록!$L$6:$L$305,0)),""))</f>
        <v/>
      </c>
      <c r="G51" s="17" t="str">
        <f aca="false">IF($B51="","",IFERROR(INDEX(품목마스터!$I$3:$I$302,MATCH($B51,품목마스터!$A$3:$A$302,0)),""))</f>
        <v/>
      </c>
      <c r="H51" s="25" t="str">
        <f aca="false">IF($B51="","",IFERROR(INDEX(소진분석!$J$6:$J$305,MATCH("R"&amp;46,발주목록!$L$6:$L$305,0)),""))</f>
        <v/>
      </c>
      <c r="J51" s="29" t="b">
        <f aca="false">IF(소진분석!$A51="",FALSE(),IF($B$3="발주만",소진분석!$L51="발주",OR(소진분석!$L51="발주",소진분석!$L51="임박")))</f>
        <v>0</v>
      </c>
      <c r="K51" s="7" t="str">
        <f aca="false">IF($J51=FALSE(),"",COUNTIF($J$6:$J51,TRUE()))</f>
        <v/>
      </c>
      <c r="L51" s="7" t="str">
        <f aca="false">IF($K51="","","R"&amp;$K51)</f>
        <v/>
      </c>
    </row>
    <row r="52" customFormat="false" ht="15" hidden="false" customHeight="true" outlineLevel="0" collapsed="false">
      <c r="A52" s="28" t="str">
        <f aca="false">IF($B52="","",47)</f>
        <v/>
      </c>
      <c r="B52" s="17" t="str">
        <f aca="false">IFERROR(INDEX(소진분석!$A$6:$A$305,MATCH("R"&amp;47,발주목록!$L$6:$L$305,0)),"")</f>
        <v/>
      </c>
      <c r="C52" s="17" t="str">
        <f aca="false">IF($B52="","",IFERROR(INDEX(소진분석!$B$6:$B$305,MATCH("R"&amp;47,발주목록!$L$6:$L$305,0)),""))</f>
        <v/>
      </c>
      <c r="D52" s="28" t="str">
        <f aca="false">IF($B52="","",IFERROR(INDEX(소진분석!$C$6:$C$305,MATCH("R"&amp;47,발주목록!$L$6:$L$305,0)),""))</f>
        <v/>
      </c>
      <c r="E52" s="22" t="str">
        <f aca="false">IF($B52="","",IFERROR(INDEX(소진분석!$D$6:$D$305,MATCH("R"&amp;47,발주목록!$L$6:$L$305,0)),""))</f>
        <v/>
      </c>
      <c r="F52" s="22" t="str">
        <f aca="false">IF($B52="","",IFERROR(INDEX(소진분석!$K$6:$K$305,MATCH("R"&amp;47,발주목록!$L$6:$L$305,0)),""))</f>
        <v/>
      </c>
      <c r="G52" s="17" t="str">
        <f aca="false">IF($B52="","",IFERROR(INDEX(품목마스터!$I$3:$I$302,MATCH($B52,품목마스터!$A$3:$A$302,0)),""))</f>
        <v/>
      </c>
      <c r="H52" s="25" t="str">
        <f aca="false">IF($B52="","",IFERROR(INDEX(소진분석!$J$6:$J$305,MATCH("R"&amp;47,발주목록!$L$6:$L$305,0)),""))</f>
        <v/>
      </c>
      <c r="J52" s="29" t="b">
        <f aca="false">IF(소진분석!$A52="",FALSE(),IF($B$3="발주만",소진분석!$L52="발주",OR(소진분석!$L52="발주",소진분석!$L52="임박")))</f>
        <v>0</v>
      </c>
      <c r="K52" s="7" t="str">
        <f aca="false">IF($J52=FALSE(),"",COUNTIF($J$6:$J52,TRUE()))</f>
        <v/>
      </c>
      <c r="L52" s="7" t="str">
        <f aca="false">IF($K52="","","R"&amp;$K52)</f>
        <v/>
      </c>
    </row>
    <row r="53" customFormat="false" ht="15" hidden="false" customHeight="true" outlineLevel="0" collapsed="false">
      <c r="A53" s="28" t="str">
        <f aca="false">IF($B53="","",48)</f>
        <v/>
      </c>
      <c r="B53" s="17" t="str">
        <f aca="false">IFERROR(INDEX(소진분석!$A$6:$A$305,MATCH("R"&amp;48,발주목록!$L$6:$L$305,0)),"")</f>
        <v/>
      </c>
      <c r="C53" s="17" t="str">
        <f aca="false">IF($B53="","",IFERROR(INDEX(소진분석!$B$6:$B$305,MATCH("R"&amp;48,발주목록!$L$6:$L$305,0)),""))</f>
        <v/>
      </c>
      <c r="D53" s="28" t="str">
        <f aca="false">IF($B53="","",IFERROR(INDEX(소진분석!$C$6:$C$305,MATCH("R"&amp;48,발주목록!$L$6:$L$305,0)),""))</f>
        <v/>
      </c>
      <c r="E53" s="22" t="str">
        <f aca="false">IF($B53="","",IFERROR(INDEX(소진분석!$D$6:$D$305,MATCH("R"&amp;48,발주목록!$L$6:$L$305,0)),""))</f>
        <v/>
      </c>
      <c r="F53" s="22" t="str">
        <f aca="false">IF($B53="","",IFERROR(INDEX(소진분석!$K$6:$K$305,MATCH("R"&amp;48,발주목록!$L$6:$L$305,0)),""))</f>
        <v/>
      </c>
      <c r="G53" s="17" t="str">
        <f aca="false">IF($B53="","",IFERROR(INDEX(품목마스터!$I$3:$I$302,MATCH($B53,품목마스터!$A$3:$A$302,0)),""))</f>
        <v/>
      </c>
      <c r="H53" s="25" t="str">
        <f aca="false">IF($B53="","",IFERROR(INDEX(소진분석!$J$6:$J$305,MATCH("R"&amp;48,발주목록!$L$6:$L$305,0)),""))</f>
        <v/>
      </c>
      <c r="J53" s="29" t="b">
        <f aca="false">IF(소진분석!$A53="",FALSE(),IF($B$3="발주만",소진분석!$L53="발주",OR(소진분석!$L53="발주",소진분석!$L53="임박")))</f>
        <v>0</v>
      </c>
      <c r="K53" s="7" t="str">
        <f aca="false">IF($J53=FALSE(),"",COUNTIF($J$6:$J53,TRUE()))</f>
        <v/>
      </c>
      <c r="L53" s="7" t="str">
        <f aca="false">IF($K53="","","R"&amp;$K53)</f>
        <v/>
      </c>
    </row>
    <row r="54" customFormat="false" ht="15" hidden="false" customHeight="true" outlineLevel="0" collapsed="false">
      <c r="A54" s="28" t="str">
        <f aca="false">IF($B54="","",49)</f>
        <v/>
      </c>
      <c r="B54" s="17" t="str">
        <f aca="false">IFERROR(INDEX(소진분석!$A$6:$A$305,MATCH("R"&amp;49,발주목록!$L$6:$L$305,0)),"")</f>
        <v/>
      </c>
      <c r="C54" s="17" t="str">
        <f aca="false">IF($B54="","",IFERROR(INDEX(소진분석!$B$6:$B$305,MATCH("R"&amp;49,발주목록!$L$6:$L$305,0)),""))</f>
        <v/>
      </c>
      <c r="D54" s="28" t="str">
        <f aca="false">IF($B54="","",IFERROR(INDEX(소진분석!$C$6:$C$305,MATCH("R"&amp;49,발주목록!$L$6:$L$305,0)),""))</f>
        <v/>
      </c>
      <c r="E54" s="22" t="str">
        <f aca="false">IF($B54="","",IFERROR(INDEX(소진분석!$D$6:$D$305,MATCH("R"&amp;49,발주목록!$L$6:$L$305,0)),""))</f>
        <v/>
      </c>
      <c r="F54" s="22" t="str">
        <f aca="false">IF($B54="","",IFERROR(INDEX(소진분석!$K$6:$K$305,MATCH("R"&amp;49,발주목록!$L$6:$L$305,0)),""))</f>
        <v/>
      </c>
      <c r="G54" s="17" t="str">
        <f aca="false">IF($B54="","",IFERROR(INDEX(품목마스터!$I$3:$I$302,MATCH($B54,품목마스터!$A$3:$A$302,0)),""))</f>
        <v/>
      </c>
      <c r="H54" s="25" t="str">
        <f aca="false">IF($B54="","",IFERROR(INDEX(소진분석!$J$6:$J$305,MATCH("R"&amp;49,발주목록!$L$6:$L$305,0)),""))</f>
        <v/>
      </c>
      <c r="J54" s="29" t="b">
        <f aca="false">IF(소진분석!$A54="",FALSE(),IF($B$3="발주만",소진분석!$L54="발주",OR(소진분석!$L54="발주",소진분석!$L54="임박")))</f>
        <v>0</v>
      </c>
      <c r="K54" s="7" t="str">
        <f aca="false">IF($J54=FALSE(),"",COUNTIF($J$6:$J54,TRUE()))</f>
        <v/>
      </c>
      <c r="L54" s="7" t="str">
        <f aca="false">IF($K54="","","R"&amp;$K54)</f>
        <v/>
      </c>
    </row>
    <row r="55" customFormat="false" ht="15" hidden="false" customHeight="true" outlineLevel="0" collapsed="false">
      <c r="A55" s="28" t="str">
        <f aca="false">IF($B55="","",50)</f>
        <v/>
      </c>
      <c r="B55" s="17" t="str">
        <f aca="false">IFERROR(INDEX(소진분석!$A$6:$A$305,MATCH("R"&amp;50,발주목록!$L$6:$L$305,0)),"")</f>
        <v/>
      </c>
      <c r="C55" s="17" t="str">
        <f aca="false">IF($B55="","",IFERROR(INDEX(소진분석!$B$6:$B$305,MATCH("R"&amp;50,발주목록!$L$6:$L$305,0)),""))</f>
        <v/>
      </c>
      <c r="D55" s="28" t="str">
        <f aca="false">IF($B55="","",IFERROR(INDEX(소진분석!$C$6:$C$305,MATCH("R"&amp;50,발주목록!$L$6:$L$305,0)),""))</f>
        <v/>
      </c>
      <c r="E55" s="22" t="str">
        <f aca="false">IF($B55="","",IFERROR(INDEX(소진분석!$D$6:$D$305,MATCH("R"&amp;50,발주목록!$L$6:$L$305,0)),""))</f>
        <v/>
      </c>
      <c r="F55" s="22" t="str">
        <f aca="false">IF($B55="","",IFERROR(INDEX(소진분석!$K$6:$K$305,MATCH("R"&amp;50,발주목록!$L$6:$L$305,0)),""))</f>
        <v/>
      </c>
      <c r="G55" s="17" t="str">
        <f aca="false">IF($B55="","",IFERROR(INDEX(품목마스터!$I$3:$I$302,MATCH($B55,품목마스터!$A$3:$A$302,0)),""))</f>
        <v/>
      </c>
      <c r="H55" s="25" t="str">
        <f aca="false">IF($B55="","",IFERROR(INDEX(소진분석!$J$6:$J$305,MATCH("R"&amp;50,발주목록!$L$6:$L$305,0)),""))</f>
        <v/>
      </c>
      <c r="J55" s="29" t="b">
        <f aca="false">IF(소진분석!$A55="",FALSE(),IF($B$3="발주만",소진분석!$L55="발주",OR(소진분석!$L55="발주",소진분석!$L55="임박")))</f>
        <v>0</v>
      </c>
      <c r="K55" s="7" t="str">
        <f aca="false">IF($J55=FALSE(),"",COUNTIF($J$6:$J55,TRUE()))</f>
        <v/>
      </c>
      <c r="L55" s="7" t="str">
        <f aca="false">IF($K55="","","R"&amp;$K55)</f>
        <v/>
      </c>
    </row>
    <row r="56" customFormat="false" ht="15" hidden="false" customHeight="true" outlineLevel="0" collapsed="false">
      <c r="A56" s="28" t="str">
        <f aca="false">IF($B56="","",51)</f>
        <v/>
      </c>
      <c r="B56" s="17" t="str">
        <f aca="false">IFERROR(INDEX(소진분석!$A$6:$A$305,MATCH("R"&amp;51,발주목록!$L$6:$L$305,0)),"")</f>
        <v/>
      </c>
      <c r="C56" s="17" t="str">
        <f aca="false">IF($B56="","",IFERROR(INDEX(소진분석!$B$6:$B$305,MATCH("R"&amp;51,발주목록!$L$6:$L$305,0)),""))</f>
        <v/>
      </c>
      <c r="D56" s="28" t="str">
        <f aca="false">IF($B56="","",IFERROR(INDEX(소진분석!$C$6:$C$305,MATCH("R"&amp;51,발주목록!$L$6:$L$305,0)),""))</f>
        <v/>
      </c>
      <c r="E56" s="22" t="str">
        <f aca="false">IF($B56="","",IFERROR(INDEX(소진분석!$D$6:$D$305,MATCH("R"&amp;51,발주목록!$L$6:$L$305,0)),""))</f>
        <v/>
      </c>
      <c r="F56" s="22" t="str">
        <f aca="false">IF($B56="","",IFERROR(INDEX(소진분석!$K$6:$K$305,MATCH("R"&amp;51,발주목록!$L$6:$L$305,0)),""))</f>
        <v/>
      </c>
      <c r="G56" s="17" t="str">
        <f aca="false">IF($B56="","",IFERROR(INDEX(품목마스터!$I$3:$I$302,MATCH($B56,품목마스터!$A$3:$A$302,0)),""))</f>
        <v/>
      </c>
      <c r="H56" s="25" t="str">
        <f aca="false">IF($B56="","",IFERROR(INDEX(소진분석!$J$6:$J$305,MATCH("R"&amp;51,발주목록!$L$6:$L$305,0)),""))</f>
        <v/>
      </c>
      <c r="J56" s="29" t="b">
        <f aca="false">IF(소진분석!$A56="",FALSE(),IF($B$3="발주만",소진분석!$L56="발주",OR(소진분석!$L56="발주",소진분석!$L56="임박")))</f>
        <v>0</v>
      </c>
      <c r="K56" s="7" t="str">
        <f aca="false">IF($J56=FALSE(),"",COUNTIF($J$6:$J56,TRUE()))</f>
        <v/>
      </c>
      <c r="L56" s="7" t="str">
        <f aca="false">IF($K56="","","R"&amp;$K56)</f>
        <v/>
      </c>
    </row>
    <row r="57" customFormat="false" ht="15" hidden="false" customHeight="true" outlineLevel="0" collapsed="false">
      <c r="A57" s="28" t="str">
        <f aca="false">IF($B57="","",52)</f>
        <v/>
      </c>
      <c r="B57" s="17" t="str">
        <f aca="false">IFERROR(INDEX(소진분석!$A$6:$A$305,MATCH("R"&amp;52,발주목록!$L$6:$L$305,0)),"")</f>
        <v/>
      </c>
      <c r="C57" s="17" t="str">
        <f aca="false">IF($B57="","",IFERROR(INDEX(소진분석!$B$6:$B$305,MATCH("R"&amp;52,발주목록!$L$6:$L$305,0)),""))</f>
        <v/>
      </c>
      <c r="D57" s="28" t="str">
        <f aca="false">IF($B57="","",IFERROR(INDEX(소진분석!$C$6:$C$305,MATCH("R"&amp;52,발주목록!$L$6:$L$305,0)),""))</f>
        <v/>
      </c>
      <c r="E57" s="22" t="str">
        <f aca="false">IF($B57="","",IFERROR(INDEX(소진분석!$D$6:$D$305,MATCH("R"&amp;52,발주목록!$L$6:$L$305,0)),""))</f>
        <v/>
      </c>
      <c r="F57" s="22" t="str">
        <f aca="false">IF($B57="","",IFERROR(INDEX(소진분석!$K$6:$K$305,MATCH("R"&amp;52,발주목록!$L$6:$L$305,0)),""))</f>
        <v/>
      </c>
      <c r="G57" s="17" t="str">
        <f aca="false">IF($B57="","",IFERROR(INDEX(품목마스터!$I$3:$I$302,MATCH($B57,품목마스터!$A$3:$A$302,0)),""))</f>
        <v/>
      </c>
      <c r="H57" s="25" t="str">
        <f aca="false">IF($B57="","",IFERROR(INDEX(소진분석!$J$6:$J$305,MATCH("R"&amp;52,발주목록!$L$6:$L$305,0)),""))</f>
        <v/>
      </c>
      <c r="J57" s="29" t="b">
        <f aca="false">IF(소진분석!$A57="",FALSE(),IF($B$3="발주만",소진분석!$L57="발주",OR(소진분석!$L57="발주",소진분석!$L57="임박")))</f>
        <v>0</v>
      </c>
      <c r="K57" s="7" t="str">
        <f aca="false">IF($J57=FALSE(),"",COUNTIF($J$6:$J57,TRUE()))</f>
        <v/>
      </c>
      <c r="L57" s="7" t="str">
        <f aca="false">IF($K57="","","R"&amp;$K57)</f>
        <v/>
      </c>
    </row>
    <row r="58" customFormat="false" ht="15" hidden="false" customHeight="true" outlineLevel="0" collapsed="false">
      <c r="A58" s="28" t="str">
        <f aca="false">IF($B58="","",53)</f>
        <v/>
      </c>
      <c r="B58" s="17" t="str">
        <f aca="false">IFERROR(INDEX(소진분석!$A$6:$A$305,MATCH("R"&amp;53,발주목록!$L$6:$L$305,0)),"")</f>
        <v/>
      </c>
      <c r="C58" s="17" t="str">
        <f aca="false">IF($B58="","",IFERROR(INDEX(소진분석!$B$6:$B$305,MATCH("R"&amp;53,발주목록!$L$6:$L$305,0)),""))</f>
        <v/>
      </c>
      <c r="D58" s="28" t="str">
        <f aca="false">IF($B58="","",IFERROR(INDEX(소진분석!$C$6:$C$305,MATCH("R"&amp;53,발주목록!$L$6:$L$305,0)),""))</f>
        <v/>
      </c>
      <c r="E58" s="22" t="str">
        <f aca="false">IF($B58="","",IFERROR(INDEX(소진분석!$D$6:$D$305,MATCH("R"&amp;53,발주목록!$L$6:$L$305,0)),""))</f>
        <v/>
      </c>
      <c r="F58" s="22" t="str">
        <f aca="false">IF($B58="","",IFERROR(INDEX(소진분석!$K$6:$K$305,MATCH("R"&amp;53,발주목록!$L$6:$L$305,0)),""))</f>
        <v/>
      </c>
      <c r="G58" s="17" t="str">
        <f aca="false">IF($B58="","",IFERROR(INDEX(품목마스터!$I$3:$I$302,MATCH($B58,품목마스터!$A$3:$A$302,0)),""))</f>
        <v/>
      </c>
      <c r="H58" s="25" t="str">
        <f aca="false">IF($B58="","",IFERROR(INDEX(소진분석!$J$6:$J$305,MATCH("R"&amp;53,발주목록!$L$6:$L$305,0)),""))</f>
        <v/>
      </c>
      <c r="J58" s="29" t="b">
        <f aca="false">IF(소진분석!$A58="",FALSE(),IF($B$3="발주만",소진분석!$L58="발주",OR(소진분석!$L58="발주",소진분석!$L58="임박")))</f>
        <v>0</v>
      </c>
      <c r="K58" s="7" t="str">
        <f aca="false">IF($J58=FALSE(),"",COUNTIF($J$6:$J58,TRUE()))</f>
        <v/>
      </c>
      <c r="L58" s="7" t="str">
        <f aca="false">IF($K58="","","R"&amp;$K58)</f>
        <v/>
      </c>
    </row>
    <row r="59" customFormat="false" ht="15" hidden="false" customHeight="true" outlineLevel="0" collapsed="false">
      <c r="A59" s="28" t="str">
        <f aca="false">IF($B59="","",54)</f>
        <v/>
      </c>
      <c r="B59" s="17" t="str">
        <f aca="false">IFERROR(INDEX(소진분석!$A$6:$A$305,MATCH("R"&amp;54,발주목록!$L$6:$L$305,0)),"")</f>
        <v/>
      </c>
      <c r="C59" s="17" t="str">
        <f aca="false">IF($B59="","",IFERROR(INDEX(소진분석!$B$6:$B$305,MATCH("R"&amp;54,발주목록!$L$6:$L$305,0)),""))</f>
        <v/>
      </c>
      <c r="D59" s="28" t="str">
        <f aca="false">IF($B59="","",IFERROR(INDEX(소진분석!$C$6:$C$305,MATCH("R"&amp;54,발주목록!$L$6:$L$305,0)),""))</f>
        <v/>
      </c>
      <c r="E59" s="22" t="str">
        <f aca="false">IF($B59="","",IFERROR(INDEX(소진분석!$D$6:$D$305,MATCH("R"&amp;54,발주목록!$L$6:$L$305,0)),""))</f>
        <v/>
      </c>
      <c r="F59" s="22" t="str">
        <f aca="false">IF($B59="","",IFERROR(INDEX(소진분석!$K$6:$K$305,MATCH("R"&amp;54,발주목록!$L$6:$L$305,0)),""))</f>
        <v/>
      </c>
      <c r="G59" s="17" t="str">
        <f aca="false">IF($B59="","",IFERROR(INDEX(품목마스터!$I$3:$I$302,MATCH($B59,품목마스터!$A$3:$A$302,0)),""))</f>
        <v/>
      </c>
      <c r="H59" s="25" t="str">
        <f aca="false">IF($B59="","",IFERROR(INDEX(소진분석!$J$6:$J$305,MATCH("R"&amp;54,발주목록!$L$6:$L$305,0)),""))</f>
        <v/>
      </c>
      <c r="J59" s="29" t="b">
        <f aca="false">IF(소진분석!$A59="",FALSE(),IF($B$3="발주만",소진분석!$L59="발주",OR(소진분석!$L59="발주",소진분석!$L59="임박")))</f>
        <v>0</v>
      </c>
      <c r="K59" s="7" t="str">
        <f aca="false">IF($J59=FALSE(),"",COUNTIF($J$6:$J59,TRUE()))</f>
        <v/>
      </c>
      <c r="L59" s="7" t="str">
        <f aca="false">IF($K59="","","R"&amp;$K59)</f>
        <v/>
      </c>
    </row>
    <row r="60" customFormat="false" ht="15" hidden="false" customHeight="true" outlineLevel="0" collapsed="false">
      <c r="A60" s="28" t="str">
        <f aca="false">IF($B60="","",55)</f>
        <v/>
      </c>
      <c r="B60" s="17" t="str">
        <f aca="false">IFERROR(INDEX(소진분석!$A$6:$A$305,MATCH("R"&amp;55,발주목록!$L$6:$L$305,0)),"")</f>
        <v/>
      </c>
      <c r="C60" s="17" t="str">
        <f aca="false">IF($B60="","",IFERROR(INDEX(소진분석!$B$6:$B$305,MATCH("R"&amp;55,발주목록!$L$6:$L$305,0)),""))</f>
        <v/>
      </c>
      <c r="D60" s="28" t="str">
        <f aca="false">IF($B60="","",IFERROR(INDEX(소진분석!$C$6:$C$305,MATCH("R"&amp;55,발주목록!$L$6:$L$305,0)),""))</f>
        <v/>
      </c>
      <c r="E60" s="22" t="str">
        <f aca="false">IF($B60="","",IFERROR(INDEX(소진분석!$D$6:$D$305,MATCH("R"&amp;55,발주목록!$L$6:$L$305,0)),""))</f>
        <v/>
      </c>
      <c r="F60" s="22" t="str">
        <f aca="false">IF($B60="","",IFERROR(INDEX(소진분석!$K$6:$K$305,MATCH("R"&amp;55,발주목록!$L$6:$L$305,0)),""))</f>
        <v/>
      </c>
      <c r="G60" s="17" t="str">
        <f aca="false">IF($B60="","",IFERROR(INDEX(품목마스터!$I$3:$I$302,MATCH($B60,품목마스터!$A$3:$A$302,0)),""))</f>
        <v/>
      </c>
      <c r="H60" s="25" t="str">
        <f aca="false">IF($B60="","",IFERROR(INDEX(소진분석!$J$6:$J$305,MATCH("R"&amp;55,발주목록!$L$6:$L$305,0)),""))</f>
        <v/>
      </c>
      <c r="J60" s="29" t="b">
        <f aca="false">IF(소진분석!$A60="",FALSE(),IF($B$3="발주만",소진분석!$L60="발주",OR(소진분석!$L60="발주",소진분석!$L60="임박")))</f>
        <v>0</v>
      </c>
      <c r="K60" s="7" t="str">
        <f aca="false">IF($J60=FALSE(),"",COUNTIF($J$6:$J60,TRUE()))</f>
        <v/>
      </c>
      <c r="L60" s="7" t="str">
        <f aca="false">IF($K60="","","R"&amp;$K60)</f>
        <v/>
      </c>
    </row>
    <row r="61" customFormat="false" ht="15" hidden="false" customHeight="true" outlineLevel="0" collapsed="false">
      <c r="A61" s="28" t="str">
        <f aca="false">IF($B61="","",56)</f>
        <v/>
      </c>
      <c r="B61" s="17" t="str">
        <f aca="false">IFERROR(INDEX(소진분석!$A$6:$A$305,MATCH("R"&amp;56,발주목록!$L$6:$L$305,0)),"")</f>
        <v/>
      </c>
      <c r="C61" s="17" t="str">
        <f aca="false">IF($B61="","",IFERROR(INDEX(소진분석!$B$6:$B$305,MATCH("R"&amp;56,발주목록!$L$6:$L$305,0)),""))</f>
        <v/>
      </c>
      <c r="D61" s="28" t="str">
        <f aca="false">IF($B61="","",IFERROR(INDEX(소진분석!$C$6:$C$305,MATCH("R"&amp;56,발주목록!$L$6:$L$305,0)),""))</f>
        <v/>
      </c>
      <c r="E61" s="22" t="str">
        <f aca="false">IF($B61="","",IFERROR(INDEX(소진분석!$D$6:$D$305,MATCH("R"&amp;56,발주목록!$L$6:$L$305,0)),""))</f>
        <v/>
      </c>
      <c r="F61" s="22" t="str">
        <f aca="false">IF($B61="","",IFERROR(INDEX(소진분석!$K$6:$K$305,MATCH("R"&amp;56,발주목록!$L$6:$L$305,0)),""))</f>
        <v/>
      </c>
      <c r="G61" s="17" t="str">
        <f aca="false">IF($B61="","",IFERROR(INDEX(품목마스터!$I$3:$I$302,MATCH($B61,품목마스터!$A$3:$A$302,0)),""))</f>
        <v/>
      </c>
      <c r="H61" s="25" t="str">
        <f aca="false">IF($B61="","",IFERROR(INDEX(소진분석!$J$6:$J$305,MATCH("R"&amp;56,발주목록!$L$6:$L$305,0)),""))</f>
        <v/>
      </c>
      <c r="J61" s="29" t="b">
        <f aca="false">IF(소진분석!$A61="",FALSE(),IF($B$3="발주만",소진분석!$L61="발주",OR(소진분석!$L61="발주",소진분석!$L61="임박")))</f>
        <v>0</v>
      </c>
      <c r="K61" s="7" t="str">
        <f aca="false">IF($J61=FALSE(),"",COUNTIF($J$6:$J61,TRUE()))</f>
        <v/>
      </c>
      <c r="L61" s="7" t="str">
        <f aca="false">IF($K61="","","R"&amp;$K61)</f>
        <v/>
      </c>
    </row>
    <row r="62" customFormat="false" ht="15" hidden="false" customHeight="true" outlineLevel="0" collapsed="false">
      <c r="A62" s="28" t="str">
        <f aca="false">IF($B62="","",57)</f>
        <v/>
      </c>
      <c r="B62" s="17" t="str">
        <f aca="false">IFERROR(INDEX(소진분석!$A$6:$A$305,MATCH("R"&amp;57,발주목록!$L$6:$L$305,0)),"")</f>
        <v/>
      </c>
      <c r="C62" s="17" t="str">
        <f aca="false">IF($B62="","",IFERROR(INDEX(소진분석!$B$6:$B$305,MATCH("R"&amp;57,발주목록!$L$6:$L$305,0)),""))</f>
        <v/>
      </c>
      <c r="D62" s="28" t="str">
        <f aca="false">IF($B62="","",IFERROR(INDEX(소진분석!$C$6:$C$305,MATCH("R"&amp;57,발주목록!$L$6:$L$305,0)),""))</f>
        <v/>
      </c>
      <c r="E62" s="22" t="str">
        <f aca="false">IF($B62="","",IFERROR(INDEX(소진분석!$D$6:$D$305,MATCH("R"&amp;57,발주목록!$L$6:$L$305,0)),""))</f>
        <v/>
      </c>
      <c r="F62" s="22" t="str">
        <f aca="false">IF($B62="","",IFERROR(INDEX(소진분석!$K$6:$K$305,MATCH("R"&amp;57,발주목록!$L$6:$L$305,0)),""))</f>
        <v/>
      </c>
      <c r="G62" s="17" t="str">
        <f aca="false">IF($B62="","",IFERROR(INDEX(품목마스터!$I$3:$I$302,MATCH($B62,품목마스터!$A$3:$A$302,0)),""))</f>
        <v/>
      </c>
      <c r="H62" s="25" t="str">
        <f aca="false">IF($B62="","",IFERROR(INDEX(소진분석!$J$6:$J$305,MATCH("R"&amp;57,발주목록!$L$6:$L$305,0)),""))</f>
        <v/>
      </c>
      <c r="J62" s="29" t="b">
        <f aca="false">IF(소진분석!$A62="",FALSE(),IF($B$3="발주만",소진분석!$L62="발주",OR(소진분석!$L62="발주",소진분석!$L62="임박")))</f>
        <v>0</v>
      </c>
      <c r="K62" s="7" t="str">
        <f aca="false">IF($J62=FALSE(),"",COUNTIF($J$6:$J62,TRUE()))</f>
        <v/>
      </c>
      <c r="L62" s="7" t="str">
        <f aca="false">IF($K62="","","R"&amp;$K62)</f>
        <v/>
      </c>
    </row>
    <row r="63" customFormat="false" ht="15" hidden="false" customHeight="true" outlineLevel="0" collapsed="false">
      <c r="A63" s="28" t="str">
        <f aca="false">IF($B63="","",58)</f>
        <v/>
      </c>
      <c r="B63" s="17" t="str">
        <f aca="false">IFERROR(INDEX(소진분석!$A$6:$A$305,MATCH("R"&amp;58,발주목록!$L$6:$L$305,0)),"")</f>
        <v/>
      </c>
      <c r="C63" s="17" t="str">
        <f aca="false">IF($B63="","",IFERROR(INDEX(소진분석!$B$6:$B$305,MATCH("R"&amp;58,발주목록!$L$6:$L$305,0)),""))</f>
        <v/>
      </c>
      <c r="D63" s="28" t="str">
        <f aca="false">IF($B63="","",IFERROR(INDEX(소진분석!$C$6:$C$305,MATCH("R"&amp;58,발주목록!$L$6:$L$305,0)),""))</f>
        <v/>
      </c>
      <c r="E63" s="22" t="str">
        <f aca="false">IF($B63="","",IFERROR(INDEX(소진분석!$D$6:$D$305,MATCH("R"&amp;58,발주목록!$L$6:$L$305,0)),""))</f>
        <v/>
      </c>
      <c r="F63" s="22" t="str">
        <f aca="false">IF($B63="","",IFERROR(INDEX(소진분석!$K$6:$K$305,MATCH("R"&amp;58,발주목록!$L$6:$L$305,0)),""))</f>
        <v/>
      </c>
      <c r="G63" s="17" t="str">
        <f aca="false">IF($B63="","",IFERROR(INDEX(품목마스터!$I$3:$I$302,MATCH($B63,품목마스터!$A$3:$A$302,0)),""))</f>
        <v/>
      </c>
      <c r="H63" s="25" t="str">
        <f aca="false">IF($B63="","",IFERROR(INDEX(소진분석!$J$6:$J$305,MATCH("R"&amp;58,발주목록!$L$6:$L$305,0)),""))</f>
        <v/>
      </c>
      <c r="J63" s="29" t="b">
        <f aca="false">IF(소진분석!$A63="",FALSE(),IF($B$3="발주만",소진분석!$L63="발주",OR(소진분석!$L63="발주",소진분석!$L63="임박")))</f>
        <v>0</v>
      </c>
      <c r="K63" s="7" t="str">
        <f aca="false">IF($J63=FALSE(),"",COUNTIF($J$6:$J63,TRUE()))</f>
        <v/>
      </c>
      <c r="L63" s="7" t="str">
        <f aca="false">IF($K63="","","R"&amp;$K63)</f>
        <v/>
      </c>
    </row>
    <row r="64" customFormat="false" ht="15" hidden="false" customHeight="true" outlineLevel="0" collapsed="false">
      <c r="A64" s="28" t="str">
        <f aca="false">IF($B64="","",59)</f>
        <v/>
      </c>
      <c r="B64" s="17" t="str">
        <f aca="false">IFERROR(INDEX(소진분석!$A$6:$A$305,MATCH("R"&amp;59,발주목록!$L$6:$L$305,0)),"")</f>
        <v/>
      </c>
      <c r="C64" s="17" t="str">
        <f aca="false">IF($B64="","",IFERROR(INDEX(소진분석!$B$6:$B$305,MATCH("R"&amp;59,발주목록!$L$6:$L$305,0)),""))</f>
        <v/>
      </c>
      <c r="D64" s="28" t="str">
        <f aca="false">IF($B64="","",IFERROR(INDEX(소진분석!$C$6:$C$305,MATCH("R"&amp;59,발주목록!$L$6:$L$305,0)),""))</f>
        <v/>
      </c>
      <c r="E64" s="22" t="str">
        <f aca="false">IF($B64="","",IFERROR(INDEX(소진분석!$D$6:$D$305,MATCH("R"&amp;59,발주목록!$L$6:$L$305,0)),""))</f>
        <v/>
      </c>
      <c r="F64" s="22" t="str">
        <f aca="false">IF($B64="","",IFERROR(INDEX(소진분석!$K$6:$K$305,MATCH("R"&amp;59,발주목록!$L$6:$L$305,0)),""))</f>
        <v/>
      </c>
      <c r="G64" s="17" t="str">
        <f aca="false">IF($B64="","",IFERROR(INDEX(품목마스터!$I$3:$I$302,MATCH($B64,품목마스터!$A$3:$A$302,0)),""))</f>
        <v/>
      </c>
      <c r="H64" s="25" t="str">
        <f aca="false">IF($B64="","",IFERROR(INDEX(소진분석!$J$6:$J$305,MATCH("R"&amp;59,발주목록!$L$6:$L$305,0)),""))</f>
        <v/>
      </c>
      <c r="J64" s="29" t="b">
        <f aca="false">IF(소진분석!$A64="",FALSE(),IF($B$3="발주만",소진분석!$L64="발주",OR(소진분석!$L64="발주",소진분석!$L64="임박")))</f>
        <v>0</v>
      </c>
      <c r="K64" s="7" t="str">
        <f aca="false">IF($J64=FALSE(),"",COUNTIF($J$6:$J64,TRUE()))</f>
        <v/>
      </c>
      <c r="L64" s="7" t="str">
        <f aca="false">IF($K64="","","R"&amp;$K64)</f>
        <v/>
      </c>
    </row>
    <row r="65" customFormat="false" ht="15" hidden="false" customHeight="true" outlineLevel="0" collapsed="false">
      <c r="A65" s="28" t="str">
        <f aca="false">IF($B65="","",60)</f>
        <v/>
      </c>
      <c r="B65" s="17" t="str">
        <f aca="false">IFERROR(INDEX(소진분석!$A$6:$A$305,MATCH("R"&amp;60,발주목록!$L$6:$L$305,0)),"")</f>
        <v/>
      </c>
      <c r="C65" s="17" t="str">
        <f aca="false">IF($B65="","",IFERROR(INDEX(소진분석!$B$6:$B$305,MATCH("R"&amp;60,발주목록!$L$6:$L$305,0)),""))</f>
        <v/>
      </c>
      <c r="D65" s="28" t="str">
        <f aca="false">IF($B65="","",IFERROR(INDEX(소진분석!$C$6:$C$305,MATCH("R"&amp;60,발주목록!$L$6:$L$305,0)),""))</f>
        <v/>
      </c>
      <c r="E65" s="22" t="str">
        <f aca="false">IF($B65="","",IFERROR(INDEX(소진분석!$D$6:$D$305,MATCH("R"&amp;60,발주목록!$L$6:$L$305,0)),""))</f>
        <v/>
      </c>
      <c r="F65" s="22" t="str">
        <f aca="false">IF($B65="","",IFERROR(INDEX(소진분석!$K$6:$K$305,MATCH("R"&amp;60,발주목록!$L$6:$L$305,0)),""))</f>
        <v/>
      </c>
      <c r="G65" s="17" t="str">
        <f aca="false">IF($B65="","",IFERROR(INDEX(품목마스터!$I$3:$I$302,MATCH($B65,품목마스터!$A$3:$A$302,0)),""))</f>
        <v/>
      </c>
      <c r="H65" s="25" t="str">
        <f aca="false">IF($B65="","",IFERROR(INDEX(소진분석!$J$6:$J$305,MATCH("R"&amp;60,발주목록!$L$6:$L$305,0)),""))</f>
        <v/>
      </c>
      <c r="J65" s="29" t="b">
        <f aca="false">IF(소진분석!$A65="",FALSE(),IF($B$3="발주만",소진분석!$L65="발주",OR(소진분석!$L65="발주",소진분석!$L65="임박")))</f>
        <v>0</v>
      </c>
      <c r="K65" s="7" t="str">
        <f aca="false">IF($J65=FALSE(),"",COUNTIF($J$6:$J65,TRUE()))</f>
        <v/>
      </c>
      <c r="L65" s="7" t="str">
        <f aca="false">IF($K65="","","R"&amp;$K65)</f>
        <v/>
      </c>
    </row>
    <row r="66" customFormat="false" ht="15" hidden="false" customHeight="true" outlineLevel="0" collapsed="false">
      <c r="A66" s="28" t="str">
        <f aca="false">IF($B66="","",61)</f>
        <v/>
      </c>
      <c r="B66" s="17" t="str">
        <f aca="false">IFERROR(INDEX(소진분석!$A$6:$A$305,MATCH("R"&amp;61,발주목록!$L$6:$L$305,0)),"")</f>
        <v/>
      </c>
      <c r="C66" s="17" t="str">
        <f aca="false">IF($B66="","",IFERROR(INDEX(소진분석!$B$6:$B$305,MATCH("R"&amp;61,발주목록!$L$6:$L$305,0)),""))</f>
        <v/>
      </c>
      <c r="D66" s="28" t="str">
        <f aca="false">IF($B66="","",IFERROR(INDEX(소진분석!$C$6:$C$305,MATCH("R"&amp;61,발주목록!$L$6:$L$305,0)),""))</f>
        <v/>
      </c>
      <c r="E66" s="22" t="str">
        <f aca="false">IF($B66="","",IFERROR(INDEX(소진분석!$D$6:$D$305,MATCH("R"&amp;61,발주목록!$L$6:$L$305,0)),""))</f>
        <v/>
      </c>
      <c r="F66" s="22" t="str">
        <f aca="false">IF($B66="","",IFERROR(INDEX(소진분석!$K$6:$K$305,MATCH("R"&amp;61,발주목록!$L$6:$L$305,0)),""))</f>
        <v/>
      </c>
      <c r="G66" s="17" t="str">
        <f aca="false">IF($B66="","",IFERROR(INDEX(품목마스터!$I$3:$I$302,MATCH($B66,품목마스터!$A$3:$A$302,0)),""))</f>
        <v/>
      </c>
      <c r="H66" s="25" t="str">
        <f aca="false">IF($B66="","",IFERROR(INDEX(소진분석!$J$6:$J$305,MATCH("R"&amp;61,발주목록!$L$6:$L$305,0)),""))</f>
        <v/>
      </c>
      <c r="J66" s="29" t="b">
        <f aca="false">IF(소진분석!$A66="",FALSE(),IF($B$3="발주만",소진분석!$L66="발주",OR(소진분석!$L66="발주",소진분석!$L66="임박")))</f>
        <v>0</v>
      </c>
      <c r="K66" s="7" t="str">
        <f aca="false">IF($J66=FALSE(),"",COUNTIF($J$6:$J66,TRUE()))</f>
        <v/>
      </c>
      <c r="L66" s="7" t="str">
        <f aca="false">IF($K66="","","R"&amp;$K66)</f>
        <v/>
      </c>
    </row>
    <row r="67" customFormat="false" ht="15" hidden="false" customHeight="true" outlineLevel="0" collapsed="false">
      <c r="A67" s="28" t="str">
        <f aca="false">IF($B67="","",62)</f>
        <v/>
      </c>
      <c r="B67" s="17" t="str">
        <f aca="false">IFERROR(INDEX(소진분석!$A$6:$A$305,MATCH("R"&amp;62,발주목록!$L$6:$L$305,0)),"")</f>
        <v/>
      </c>
      <c r="C67" s="17" t="str">
        <f aca="false">IF($B67="","",IFERROR(INDEX(소진분석!$B$6:$B$305,MATCH("R"&amp;62,발주목록!$L$6:$L$305,0)),""))</f>
        <v/>
      </c>
      <c r="D67" s="28" t="str">
        <f aca="false">IF($B67="","",IFERROR(INDEX(소진분석!$C$6:$C$305,MATCH("R"&amp;62,발주목록!$L$6:$L$305,0)),""))</f>
        <v/>
      </c>
      <c r="E67" s="22" t="str">
        <f aca="false">IF($B67="","",IFERROR(INDEX(소진분석!$D$6:$D$305,MATCH("R"&amp;62,발주목록!$L$6:$L$305,0)),""))</f>
        <v/>
      </c>
      <c r="F67" s="22" t="str">
        <f aca="false">IF($B67="","",IFERROR(INDEX(소진분석!$K$6:$K$305,MATCH("R"&amp;62,발주목록!$L$6:$L$305,0)),""))</f>
        <v/>
      </c>
      <c r="G67" s="17" t="str">
        <f aca="false">IF($B67="","",IFERROR(INDEX(품목마스터!$I$3:$I$302,MATCH($B67,품목마스터!$A$3:$A$302,0)),""))</f>
        <v/>
      </c>
      <c r="H67" s="25" t="str">
        <f aca="false">IF($B67="","",IFERROR(INDEX(소진분석!$J$6:$J$305,MATCH("R"&amp;62,발주목록!$L$6:$L$305,0)),""))</f>
        <v/>
      </c>
      <c r="J67" s="29" t="b">
        <f aca="false">IF(소진분석!$A67="",FALSE(),IF($B$3="발주만",소진분석!$L67="발주",OR(소진분석!$L67="발주",소진분석!$L67="임박")))</f>
        <v>0</v>
      </c>
      <c r="K67" s="7" t="str">
        <f aca="false">IF($J67=FALSE(),"",COUNTIF($J$6:$J67,TRUE()))</f>
        <v/>
      </c>
      <c r="L67" s="7" t="str">
        <f aca="false">IF($K67="","","R"&amp;$K67)</f>
        <v/>
      </c>
    </row>
    <row r="68" customFormat="false" ht="15" hidden="false" customHeight="true" outlineLevel="0" collapsed="false">
      <c r="A68" s="28" t="str">
        <f aca="false">IF($B68="","",63)</f>
        <v/>
      </c>
      <c r="B68" s="17" t="str">
        <f aca="false">IFERROR(INDEX(소진분석!$A$6:$A$305,MATCH("R"&amp;63,발주목록!$L$6:$L$305,0)),"")</f>
        <v/>
      </c>
      <c r="C68" s="17" t="str">
        <f aca="false">IF($B68="","",IFERROR(INDEX(소진분석!$B$6:$B$305,MATCH("R"&amp;63,발주목록!$L$6:$L$305,0)),""))</f>
        <v/>
      </c>
      <c r="D68" s="28" t="str">
        <f aca="false">IF($B68="","",IFERROR(INDEX(소진분석!$C$6:$C$305,MATCH("R"&amp;63,발주목록!$L$6:$L$305,0)),""))</f>
        <v/>
      </c>
      <c r="E68" s="22" t="str">
        <f aca="false">IF($B68="","",IFERROR(INDEX(소진분석!$D$6:$D$305,MATCH("R"&amp;63,발주목록!$L$6:$L$305,0)),""))</f>
        <v/>
      </c>
      <c r="F68" s="22" t="str">
        <f aca="false">IF($B68="","",IFERROR(INDEX(소진분석!$K$6:$K$305,MATCH("R"&amp;63,발주목록!$L$6:$L$305,0)),""))</f>
        <v/>
      </c>
      <c r="G68" s="17" t="str">
        <f aca="false">IF($B68="","",IFERROR(INDEX(품목마스터!$I$3:$I$302,MATCH($B68,품목마스터!$A$3:$A$302,0)),""))</f>
        <v/>
      </c>
      <c r="H68" s="25" t="str">
        <f aca="false">IF($B68="","",IFERROR(INDEX(소진분석!$J$6:$J$305,MATCH("R"&amp;63,발주목록!$L$6:$L$305,0)),""))</f>
        <v/>
      </c>
      <c r="J68" s="29" t="b">
        <f aca="false">IF(소진분석!$A68="",FALSE(),IF($B$3="발주만",소진분석!$L68="발주",OR(소진분석!$L68="발주",소진분석!$L68="임박")))</f>
        <v>0</v>
      </c>
      <c r="K68" s="7" t="str">
        <f aca="false">IF($J68=FALSE(),"",COUNTIF($J$6:$J68,TRUE()))</f>
        <v/>
      </c>
      <c r="L68" s="7" t="str">
        <f aca="false">IF($K68="","","R"&amp;$K68)</f>
        <v/>
      </c>
    </row>
    <row r="69" customFormat="false" ht="15" hidden="false" customHeight="true" outlineLevel="0" collapsed="false">
      <c r="A69" s="28" t="str">
        <f aca="false">IF($B69="","",64)</f>
        <v/>
      </c>
      <c r="B69" s="17" t="str">
        <f aca="false">IFERROR(INDEX(소진분석!$A$6:$A$305,MATCH("R"&amp;64,발주목록!$L$6:$L$305,0)),"")</f>
        <v/>
      </c>
      <c r="C69" s="17" t="str">
        <f aca="false">IF($B69="","",IFERROR(INDEX(소진분석!$B$6:$B$305,MATCH("R"&amp;64,발주목록!$L$6:$L$305,0)),""))</f>
        <v/>
      </c>
      <c r="D69" s="28" t="str">
        <f aca="false">IF($B69="","",IFERROR(INDEX(소진분석!$C$6:$C$305,MATCH("R"&amp;64,발주목록!$L$6:$L$305,0)),""))</f>
        <v/>
      </c>
      <c r="E69" s="22" t="str">
        <f aca="false">IF($B69="","",IFERROR(INDEX(소진분석!$D$6:$D$305,MATCH("R"&amp;64,발주목록!$L$6:$L$305,0)),""))</f>
        <v/>
      </c>
      <c r="F69" s="22" t="str">
        <f aca="false">IF($B69="","",IFERROR(INDEX(소진분석!$K$6:$K$305,MATCH("R"&amp;64,발주목록!$L$6:$L$305,0)),""))</f>
        <v/>
      </c>
      <c r="G69" s="17" t="str">
        <f aca="false">IF($B69="","",IFERROR(INDEX(품목마스터!$I$3:$I$302,MATCH($B69,품목마스터!$A$3:$A$302,0)),""))</f>
        <v/>
      </c>
      <c r="H69" s="25" t="str">
        <f aca="false">IF($B69="","",IFERROR(INDEX(소진분석!$J$6:$J$305,MATCH("R"&amp;64,발주목록!$L$6:$L$305,0)),""))</f>
        <v/>
      </c>
      <c r="J69" s="29" t="b">
        <f aca="false">IF(소진분석!$A69="",FALSE(),IF($B$3="발주만",소진분석!$L69="발주",OR(소진분석!$L69="발주",소진분석!$L69="임박")))</f>
        <v>0</v>
      </c>
      <c r="K69" s="7" t="str">
        <f aca="false">IF($J69=FALSE(),"",COUNTIF($J$6:$J69,TRUE()))</f>
        <v/>
      </c>
      <c r="L69" s="7" t="str">
        <f aca="false">IF($K69="","","R"&amp;$K69)</f>
        <v/>
      </c>
    </row>
    <row r="70" customFormat="false" ht="15" hidden="false" customHeight="true" outlineLevel="0" collapsed="false">
      <c r="A70" s="28" t="str">
        <f aca="false">IF($B70="","",65)</f>
        <v/>
      </c>
      <c r="B70" s="17" t="str">
        <f aca="false">IFERROR(INDEX(소진분석!$A$6:$A$305,MATCH("R"&amp;65,발주목록!$L$6:$L$305,0)),"")</f>
        <v/>
      </c>
      <c r="C70" s="17" t="str">
        <f aca="false">IF($B70="","",IFERROR(INDEX(소진분석!$B$6:$B$305,MATCH("R"&amp;65,발주목록!$L$6:$L$305,0)),""))</f>
        <v/>
      </c>
      <c r="D70" s="28" t="str">
        <f aca="false">IF($B70="","",IFERROR(INDEX(소진분석!$C$6:$C$305,MATCH("R"&amp;65,발주목록!$L$6:$L$305,0)),""))</f>
        <v/>
      </c>
      <c r="E70" s="22" t="str">
        <f aca="false">IF($B70="","",IFERROR(INDEX(소진분석!$D$6:$D$305,MATCH("R"&amp;65,발주목록!$L$6:$L$305,0)),""))</f>
        <v/>
      </c>
      <c r="F70" s="22" t="str">
        <f aca="false">IF($B70="","",IFERROR(INDEX(소진분석!$K$6:$K$305,MATCH("R"&amp;65,발주목록!$L$6:$L$305,0)),""))</f>
        <v/>
      </c>
      <c r="G70" s="17" t="str">
        <f aca="false">IF($B70="","",IFERROR(INDEX(품목마스터!$I$3:$I$302,MATCH($B70,품목마스터!$A$3:$A$302,0)),""))</f>
        <v/>
      </c>
      <c r="H70" s="25" t="str">
        <f aca="false">IF($B70="","",IFERROR(INDEX(소진분석!$J$6:$J$305,MATCH("R"&amp;65,발주목록!$L$6:$L$305,0)),""))</f>
        <v/>
      </c>
      <c r="J70" s="29" t="b">
        <f aca="false">IF(소진분석!$A70="",FALSE(),IF($B$3="발주만",소진분석!$L70="발주",OR(소진분석!$L70="발주",소진분석!$L70="임박")))</f>
        <v>0</v>
      </c>
      <c r="K70" s="7" t="str">
        <f aca="false">IF($J70=FALSE(),"",COUNTIF($J$6:$J70,TRUE()))</f>
        <v/>
      </c>
      <c r="L70" s="7" t="str">
        <f aca="false">IF($K70="","","R"&amp;$K70)</f>
        <v/>
      </c>
    </row>
    <row r="71" customFormat="false" ht="15" hidden="false" customHeight="true" outlineLevel="0" collapsed="false">
      <c r="A71" s="28" t="str">
        <f aca="false">IF($B71="","",66)</f>
        <v/>
      </c>
      <c r="B71" s="17" t="str">
        <f aca="false">IFERROR(INDEX(소진분석!$A$6:$A$305,MATCH("R"&amp;66,발주목록!$L$6:$L$305,0)),"")</f>
        <v/>
      </c>
      <c r="C71" s="17" t="str">
        <f aca="false">IF($B71="","",IFERROR(INDEX(소진분석!$B$6:$B$305,MATCH("R"&amp;66,발주목록!$L$6:$L$305,0)),""))</f>
        <v/>
      </c>
      <c r="D71" s="28" t="str">
        <f aca="false">IF($B71="","",IFERROR(INDEX(소진분석!$C$6:$C$305,MATCH("R"&amp;66,발주목록!$L$6:$L$305,0)),""))</f>
        <v/>
      </c>
      <c r="E71" s="22" t="str">
        <f aca="false">IF($B71="","",IFERROR(INDEX(소진분석!$D$6:$D$305,MATCH("R"&amp;66,발주목록!$L$6:$L$305,0)),""))</f>
        <v/>
      </c>
      <c r="F71" s="22" t="str">
        <f aca="false">IF($B71="","",IFERROR(INDEX(소진분석!$K$6:$K$305,MATCH("R"&amp;66,발주목록!$L$6:$L$305,0)),""))</f>
        <v/>
      </c>
      <c r="G71" s="17" t="str">
        <f aca="false">IF($B71="","",IFERROR(INDEX(품목마스터!$I$3:$I$302,MATCH($B71,품목마스터!$A$3:$A$302,0)),""))</f>
        <v/>
      </c>
      <c r="H71" s="25" t="str">
        <f aca="false">IF($B71="","",IFERROR(INDEX(소진분석!$J$6:$J$305,MATCH("R"&amp;66,발주목록!$L$6:$L$305,0)),""))</f>
        <v/>
      </c>
      <c r="J71" s="29" t="b">
        <f aca="false">IF(소진분석!$A71="",FALSE(),IF($B$3="발주만",소진분석!$L71="발주",OR(소진분석!$L71="발주",소진분석!$L71="임박")))</f>
        <v>0</v>
      </c>
      <c r="K71" s="7" t="str">
        <f aca="false">IF($J71=FALSE(),"",COUNTIF($J$6:$J71,TRUE()))</f>
        <v/>
      </c>
      <c r="L71" s="7" t="str">
        <f aca="false">IF($K71="","","R"&amp;$K71)</f>
        <v/>
      </c>
    </row>
    <row r="72" customFormat="false" ht="15" hidden="false" customHeight="true" outlineLevel="0" collapsed="false">
      <c r="A72" s="28" t="str">
        <f aca="false">IF($B72="","",67)</f>
        <v/>
      </c>
      <c r="B72" s="17" t="str">
        <f aca="false">IFERROR(INDEX(소진분석!$A$6:$A$305,MATCH("R"&amp;67,발주목록!$L$6:$L$305,0)),"")</f>
        <v/>
      </c>
      <c r="C72" s="17" t="str">
        <f aca="false">IF($B72="","",IFERROR(INDEX(소진분석!$B$6:$B$305,MATCH("R"&amp;67,발주목록!$L$6:$L$305,0)),""))</f>
        <v/>
      </c>
      <c r="D72" s="28" t="str">
        <f aca="false">IF($B72="","",IFERROR(INDEX(소진분석!$C$6:$C$305,MATCH("R"&amp;67,발주목록!$L$6:$L$305,0)),""))</f>
        <v/>
      </c>
      <c r="E72" s="22" t="str">
        <f aca="false">IF($B72="","",IFERROR(INDEX(소진분석!$D$6:$D$305,MATCH("R"&amp;67,발주목록!$L$6:$L$305,0)),""))</f>
        <v/>
      </c>
      <c r="F72" s="22" t="str">
        <f aca="false">IF($B72="","",IFERROR(INDEX(소진분석!$K$6:$K$305,MATCH("R"&amp;67,발주목록!$L$6:$L$305,0)),""))</f>
        <v/>
      </c>
      <c r="G72" s="17" t="str">
        <f aca="false">IF($B72="","",IFERROR(INDEX(품목마스터!$I$3:$I$302,MATCH($B72,품목마스터!$A$3:$A$302,0)),""))</f>
        <v/>
      </c>
      <c r="H72" s="25" t="str">
        <f aca="false">IF($B72="","",IFERROR(INDEX(소진분석!$J$6:$J$305,MATCH("R"&amp;67,발주목록!$L$6:$L$305,0)),""))</f>
        <v/>
      </c>
      <c r="J72" s="29" t="b">
        <f aca="false">IF(소진분석!$A72="",FALSE(),IF($B$3="발주만",소진분석!$L72="발주",OR(소진분석!$L72="발주",소진분석!$L72="임박")))</f>
        <v>0</v>
      </c>
      <c r="K72" s="7" t="str">
        <f aca="false">IF($J72=FALSE(),"",COUNTIF($J$6:$J72,TRUE()))</f>
        <v/>
      </c>
      <c r="L72" s="7" t="str">
        <f aca="false">IF($K72="","","R"&amp;$K72)</f>
        <v/>
      </c>
    </row>
    <row r="73" customFormat="false" ht="15" hidden="false" customHeight="true" outlineLevel="0" collapsed="false">
      <c r="A73" s="28" t="str">
        <f aca="false">IF($B73="","",68)</f>
        <v/>
      </c>
      <c r="B73" s="17" t="str">
        <f aca="false">IFERROR(INDEX(소진분석!$A$6:$A$305,MATCH("R"&amp;68,발주목록!$L$6:$L$305,0)),"")</f>
        <v/>
      </c>
      <c r="C73" s="17" t="str">
        <f aca="false">IF($B73="","",IFERROR(INDEX(소진분석!$B$6:$B$305,MATCH("R"&amp;68,발주목록!$L$6:$L$305,0)),""))</f>
        <v/>
      </c>
      <c r="D73" s="28" t="str">
        <f aca="false">IF($B73="","",IFERROR(INDEX(소진분석!$C$6:$C$305,MATCH("R"&amp;68,발주목록!$L$6:$L$305,0)),""))</f>
        <v/>
      </c>
      <c r="E73" s="22" t="str">
        <f aca="false">IF($B73="","",IFERROR(INDEX(소진분석!$D$6:$D$305,MATCH("R"&amp;68,발주목록!$L$6:$L$305,0)),""))</f>
        <v/>
      </c>
      <c r="F73" s="22" t="str">
        <f aca="false">IF($B73="","",IFERROR(INDEX(소진분석!$K$6:$K$305,MATCH("R"&amp;68,발주목록!$L$6:$L$305,0)),""))</f>
        <v/>
      </c>
      <c r="G73" s="17" t="str">
        <f aca="false">IF($B73="","",IFERROR(INDEX(품목마스터!$I$3:$I$302,MATCH($B73,품목마스터!$A$3:$A$302,0)),""))</f>
        <v/>
      </c>
      <c r="H73" s="25" t="str">
        <f aca="false">IF($B73="","",IFERROR(INDEX(소진분석!$J$6:$J$305,MATCH("R"&amp;68,발주목록!$L$6:$L$305,0)),""))</f>
        <v/>
      </c>
      <c r="J73" s="29" t="b">
        <f aca="false">IF(소진분석!$A73="",FALSE(),IF($B$3="발주만",소진분석!$L73="발주",OR(소진분석!$L73="발주",소진분석!$L73="임박")))</f>
        <v>0</v>
      </c>
      <c r="K73" s="7" t="str">
        <f aca="false">IF($J73=FALSE(),"",COUNTIF($J$6:$J73,TRUE()))</f>
        <v/>
      </c>
      <c r="L73" s="7" t="str">
        <f aca="false">IF($K73="","","R"&amp;$K73)</f>
        <v/>
      </c>
    </row>
    <row r="74" customFormat="false" ht="15" hidden="false" customHeight="true" outlineLevel="0" collapsed="false">
      <c r="A74" s="28" t="str">
        <f aca="false">IF($B74="","",69)</f>
        <v/>
      </c>
      <c r="B74" s="17" t="str">
        <f aca="false">IFERROR(INDEX(소진분석!$A$6:$A$305,MATCH("R"&amp;69,발주목록!$L$6:$L$305,0)),"")</f>
        <v/>
      </c>
      <c r="C74" s="17" t="str">
        <f aca="false">IF($B74="","",IFERROR(INDEX(소진분석!$B$6:$B$305,MATCH("R"&amp;69,발주목록!$L$6:$L$305,0)),""))</f>
        <v/>
      </c>
      <c r="D74" s="28" t="str">
        <f aca="false">IF($B74="","",IFERROR(INDEX(소진분석!$C$6:$C$305,MATCH("R"&amp;69,발주목록!$L$6:$L$305,0)),""))</f>
        <v/>
      </c>
      <c r="E74" s="22" t="str">
        <f aca="false">IF($B74="","",IFERROR(INDEX(소진분석!$D$6:$D$305,MATCH("R"&amp;69,발주목록!$L$6:$L$305,0)),""))</f>
        <v/>
      </c>
      <c r="F74" s="22" t="str">
        <f aca="false">IF($B74="","",IFERROR(INDEX(소진분석!$K$6:$K$305,MATCH("R"&amp;69,발주목록!$L$6:$L$305,0)),""))</f>
        <v/>
      </c>
      <c r="G74" s="17" t="str">
        <f aca="false">IF($B74="","",IFERROR(INDEX(품목마스터!$I$3:$I$302,MATCH($B74,품목마스터!$A$3:$A$302,0)),""))</f>
        <v/>
      </c>
      <c r="H74" s="25" t="str">
        <f aca="false">IF($B74="","",IFERROR(INDEX(소진분석!$J$6:$J$305,MATCH("R"&amp;69,발주목록!$L$6:$L$305,0)),""))</f>
        <v/>
      </c>
      <c r="J74" s="29" t="b">
        <f aca="false">IF(소진분석!$A74="",FALSE(),IF($B$3="발주만",소진분석!$L74="발주",OR(소진분석!$L74="발주",소진분석!$L74="임박")))</f>
        <v>0</v>
      </c>
      <c r="K74" s="7" t="str">
        <f aca="false">IF($J74=FALSE(),"",COUNTIF($J$6:$J74,TRUE()))</f>
        <v/>
      </c>
      <c r="L74" s="7" t="str">
        <f aca="false">IF($K74="","","R"&amp;$K74)</f>
        <v/>
      </c>
    </row>
    <row r="75" customFormat="false" ht="15" hidden="false" customHeight="true" outlineLevel="0" collapsed="false">
      <c r="A75" s="28" t="str">
        <f aca="false">IF($B75="","",70)</f>
        <v/>
      </c>
      <c r="B75" s="17" t="str">
        <f aca="false">IFERROR(INDEX(소진분석!$A$6:$A$305,MATCH("R"&amp;70,발주목록!$L$6:$L$305,0)),"")</f>
        <v/>
      </c>
      <c r="C75" s="17" t="str">
        <f aca="false">IF($B75="","",IFERROR(INDEX(소진분석!$B$6:$B$305,MATCH("R"&amp;70,발주목록!$L$6:$L$305,0)),""))</f>
        <v/>
      </c>
      <c r="D75" s="28" t="str">
        <f aca="false">IF($B75="","",IFERROR(INDEX(소진분석!$C$6:$C$305,MATCH("R"&amp;70,발주목록!$L$6:$L$305,0)),""))</f>
        <v/>
      </c>
      <c r="E75" s="22" t="str">
        <f aca="false">IF($B75="","",IFERROR(INDEX(소진분석!$D$6:$D$305,MATCH("R"&amp;70,발주목록!$L$6:$L$305,0)),""))</f>
        <v/>
      </c>
      <c r="F75" s="22" t="str">
        <f aca="false">IF($B75="","",IFERROR(INDEX(소진분석!$K$6:$K$305,MATCH("R"&amp;70,발주목록!$L$6:$L$305,0)),""))</f>
        <v/>
      </c>
      <c r="G75" s="17" t="str">
        <f aca="false">IF($B75="","",IFERROR(INDEX(품목마스터!$I$3:$I$302,MATCH($B75,품목마스터!$A$3:$A$302,0)),""))</f>
        <v/>
      </c>
      <c r="H75" s="25" t="str">
        <f aca="false">IF($B75="","",IFERROR(INDEX(소진분석!$J$6:$J$305,MATCH("R"&amp;70,발주목록!$L$6:$L$305,0)),""))</f>
        <v/>
      </c>
      <c r="J75" s="29" t="b">
        <f aca="false">IF(소진분석!$A75="",FALSE(),IF($B$3="발주만",소진분석!$L75="발주",OR(소진분석!$L75="발주",소진분석!$L75="임박")))</f>
        <v>0</v>
      </c>
      <c r="K75" s="7" t="str">
        <f aca="false">IF($J75=FALSE(),"",COUNTIF($J$6:$J75,TRUE()))</f>
        <v/>
      </c>
      <c r="L75" s="7" t="str">
        <f aca="false">IF($K75="","","R"&amp;$K75)</f>
        <v/>
      </c>
    </row>
    <row r="76" customFormat="false" ht="15" hidden="false" customHeight="true" outlineLevel="0" collapsed="false">
      <c r="A76" s="28" t="str">
        <f aca="false">IF($B76="","",71)</f>
        <v/>
      </c>
      <c r="B76" s="17" t="str">
        <f aca="false">IFERROR(INDEX(소진분석!$A$6:$A$305,MATCH("R"&amp;71,발주목록!$L$6:$L$305,0)),"")</f>
        <v/>
      </c>
      <c r="C76" s="17" t="str">
        <f aca="false">IF($B76="","",IFERROR(INDEX(소진분석!$B$6:$B$305,MATCH("R"&amp;71,발주목록!$L$6:$L$305,0)),""))</f>
        <v/>
      </c>
      <c r="D76" s="28" t="str">
        <f aca="false">IF($B76="","",IFERROR(INDEX(소진분석!$C$6:$C$305,MATCH("R"&amp;71,발주목록!$L$6:$L$305,0)),""))</f>
        <v/>
      </c>
      <c r="E76" s="22" t="str">
        <f aca="false">IF($B76="","",IFERROR(INDEX(소진분석!$D$6:$D$305,MATCH("R"&amp;71,발주목록!$L$6:$L$305,0)),""))</f>
        <v/>
      </c>
      <c r="F76" s="22" t="str">
        <f aca="false">IF($B76="","",IFERROR(INDEX(소진분석!$K$6:$K$305,MATCH("R"&amp;71,발주목록!$L$6:$L$305,0)),""))</f>
        <v/>
      </c>
      <c r="G76" s="17" t="str">
        <f aca="false">IF($B76="","",IFERROR(INDEX(품목마스터!$I$3:$I$302,MATCH($B76,품목마스터!$A$3:$A$302,0)),""))</f>
        <v/>
      </c>
      <c r="H76" s="25" t="str">
        <f aca="false">IF($B76="","",IFERROR(INDEX(소진분석!$J$6:$J$305,MATCH("R"&amp;71,발주목록!$L$6:$L$305,0)),""))</f>
        <v/>
      </c>
      <c r="J76" s="29" t="b">
        <f aca="false">IF(소진분석!$A76="",FALSE(),IF($B$3="발주만",소진분석!$L76="발주",OR(소진분석!$L76="발주",소진분석!$L76="임박")))</f>
        <v>0</v>
      </c>
      <c r="K76" s="7" t="str">
        <f aca="false">IF($J76=FALSE(),"",COUNTIF($J$6:$J76,TRUE()))</f>
        <v/>
      </c>
      <c r="L76" s="7" t="str">
        <f aca="false">IF($K76="","","R"&amp;$K76)</f>
        <v/>
      </c>
    </row>
    <row r="77" customFormat="false" ht="15" hidden="false" customHeight="true" outlineLevel="0" collapsed="false">
      <c r="A77" s="28" t="str">
        <f aca="false">IF($B77="","",72)</f>
        <v/>
      </c>
      <c r="B77" s="17" t="str">
        <f aca="false">IFERROR(INDEX(소진분석!$A$6:$A$305,MATCH("R"&amp;72,발주목록!$L$6:$L$305,0)),"")</f>
        <v/>
      </c>
      <c r="C77" s="17" t="str">
        <f aca="false">IF($B77="","",IFERROR(INDEX(소진분석!$B$6:$B$305,MATCH("R"&amp;72,발주목록!$L$6:$L$305,0)),""))</f>
        <v/>
      </c>
      <c r="D77" s="28" t="str">
        <f aca="false">IF($B77="","",IFERROR(INDEX(소진분석!$C$6:$C$305,MATCH("R"&amp;72,발주목록!$L$6:$L$305,0)),""))</f>
        <v/>
      </c>
      <c r="E77" s="22" t="str">
        <f aca="false">IF($B77="","",IFERROR(INDEX(소진분석!$D$6:$D$305,MATCH("R"&amp;72,발주목록!$L$6:$L$305,0)),""))</f>
        <v/>
      </c>
      <c r="F77" s="22" t="str">
        <f aca="false">IF($B77="","",IFERROR(INDEX(소진분석!$K$6:$K$305,MATCH("R"&amp;72,발주목록!$L$6:$L$305,0)),""))</f>
        <v/>
      </c>
      <c r="G77" s="17" t="str">
        <f aca="false">IF($B77="","",IFERROR(INDEX(품목마스터!$I$3:$I$302,MATCH($B77,품목마스터!$A$3:$A$302,0)),""))</f>
        <v/>
      </c>
      <c r="H77" s="25" t="str">
        <f aca="false">IF($B77="","",IFERROR(INDEX(소진분석!$J$6:$J$305,MATCH("R"&amp;72,발주목록!$L$6:$L$305,0)),""))</f>
        <v/>
      </c>
      <c r="J77" s="29" t="b">
        <f aca="false">IF(소진분석!$A77="",FALSE(),IF($B$3="발주만",소진분석!$L77="발주",OR(소진분석!$L77="발주",소진분석!$L77="임박")))</f>
        <v>0</v>
      </c>
      <c r="K77" s="7" t="str">
        <f aca="false">IF($J77=FALSE(),"",COUNTIF($J$6:$J77,TRUE()))</f>
        <v/>
      </c>
      <c r="L77" s="7" t="str">
        <f aca="false">IF($K77="","","R"&amp;$K77)</f>
        <v/>
      </c>
    </row>
    <row r="78" customFormat="false" ht="15" hidden="false" customHeight="true" outlineLevel="0" collapsed="false">
      <c r="A78" s="28" t="str">
        <f aca="false">IF($B78="","",73)</f>
        <v/>
      </c>
      <c r="B78" s="17" t="str">
        <f aca="false">IFERROR(INDEX(소진분석!$A$6:$A$305,MATCH("R"&amp;73,발주목록!$L$6:$L$305,0)),"")</f>
        <v/>
      </c>
      <c r="C78" s="17" t="str">
        <f aca="false">IF($B78="","",IFERROR(INDEX(소진분석!$B$6:$B$305,MATCH("R"&amp;73,발주목록!$L$6:$L$305,0)),""))</f>
        <v/>
      </c>
      <c r="D78" s="28" t="str">
        <f aca="false">IF($B78="","",IFERROR(INDEX(소진분석!$C$6:$C$305,MATCH("R"&amp;73,발주목록!$L$6:$L$305,0)),""))</f>
        <v/>
      </c>
      <c r="E78" s="22" t="str">
        <f aca="false">IF($B78="","",IFERROR(INDEX(소진분석!$D$6:$D$305,MATCH("R"&amp;73,발주목록!$L$6:$L$305,0)),""))</f>
        <v/>
      </c>
      <c r="F78" s="22" t="str">
        <f aca="false">IF($B78="","",IFERROR(INDEX(소진분석!$K$6:$K$305,MATCH("R"&amp;73,발주목록!$L$6:$L$305,0)),""))</f>
        <v/>
      </c>
      <c r="G78" s="17" t="str">
        <f aca="false">IF($B78="","",IFERROR(INDEX(품목마스터!$I$3:$I$302,MATCH($B78,품목마스터!$A$3:$A$302,0)),""))</f>
        <v/>
      </c>
      <c r="H78" s="25" t="str">
        <f aca="false">IF($B78="","",IFERROR(INDEX(소진분석!$J$6:$J$305,MATCH("R"&amp;73,발주목록!$L$6:$L$305,0)),""))</f>
        <v/>
      </c>
      <c r="J78" s="29" t="b">
        <f aca="false">IF(소진분석!$A78="",FALSE(),IF($B$3="발주만",소진분석!$L78="발주",OR(소진분석!$L78="발주",소진분석!$L78="임박")))</f>
        <v>0</v>
      </c>
      <c r="K78" s="7" t="str">
        <f aca="false">IF($J78=FALSE(),"",COUNTIF($J$6:$J78,TRUE()))</f>
        <v/>
      </c>
      <c r="L78" s="7" t="str">
        <f aca="false">IF($K78="","","R"&amp;$K78)</f>
        <v/>
      </c>
    </row>
    <row r="79" customFormat="false" ht="15" hidden="false" customHeight="true" outlineLevel="0" collapsed="false">
      <c r="A79" s="28" t="str">
        <f aca="false">IF($B79="","",74)</f>
        <v/>
      </c>
      <c r="B79" s="17" t="str">
        <f aca="false">IFERROR(INDEX(소진분석!$A$6:$A$305,MATCH("R"&amp;74,발주목록!$L$6:$L$305,0)),"")</f>
        <v/>
      </c>
      <c r="C79" s="17" t="str">
        <f aca="false">IF($B79="","",IFERROR(INDEX(소진분석!$B$6:$B$305,MATCH("R"&amp;74,발주목록!$L$6:$L$305,0)),""))</f>
        <v/>
      </c>
      <c r="D79" s="28" t="str">
        <f aca="false">IF($B79="","",IFERROR(INDEX(소진분석!$C$6:$C$305,MATCH("R"&amp;74,발주목록!$L$6:$L$305,0)),""))</f>
        <v/>
      </c>
      <c r="E79" s="22" t="str">
        <f aca="false">IF($B79="","",IFERROR(INDEX(소진분석!$D$6:$D$305,MATCH("R"&amp;74,발주목록!$L$6:$L$305,0)),""))</f>
        <v/>
      </c>
      <c r="F79" s="22" t="str">
        <f aca="false">IF($B79="","",IFERROR(INDEX(소진분석!$K$6:$K$305,MATCH("R"&amp;74,발주목록!$L$6:$L$305,0)),""))</f>
        <v/>
      </c>
      <c r="G79" s="17" t="str">
        <f aca="false">IF($B79="","",IFERROR(INDEX(품목마스터!$I$3:$I$302,MATCH($B79,품목마스터!$A$3:$A$302,0)),""))</f>
        <v/>
      </c>
      <c r="H79" s="25" t="str">
        <f aca="false">IF($B79="","",IFERROR(INDEX(소진분석!$J$6:$J$305,MATCH("R"&amp;74,발주목록!$L$6:$L$305,0)),""))</f>
        <v/>
      </c>
      <c r="J79" s="29" t="b">
        <f aca="false">IF(소진분석!$A79="",FALSE(),IF($B$3="발주만",소진분석!$L79="발주",OR(소진분석!$L79="발주",소진분석!$L79="임박")))</f>
        <v>0</v>
      </c>
      <c r="K79" s="7" t="str">
        <f aca="false">IF($J79=FALSE(),"",COUNTIF($J$6:$J79,TRUE()))</f>
        <v/>
      </c>
      <c r="L79" s="7" t="str">
        <f aca="false">IF($K79="","","R"&amp;$K79)</f>
        <v/>
      </c>
    </row>
    <row r="80" customFormat="false" ht="15" hidden="false" customHeight="true" outlineLevel="0" collapsed="false">
      <c r="A80" s="28" t="str">
        <f aca="false">IF($B80="","",75)</f>
        <v/>
      </c>
      <c r="B80" s="17" t="str">
        <f aca="false">IFERROR(INDEX(소진분석!$A$6:$A$305,MATCH("R"&amp;75,발주목록!$L$6:$L$305,0)),"")</f>
        <v/>
      </c>
      <c r="C80" s="17" t="str">
        <f aca="false">IF($B80="","",IFERROR(INDEX(소진분석!$B$6:$B$305,MATCH("R"&amp;75,발주목록!$L$6:$L$305,0)),""))</f>
        <v/>
      </c>
      <c r="D80" s="28" t="str">
        <f aca="false">IF($B80="","",IFERROR(INDEX(소진분석!$C$6:$C$305,MATCH("R"&amp;75,발주목록!$L$6:$L$305,0)),""))</f>
        <v/>
      </c>
      <c r="E80" s="22" t="str">
        <f aca="false">IF($B80="","",IFERROR(INDEX(소진분석!$D$6:$D$305,MATCH("R"&amp;75,발주목록!$L$6:$L$305,0)),""))</f>
        <v/>
      </c>
      <c r="F80" s="22" t="str">
        <f aca="false">IF($B80="","",IFERROR(INDEX(소진분석!$K$6:$K$305,MATCH("R"&amp;75,발주목록!$L$6:$L$305,0)),""))</f>
        <v/>
      </c>
      <c r="G80" s="17" t="str">
        <f aca="false">IF($B80="","",IFERROR(INDEX(품목마스터!$I$3:$I$302,MATCH($B80,품목마스터!$A$3:$A$302,0)),""))</f>
        <v/>
      </c>
      <c r="H80" s="25" t="str">
        <f aca="false">IF($B80="","",IFERROR(INDEX(소진분석!$J$6:$J$305,MATCH("R"&amp;75,발주목록!$L$6:$L$305,0)),""))</f>
        <v/>
      </c>
      <c r="J80" s="29" t="b">
        <f aca="false">IF(소진분석!$A80="",FALSE(),IF($B$3="발주만",소진분석!$L80="발주",OR(소진분석!$L80="발주",소진분석!$L80="임박")))</f>
        <v>0</v>
      </c>
      <c r="K80" s="7" t="str">
        <f aca="false">IF($J80=FALSE(),"",COUNTIF($J$6:$J80,TRUE()))</f>
        <v/>
      </c>
      <c r="L80" s="7" t="str">
        <f aca="false">IF($K80="","","R"&amp;$K80)</f>
        <v/>
      </c>
    </row>
    <row r="81" customFormat="false" ht="15" hidden="false" customHeight="true" outlineLevel="0" collapsed="false">
      <c r="A81" s="28" t="str">
        <f aca="false">IF($B81="","",76)</f>
        <v/>
      </c>
      <c r="B81" s="17" t="str">
        <f aca="false">IFERROR(INDEX(소진분석!$A$6:$A$305,MATCH("R"&amp;76,발주목록!$L$6:$L$305,0)),"")</f>
        <v/>
      </c>
      <c r="C81" s="17" t="str">
        <f aca="false">IF($B81="","",IFERROR(INDEX(소진분석!$B$6:$B$305,MATCH("R"&amp;76,발주목록!$L$6:$L$305,0)),""))</f>
        <v/>
      </c>
      <c r="D81" s="28" t="str">
        <f aca="false">IF($B81="","",IFERROR(INDEX(소진분석!$C$6:$C$305,MATCH("R"&amp;76,발주목록!$L$6:$L$305,0)),""))</f>
        <v/>
      </c>
      <c r="E81" s="22" t="str">
        <f aca="false">IF($B81="","",IFERROR(INDEX(소진분석!$D$6:$D$305,MATCH("R"&amp;76,발주목록!$L$6:$L$305,0)),""))</f>
        <v/>
      </c>
      <c r="F81" s="22" t="str">
        <f aca="false">IF($B81="","",IFERROR(INDEX(소진분석!$K$6:$K$305,MATCH("R"&amp;76,발주목록!$L$6:$L$305,0)),""))</f>
        <v/>
      </c>
      <c r="G81" s="17" t="str">
        <f aca="false">IF($B81="","",IFERROR(INDEX(품목마스터!$I$3:$I$302,MATCH($B81,품목마스터!$A$3:$A$302,0)),""))</f>
        <v/>
      </c>
      <c r="H81" s="25" t="str">
        <f aca="false">IF($B81="","",IFERROR(INDEX(소진분석!$J$6:$J$305,MATCH("R"&amp;76,발주목록!$L$6:$L$305,0)),""))</f>
        <v/>
      </c>
      <c r="J81" s="29" t="b">
        <f aca="false">IF(소진분석!$A81="",FALSE(),IF($B$3="발주만",소진분석!$L81="발주",OR(소진분석!$L81="발주",소진분석!$L81="임박")))</f>
        <v>0</v>
      </c>
      <c r="K81" s="7" t="str">
        <f aca="false">IF($J81=FALSE(),"",COUNTIF($J$6:$J81,TRUE()))</f>
        <v/>
      </c>
      <c r="L81" s="7" t="str">
        <f aca="false">IF($K81="","","R"&amp;$K81)</f>
        <v/>
      </c>
    </row>
    <row r="82" customFormat="false" ht="15" hidden="false" customHeight="true" outlineLevel="0" collapsed="false">
      <c r="A82" s="28" t="str">
        <f aca="false">IF($B82="","",77)</f>
        <v/>
      </c>
      <c r="B82" s="17" t="str">
        <f aca="false">IFERROR(INDEX(소진분석!$A$6:$A$305,MATCH("R"&amp;77,발주목록!$L$6:$L$305,0)),"")</f>
        <v/>
      </c>
      <c r="C82" s="17" t="str">
        <f aca="false">IF($B82="","",IFERROR(INDEX(소진분석!$B$6:$B$305,MATCH("R"&amp;77,발주목록!$L$6:$L$305,0)),""))</f>
        <v/>
      </c>
      <c r="D82" s="28" t="str">
        <f aca="false">IF($B82="","",IFERROR(INDEX(소진분석!$C$6:$C$305,MATCH("R"&amp;77,발주목록!$L$6:$L$305,0)),""))</f>
        <v/>
      </c>
      <c r="E82" s="22" t="str">
        <f aca="false">IF($B82="","",IFERROR(INDEX(소진분석!$D$6:$D$305,MATCH("R"&amp;77,발주목록!$L$6:$L$305,0)),""))</f>
        <v/>
      </c>
      <c r="F82" s="22" t="str">
        <f aca="false">IF($B82="","",IFERROR(INDEX(소진분석!$K$6:$K$305,MATCH("R"&amp;77,발주목록!$L$6:$L$305,0)),""))</f>
        <v/>
      </c>
      <c r="G82" s="17" t="str">
        <f aca="false">IF($B82="","",IFERROR(INDEX(품목마스터!$I$3:$I$302,MATCH($B82,품목마스터!$A$3:$A$302,0)),""))</f>
        <v/>
      </c>
      <c r="H82" s="25" t="str">
        <f aca="false">IF($B82="","",IFERROR(INDEX(소진분석!$J$6:$J$305,MATCH("R"&amp;77,발주목록!$L$6:$L$305,0)),""))</f>
        <v/>
      </c>
      <c r="J82" s="29" t="b">
        <f aca="false">IF(소진분석!$A82="",FALSE(),IF($B$3="발주만",소진분석!$L82="발주",OR(소진분석!$L82="발주",소진분석!$L82="임박")))</f>
        <v>0</v>
      </c>
      <c r="K82" s="7" t="str">
        <f aca="false">IF($J82=FALSE(),"",COUNTIF($J$6:$J82,TRUE()))</f>
        <v/>
      </c>
      <c r="L82" s="7" t="str">
        <f aca="false">IF($K82="","","R"&amp;$K82)</f>
        <v/>
      </c>
    </row>
    <row r="83" customFormat="false" ht="15" hidden="false" customHeight="true" outlineLevel="0" collapsed="false">
      <c r="A83" s="28" t="str">
        <f aca="false">IF($B83="","",78)</f>
        <v/>
      </c>
      <c r="B83" s="17" t="str">
        <f aca="false">IFERROR(INDEX(소진분석!$A$6:$A$305,MATCH("R"&amp;78,발주목록!$L$6:$L$305,0)),"")</f>
        <v/>
      </c>
      <c r="C83" s="17" t="str">
        <f aca="false">IF($B83="","",IFERROR(INDEX(소진분석!$B$6:$B$305,MATCH("R"&amp;78,발주목록!$L$6:$L$305,0)),""))</f>
        <v/>
      </c>
      <c r="D83" s="28" t="str">
        <f aca="false">IF($B83="","",IFERROR(INDEX(소진분석!$C$6:$C$305,MATCH("R"&amp;78,발주목록!$L$6:$L$305,0)),""))</f>
        <v/>
      </c>
      <c r="E83" s="22" t="str">
        <f aca="false">IF($B83="","",IFERROR(INDEX(소진분석!$D$6:$D$305,MATCH("R"&amp;78,발주목록!$L$6:$L$305,0)),""))</f>
        <v/>
      </c>
      <c r="F83" s="22" t="str">
        <f aca="false">IF($B83="","",IFERROR(INDEX(소진분석!$K$6:$K$305,MATCH("R"&amp;78,발주목록!$L$6:$L$305,0)),""))</f>
        <v/>
      </c>
      <c r="G83" s="17" t="str">
        <f aca="false">IF($B83="","",IFERROR(INDEX(품목마스터!$I$3:$I$302,MATCH($B83,품목마스터!$A$3:$A$302,0)),""))</f>
        <v/>
      </c>
      <c r="H83" s="25" t="str">
        <f aca="false">IF($B83="","",IFERROR(INDEX(소진분석!$J$6:$J$305,MATCH("R"&amp;78,발주목록!$L$6:$L$305,0)),""))</f>
        <v/>
      </c>
      <c r="J83" s="29" t="b">
        <f aca="false">IF(소진분석!$A83="",FALSE(),IF($B$3="발주만",소진분석!$L83="발주",OR(소진분석!$L83="발주",소진분석!$L83="임박")))</f>
        <v>0</v>
      </c>
      <c r="K83" s="7" t="str">
        <f aca="false">IF($J83=FALSE(),"",COUNTIF($J$6:$J83,TRUE()))</f>
        <v/>
      </c>
      <c r="L83" s="7" t="str">
        <f aca="false">IF($K83="","","R"&amp;$K83)</f>
        <v/>
      </c>
    </row>
    <row r="84" customFormat="false" ht="15" hidden="false" customHeight="true" outlineLevel="0" collapsed="false">
      <c r="A84" s="28" t="str">
        <f aca="false">IF($B84="","",79)</f>
        <v/>
      </c>
      <c r="B84" s="17" t="str">
        <f aca="false">IFERROR(INDEX(소진분석!$A$6:$A$305,MATCH("R"&amp;79,발주목록!$L$6:$L$305,0)),"")</f>
        <v/>
      </c>
      <c r="C84" s="17" t="str">
        <f aca="false">IF($B84="","",IFERROR(INDEX(소진분석!$B$6:$B$305,MATCH("R"&amp;79,발주목록!$L$6:$L$305,0)),""))</f>
        <v/>
      </c>
      <c r="D84" s="28" t="str">
        <f aca="false">IF($B84="","",IFERROR(INDEX(소진분석!$C$6:$C$305,MATCH("R"&amp;79,발주목록!$L$6:$L$305,0)),""))</f>
        <v/>
      </c>
      <c r="E84" s="22" t="str">
        <f aca="false">IF($B84="","",IFERROR(INDEX(소진분석!$D$6:$D$305,MATCH("R"&amp;79,발주목록!$L$6:$L$305,0)),""))</f>
        <v/>
      </c>
      <c r="F84" s="22" t="str">
        <f aca="false">IF($B84="","",IFERROR(INDEX(소진분석!$K$6:$K$305,MATCH("R"&amp;79,발주목록!$L$6:$L$305,0)),""))</f>
        <v/>
      </c>
      <c r="G84" s="17" t="str">
        <f aca="false">IF($B84="","",IFERROR(INDEX(품목마스터!$I$3:$I$302,MATCH($B84,품목마스터!$A$3:$A$302,0)),""))</f>
        <v/>
      </c>
      <c r="H84" s="25" t="str">
        <f aca="false">IF($B84="","",IFERROR(INDEX(소진분석!$J$6:$J$305,MATCH("R"&amp;79,발주목록!$L$6:$L$305,0)),""))</f>
        <v/>
      </c>
      <c r="J84" s="29" t="b">
        <f aca="false">IF(소진분석!$A84="",FALSE(),IF($B$3="발주만",소진분석!$L84="발주",OR(소진분석!$L84="발주",소진분석!$L84="임박")))</f>
        <v>0</v>
      </c>
      <c r="K84" s="7" t="str">
        <f aca="false">IF($J84=FALSE(),"",COUNTIF($J$6:$J84,TRUE()))</f>
        <v/>
      </c>
      <c r="L84" s="7" t="str">
        <f aca="false">IF($K84="","","R"&amp;$K84)</f>
        <v/>
      </c>
    </row>
    <row r="85" customFormat="false" ht="15" hidden="false" customHeight="true" outlineLevel="0" collapsed="false">
      <c r="A85" s="28" t="str">
        <f aca="false">IF($B85="","",80)</f>
        <v/>
      </c>
      <c r="B85" s="17" t="str">
        <f aca="false">IFERROR(INDEX(소진분석!$A$6:$A$305,MATCH("R"&amp;80,발주목록!$L$6:$L$305,0)),"")</f>
        <v/>
      </c>
      <c r="C85" s="17" t="str">
        <f aca="false">IF($B85="","",IFERROR(INDEX(소진분석!$B$6:$B$305,MATCH("R"&amp;80,발주목록!$L$6:$L$305,0)),""))</f>
        <v/>
      </c>
      <c r="D85" s="28" t="str">
        <f aca="false">IF($B85="","",IFERROR(INDEX(소진분석!$C$6:$C$305,MATCH("R"&amp;80,발주목록!$L$6:$L$305,0)),""))</f>
        <v/>
      </c>
      <c r="E85" s="22" t="str">
        <f aca="false">IF($B85="","",IFERROR(INDEX(소진분석!$D$6:$D$305,MATCH("R"&amp;80,발주목록!$L$6:$L$305,0)),""))</f>
        <v/>
      </c>
      <c r="F85" s="22" t="str">
        <f aca="false">IF($B85="","",IFERROR(INDEX(소진분석!$K$6:$K$305,MATCH("R"&amp;80,발주목록!$L$6:$L$305,0)),""))</f>
        <v/>
      </c>
      <c r="G85" s="17" t="str">
        <f aca="false">IF($B85="","",IFERROR(INDEX(품목마스터!$I$3:$I$302,MATCH($B85,품목마스터!$A$3:$A$302,0)),""))</f>
        <v/>
      </c>
      <c r="H85" s="25" t="str">
        <f aca="false">IF($B85="","",IFERROR(INDEX(소진분석!$J$6:$J$305,MATCH("R"&amp;80,발주목록!$L$6:$L$305,0)),""))</f>
        <v/>
      </c>
      <c r="J85" s="29" t="b">
        <f aca="false">IF(소진분석!$A85="",FALSE(),IF($B$3="발주만",소진분석!$L85="발주",OR(소진분석!$L85="발주",소진분석!$L85="임박")))</f>
        <v>0</v>
      </c>
      <c r="K85" s="7" t="str">
        <f aca="false">IF($J85=FALSE(),"",COUNTIF($J$6:$J85,TRUE()))</f>
        <v/>
      </c>
      <c r="L85" s="7" t="str">
        <f aca="false">IF($K85="","","R"&amp;$K85)</f>
        <v/>
      </c>
    </row>
    <row r="86" customFormat="false" ht="15" hidden="false" customHeight="true" outlineLevel="0" collapsed="false">
      <c r="A86" s="28" t="str">
        <f aca="false">IF($B86="","",81)</f>
        <v/>
      </c>
      <c r="B86" s="17" t="str">
        <f aca="false">IFERROR(INDEX(소진분석!$A$6:$A$305,MATCH("R"&amp;81,발주목록!$L$6:$L$305,0)),"")</f>
        <v/>
      </c>
      <c r="C86" s="17" t="str">
        <f aca="false">IF($B86="","",IFERROR(INDEX(소진분석!$B$6:$B$305,MATCH("R"&amp;81,발주목록!$L$6:$L$305,0)),""))</f>
        <v/>
      </c>
      <c r="D86" s="28" t="str">
        <f aca="false">IF($B86="","",IFERROR(INDEX(소진분석!$C$6:$C$305,MATCH("R"&amp;81,발주목록!$L$6:$L$305,0)),""))</f>
        <v/>
      </c>
      <c r="E86" s="22" t="str">
        <f aca="false">IF($B86="","",IFERROR(INDEX(소진분석!$D$6:$D$305,MATCH("R"&amp;81,발주목록!$L$6:$L$305,0)),""))</f>
        <v/>
      </c>
      <c r="F86" s="22" t="str">
        <f aca="false">IF($B86="","",IFERROR(INDEX(소진분석!$K$6:$K$305,MATCH("R"&amp;81,발주목록!$L$6:$L$305,0)),""))</f>
        <v/>
      </c>
      <c r="G86" s="17" t="str">
        <f aca="false">IF($B86="","",IFERROR(INDEX(품목마스터!$I$3:$I$302,MATCH($B86,품목마스터!$A$3:$A$302,0)),""))</f>
        <v/>
      </c>
      <c r="H86" s="25" t="str">
        <f aca="false">IF($B86="","",IFERROR(INDEX(소진분석!$J$6:$J$305,MATCH("R"&amp;81,발주목록!$L$6:$L$305,0)),""))</f>
        <v/>
      </c>
      <c r="J86" s="29" t="b">
        <f aca="false">IF(소진분석!$A86="",FALSE(),IF($B$3="발주만",소진분석!$L86="발주",OR(소진분석!$L86="발주",소진분석!$L86="임박")))</f>
        <v>0</v>
      </c>
      <c r="K86" s="7" t="str">
        <f aca="false">IF($J86=FALSE(),"",COUNTIF($J$6:$J86,TRUE()))</f>
        <v/>
      </c>
      <c r="L86" s="7" t="str">
        <f aca="false">IF($K86="","","R"&amp;$K86)</f>
        <v/>
      </c>
    </row>
    <row r="87" customFormat="false" ht="15" hidden="false" customHeight="true" outlineLevel="0" collapsed="false">
      <c r="A87" s="28" t="str">
        <f aca="false">IF($B87="","",82)</f>
        <v/>
      </c>
      <c r="B87" s="17" t="str">
        <f aca="false">IFERROR(INDEX(소진분석!$A$6:$A$305,MATCH("R"&amp;82,발주목록!$L$6:$L$305,0)),"")</f>
        <v/>
      </c>
      <c r="C87" s="17" t="str">
        <f aca="false">IF($B87="","",IFERROR(INDEX(소진분석!$B$6:$B$305,MATCH("R"&amp;82,발주목록!$L$6:$L$305,0)),""))</f>
        <v/>
      </c>
      <c r="D87" s="28" t="str">
        <f aca="false">IF($B87="","",IFERROR(INDEX(소진분석!$C$6:$C$305,MATCH("R"&amp;82,발주목록!$L$6:$L$305,0)),""))</f>
        <v/>
      </c>
      <c r="E87" s="22" t="str">
        <f aca="false">IF($B87="","",IFERROR(INDEX(소진분석!$D$6:$D$305,MATCH("R"&amp;82,발주목록!$L$6:$L$305,0)),""))</f>
        <v/>
      </c>
      <c r="F87" s="22" t="str">
        <f aca="false">IF($B87="","",IFERROR(INDEX(소진분석!$K$6:$K$305,MATCH("R"&amp;82,발주목록!$L$6:$L$305,0)),""))</f>
        <v/>
      </c>
      <c r="G87" s="17" t="str">
        <f aca="false">IF($B87="","",IFERROR(INDEX(품목마스터!$I$3:$I$302,MATCH($B87,품목마스터!$A$3:$A$302,0)),""))</f>
        <v/>
      </c>
      <c r="H87" s="25" t="str">
        <f aca="false">IF($B87="","",IFERROR(INDEX(소진분석!$J$6:$J$305,MATCH("R"&amp;82,발주목록!$L$6:$L$305,0)),""))</f>
        <v/>
      </c>
      <c r="J87" s="29" t="b">
        <f aca="false">IF(소진분석!$A87="",FALSE(),IF($B$3="발주만",소진분석!$L87="발주",OR(소진분석!$L87="발주",소진분석!$L87="임박")))</f>
        <v>0</v>
      </c>
      <c r="K87" s="7" t="str">
        <f aca="false">IF($J87=FALSE(),"",COUNTIF($J$6:$J87,TRUE()))</f>
        <v/>
      </c>
      <c r="L87" s="7" t="str">
        <f aca="false">IF($K87="","","R"&amp;$K87)</f>
        <v/>
      </c>
    </row>
    <row r="88" customFormat="false" ht="15" hidden="false" customHeight="true" outlineLevel="0" collapsed="false">
      <c r="A88" s="28" t="str">
        <f aca="false">IF($B88="","",83)</f>
        <v/>
      </c>
      <c r="B88" s="17" t="str">
        <f aca="false">IFERROR(INDEX(소진분석!$A$6:$A$305,MATCH("R"&amp;83,발주목록!$L$6:$L$305,0)),"")</f>
        <v/>
      </c>
      <c r="C88" s="17" t="str">
        <f aca="false">IF($B88="","",IFERROR(INDEX(소진분석!$B$6:$B$305,MATCH("R"&amp;83,발주목록!$L$6:$L$305,0)),""))</f>
        <v/>
      </c>
      <c r="D88" s="28" t="str">
        <f aca="false">IF($B88="","",IFERROR(INDEX(소진분석!$C$6:$C$305,MATCH("R"&amp;83,발주목록!$L$6:$L$305,0)),""))</f>
        <v/>
      </c>
      <c r="E88" s="22" t="str">
        <f aca="false">IF($B88="","",IFERROR(INDEX(소진분석!$D$6:$D$305,MATCH("R"&amp;83,발주목록!$L$6:$L$305,0)),""))</f>
        <v/>
      </c>
      <c r="F88" s="22" t="str">
        <f aca="false">IF($B88="","",IFERROR(INDEX(소진분석!$K$6:$K$305,MATCH("R"&amp;83,발주목록!$L$6:$L$305,0)),""))</f>
        <v/>
      </c>
      <c r="G88" s="17" t="str">
        <f aca="false">IF($B88="","",IFERROR(INDEX(품목마스터!$I$3:$I$302,MATCH($B88,품목마스터!$A$3:$A$302,0)),""))</f>
        <v/>
      </c>
      <c r="H88" s="25" t="str">
        <f aca="false">IF($B88="","",IFERROR(INDEX(소진분석!$J$6:$J$305,MATCH("R"&amp;83,발주목록!$L$6:$L$305,0)),""))</f>
        <v/>
      </c>
      <c r="J88" s="29" t="b">
        <f aca="false">IF(소진분석!$A88="",FALSE(),IF($B$3="발주만",소진분석!$L88="발주",OR(소진분석!$L88="발주",소진분석!$L88="임박")))</f>
        <v>0</v>
      </c>
      <c r="K88" s="7" t="str">
        <f aca="false">IF($J88=FALSE(),"",COUNTIF($J$6:$J88,TRUE()))</f>
        <v/>
      </c>
      <c r="L88" s="7" t="str">
        <f aca="false">IF($K88="","","R"&amp;$K88)</f>
        <v/>
      </c>
    </row>
    <row r="89" customFormat="false" ht="15" hidden="false" customHeight="true" outlineLevel="0" collapsed="false">
      <c r="A89" s="28" t="str">
        <f aca="false">IF($B89="","",84)</f>
        <v/>
      </c>
      <c r="B89" s="17" t="str">
        <f aca="false">IFERROR(INDEX(소진분석!$A$6:$A$305,MATCH("R"&amp;84,발주목록!$L$6:$L$305,0)),"")</f>
        <v/>
      </c>
      <c r="C89" s="17" t="str">
        <f aca="false">IF($B89="","",IFERROR(INDEX(소진분석!$B$6:$B$305,MATCH("R"&amp;84,발주목록!$L$6:$L$305,0)),""))</f>
        <v/>
      </c>
      <c r="D89" s="28" t="str">
        <f aca="false">IF($B89="","",IFERROR(INDEX(소진분석!$C$6:$C$305,MATCH("R"&amp;84,발주목록!$L$6:$L$305,0)),""))</f>
        <v/>
      </c>
      <c r="E89" s="22" t="str">
        <f aca="false">IF($B89="","",IFERROR(INDEX(소진분석!$D$6:$D$305,MATCH("R"&amp;84,발주목록!$L$6:$L$305,0)),""))</f>
        <v/>
      </c>
      <c r="F89" s="22" t="str">
        <f aca="false">IF($B89="","",IFERROR(INDEX(소진분석!$K$6:$K$305,MATCH("R"&amp;84,발주목록!$L$6:$L$305,0)),""))</f>
        <v/>
      </c>
      <c r="G89" s="17" t="str">
        <f aca="false">IF($B89="","",IFERROR(INDEX(품목마스터!$I$3:$I$302,MATCH($B89,품목마스터!$A$3:$A$302,0)),""))</f>
        <v/>
      </c>
      <c r="H89" s="25" t="str">
        <f aca="false">IF($B89="","",IFERROR(INDEX(소진분석!$J$6:$J$305,MATCH("R"&amp;84,발주목록!$L$6:$L$305,0)),""))</f>
        <v/>
      </c>
      <c r="J89" s="29" t="b">
        <f aca="false">IF(소진분석!$A89="",FALSE(),IF($B$3="발주만",소진분석!$L89="발주",OR(소진분석!$L89="발주",소진분석!$L89="임박")))</f>
        <v>0</v>
      </c>
      <c r="K89" s="7" t="str">
        <f aca="false">IF($J89=FALSE(),"",COUNTIF($J$6:$J89,TRUE()))</f>
        <v/>
      </c>
      <c r="L89" s="7" t="str">
        <f aca="false">IF($K89="","","R"&amp;$K89)</f>
        <v/>
      </c>
    </row>
    <row r="90" customFormat="false" ht="15" hidden="false" customHeight="true" outlineLevel="0" collapsed="false">
      <c r="A90" s="28" t="str">
        <f aca="false">IF($B90="","",85)</f>
        <v/>
      </c>
      <c r="B90" s="17" t="str">
        <f aca="false">IFERROR(INDEX(소진분석!$A$6:$A$305,MATCH("R"&amp;85,발주목록!$L$6:$L$305,0)),"")</f>
        <v/>
      </c>
      <c r="C90" s="17" t="str">
        <f aca="false">IF($B90="","",IFERROR(INDEX(소진분석!$B$6:$B$305,MATCH("R"&amp;85,발주목록!$L$6:$L$305,0)),""))</f>
        <v/>
      </c>
      <c r="D90" s="28" t="str">
        <f aca="false">IF($B90="","",IFERROR(INDEX(소진분석!$C$6:$C$305,MATCH("R"&amp;85,발주목록!$L$6:$L$305,0)),""))</f>
        <v/>
      </c>
      <c r="E90" s="22" t="str">
        <f aca="false">IF($B90="","",IFERROR(INDEX(소진분석!$D$6:$D$305,MATCH("R"&amp;85,발주목록!$L$6:$L$305,0)),""))</f>
        <v/>
      </c>
      <c r="F90" s="22" t="str">
        <f aca="false">IF($B90="","",IFERROR(INDEX(소진분석!$K$6:$K$305,MATCH("R"&amp;85,발주목록!$L$6:$L$305,0)),""))</f>
        <v/>
      </c>
      <c r="G90" s="17" t="str">
        <f aca="false">IF($B90="","",IFERROR(INDEX(품목마스터!$I$3:$I$302,MATCH($B90,품목마스터!$A$3:$A$302,0)),""))</f>
        <v/>
      </c>
      <c r="H90" s="25" t="str">
        <f aca="false">IF($B90="","",IFERROR(INDEX(소진분석!$J$6:$J$305,MATCH("R"&amp;85,발주목록!$L$6:$L$305,0)),""))</f>
        <v/>
      </c>
      <c r="J90" s="29" t="b">
        <f aca="false">IF(소진분석!$A90="",FALSE(),IF($B$3="발주만",소진분석!$L90="발주",OR(소진분석!$L90="발주",소진분석!$L90="임박")))</f>
        <v>0</v>
      </c>
      <c r="K90" s="7" t="str">
        <f aca="false">IF($J90=FALSE(),"",COUNTIF($J$6:$J90,TRUE()))</f>
        <v/>
      </c>
      <c r="L90" s="7" t="str">
        <f aca="false">IF($K90="","","R"&amp;$K90)</f>
        <v/>
      </c>
    </row>
    <row r="91" customFormat="false" ht="15" hidden="false" customHeight="true" outlineLevel="0" collapsed="false">
      <c r="A91" s="28" t="str">
        <f aca="false">IF($B91="","",86)</f>
        <v/>
      </c>
      <c r="B91" s="17" t="str">
        <f aca="false">IFERROR(INDEX(소진분석!$A$6:$A$305,MATCH("R"&amp;86,발주목록!$L$6:$L$305,0)),"")</f>
        <v/>
      </c>
      <c r="C91" s="17" t="str">
        <f aca="false">IF($B91="","",IFERROR(INDEX(소진분석!$B$6:$B$305,MATCH("R"&amp;86,발주목록!$L$6:$L$305,0)),""))</f>
        <v/>
      </c>
      <c r="D91" s="28" t="str">
        <f aca="false">IF($B91="","",IFERROR(INDEX(소진분석!$C$6:$C$305,MATCH("R"&amp;86,발주목록!$L$6:$L$305,0)),""))</f>
        <v/>
      </c>
      <c r="E91" s="22" t="str">
        <f aca="false">IF($B91="","",IFERROR(INDEX(소진분석!$D$6:$D$305,MATCH("R"&amp;86,발주목록!$L$6:$L$305,0)),""))</f>
        <v/>
      </c>
      <c r="F91" s="22" t="str">
        <f aca="false">IF($B91="","",IFERROR(INDEX(소진분석!$K$6:$K$305,MATCH("R"&amp;86,발주목록!$L$6:$L$305,0)),""))</f>
        <v/>
      </c>
      <c r="G91" s="17" t="str">
        <f aca="false">IF($B91="","",IFERROR(INDEX(품목마스터!$I$3:$I$302,MATCH($B91,품목마스터!$A$3:$A$302,0)),""))</f>
        <v/>
      </c>
      <c r="H91" s="25" t="str">
        <f aca="false">IF($B91="","",IFERROR(INDEX(소진분석!$J$6:$J$305,MATCH("R"&amp;86,발주목록!$L$6:$L$305,0)),""))</f>
        <v/>
      </c>
      <c r="J91" s="29" t="b">
        <f aca="false">IF(소진분석!$A91="",FALSE(),IF($B$3="발주만",소진분석!$L91="발주",OR(소진분석!$L91="발주",소진분석!$L91="임박")))</f>
        <v>0</v>
      </c>
      <c r="K91" s="7" t="str">
        <f aca="false">IF($J91=FALSE(),"",COUNTIF($J$6:$J91,TRUE()))</f>
        <v/>
      </c>
      <c r="L91" s="7" t="str">
        <f aca="false">IF($K91="","","R"&amp;$K91)</f>
        <v/>
      </c>
    </row>
    <row r="92" customFormat="false" ht="15" hidden="false" customHeight="true" outlineLevel="0" collapsed="false">
      <c r="A92" s="28" t="str">
        <f aca="false">IF($B92="","",87)</f>
        <v/>
      </c>
      <c r="B92" s="17" t="str">
        <f aca="false">IFERROR(INDEX(소진분석!$A$6:$A$305,MATCH("R"&amp;87,발주목록!$L$6:$L$305,0)),"")</f>
        <v/>
      </c>
      <c r="C92" s="17" t="str">
        <f aca="false">IF($B92="","",IFERROR(INDEX(소진분석!$B$6:$B$305,MATCH("R"&amp;87,발주목록!$L$6:$L$305,0)),""))</f>
        <v/>
      </c>
      <c r="D92" s="28" t="str">
        <f aca="false">IF($B92="","",IFERROR(INDEX(소진분석!$C$6:$C$305,MATCH("R"&amp;87,발주목록!$L$6:$L$305,0)),""))</f>
        <v/>
      </c>
      <c r="E92" s="22" t="str">
        <f aca="false">IF($B92="","",IFERROR(INDEX(소진분석!$D$6:$D$305,MATCH("R"&amp;87,발주목록!$L$6:$L$305,0)),""))</f>
        <v/>
      </c>
      <c r="F92" s="22" t="str">
        <f aca="false">IF($B92="","",IFERROR(INDEX(소진분석!$K$6:$K$305,MATCH("R"&amp;87,발주목록!$L$6:$L$305,0)),""))</f>
        <v/>
      </c>
      <c r="G92" s="17" t="str">
        <f aca="false">IF($B92="","",IFERROR(INDEX(품목마스터!$I$3:$I$302,MATCH($B92,품목마스터!$A$3:$A$302,0)),""))</f>
        <v/>
      </c>
      <c r="H92" s="25" t="str">
        <f aca="false">IF($B92="","",IFERROR(INDEX(소진분석!$J$6:$J$305,MATCH("R"&amp;87,발주목록!$L$6:$L$305,0)),""))</f>
        <v/>
      </c>
      <c r="J92" s="29" t="b">
        <f aca="false">IF(소진분석!$A92="",FALSE(),IF($B$3="발주만",소진분석!$L92="발주",OR(소진분석!$L92="발주",소진분석!$L92="임박")))</f>
        <v>0</v>
      </c>
      <c r="K92" s="7" t="str">
        <f aca="false">IF($J92=FALSE(),"",COUNTIF($J$6:$J92,TRUE()))</f>
        <v/>
      </c>
      <c r="L92" s="7" t="str">
        <f aca="false">IF($K92="","","R"&amp;$K92)</f>
        <v/>
      </c>
    </row>
    <row r="93" customFormat="false" ht="15" hidden="false" customHeight="true" outlineLevel="0" collapsed="false">
      <c r="A93" s="28" t="str">
        <f aca="false">IF($B93="","",88)</f>
        <v/>
      </c>
      <c r="B93" s="17" t="str">
        <f aca="false">IFERROR(INDEX(소진분석!$A$6:$A$305,MATCH("R"&amp;88,발주목록!$L$6:$L$305,0)),"")</f>
        <v/>
      </c>
      <c r="C93" s="17" t="str">
        <f aca="false">IF($B93="","",IFERROR(INDEX(소진분석!$B$6:$B$305,MATCH("R"&amp;88,발주목록!$L$6:$L$305,0)),""))</f>
        <v/>
      </c>
      <c r="D93" s="28" t="str">
        <f aca="false">IF($B93="","",IFERROR(INDEX(소진분석!$C$6:$C$305,MATCH("R"&amp;88,발주목록!$L$6:$L$305,0)),""))</f>
        <v/>
      </c>
      <c r="E93" s="22" t="str">
        <f aca="false">IF($B93="","",IFERROR(INDEX(소진분석!$D$6:$D$305,MATCH("R"&amp;88,발주목록!$L$6:$L$305,0)),""))</f>
        <v/>
      </c>
      <c r="F93" s="22" t="str">
        <f aca="false">IF($B93="","",IFERROR(INDEX(소진분석!$K$6:$K$305,MATCH("R"&amp;88,발주목록!$L$6:$L$305,0)),""))</f>
        <v/>
      </c>
      <c r="G93" s="17" t="str">
        <f aca="false">IF($B93="","",IFERROR(INDEX(품목마스터!$I$3:$I$302,MATCH($B93,품목마스터!$A$3:$A$302,0)),""))</f>
        <v/>
      </c>
      <c r="H93" s="25" t="str">
        <f aca="false">IF($B93="","",IFERROR(INDEX(소진분석!$J$6:$J$305,MATCH("R"&amp;88,발주목록!$L$6:$L$305,0)),""))</f>
        <v/>
      </c>
      <c r="J93" s="29" t="b">
        <f aca="false">IF(소진분석!$A93="",FALSE(),IF($B$3="발주만",소진분석!$L93="발주",OR(소진분석!$L93="발주",소진분석!$L93="임박")))</f>
        <v>0</v>
      </c>
      <c r="K93" s="7" t="str">
        <f aca="false">IF($J93=FALSE(),"",COUNTIF($J$6:$J93,TRUE()))</f>
        <v/>
      </c>
      <c r="L93" s="7" t="str">
        <f aca="false">IF($K93="","","R"&amp;$K93)</f>
        <v/>
      </c>
    </row>
    <row r="94" customFormat="false" ht="15" hidden="false" customHeight="true" outlineLevel="0" collapsed="false">
      <c r="A94" s="28" t="str">
        <f aca="false">IF($B94="","",89)</f>
        <v/>
      </c>
      <c r="B94" s="17" t="str">
        <f aca="false">IFERROR(INDEX(소진분석!$A$6:$A$305,MATCH("R"&amp;89,발주목록!$L$6:$L$305,0)),"")</f>
        <v/>
      </c>
      <c r="C94" s="17" t="str">
        <f aca="false">IF($B94="","",IFERROR(INDEX(소진분석!$B$6:$B$305,MATCH("R"&amp;89,발주목록!$L$6:$L$305,0)),""))</f>
        <v/>
      </c>
      <c r="D94" s="28" t="str">
        <f aca="false">IF($B94="","",IFERROR(INDEX(소진분석!$C$6:$C$305,MATCH("R"&amp;89,발주목록!$L$6:$L$305,0)),""))</f>
        <v/>
      </c>
      <c r="E94" s="22" t="str">
        <f aca="false">IF($B94="","",IFERROR(INDEX(소진분석!$D$6:$D$305,MATCH("R"&amp;89,발주목록!$L$6:$L$305,0)),""))</f>
        <v/>
      </c>
      <c r="F94" s="22" t="str">
        <f aca="false">IF($B94="","",IFERROR(INDEX(소진분석!$K$6:$K$305,MATCH("R"&amp;89,발주목록!$L$6:$L$305,0)),""))</f>
        <v/>
      </c>
      <c r="G94" s="17" t="str">
        <f aca="false">IF($B94="","",IFERROR(INDEX(품목마스터!$I$3:$I$302,MATCH($B94,품목마스터!$A$3:$A$302,0)),""))</f>
        <v/>
      </c>
      <c r="H94" s="25" t="str">
        <f aca="false">IF($B94="","",IFERROR(INDEX(소진분석!$J$6:$J$305,MATCH("R"&amp;89,발주목록!$L$6:$L$305,0)),""))</f>
        <v/>
      </c>
      <c r="J94" s="29" t="b">
        <f aca="false">IF(소진분석!$A94="",FALSE(),IF($B$3="발주만",소진분석!$L94="발주",OR(소진분석!$L94="발주",소진분석!$L94="임박")))</f>
        <v>0</v>
      </c>
      <c r="K94" s="7" t="str">
        <f aca="false">IF($J94=FALSE(),"",COUNTIF($J$6:$J94,TRUE()))</f>
        <v/>
      </c>
      <c r="L94" s="7" t="str">
        <f aca="false">IF($K94="","","R"&amp;$K94)</f>
        <v/>
      </c>
    </row>
    <row r="95" customFormat="false" ht="15" hidden="false" customHeight="true" outlineLevel="0" collapsed="false">
      <c r="A95" s="28" t="str">
        <f aca="false">IF($B95="","",90)</f>
        <v/>
      </c>
      <c r="B95" s="17" t="str">
        <f aca="false">IFERROR(INDEX(소진분석!$A$6:$A$305,MATCH("R"&amp;90,발주목록!$L$6:$L$305,0)),"")</f>
        <v/>
      </c>
      <c r="C95" s="17" t="str">
        <f aca="false">IF($B95="","",IFERROR(INDEX(소진분석!$B$6:$B$305,MATCH("R"&amp;90,발주목록!$L$6:$L$305,0)),""))</f>
        <v/>
      </c>
      <c r="D95" s="28" t="str">
        <f aca="false">IF($B95="","",IFERROR(INDEX(소진분석!$C$6:$C$305,MATCH("R"&amp;90,발주목록!$L$6:$L$305,0)),""))</f>
        <v/>
      </c>
      <c r="E95" s="22" t="str">
        <f aca="false">IF($B95="","",IFERROR(INDEX(소진분석!$D$6:$D$305,MATCH("R"&amp;90,발주목록!$L$6:$L$305,0)),""))</f>
        <v/>
      </c>
      <c r="F95" s="22" t="str">
        <f aca="false">IF($B95="","",IFERROR(INDEX(소진분석!$K$6:$K$305,MATCH("R"&amp;90,발주목록!$L$6:$L$305,0)),""))</f>
        <v/>
      </c>
      <c r="G95" s="17" t="str">
        <f aca="false">IF($B95="","",IFERROR(INDEX(품목마스터!$I$3:$I$302,MATCH($B95,품목마스터!$A$3:$A$302,0)),""))</f>
        <v/>
      </c>
      <c r="H95" s="25" t="str">
        <f aca="false">IF($B95="","",IFERROR(INDEX(소진분석!$J$6:$J$305,MATCH("R"&amp;90,발주목록!$L$6:$L$305,0)),""))</f>
        <v/>
      </c>
      <c r="J95" s="29" t="b">
        <f aca="false">IF(소진분석!$A95="",FALSE(),IF($B$3="발주만",소진분석!$L95="발주",OR(소진분석!$L95="발주",소진분석!$L95="임박")))</f>
        <v>0</v>
      </c>
      <c r="K95" s="7" t="str">
        <f aca="false">IF($J95=FALSE(),"",COUNTIF($J$6:$J95,TRUE()))</f>
        <v/>
      </c>
      <c r="L95" s="7" t="str">
        <f aca="false">IF($K95="","","R"&amp;$K95)</f>
        <v/>
      </c>
    </row>
    <row r="96" customFormat="false" ht="15" hidden="false" customHeight="true" outlineLevel="0" collapsed="false">
      <c r="A96" s="28" t="str">
        <f aca="false">IF($B96="","",91)</f>
        <v/>
      </c>
      <c r="B96" s="17" t="str">
        <f aca="false">IFERROR(INDEX(소진분석!$A$6:$A$305,MATCH("R"&amp;91,발주목록!$L$6:$L$305,0)),"")</f>
        <v/>
      </c>
      <c r="C96" s="17" t="str">
        <f aca="false">IF($B96="","",IFERROR(INDEX(소진분석!$B$6:$B$305,MATCH("R"&amp;91,발주목록!$L$6:$L$305,0)),""))</f>
        <v/>
      </c>
      <c r="D96" s="28" t="str">
        <f aca="false">IF($B96="","",IFERROR(INDEX(소진분석!$C$6:$C$305,MATCH("R"&amp;91,발주목록!$L$6:$L$305,0)),""))</f>
        <v/>
      </c>
      <c r="E96" s="22" t="str">
        <f aca="false">IF($B96="","",IFERROR(INDEX(소진분석!$D$6:$D$305,MATCH("R"&amp;91,발주목록!$L$6:$L$305,0)),""))</f>
        <v/>
      </c>
      <c r="F96" s="22" t="str">
        <f aca="false">IF($B96="","",IFERROR(INDEX(소진분석!$K$6:$K$305,MATCH("R"&amp;91,발주목록!$L$6:$L$305,0)),""))</f>
        <v/>
      </c>
      <c r="G96" s="17" t="str">
        <f aca="false">IF($B96="","",IFERROR(INDEX(품목마스터!$I$3:$I$302,MATCH($B96,품목마스터!$A$3:$A$302,0)),""))</f>
        <v/>
      </c>
      <c r="H96" s="25" t="str">
        <f aca="false">IF($B96="","",IFERROR(INDEX(소진분석!$J$6:$J$305,MATCH("R"&amp;91,발주목록!$L$6:$L$305,0)),""))</f>
        <v/>
      </c>
      <c r="J96" s="29" t="b">
        <f aca="false">IF(소진분석!$A96="",FALSE(),IF($B$3="발주만",소진분석!$L96="발주",OR(소진분석!$L96="발주",소진분석!$L96="임박")))</f>
        <v>0</v>
      </c>
      <c r="K96" s="7" t="str">
        <f aca="false">IF($J96=FALSE(),"",COUNTIF($J$6:$J96,TRUE()))</f>
        <v/>
      </c>
      <c r="L96" s="7" t="str">
        <f aca="false">IF($K96="","","R"&amp;$K96)</f>
        <v/>
      </c>
    </row>
    <row r="97" customFormat="false" ht="15" hidden="false" customHeight="true" outlineLevel="0" collapsed="false">
      <c r="A97" s="28" t="str">
        <f aca="false">IF($B97="","",92)</f>
        <v/>
      </c>
      <c r="B97" s="17" t="str">
        <f aca="false">IFERROR(INDEX(소진분석!$A$6:$A$305,MATCH("R"&amp;92,발주목록!$L$6:$L$305,0)),"")</f>
        <v/>
      </c>
      <c r="C97" s="17" t="str">
        <f aca="false">IF($B97="","",IFERROR(INDEX(소진분석!$B$6:$B$305,MATCH("R"&amp;92,발주목록!$L$6:$L$305,0)),""))</f>
        <v/>
      </c>
      <c r="D97" s="28" t="str">
        <f aca="false">IF($B97="","",IFERROR(INDEX(소진분석!$C$6:$C$305,MATCH("R"&amp;92,발주목록!$L$6:$L$305,0)),""))</f>
        <v/>
      </c>
      <c r="E97" s="22" t="str">
        <f aca="false">IF($B97="","",IFERROR(INDEX(소진분석!$D$6:$D$305,MATCH("R"&amp;92,발주목록!$L$6:$L$305,0)),""))</f>
        <v/>
      </c>
      <c r="F97" s="22" t="str">
        <f aca="false">IF($B97="","",IFERROR(INDEX(소진분석!$K$6:$K$305,MATCH("R"&amp;92,발주목록!$L$6:$L$305,0)),""))</f>
        <v/>
      </c>
      <c r="G97" s="17" t="str">
        <f aca="false">IF($B97="","",IFERROR(INDEX(품목마스터!$I$3:$I$302,MATCH($B97,품목마스터!$A$3:$A$302,0)),""))</f>
        <v/>
      </c>
      <c r="H97" s="25" t="str">
        <f aca="false">IF($B97="","",IFERROR(INDEX(소진분석!$J$6:$J$305,MATCH("R"&amp;92,발주목록!$L$6:$L$305,0)),""))</f>
        <v/>
      </c>
      <c r="J97" s="29" t="b">
        <f aca="false">IF(소진분석!$A97="",FALSE(),IF($B$3="발주만",소진분석!$L97="발주",OR(소진분석!$L97="발주",소진분석!$L97="임박")))</f>
        <v>0</v>
      </c>
      <c r="K97" s="7" t="str">
        <f aca="false">IF($J97=FALSE(),"",COUNTIF($J$6:$J97,TRUE()))</f>
        <v/>
      </c>
      <c r="L97" s="7" t="str">
        <f aca="false">IF($K97="","","R"&amp;$K97)</f>
        <v/>
      </c>
    </row>
    <row r="98" customFormat="false" ht="15" hidden="false" customHeight="true" outlineLevel="0" collapsed="false">
      <c r="A98" s="28" t="str">
        <f aca="false">IF($B98="","",93)</f>
        <v/>
      </c>
      <c r="B98" s="17" t="str">
        <f aca="false">IFERROR(INDEX(소진분석!$A$6:$A$305,MATCH("R"&amp;93,발주목록!$L$6:$L$305,0)),"")</f>
        <v/>
      </c>
      <c r="C98" s="17" t="str">
        <f aca="false">IF($B98="","",IFERROR(INDEX(소진분석!$B$6:$B$305,MATCH("R"&amp;93,발주목록!$L$6:$L$305,0)),""))</f>
        <v/>
      </c>
      <c r="D98" s="28" t="str">
        <f aca="false">IF($B98="","",IFERROR(INDEX(소진분석!$C$6:$C$305,MATCH("R"&amp;93,발주목록!$L$6:$L$305,0)),""))</f>
        <v/>
      </c>
      <c r="E98" s="22" t="str">
        <f aca="false">IF($B98="","",IFERROR(INDEX(소진분석!$D$6:$D$305,MATCH("R"&amp;93,발주목록!$L$6:$L$305,0)),""))</f>
        <v/>
      </c>
      <c r="F98" s="22" t="str">
        <f aca="false">IF($B98="","",IFERROR(INDEX(소진분석!$K$6:$K$305,MATCH("R"&amp;93,발주목록!$L$6:$L$305,0)),""))</f>
        <v/>
      </c>
      <c r="G98" s="17" t="str">
        <f aca="false">IF($B98="","",IFERROR(INDEX(품목마스터!$I$3:$I$302,MATCH($B98,품목마스터!$A$3:$A$302,0)),""))</f>
        <v/>
      </c>
      <c r="H98" s="25" t="str">
        <f aca="false">IF($B98="","",IFERROR(INDEX(소진분석!$J$6:$J$305,MATCH("R"&amp;93,발주목록!$L$6:$L$305,0)),""))</f>
        <v/>
      </c>
      <c r="J98" s="29" t="b">
        <f aca="false">IF(소진분석!$A98="",FALSE(),IF($B$3="발주만",소진분석!$L98="발주",OR(소진분석!$L98="발주",소진분석!$L98="임박")))</f>
        <v>0</v>
      </c>
      <c r="K98" s="7" t="str">
        <f aca="false">IF($J98=FALSE(),"",COUNTIF($J$6:$J98,TRUE()))</f>
        <v/>
      </c>
      <c r="L98" s="7" t="str">
        <f aca="false">IF($K98="","","R"&amp;$K98)</f>
        <v/>
      </c>
    </row>
    <row r="99" customFormat="false" ht="15" hidden="false" customHeight="true" outlineLevel="0" collapsed="false">
      <c r="A99" s="28" t="str">
        <f aca="false">IF($B99="","",94)</f>
        <v/>
      </c>
      <c r="B99" s="17" t="str">
        <f aca="false">IFERROR(INDEX(소진분석!$A$6:$A$305,MATCH("R"&amp;94,발주목록!$L$6:$L$305,0)),"")</f>
        <v/>
      </c>
      <c r="C99" s="17" t="str">
        <f aca="false">IF($B99="","",IFERROR(INDEX(소진분석!$B$6:$B$305,MATCH("R"&amp;94,발주목록!$L$6:$L$305,0)),""))</f>
        <v/>
      </c>
      <c r="D99" s="28" t="str">
        <f aca="false">IF($B99="","",IFERROR(INDEX(소진분석!$C$6:$C$305,MATCH("R"&amp;94,발주목록!$L$6:$L$305,0)),""))</f>
        <v/>
      </c>
      <c r="E99" s="22" t="str">
        <f aca="false">IF($B99="","",IFERROR(INDEX(소진분석!$D$6:$D$305,MATCH("R"&amp;94,발주목록!$L$6:$L$305,0)),""))</f>
        <v/>
      </c>
      <c r="F99" s="22" t="str">
        <f aca="false">IF($B99="","",IFERROR(INDEX(소진분석!$K$6:$K$305,MATCH("R"&amp;94,발주목록!$L$6:$L$305,0)),""))</f>
        <v/>
      </c>
      <c r="G99" s="17" t="str">
        <f aca="false">IF($B99="","",IFERROR(INDEX(품목마스터!$I$3:$I$302,MATCH($B99,품목마스터!$A$3:$A$302,0)),""))</f>
        <v/>
      </c>
      <c r="H99" s="25" t="str">
        <f aca="false">IF($B99="","",IFERROR(INDEX(소진분석!$J$6:$J$305,MATCH("R"&amp;94,발주목록!$L$6:$L$305,0)),""))</f>
        <v/>
      </c>
      <c r="J99" s="29" t="b">
        <f aca="false">IF(소진분석!$A99="",FALSE(),IF($B$3="발주만",소진분석!$L99="발주",OR(소진분석!$L99="발주",소진분석!$L99="임박")))</f>
        <v>0</v>
      </c>
      <c r="K99" s="7" t="str">
        <f aca="false">IF($J99=FALSE(),"",COUNTIF($J$6:$J99,TRUE()))</f>
        <v/>
      </c>
      <c r="L99" s="7" t="str">
        <f aca="false">IF($K99="","","R"&amp;$K99)</f>
        <v/>
      </c>
    </row>
    <row r="100" customFormat="false" ht="15" hidden="false" customHeight="true" outlineLevel="0" collapsed="false">
      <c r="A100" s="28" t="str">
        <f aca="false">IF($B100="","",95)</f>
        <v/>
      </c>
      <c r="B100" s="17" t="str">
        <f aca="false">IFERROR(INDEX(소진분석!$A$6:$A$305,MATCH("R"&amp;95,발주목록!$L$6:$L$305,0)),"")</f>
        <v/>
      </c>
      <c r="C100" s="17" t="str">
        <f aca="false">IF($B100="","",IFERROR(INDEX(소진분석!$B$6:$B$305,MATCH("R"&amp;95,발주목록!$L$6:$L$305,0)),""))</f>
        <v/>
      </c>
      <c r="D100" s="28" t="str">
        <f aca="false">IF($B100="","",IFERROR(INDEX(소진분석!$C$6:$C$305,MATCH("R"&amp;95,발주목록!$L$6:$L$305,0)),""))</f>
        <v/>
      </c>
      <c r="E100" s="22" t="str">
        <f aca="false">IF($B100="","",IFERROR(INDEX(소진분석!$D$6:$D$305,MATCH("R"&amp;95,발주목록!$L$6:$L$305,0)),""))</f>
        <v/>
      </c>
      <c r="F100" s="22" t="str">
        <f aca="false">IF($B100="","",IFERROR(INDEX(소진분석!$K$6:$K$305,MATCH("R"&amp;95,발주목록!$L$6:$L$305,0)),""))</f>
        <v/>
      </c>
      <c r="G100" s="17" t="str">
        <f aca="false">IF($B100="","",IFERROR(INDEX(품목마스터!$I$3:$I$302,MATCH($B100,품목마스터!$A$3:$A$302,0)),""))</f>
        <v/>
      </c>
      <c r="H100" s="25" t="str">
        <f aca="false">IF($B100="","",IFERROR(INDEX(소진분석!$J$6:$J$305,MATCH("R"&amp;95,발주목록!$L$6:$L$305,0)),""))</f>
        <v/>
      </c>
      <c r="J100" s="29" t="b">
        <f aca="false">IF(소진분석!$A100="",FALSE(),IF($B$3="발주만",소진분석!$L100="발주",OR(소진분석!$L100="발주",소진분석!$L100="임박")))</f>
        <v>0</v>
      </c>
      <c r="K100" s="7" t="str">
        <f aca="false">IF($J100=FALSE(),"",COUNTIF($J$6:$J100,TRUE()))</f>
        <v/>
      </c>
      <c r="L100" s="7" t="str">
        <f aca="false">IF($K100="","","R"&amp;$K100)</f>
        <v/>
      </c>
    </row>
    <row r="101" customFormat="false" ht="15" hidden="false" customHeight="true" outlineLevel="0" collapsed="false">
      <c r="A101" s="28" t="str">
        <f aca="false">IF($B101="","",96)</f>
        <v/>
      </c>
      <c r="B101" s="17" t="str">
        <f aca="false">IFERROR(INDEX(소진분석!$A$6:$A$305,MATCH("R"&amp;96,발주목록!$L$6:$L$305,0)),"")</f>
        <v/>
      </c>
      <c r="C101" s="17" t="str">
        <f aca="false">IF($B101="","",IFERROR(INDEX(소진분석!$B$6:$B$305,MATCH("R"&amp;96,발주목록!$L$6:$L$305,0)),""))</f>
        <v/>
      </c>
      <c r="D101" s="28" t="str">
        <f aca="false">IF($B101="","",IFERROR(INDEX(소진분석!$C$6:$C$305,MATCH("R"&amp;96,발주목록!$L$6:$L$305,0)),""))</f>
        <v/>
      </c>
      <c r="E101" s="22" t="str">
        <f aca="false">IF($B101="","",IFERROR(INDEX(소진분석!$D$6:$D$305,MATCH("R"&amp;96,발주목록!$L$6:$L$305,0)),""))</f>
        <v/>
      </c>
      <c r="F101" s="22" t="str">
        <f aca="false">IF($B101="","",IFERROR(INDEX(소진분석!$K$6:$K$305,MATCH("R"&amp;96,발주목록!$L$6:$L$305,0)),""))</f>
        <v/>
      </c>
      <c r="G101" s="17" t="str">
        <f aca="false">IF($B101="","",IFERROR(INDEX(품목마스터!$I$3:$I$302,MATCH($B101,품목마스터!$A$3:$A$302,0)),""))</f>
        <v/>
      </c>
      <c r="H101" s="25" t="str">
        <f aca="false">IF($B101="","",IFERROR(INDEX(소진분석!$J$6:$J$305,MATCH("R"&amp;96,발주목록!$L$6:$L$305,0)),""))</f>
        <v/>
      </c>
      <c r="J101" s="29" t="b">
        <f aca="false">IF(소진분석!$A101="",FALSE(),IF($B$3="발주만",소진분석!$L101="발주",OR(소진분석!$L101="발주",소진분석!$L101="임박")))</f>
        <v>0</v>
      </c>
      <c r="K101" s="7" t="str">
        <f aca="false">IF($J101=FALSE(),"",COUNTIF($J$6:$J101,TRUE()))</f>
        <v/>
      </c>
      <c r="L101" s="7" t="str">
        <f aca="false">IF($K101="","","R"&amp;$K101)</f>
        <v/>
      </c>
    </row>
    <row r="102" customFormat="false" ht="15" hidden="false" customHeight="true" outlineLevel="0" collapsed="false">
      <c r="A102" s="28" t="str">
        <f aca="false">IF($B102="","",97)</f>
        <v/>
      </c>
      <c r="B102" s="17" t="str">
        <f aca="false">IFERROR(INDEX(소진분석!$A$6:$A$305,MATCH("R"&amp;97,발주목록!$L$6:$L$305,0)),"")</f>
        <v/>
      </c>
      <c r="C102" s="17" t="str">
        <f aca="false">IF($B102="","",IFERROR(INDEX(소진분석!$B$6:$B$305,MATCH("R"&amp;97,발주목록!$L$6:$L$305,0)),""))</f>
        <v/>
      </c>
      <c r="D102" s="28" t="str">
        <f aca="false">IF($B102="","",IFERROR(INDEX(소진분석!$C$6:$C$305,MATCH("R"&amp;97,발주목록!$L$6:$L$305,0)),""))</f>
        <v/>
      </c>
      <c r="E102" s="22" t="str">
        <f aca="false">IF($B102="","",IFERROR(INDEX(소진분석!$D$6:$D$305,MATCH("R"&amp;97,발주목록!$L$6:$L$305,0)),""))</f>
        <v/>
      </c>
      <c r="F102" s="22" t="str">
        <f aca="false">IF($B102="","",IFERROR(INDEX(소진분석!$K$6:$K$305,MATCH("R"&amp;97,발주목록!$L$6:$L$305,0)),""))</f>
        <v/>
      </c>
      <c r="G102" s="17" t="str">
        <f aca="false">IF($B102="","",IFERROR(INDEX(품목마스터!$I$3:$I$302,MATCH($B102,품목마스터!$A$3:$A$302,0)),""))</f>
        <v/>
      </c>
      <c r="H102" s="25" t="str">
        <f aca="false">IF($B102="","",IFERROR(INDEX(소진분석!$J$6:$J$305,MATCH("R"&amp;97,발주목록!$L$6:$L$305,0)),""))</f>
        <v/>
      </c>
      <c r="J102" s="29" t="b">
        <f aca="false">IF(소진분석!$A102="",FALSE(),IF($B$3="발주만",소진분석!$L102="발주",OR(소진분석!$L102="발주",소진분석!$L102="임박")))</f>
        <v>0</v>
      </c>
      <c r="K102" s="7" t="str">
        <f aca="false">IF($J102=FALSE(),"",COUNTIF($J$6:$J102,TRUE()))</f>
        <v/>
      </c>
      <c r="L102" s="7" t="str">
        <f aca="false">IF($K102="","","R"&amp;$K102)</f>
        <v/>
      </c>
    </row>
    <row r="103" customFormat="false" ht="15" hidden="false" customHeight="true" outlineLevel="0" collapsed="false">
      <c r="A103" s="28" t="str">
        <f aca="false">IF($B103="","",98)</f>
        <v/>
      </c>
      <c r="B103" s="17" t="str">
        <f aca="false">IFERROR(INDEX(소진분석!$A$6:$A$305,MATCH("R"&amp;98,발주목록!$L$6:$L$305,0)),"")</f>
        <v/>
      </c>
      <c r="C103" s="17" t="str">
        <f aca="false">IF($B103="","",IFERROR(INDEX(소진분석!$B$6:$B$305,MATCH("R"&amp;98,발주목록!$L$6:$L$305,0)),""))</f>
        <v/>
      </c>
      <c r="D103" s="28" t="str">
        <f aca="false">IF($B103="","",IFERROR(INDEX(소진분석!$C$6:$C$305,MATCH("R"&amp;98,발주목록!$L$6:$L$305,0)),""))</f>
        <v/>
      </c>
      <c r="E103" s="22" t="str">
        <f aca="false">IF($B103="","",IFERROR(INDEX(소진분석!$D$6:$D$305,MATCH("R"&amp;98,발주목록!$L$6:$L$305,0)),""))</f>
        <v/>
      </c>
      <c r="F103" s="22" t="str">
        <f aca="false">IF($B103="","",IFERROR(INDEX(소진분석!$K$6:$K$305,MATCH("R"&amp;98,발주목록!$L$6:$L$305,0)),""))</f>
        <v/>
      </c>
      <c r="G103" s="17" t="str">
        <f aca="false">IF($B103="","",IFERROR(INDEX(품목마스터!$I$3:$I$302,MATCH($B103,품목마스터!$A$3:$A$302,0)),""))</f>
        <v/>
      </c>
      <c r="H103" s="25" t="str">
        <f aca="false">IF($B103="","",IFERROR(INDEX(소진분석!$J$6:$J$305,MATCH("R"&amp;98,발주목록!$L$6:$L$305,0)),""))</f>
        <v/>
      </c>
      <c r="J103" s="29" t="b">
        <f aca="false">IF(소진분석!$A103="",FALSE(),IF($B$3="발주만",소진분석!$L103="발주",OR(소진분석!$L103="발주",소진분석!$L103="임박")))</f>
        <v>0</v>
      </c>
      <c r="K103" s="7" t="str">
        <f aca="false">IF($J103=FALSE(),"",COUNTIF($J$6:$J103,TRUE()))</f>
        <v/>
      </c>
      <c r="L103" s="7" t="str">
        <f aca="false">IF($K103="","","R"&amp;$K103)</f>
        <v/>
      </c>
    </row>
    <row r="104" customFormat="false" ht="15" hidden="false" customHeight="true" outlineLevel="0" collapsed="false">
      <c r="A104" s="28" t="str">
        <f aca="false">IF($B104="","",99)</f>
        <v/>
      </c>
      <c r="B104" s="17" t="str">
        <f aca="false">IFERROR(INDEX(소진분석!$A$6:$A$305,MATCH("R"&amp;99,발주목록!$L$6:$L$305,0)),"")</f>
        <v/>
      </c>
      <c r="C104" s="17" t="str">
        <f aca="false">IF($B104="","",IFERROR(INDEX(소진분석!$B$6:$B$305,MATCH("R"&amp;99,발주목록!$L$6:$L$305,0)),""))</f>
        <v/>
      </c>
      <c r="D104" s="28" t="str">
        <f aca="false">IF($B104="","",IFERROR(INDEX(소진분석!$C$6:$C$305,MATCH("R"&amp;99,발주목록!$L$6:$L$305,0)),""))</f>
        <v/>
      </c>
      <c r="E104" s="22" t="str">
        <f aca="false">IF($B104="","",IFERROR(INDEX(소진분석!$D$6:$D$305,MATCH("R"&amp;99,발주목록!$L$6:$L$305,0)),""))</f>
        <v/>
      </c>
      <c r="F104" s="22" t="str">
        <f aca="false">IF($B104="","",IFERROR(INDEX(소진분석!$K$6:$K$305,MATCH("R"&amp;99,발주목록!$L$6:$L$305,0)),""))</f>
        <v/>
      </c>
      <c r="G104" s="17" t="str">
        <f aca="false">IF($B104="","",IFERROR(INDEX(품목마스터!$I$3:$I$302,MATCH($B104,품목마스터!$A$3:$A$302,0)),""))</f>
        <v/>
      </c>
      <c r="H104" s="25" t="str">
        <f aca="false">IF($B104="","",IFERROR(INDEX(소진분석!$J$6:$J$305,MATCH("R"&amp;99,발주목록!$L$6:$L$305,0)),""))</f>
        <v/>
      </c>
      <c r="J104" s="29" t="b">
        <f aca="false">IF(소진분석!$A104="",FALSE(),IF($B$3="발주만",소진분석!$L104="발주",OR(소진분석!$L104="발주",소진분석!$L104="임박")))</f>
        <v>0</v>
      </c>
      <c r="K104" s="7" t="str">
        <f aca="false">IF($J104=FALSE(),"",COUNTIF($J$6:$J104,TRUE()))</f>
        <v/>
      </c>
      <c r="L104" s="7" t="str">
        <f aca="false">IF($K104="","","R"&amp;$K104)</f>
        <v/>
      </c>
    </row>
    <row r="105" customFormat="false" ht="15" hidden="false" customHeight="true" outlineLevel="0" collapsed="false">
      <c r="A105" s="28" t="str">
        <f aca="false">IF($B105="","",100)</f>
        <v/>
      </c>
      <c r="B105" s="17" t="str">
        <f aca="false">IFERROR(INDEX(소진분석!$A$6:$A$305,MATCH("R"&amp;100,발주목록!$L$6:$L$305,0)),"")</f>
        <v/>
      </c>
      <c r="C105" s="17" t="str">
        <f aca="false">IF($B105="","",IFERROR(INDEX(소진분석!$B$6:$B$305,MATCH("R"&amp;100,발주목록!$L$6:$L$305,0)),""))</f>
        <v/>
      </c>
      <c r="D105" s="28" t="str">
        <f aca="false">IF($B105="","",IFERROR(INDEX(소진분석!$C$6:$C$305,MATCH("R"&amp;100,발주목록!$L$6:$L$305,0)),""))</f>
        <v/>
      </c>
      <c r="E105" s="22" t="str">
        <f aca="false">IF($B105="","",IFERROR(INDEX(소진분석!$D$6:$D$305,MATCH("R"&amp;100,발주목록!$L$6:$L$305,0)),""))</f>
        <v/>
      </c>
      <c r="F105" s="22" t="str">
        <f aca="false">IF($B105="","",IFERROR(INDEX(소진분석!$K$6:$K$305,MATCH("R"&amp;100,발주목록!$L$6:$L$305,0)),""))</f>
        <v/>
      </c>
      <c r="G105" s="17" t="str">
        <f aca="false">IF($B105="","",IFERROR(INDEX(품목마스터!$I$3:$I$302,MATCH($B105,품목마스터!$A$3:$A$302,0)),""))</f>
        <v/>
      </c>
      <c r="H105" s="25" t="str">
        <f aca="false">IF($B105="","",IFERROR(INDEX(소진분석!$J$6:$J$305,MATCH("R"&amp;100,발주목록!$L$6:$L$305,0)),""))</f>
        <v/>
      </c>
      <c r="J105" s="29" t="b">
        <f aca="false">IF(소진분석!$A105="",FALSE(),IF($B$3="발주만",소진분석!$L105="발주",OR(소진분석!$L105="발주",소진분석!$L105="임박")))</f>
        <v>0</v>
      </c>
      <c r="K105" s="7" t="str">
        <f aca="false">IF($J105=FALSE(),"",COUNTIF($J$6:$J105,TRUE()))</f>
        <v/>
      </c>
      <c r="L105" s="7" t="str">
        <f aca="false">IF($K105="","","R"&amp;$K105)</f>
        <v/>
      </c>
    </row>
    <row r="106" customFormat="false" ht="15" hidden="false" customHeight="true" outlineLevel="0" collapsed="false">
      <c r="J106" s="29" t="b">
        <f aca="false">IF(소진분석!$A106="",FALSE(),IF($B$3="발주만",소진분석!$L106="발주",OR(소진분석!$L106="발주",소진분석!$L106="임박")))</f>
        <v>0</v>
      </c>
      <c r="K106" s="7" t="str">
        <f aca="false">IF($J106=FALSE(),"",COUNTIF($J$6:$J106,TRUE()))</f>
        <v/>
      </c>
      <c r="L106" s="7" t="str">
        <f aca="false">IF($K106="","","R"&amp;$K106)</f>
        <v/>
      </c>
    </row>
    <row r="107" customFormat="false" ht="15" hidden="false" customHeight="true" outlineLevel="0" collapsed="false">
      <c r="J107" s="29" t="b">
        <f aca="false">IF(소진분석!$A107="",FALSE(),IF($B$3="발주만",소진분석!$L107="발주",OR(소진분석!$L107="발주",소진분석!$L107="임박")))</f>
        <v>0</v>
      </c>
      <c r="K107" s="7" t="str">
        <f aca="false">IF($J107=FALSE(),"",COUNTIF($J$6:$J107,TRUE()))</f>
        <v/>
      </c>
      <c r="L107" s="7" t="str">
        <f aca="false">IF($K107="","","R"&amp;$K107)</f>
        <v/>
      </c>
    </row>
    <row r="108" customFormat="false" ht="15" hidden="false" customHeight="true" outlineLevel="0" collapsed="false">
      <c r="A108" s="30" t="s">
        <v>82</v>
      </c>
      <c r="J108" s="29" t="b">
        <f aca="false">IF(소진분석!$A108="",FALSE(),IF($B$3="발주만",소진분석!$L108="발주",OR(소진분석!$L108="발주",소진분석!$L108="임박")))</f>
        <v>0</v>
      </c>
      <c r="K108" s="7" t="str">
        <f aca="false">IF($J108=FALSE(),"",COUNTIF($J$6:$J108,TRUE()))</f>
        <v/>
      </c>
      <c r="L108" s="7" t="str">
        <f aca="false">IF($K108="","","R"&amp;$K108)</f>
        <v/>
      </c>
    </row>
    <row r="109" customFormat="false" ht="15" hidden="false" customHeight="true" outlineLevel="0" collapsed="false">
      <c r="J109" s="29" t="b">
        <f aca="false">IF(소진분석!$A109="",FALSE(),IF($B$3="발주만",소진분석!$L109="발주",OR(소진분석!$L109="발주",소진분석!$L109="임박")))</f>
        <v>0</v>
      </c>
      <c r="K109" s="7" t="str">
        <f aca="false">IF($J109=FALSE(),"",COUNTIF($J$6:$J109,TRUE()))</f>
        <v/>
      </c>
      <c r="L109" s="7" t="str">
        <f aca="false">IF($K109="","","R"&amp;$K109)</f>
        <v/>
      </c>
    </row>
    <row r="110" customFormat="false" ht="15" hidden="false" customHeight="true" outlineLevel="0" collapsed="false">
      <c r="J110" s="29" t="b">
        <f aca="false">IF(소진분석!$A110="",FALSE(),IF($B$3="발주만",소진분석!$L110="발주",OR(소진분석!$L110="발주",소진분석!$L110="임박")))</f>
        <v>0</v>
      </c>
      <c r="K110" s="7" t="str">
        <f aca="false">IF($J110=FALSE(),"",COUNTIF($J$6:$J110,TRUE()))</f>
        <v/>
      </c>
      <c r="L110" s="7" t="str">
        <f aca="false">IF($K110="","","R"&amp;$K110)</f>
        <v/>
      </c>
    </row>
    <row r="111" customFormat="false" ht="15" hidden="false" customHeight="true" outlineLevel="0" collapsed="false">
      <c r="J111" s="29" t="b">
        <f aca="false">IF(소진분석!$A111="",FALSE(),IF($B$3="발주만",소진분석!$L111="발주",OR(소진분석!$L111="발주",소진분석!$L111="임박")))</f>
        <v>0</v>
      </c>
      <c r="K111" s="7" t="str">
        <f aca="false">IF($J111=FALSE(),"",COUNTIF($J$6:$J111,TRUE()))</f>
        <v/>
      </c>
      <c r="L111" s="7" t="str">
        <f aca="false">IF($K111="","","R"&amp;$K111)</f>
        <v/>
      </c>
    </row>
    <row r="112" customFormat="false" ht="15" hidden="false" customHeight="true" outlineLevel="0" collapsed="false">
      <c r="J112" s="29" t="b">
        <f aca="false">IF(소진분석!$A112="",FALSE(),IF($B$3="발주만",소진분석!$L112="발주",OR(소진분석!$L112="발주",소진분석!$L112="임박")))</f>
        <v>0</v>
      </c>
      <c r="K112" s="7" t="str">
        <f aca="false">IF($J112=FALSE(),"",COUNTIF($J$6:$J112,TRUE()))</f>
        <v/>
      </c>
      <c r="L112" s="7" t="str">
        <f aca="false">IF($K112="","","R"&amp;$K112)</f>
        <v/>
      </c>
    </row>
    <row r="113" customFormat="false" ht="15" hidden="false" customHeight="true" outlineLevel="0" collapsed="false">
      <c r="J113" s="29" t="b">
        <f aca="false">IF(소진분석!$A113="",FALSE(),IF($B$3="발주만",소진분석!$L113="발주",OR(소진분석!$L113="발주",소진분석!$L113="임박")))</f>
        <v>0</v>
      </c>
      <c r="K113" s="7" t="str">
        <f aca="false">IF($J113=FALSE(),"",COUNTIF($J$6:$J113,TRUE()))</f>
        <v/>
      </c>
      <c r="L113" s="7" t="str">
        <f aca="false">IF($K113="","","R"&amp;$K113)</f>
        <v/>
      </c>
    </row>
    <row r="114" customFormat="false" ht="15" hidden="false" customHeight="true" outlineLevel="0" collapsed="false">
      <c r="J114" s="29" t="b">
        <f aca="false">IF(소진분석!$A114="",FALSE(),IF($B$3="발주만",소진분석!$L114="발주",OR(소진분석!$L114="발주",소진분석!$L114="임박")))</f>
        <v>0</v>
      </c>
      <c r="K114" s="7" t="str">
        <f aca="false">IF($J114=FALSE(),"",COUNTIF($J$6:$J114,TRUE()))</f>
        <v/>
      </c>
      <c r="L114" s="7" t="str">
        <f aca="false">IF($K114="","","R"&amp;$K114)</f>
        <v/>
      </c>
    </row>
    <row r="115" customFormat="false" ht="15" hidden="false" customHeight="true" outlineLevel="0" collapsed="false">
      <c r="J115" s="29" t="b">
        <f aca="false">IF(소진분석!$A115="",FALSE(),IF($B$3="발주만",소진분석!$L115="발주",OR(소진분석!$L115="발주",소진분석!$L115="임박")))</f>
        <v>0</v>
      </c>
      <c r="K115" s="7" t="str">
        <f aca="false">IF($J115=FALSE(),"",COUNTIF($J$6:$J115,TRUE()))</f>
        <v/>
      </c>
      <c r="L115" s="7" t="str">
        <f aca="false">IF($K115="","","R"&amp;$K115)</f>
        <v/>
      </c>
    </row>
    <row r="116" customFormat="false" ht="15" hidden="false" customHeight="true" outlineLevel="0" collapsed="false">
      <c r="J116" s="29" t="b">
        <f aca="false">IF(소진분석!$A116="",FALSE(),IF($B$3="발주만",소진분석!$L116="발주",OR(소진분석!$L116="발주",소진분석!$L116="임박")))</f>
        <v>0</v>
      </c>
      <c r="K116" s="7" t="str">
        <f aca="false">IF($J116=FALSE(),"",COUNTIF($J$6:$J116,TRUE()))</f>
        <v/>
      </c>
      <c r="L116" s="7" t="str">
        <f aca="false">IF($K116="","","R"&amp;$K116)</f>
        <v/>
      </c>
    </row>
    <row r="117" customFormat="false" ht="15" hidden="false" customHeight="true" outlineLevel="0" collapsed="false">
      <c r="J117" s="29" t="b">
        <f aca="false">IF(소진분석!$A117="",FALSE(),IF($B$3="발주만",소진분석!$L117="발주",OR(소진분석!$L117="발주",소진분석!$L117="임박")))</f>
        <v>0</v>
      </c>
      <c r="K117" s="7" t="str">
        <f aca="false">IF($J117=FALSE(),"",COUNTIF($J$6:$J117,TRUE()))</f>
        <v/>
      </c>
      <c r="L117" s="7" t="str">
        <f aca="false">IF($K117="","","R"&amp;$K117)</f>
        <v/>
      </c>
    </row>
    <row r="118" customFormat="false" ht="15" hidden="false" customHeight="true" outlineLevel="0" collapsed="false">
      <c r="J118" s="29" t="b">
        <f aca="false">IF(소진분석!$A118="",FALSE(),IF($B$3="발주만",소진분석!$L118="발주",OR(소진분석!$L118="발주",소진분석!$L118="임박")))</f>
        <v>0</v>
      </c>
      <c r="K118" s="7" t="str">
        <f aca="false">IF($J118=FALSE(),"",COUNTIF($J$6:$J118,TRUE()))</f>
        <v/>
      </c>
      <c r="L118" s="7" t="str">
        <f aca="false">IF($K118="","","R"&amp;$K118)</f>
        <v/>
      </c>
    </row>
    <row r="119" customFormat="false" ht="15" hidden="false" customHeight="true" outlineLevel="0" collapsed="false">
      <c r="J119" s="29" t="b">
        <f aca="false">IF(소진분석!$A119="",FALSE(),IF($B$3="발주만",소진분석!$L119="발주",OR(소진분석!$L119="발주",소진분석!$L119="임박")))</f>
        <v>0</v>
      </c>
      <c r="K119" s="7" t="str">
        <f aca="false">IF($J119=FALSE(),"",COUNTIF($J$6:$J119,TRUE()))</f>
        <v/>
      </c>
      <c r="L119" s="7" t="str">
        <f aca="false">IF($K119="","","R"&amp;$K119)</f>
        <v/>
      </c>
    </row>
    <row r="120" customFormat="false" ht="15" hidden="false" customHeight="true" outlineLevel="0" collapsed="false">
      <c r="J120" s="29" t="b">
        <f aca="false">IF(소진분석!$A120="",FALSE(),IF($B$3="발주만",소진분석!$L120="발주",OR(소진분석!$L120="발주",소진분석!$L120="임박")))</f>
        <v>0</v>
      </c>
      <c r="K120" s="7" t="str">
        <f aca="false">IF($J120=FALSE(),"",COUNTIF($J$6:$J120,TRUE()))</f>
        <v/>
      </c>
      <c r="L120" s="7" t="str">
        <f aca="false">IF($K120="","","R"&amp;$K120)</f>
        <v/>
      </c>
    </row>
    <row r="121" customFormat="false" ht="15" hidden="false" customHeight="true" outlineLevel="0" collapsed="false">
      <c r="J121" s="29" t="b">
        <f aca="false">IF(소진분석!$A121="",FALSE(),IF($B$3="발주만",소진분석!$L121="발주",OR(소진분석!$L121="발주",소진분석!$L121="임박")))</f>
        <v>0</v>
      </c>
      <c r="K121" s="7" t="str">
        <f aca="false">IF($J121=FALSE(),"",COUNTIF($J$6:$J121,TRUE()))</f>
        <v/>
      </c>
      <c r="L121" s="7" t="str">
        <f aca="false">IF($K121="","","R"&amp;$K121)</f>
        <v/>
      </c>
    </row>
    <row r="122" customFormat="false" ht="15" hidden="false" customHeight="true" outlineLevel="0" collapsed="false">
      <c r="J122" s="29" t="b">
        <f aca="false">IF(소진분석!$A122="",FALSE(),IF($B$3="발주만",소진분석!$L122="발주",OR(소진분석!$L122="발주",소진분석!$L122="임박")))</f>
        <v>0</v>
      </c>
      <c r="K122" s="7" t="str">
        <f aca="false">IF($J122=FALSE(),"",COUNTIF($J$6:$J122,TRUE()))</f>
        <v/>
      </c>
      <c r="L122" s="7" t="str">
        <f aca="false">IF($K122="","","R"&amp;$K122)</f>
        <v/>
      </c>
    </row>
    <row r="123" customFormat="false" ht="15" hidden="false" customHeight="true" outlineLevel="0" collapsed="false">
      <c r="J123" s="29" t="b">
        <f aca="false">IF(소진분석!$A123="",FALSE(),IF($B$3="발주만",소진분석!$L123="발주",OR(소진분석!$L123="발주",소진분석!$L123="임박")))</f>
        <v>0</v>
      </c>
      <c r="K123" s="7" t="str">
        <f aca="false">IF($J123=FALSE(),"",COUNTIF($J$6:$J123,TRUE()))</f>
        <v/>
      </c>
      <c r="L123" s="7" t="str">
        <f aca="false">IF($K123="","","R"&amp;$K123)</f>
        <v/>
      </c>
    </row>
    <row r="124" customFormat="false" ht="15" hidden="false" customHeight="true" outlineLevel="0" collapsed="false">
      <c r="J124" s="29" t="b">
        <f aca="false">IF(소진분석!$A124="",FALSE(),IF($B$3="발주만",소진분석!$L124="발주",OR(소진분석!$L124="발주",소진분석!$L124="임박")))</f>
        <v>0</v>
      </c>
      <c r="K124" s="7" t="str">
        <f aca="false">IF($J124=FALSE(),"",COUNTIF($J$6:$J124,TRUE()))</f>
        <v/>
      </c>
      <c r="L124" s="7" t="str">
        <f aca="false">IF($K124="","","R"&amp;$K124)</f>
        <v/>
      </c>
    </row>
    <row r="125" customFormat="false" ht="15" hidden="false" customHeight="true" outlineLevel="0" collapsed="false">
      <c r="J125" s="29" t="b">
        <f aca="false">IF(소진분석!$A125="",FALSE(),IF($B$3="발주만",소진분석!$L125="발주",OR(소진분석!$L125="발주",소진분석!$L125="임박")))</f>
        <v>0</v>
      </c>
      <c r="K125" s="7" t="str">
        <f aca="false">IF($J125=FALSE(),"",COUNTIF($J$6:$J125,TRUE()))</f>
        <v/>
      </c>
      <c r="L125" s="7" t="str">
        <f aca="false">IF($K125="","","R"&amp;$K125)</f>
        <v/>
      </c>
    </row>
    <row r="126" customFormat="false" ht="15" hidden="false" customHeight="true" outlineLevel="0" collapsed="false">
      <c r="J126" s="29" t="b">
        <f aca="false">IF(소진분석!$A126="",FALSE(),IF($B$3="발주만",소진분석!$L126="발주",OR(소진분석!$L126="발주",소진분석!$L126="임박")))</f>
        <v>0</v>
      </c>
      <c r="K126" s="7" t="str">
        <f aca="false">IF($J126=FALSE(),"",COUNTIF($J$6:$J126,TRUE()))</f>
        <v/>
      </c>
      <c r="L126" s="7" t="str">
        <f aca="false">IF($K126="","","R"&amp;$K126)</f>
        <v/>
      </c>
    </row>
    <row r="127" customFormat="false" ht="15" hidden="false" customHeight="true" outlineLevel="0" collapsed="false">
      <c r="J127" s="29" t="b">
        <f aca="false">IF(소진분석!$A127="",FALSE(),IF($B$3="발주만",소진분석!$L127="발주",OR(소진분석!$L127="발주",소진분석!$L127="임박")))</f>
        <v>0</v>
      </c>
      <c r="K127" s="7" t="str">
        <f aca="false">IF($J127=FALSE(),"",COUNTIF($J$6:$J127,TRUE()))</f>
        <v/>
      </c>
      <c r="L127" s="7" t="str">
        <f aca="false">IF($K127="","","R"&amp;$K127)</f>
        <v/>
      </c>
    </row>
    <row r="128" customFormat="false" ht="15" hidden="false" customHeight="true" outlineLevel="0" collapsed="false">
      <c r="J128" s="29" t="b">
        <f aca="false">IF(소진분석!$A128="",FALSE(),IF($B$3="발주만",소진분석!$L128="발주",OR(소진분석!$L128="발주",소진분석!$L128="임박")))</f>
        <v>0</v>
      </c>
      <c r="K128" s="7" t="str">
        <f aca="false">IF($J128=FALSE(),"",COUNTIF($J$6:$J128,TRUE()))</f>
        <v/>
      </c>
      <c r="L128" s="7" t="str">
        <f aca="false">IF($K128="","","R"&amp;$K128)</f>
        <v/>
      </c>
    </row>
    <row r="129" customFormat="false" ht="15" hidden="false" customHeight="true" outlineLevel="0" collapsed="false">
      <c r="J129" s="29" t="b">
        <f aca="false">IF(소진분석!$A129="",FALSE(),IF($B$3="발주만",소진분석!$L129="발주",OR(소진분석!$L129="발주",소진분석!$L129="임박")))</f>
        <v>0</v>
      </c>
      <c r="K129" s="7" t="str">
        <f aca="false">IF($J129=FALSE(),"",COUNTIF($J$6:$J129,TRUE()))</f>
        <v/>
      </c>
      <c r="L129" s="7" t="str">
        <f aca="false">IF($K129="","","R"&amp;$K129)</f>
        <v/>
      </c>
    </row>
    <row r="130" customFormat="false" ht="15" hidden="false" customHeight="true" outlineLevel="0" collapsed="false">
      <c r="J130" s="29" t="b">
        <f aca="false">IF(소진분석!$A130="",FALSE(),IF($B$3="발주만",소진분석!$L130="발주",OR(소진분석!$L130="발주",소진분석!$L130="임박")))</f>
        <v>0</v>
      </c>
      <c r="K130" s="7" t="str">
        <f aca="false">IF($J130=FALSE(),"",COUNTIF($J$6:$J130,TRUE()))</f>
        <v/>
      </c>
      <c r="L130" s="7" t="str">
        <f aca="false">IF($K130="","","R"&amp;$K130)</f>
        <v/>
      </c>
    </row>
    <row r="131" customFormat="false" ht="15" hidden="false" customHeight="true" outlineLevel="0" collapsed="false">
      <c r="J131" s="29" t="b">
        <f aca="false">IF(소진분석!$A131="",FALSE(),IF($B$3="발주만",소진분석!$L131="발주",OR(소진분석!$L131="발주",소진분석!$L131="임박")))</f>
        <v>0</v>
      </c>
      <c r="K131" s="7" t="str">
        <f aca="false">IF($J131=FALSE(),"",COUNTIF($J$6:$J131,TRUE()))</f>
        <v/>
      </c>
      <c r="L131" s="7" t="str">
        <f aca="false">IF($K131="","","R"&amp;$K131)</f>
        <v/>
      </c>
    </row>
    <row r="132" customFormat="false" ht="15" hidden="false" customHeight="true" outlineLevel="0" collapsed="false">
      <c r="J132" s="29" t="b">
        <f aca="false">IF(소진분석!$A132="",FALSE(),IF($B$3="발주만",소진분석!$L132="발주",OR(소진분석!$L132="발주",소진분석!$L132="임박")))</f>
        <v>0</v>
      </c>
      <c r="K132" s="7" t="str">
        <f aca="false">IF($J132=FALSE(),"",COUNTIF($J$6:$J132,TRUE()))</f>
        <v/>
      </c>
      <c r="L132" s="7" t="str">
        <f aca="false">IF($K132="","","R"&amp;$K132)</f>
        <v/>
      </c>
    </row>
    <row r="133" customFormat="false" ht="15" hidden="false" customHeight="true" outlineLevel="0" collapsed="false">
      <c r="J133" s="29" t="b">
        <f aca="false">IF(소진분석!$A133="",FALSE(),IF($B$3="발주만",소진분석!$L133="발주",OR(소진분석!$L133="발주",소진분석!$L133="임박")))</f>
        <v>0</v>
      </c>
      <c r="K133" s="7" t="str">
        <f aca="false">IF($J133=FALSE(),"",COUNTIF($J$6:$J133,TRUE()))</f>
        <v/>
      </c>
      <c r="L133" s="7" t="str">
        <f aca="false">IF($K133="","","R"&amp;$K133)</f>
        <v/>
      </c>
    </row>
    <row r="134" customFormat="false" ht="15" hidden="false" customHeight="true" outlineLevel="0" collapsed="false">
      <c r="J134" s="29" t="b">
        <f aca="false">IF(소진분석!$A134="",FALSE(),IF($B$3="발주만",소진분석!$L134="발주",OR(소진분석!$L134="발주",소진분석!$L134="임박")))</f>
        <v>0</v>
      </c>
      <c r="K134" s="7" t="str">
        <f aca="false">IF($J134=FALSE(),"",COUNTIF($J$6:$J134,TRUE()))</f>
        <v/>
      </c>
      <c r="L134" s="7" t="str">
        <f aca="false">IF($K134="","","R"&amp;$K134)</f>
        <v/>
      </c>
    </row>
    <row r="135" customFormat="false" ht="15" hidden="false" customHeight="true" outlineLevel="0" collapsed="false">
      <c r="J135" s="29" t="b">
        <f aca="false">IF(소진분석!$A135="",FALSE(),IF($B$3="발주만",소진분석!$L135="발주",OR(소진분석!$L135="발주",소진분석!$L135="임박")))</f>
        <v>0</v>
      </c>
      <c r="K135" s="7" t="str">
        <f aca="false">IF($J135=FALSE(),"",COUNTIF($J$6:$J135,TRUE()))</f>
        <v/>
      </c>
      <c r="L135" s="7" t="str">
        <f aca="false">IF($K135="","","R"&amp;$K135)</f>
        <v/>
      </c>
    </row>
    <row r="136" customFormat="false" ht="15" hidden="false" customHeight="true" outlineLevel="0" collapsed="false">
      <c r="J136" s="29" t="b">
        <f aca="false">IF(소진분석!$A136="",FALSE(),IF($B$3="발주만",소진분석!$L136="발주",OR(소진분석!$L136="발주",소진분석!$L136="임박")))</f>
        <v>0</v>
      </c>
      <c r="K136" s="7" t="str">
        <f aca="false">IF($J136=FALSE(),"",COUNTIF($J$6:$J136,TRUE()))</f>
        <v/>
      </c>
      <c r="L136" s="7" t="str">
        <f aca="false">IF($K136="","","R"&amp;$K136)</f>
        <v/>
      </c>
    </row>
    <row r="137" customFormat="false" ht="15" hidden="false" customHeight="true" outlineLevel="0" collapsed="false">
      <c r="J137" s="29" t="b">
        <f aca="false">IF(소진분석!$A137="",FALSE(),IF($B$3="발주만",소진분석!$L137="발주",OR(소진분석!$L137="발주",소진분석!$L137="임박")))</f>
        <v>0</v>
      </c>
      <c r="K137" s="7" t="str">
        <f aca="false">IF($J137=FALSE(),"",COUNTIF($J$6:$J137,TRUE()))</f>
        <v/>
      </c>
      <c r="L137" s="7" t="str">
        <f aca="false">IF($K137="","","R"&amp;$K137)</f>
        <v/>
      </c>
    </row>
    <row r="138" customFormat="false" ht="15" hidden="false" customHeight="true" outlineLevel="0" collapsed="false">
      <c r="J138" s="29" t="b">
        <f aca="false">IF(소진분석!$A138="",FALSE(),IF($B$3="발주만",소진분석!$L138="발주",OR(소진분석!$L138="발주",소진분석!$L138="임박")))</f>
        <v>0</v>
      </c>
      <c r="K138" s="7" t="str">
        <f aca="false">IF($J138=FALSE(),"",COUNTIF($J$6:$J138,TRUE()))</f>
        <v/>
      </c>
      <c r="L138" s="7" t="str">
        <f aca="false">IF($K138="","","R"&amp;$K138)</f>
        <v/>
      </c>
    </row>
    <row r="139" customFormat="false" ht="15" hidden="false" customHeight="true" outlineLevel="0" collapsed="false">
      <c r="J139" s="29" t="b">
        <f aca="false">IF(소진분석!$A139="",FALSE(),IF($B$3="발주만",소진분석!$L139="발주",OR(소진분석!$L139="발주",소진분석!$L139="임박")))</f>
        <v>0</v>
      </c>
      <c r="K139" s="7" t="str">
        <f aca="false">IF($J139=FALSE(),"",COUNTIF($J$6:$J139,TRUE()))</f>
        <v/>
      </c>
      <c r="L139" s="7" t="str">
        <f aca="false">IF($K139="","","R"&amp;$K139)</f>
        <v/>
      </c>
    </row>
    <row r="140" customFormat="false" ht="15" hidden="false" customHeight="true" outlineLevel="0" collapsed="false">
      <c r="J140" s="29" t="b">
        <f aca="false">IF(소진분석!$A140="",FALSE(),IF($B$3="발주만",소진분석!$L140="발주",OR(소진분석!$L140="발주",소진분석!$L140="임박")))</f>
        <v>0</v>
      </c>
      <c r="K140" s="7" t="str">
        <f aca="false">IF($J140=FALSE(),"",COUNTIF($J$6:$J140,TRUE()))</f>
        <v/>
      </c>
      <c r="L140" s="7" t="str">
        <f aca="false">IF($K140="","","R"&amp;$K140)</f>
        <v/>
      </c>
    </row>
    <row r="141" customFormat="false" ht="15" hidden="false" customHeight="true" outlineLevel="0" collapsed="false">
      <c r="J141" s="29" t="b">
        <f aca="false">IF(소진분석!$A141="",FALSE(),IF($B$3="발주만",소진분석!$L141="발주",OR(소진분석!$L141="발주",소진분석!$L141="임박")))</f>
        <v>0</v>
      </c>
      <c r="K141" s="7" t="str">
        <f aca="false">IF($J141=FALSE(),"",COUNTIF($J$6:$J141,TRUE()))</f>
        <v/>
      </c>
      <c r="L141" s="7" t="str">
        <f aca="false">IF($K141="","","R"&amp;$K141)</f>
        <v/>
      </c>
    </row>
    <row r="142" customFormat="false" ht="15" hidden="false" customHeight="true" outlineLevel="0" collapsed="false">
      <c r="J142" s="29" t="b">
        <f aca="false">IF(소진분석!$A142="",FALSE(),IF($B$3="발주만",소진분석!$L142="발주",OR(소진분석!$L142="발주",소진분석!$L142="임박")))</f>
        <v>0</v>
      </c>
      <c r="K142" s="7" t="str">
        <f aca="false">IF($J142=FALSE(),"",COUNTIF($J$6:$J142,TRUE()))</f>
        <v/>
      </c>
      <c r="L142" s="7" t="str">
        <f aca="false">IF($K142="","","R"&amp;$K142)</f>
        <v/>
      </c>
    </row>
    <row r="143" customFormat="false" ht="15" hidden="false" customHeight="true" outlineLevel="0" collapsed="false">
      <c r="J143" s="29" t="b">
        <f aca="false">IF(소진분석!$A143="",FALSE(),IF($B$3="발주만",소진분석!$L143="발주",OR(소진분석!$L143="발주",소진분석!$L143="임박")))</f>
        <v>0</v>
      </c>
      <c r="K143" s="7" t="str">
        <f aca="false">IF($J143=FALSE(),"",COUNTIF($J$6:$J143,TRUE()))</f>
        <v/>
      </c>
      <c r="L143" s="7" t="str">
        <f aca="false">IF($K143="","","R"&amp;$K143)</f>
        <v/>
      </c>
    </row>
    <row r="144" customFormat="false" ht="15" hidden="false" customHeight="true" outlineLevel="0" collapsed="false">
      <c r="J144" s="29" t="b">
        <f aca="false">IF(소진분석!$A144="",FALSE(),IF($B$3="발주만",소진분석!$L144="발주",OR(소진분석!$L144="발주",소진분석!$L144="임박")))</f>
        <v>0</v>
      </c>
      <c r="K144" s="7" t="str">
        <f aca="false">IF($J144=FALSE(),"",COUNTIF($J$6:$J144,TRUE()))</f>
        <v/>
      </c>
      <c r="L144" s="7" t="str">
        <f aca="false">IF($K144="","","R"&amp;$K144)</f>
        <v/>
      </c>
    </row>
    <row r="145" customFormat="false" ht="15" hidden="false" customHeight="true" outlineLevel="0" collapsed="false">
      <c r="J145" s="29" t="b">
        <f aca="false">IF(소진분석!$A145="",FALSE(),IF($B$3="발주만",소진분석!$L145="발주",OR(소진분석!$L145="발주",소진분석!$L145="임박")))</f>
        <v>0</v>
      </c>
      <c r="K145" s="7" t="str">
        <f aca="false">IF($J145=FALSE(),"",COUNTIF($J$6:$J145,TRUE()))</f>
        <v/>
      </c>
      <c r="L145" s="7" t="str">
        <f aca="false">IF($K145="","","R"&amp;$K145)</f>
        <v/>
      </c>
    </row>
    <row r="146" customFormat="false" ht="15" hidden="false" customHeight="true" outlineLevel="0" collapsed="false">
      <c r="J146" s="29" t="b">
        <f aca="false">IF(소진분석!$A146="",FALSE(),IF($B$3="발주만",소진분석!$L146="발주",OR(소진분석!$L146="발주",소진분석!$L146="임박")))</f>
        <v>0</v>
      </c>
      <c r="K146" s="7" t="str">
        <f aca="false">IF($J146=FALSE(),"",COUNTIF($J$6:$J146,TRUE()))</f>
        <v/>
      </c>
      <c r="L146" s="7" t="str">
        <f aca="false">IF($K146="","","R"&amp;$K146)</f>
        <v/>
      </c>
    </row>
    <row r="147" customFormat="false" ht="15" hidden="false" customHeight="true" outlineLevel="0" collapsed="false">
      <c r="J147" s="29" t="b">
        <f aca="false">IF(소진분석!$A147="",FALSE(),IF($B$3="발주만",소진분석!$L147="발주",OR(소진분석!$L147="발주",소진분석!$L147="임박")))</f>
        <v>0</v>
      </c>
      <c r="K147" s="7" t="str">
        <f aca="false">IF($J147=FALSE(),"",COUNTIF($J$6:$J147,TRUE()))</f>
        <v/>
      </c>
      <c r="L147" s="7" t="str">
        <f aca="false">IF($K147="","","R"&amp;$K147)</f>
        <v/>
      </c>
    </row>
    <row r="148" customFormat="false" ht="15" hidden="false" customHeight="true" outlineLevel="0" collapsed="false">
      <c r="J148" s="29" t="b">
        <f aca="false">IF(소진분석!$A148="",FALSE(),IF($B$3="발주만",소진분석!$L148="발주",OR(소진분석!$L148="발주",소진분석!$L148="임박")))</f>
        <v>0</v>
      </c>
      <c r="K148" s="7" t="str">
        <f aca="false">IF($J148=FALSE(),"",COUNTIF($J$6:$J148,TRUE()))</f>
        <v/>
      </c>
      <c r="L148" s="7" t="str">
        <f aca="false">IF($K148="","","R"&amp;$K148)</f>
        <v/>
      </c>
    </row>
    <row r="149" customFormat="false" ht="15" hidden="false" customHeight="true" outlineLevel="0" collapsed="false">
      <c r="J149" s="29" t="b">
        <f aca="false">IF(소진분석!$A149="",FALSE(),IF($B$3="발주만",소진분석!$L149="발주",OR(소진분석!$L149="발주",소진분석!$L149="임박")))</f>
        <v>0</v>
      </c>
      <c r="K149" s="7" t="str">
        <f aca="false">IF($J149=FALSE(),"",COUNTIF($J$6:$J149,TRUE()))</f>
        <v/>
      </c>
      <c r="L149" s="7" t="str">
        <f aca="false">IF($K149="","","R"&amp;$K149)</f>
        <v/>
      </c>
    </row>
    <row r="150" customFormat="false" ht="15" hidden="false" customHeight="true" outlineLevel="0" collapsed="false">
      <c r="J150" s="29" t="b">
        <f aca="false">IF(소진분석!$A150="",FALSE(),IF($B$3="발주만",소진분석!$L150="발주",OR(소진분석!$L150="발주",소진분석!$L150="임박")))</f>
        <v>0</v>
      </c>
      <c r="K150" s="7" t="str">
        <f aca="false">IF($J150=FALSE(),"",COUNTIF($J$6:$J150,TRUE()))</f>
        <v/>
      </c>
      <c r="L150" s="7" t="str">
        <f aca="false">IF($K150="","","R"&amp;$K150)</f>
        <v/>
      </c>
    </row>
    <row r="151" customFormat="false" ht="15" hidden="false" customHeight="true" outlineLevel="0" collapsed="false">
      <c r="J151" s="29" t="b">
        <f aca="false">IF(소진분석!$A151="",FALSE(),IF($B$3="발주만",소진분석!$L151="발주",OR(소진분석!$L151="발주",소진분석!$L151="임박")))</f>
        <v>0</v>
      </c>
      <c r="K151" s="7" t="str">
        <f aca="false">IF($J151=FALSE(),"",COUNTIF($J$6:$J151,TRUE()))</f>
        <v/>
      </c>
      <c r="L151" s="7" t="str">
        <f aca="false">IF($K151="","","R"&amp;$K151)</f>
        <v/>
      </c>
    </row>
    <row r="152" customFormat="false" ht="15" hidden="false" customHeight="true" outlineLevel="0" collapsed="false">
      <c r="J152" s="29" t="b">
        <f aca="false">IF(소진분석!$A152="",FALSE(),IF($B$3="발주만",소진분석!$L152="발주",OR(소진분석!$L152="발주",소진분석!$L152="임박")))</f>
        <v>0</v>
      </c>
      <c r="K152" s="7" t="str">
        <f aca="false">IF($J152=FALSE(),"",COUNTIF($J$6:$J152,TRUE()))</f>
        <v/>
      </c>
      <c r="L152" s="7" t="str">
        <f aca="false">IF($K152="","","R"&amp;$K152)</f>
        <v/>
      </c>
    </row>
    <row r="153" customFormat="false" ht="15" hidden="false" customHeight="true" outlineLevel="0" collapsed="false">
      <c r="J153" s="29" t="b">
        <f aca="false">IF(소진분석!$A153="",FALSE(),IF($B$3="발주만",소진분석!$L153="발주",OR(소진분석!$L153="발주",소진분석!$L153="임박")))</f>
        <v>0</v>
      </c>
      <c r="K153" s="7" t="str">
        <f aca="false">IF($J153=FALSE(),"",COUNTIF($J$6:$J153,TRUE()))</f>
        <v/>
      </c>
      <c r="L153" s="7" t="str">
        <f aca="false">IF($K153="","","R"&amp;$K153)</f>
        <v/>
      </c>
    </row>
    <row r="154" customFormat="false" ht="15" hidden="false" customHeight="true" outlineLevel="0" collapsed="false">
      <c r="J154" s="29" t="b">
        <f aca="false">IF(소진분석!$A154="",FALSE(),IF($B$3="발주만",소진분석!$L154="발주",OR(소진분석!$L154="발주",소진분석!$L154="임박")))</f>
        <v>0</v>
      </c>
      <c r="K154" s="7" t="str">
        <f aca="false">IF($J154=FALSE(),"",COUNTIF($J$6:$J154,TRUE()))</f>
        <v/>
      </c>
      <c r="L154" s="7" t="str">
        <f aca="false">IF($K154="","","R"&amp;$K154)</f>
        <v/>
      </c>
    </row>
    <row r="155" customFormat="false" ht="15" hidden="false" customHeight="true" outlineLevel="0" collapsed="false">
      <c r="J155" s="29" t="b">
        <f aca="false">IF(소진분석!$A155="",FALSE(),IF($B$3="발주만",소진분석!$L155="발주",OR(소진분석!$L155="발주",소진분석!$L155="임박")))</f>
        <v>0</v>
      </c>
      <c r="K155" s="7" t="str">
        <f aca="false">IF($J155=FALSE(),"",COUNTIF($J$6:$J155,TRUE()))</f>
        <v/>
      </c>
      <c r="L155" s="7" t="str">
        <f aca="false">IF($K155="","","R"&amp;$K155)</f>
        <v/>
      </c>
    </row>
    <row r="156" customFormat="false" ht="15" hidden="false" customHeight="true" outlineLevel="0" collapsed="false">
      <c r="J156" s="29" t="b">
        <f aca="false">IF(소진분석!$A156="",FALSE(),IF($B$3="발주만",소진분석!$L156="발주",OR(소진분석!$L156="발주",소진분석!$L156="임박")))</f>
        <v>0</v>
      </c>
      <c r="K156" s="7" t="str">
        <f aca="false">IF($J156=FALSE(),"",COUNTIF($J$6:$J156,TRUE()))</f>
        <v/>
      </c>
      <c r="L156" s="7" t="str">
        <f aca="false">IF($K156="","","R"&amp;$K156)</f>
        <v/>
      </c>
    </row>
    <row r="157" customFormat="false" ht="15" hidden="false" customHeight="true" outlineLevel="0" collapsed="false">
      <c r="J157" s="29" t="b">
        <f aca="false">IF(소진분석!$A157="",FALSE(),IF($B$3="발주만",소진분석!$L157="발주",OR(소진분석!$L157="발주",소진분석!$L157="임박")))</f>
        <v>0</v>
      </c>
      <c r="K157" s="7" t="str">
        <f aca="false">IF($J157=FALSE(),"",COUNTIF($J$6:$J157,TRUE()))</f>
        <v/>
      </c>
      <c r="L157" s="7" t="str">
        <f aca="false">IF($K157="","","R"&amp;$K157)</f>
        <v/>
      </c>
    </row>
    <row r="158" customFormat="false" ht="15" hidden="false" customHeight="true" outlineLevel="0" collapsed="false">
      <c r="J158" s="29" t="b">
        <f aca="false">IF(소진분석!$A158="",FALSE(),IF($B$3="발주만",소진분석!$L158="발주",OR(소진분석!$L158="발주",소진분석!$L158="임박")))</f>
        <v>0</v>
      </c>
      <c r="K158" s="7" t="str">
        <f aca="false">IF($J158=FALSE(),"",COUNTIF($J$6:$J158,TRUE()))</f>
        <v/>
      </c>
      <c r="L158" s="7" t="str">
        <f aca="false">IF($K158="","","R"&amp;$K158)</f>
        <v/>
      </c>
    </row>
    <row r="159" customFormat="false" ht="15" hidden="false" customHeight="true" outlineLevel="0" collapsed="false">
      <c r="J159" s="29" t="b">
        <f aca="false">IF(소진분석!$A159="",FALSE(),IF($B$3="발주만",소진분석!$L159="발주",OR(소진분석!$L159="발주",소진분석!$L159="임박")))</f>
        <v>0</v>
      </c>
      <c r="K159" s="7" t="str">
        <f aca="false">IF($J159=FALSE(),"",COUNTIF($J$6:$J159,TRUE()))</f>
        <v/>
      </c>
      <c r="L159" s="7" t="str">
        <f aca="false">IF($K159="","","R"&amp;$K159)</f>
        <v/>
      </c>
    </row>
    <row r="160" customFormat="false" ht="15" hidden="false" customHeight="true" outlineLevel="0" collapsed="false">
      <c r="J160" s="29" t="b">
        <f aca="false">IF(소진분석!$A160="",FALSE(),IF($B$3="발주만",소진분석!$L160="발주",OR(소진분석!$L160="발주",소진분석!$L160="임박")))</f>
        <v>0</v>
      </c>
      <c r="K160" s="7" t="str">
        <f aca="false">IF($J160=FALSE(),"",COUNTIF($J$6:$J160,TRUE()))</f>
        <v/>
      </c>
      <c r="L160" s="7" t="str">
        <f aca="false">IF($K160="","","R"&amp;$K160)</f>
        <v/>
      </c>
    </row>
    <row r="161" customFormat="false" ht="15" hidden="false" customHeight="true" outlineLevel="0" collapsed="false">
      <c r="J161" s="29" t="b">
        <f aca="false">IF(소진분석!$A161="",FALSE(),IF($B$3="발주만",소진분석!$L161="발주",OR(소진분석!$L161="발주",소진분석!$L161="임박")))</f>
        <v>0</v>
      </c>
      <c r="K161" s="7" t="str">
        <f aca="false">IF($J161=FALSE(),"",COUNTIF($J$6:$J161,TRUE()))</f>
        <v/>
      </c>
      <c r="L161" s="7" t="str">
        <f aca="false">IF($K161="","","R"&amp;$K161)</f>
        <v/>
      </c>
    </row>
    <row r="162" customFormat="false" ht="15" hidden="false" customHeight="true" outlineLevel="0" collapsed="false">
      <c r="J162" s="29" t="b">
        <f aca="false">IF(소진분석!$A162="",FALSE(),IF($B$3="발주만",소진분석!$L162="발주",OR(소진분석!$L162="발주",소진분석!$L162="임박")))</f>
        <v>0</v>
      </c>
      <c r="K162" s="7" t="str">
        <f aca="false">IF($J162=FALSE(),"",COUNTIF($J$6:$J162,TRUE()))</f>
        <v/>
      </c>
      <c r="L162" s="7" t="str">
        <f aca="false">IF($K162="","","R"&amp;$K162)</f>
        <v/>
      </c>
    </row>
    <row r="163" customFormat="false" ht="15" hidden="false" customHeight="true" outlineLevel="0" collapsed="false">
      <c r="J163" s="29" t="b">
        <f aca="false">IF(소진분석!$A163="",FALSE(),IF($B$3="발주만",소진분석!$L163="발주",OR(소진분석!$L163="발주",소진분석!$L163="임박")))</f>
        <v>0</v>
      </c>
      <c r="K163" s="7" t="str">
        <f aca="false">IF($J163=FALSE(),"",COUNTIF($J$6:$J163,TRUE()))</f>
        <v/>
      </c>
      <c r="L163" s="7" t="str">
        <f aca="false">IF($K163="","","R"&amp;$K163)</f>
        <v/>
      </c>
    </row>
    <row r="164" customFormat="false" ht="15" hidden="false" customHeight="true" outlineLevel="0" collapsed="false">
      <c r="J164" s="29" t="b">
        <f aca="false">IF(소진분석!$A164="",FALSE(),IF($B$3="발주만",소진분석!$L164="발주",OR(소진분석!$L164="발주",소진분석!$L164="임박")))</f>
        <v>0</v>
      </c>
      <c r="K164" s="7" t="str">
        <f aca="false">IF($J164=FALSE(),"",COUNTIF($J$6:$J164,TRUE()))</f>
        <v/>
      </c>
      <c r="L164" s="7" t="str">
        <f aca="false">IF($K164="","","R"&amp;$K164)</f>
        <v/>
      </c>
    </row>
    <row r="165" customFormat="false" ht="15" hidden="false" customHeight="true" outlineLevel="0" collapsed="false">
      <c r="J165" s="29" t="b">
        <f aca="false">IF(소진분석!$A165="",FALSE(),IF($B$3="발주만",소진분석!$L165="발주",OR(소진분석!$L165="발주",소진분석!$L165="임박")))</f>
        <v>0</v>
      </c>
      <c r="K165" s="7" t="str">
        <f aca="false">IF($J165=FALSE(),"",COUNTIF($J$6:$J165,TRUE()))</f>
        <v/>
      </c>
      <c r="L165" s="7" t="str">
        <f aca="false">IF($K165="","","R"&amp;$K165)</f>
        <v/>
      </c>
    </row>
    <row r="166" customFormat="false" ht="15" hidden="false" customHeight="true" outlineLevel="0" collapsed="false">
      <c r="J166" s="29" t="b">
        <f aca="false">IF(소진분석!$A166="",FALSE(),IF($B$3="발주만",소진분석!$L166="발주",OR(소진분석!$L166="발주",소진분석!$L166="임박")))</f>
        <v>0</v>
      </c>
      <c r="K166" s="7" t="str">
        <f aca="false">IF($J166=FALSE(),"",COUNTIF($J$6:$J166,TRUE()))</f>
        <v/>
      </c>
      <c r="L166" s="7" t="str">
        <f aca="false">IF($K166="","","R"&amp;$K166)</f>
        <v/>
      </c>
    </row>
    <row r="167" customFormat="false" ht="15" hidden="false" customHeight="true" outlineLevel="0" collapsed="false">
      <c r="J167" s="29" t="b">
        <f aca="false">IF(소진분석!$A167="",FALSE(),IF($B$3="발주만",소진분석!$L167="발주",OR(소진분석!$L167="발주",소진분석!$L167="임박")))</f>
        <v>0</v>
      </c>
      <c r="K167" s="7" t="str">
        <f aca="false">IF($J167=FALSE(),"",COUNTIF($J$6:$J167,TRUE()))</f>
        <v/>
      </c>
      <c r="L167" s="7" t="str">
        <f aca="false">IF($K167="","","R"&amp;$K167)</f>
        <v/>
      </c>
    </row>
    <row r="168" customFormat="false" ht="15" hidden="false" customHeight="true" outlineLevel="0" collapsed="false">
      <c r="J168" s="29" t="b">
        <f aca="false">IF(소진분석!$A168="",FALSE(),IF($B$3="발주만",소진분석!$L168="발주",OR(소진분석!$L168="발주",소진분석!$L168="임박")))</f>
        <v>0</v>
      </c>
      <c r="K168" s="7" t="str">
        <f aca="false">IF($J168=FALSE(),"",COUNTIF($J$6:$J168,TRUE()))</f>
        <v/>
      </c>
      <c r="L168" s="7" t="str">
        <f aca="false">IF($K168="","","R"&amp;$K168)</f>
        <v/>
      </c>
    </row>
    <row r="169" customFormat="false" ht="15" hidden="false" customHeight="true" outlineLevel="0" collapsed="false">
      <c r="J169" s="29" t="b">
        <f aca="false">IF(소진분석!$A169="",FALSE(),IF($B$3="발주만",소진분석!$L169="발주",OR(소진분석!$L169="발주",소진분석!$L169="임박")))</f>
        <v>0</v>
      </c>
      <c r="K169" s="7" t="str">
        <f aca="false">IF($J169=FALSE(),"",COUNTIF($J$6:$J169,TRUE()))</f>
        <v/>
      </c>
      <c r="L169" s="7" t="str">
        <f aca="false">IF($K169="","","R"&amp;$K169)</f>
        <v/>
      </c>
    </row>
    <row r="170" customFormat="false" ht="15" hidden="false" customHeight="true" outlineLevel="0" collapsed="false">
      <c r="J170" s="29" t="b">
        <f aca="false">IF(소진분석!$A170="",FALSE(),IF($B$3="발주만",소진분석!$L170="발주",OR(소진분석!$L170="발주",소진분석!$L170="임박")))</f>
        <v>0</v>
      </c>
      <c r="K170" s="7" t="str">
        <f aca="false">IF($J170=FALSE(),"",COUNTIF($J$6:$J170,TRUE()))</f>
        <v/>
      </c>
      <c r="L170" s="7" t="str">
        <f aca="false">IF($K170="","","R"&amp;$K170)</f>
        <v/>
      </c>
    </row>
    <row r="171" customFormat="false" ht="15" hidden="false" customHeight="true" outlineLevel="0" collapsed="false">
      <c r="J171" s="29" t="b">
        <f aca="false">IF(소진분석!$A171="",FALSE(),IF($B$3="발주만",소진분석!$L171="발주",OR(소진분석!$L171="발주",소진분석!$L171="임박")))</f>
        <v>0</v>
      </c>
      <c r="K171" s="7" t="str">
        <f aca="false">IF($J171=FALSE(),"",COUNTIF($J$6:$J171,TRUE()))</f>
        <v/>
      </c>
      <c r="L171" s="7" t="str">
        <f aca="false">IF($K171="","","R"&amp;$K171)</f>
        <v/>
      </c>
    </row>
    <row r="172" customFormat="false" ht="15" hidden="false" customHeight="true" outlineLevel="0" collapsed="false">
      <c r="J172" s="29" t="b">
        <f aca="false">IF(소진분석!$A172="",FALSE(),IF($B$3="발주만",소진분석!$L172="발주",OR(소진분석!$L172="발주",소진분석!$L172="임박")))</f>
        <v>0</v>
      </c>
      <c r="K172" s="7" t="str">
        <f aca="false">IF($J172=FALSE(),"",COUNTIF($J$6:$J172,TRUE()))</f>
        <v/>
      </c>
      <c r="L172" s="7" t="str">
        <f aca="false">IF($K172="","","R"&amp;$K172)</f>
        <v/>
      </c>
    </row>
    <row r="173" customFormat="false" ht="15" hidden="false" customHeight="true" outlineLevel="0" collapsed="false">
      <c r="J173" s="29" t="b">
        <f aca="false">IF(소진분석!$A173="",FALSE(),IF($B$3="발주만",소진분석!$L173="발주",OR(소진분석!$L173="발주",소진분석!$L173="임박")))</f>
        <v>0</v>
      </c>
      <c r="K173" s="7" t="str">
        <f aca="false">IF($J173=FALSE(),"",COUNTIF($J$6:$J173,TRUE()))</f>
        <v/>
      </c>
      <c r="L173" s="7" t="str">
        <f aca="false">IF($K173="","","R"&amp;$K173)</f>
        <v/>
      </c>
    </row>
    <row r="174" customFormat="false" ht="15" hidden="false" customHeight="true" outlineLevel="0" collapsed="false">
      <c r="J174" s="29" t="b">
        <f aca="false">IF(소진분석!$A174="",FALSE(),IF($B$3="발주만",소진분석!$L174="발주",OR(소진분석!$L174="발주",소진분석!$L174="임박")))</f>
        <v>0</v>
      </c>
      <c r="K174" s="7" t="str">
        <f aca="false">IF($J174=FALSE(),"",COUNTIF($J$6:$J174,TRUE()))</f>
        <v/>
      </c>
      <c r="L174" s="7" t="str">
        <f aca="false">IF($K174="","","R"&amp;$K174)</f>
        <v/>
      </c>
    </row>
    <row r="175" customFormat="false" ht="15" hidden="false" customHeight="true" outlineLevel="0" collapsed="false">
      <c r="J175" s="29" t="b">
        <f aca="false">IF(소진분석!$A175="",FALSE(),IF($B$3="발주만",소진분석!$L175="발주",OR(소진분석!$L175="발주",소진분석!$L175="임박")))</f>
        <v>0</v>
      </c>
      <c r="K175" s="7" t="str">
        <f aca="false">IF($J175=FALSE(),"",COUNTIF($J$6:$J175,TRUE()))</f>
        <v/>
      </c>
      <c r="L175" s="7" t="str">
        <f aca="false">IF($K175="","","R"&amp;$K175)</f>
        <v/>
      </c>
    </row>
    <row r="176" customFormat="false" ht="15" hidden="false" customHeight="true" outlineLevel="0" collapsed="false">
      <c r="J176" s="29" t="b">
        <f aca="false">IF(소진분석!$A176="",FALSE(),IF($B$3="발주만",소진분석!$L176="발주",OR(소진분석!$L176="발주",소진분석!$L176="임박")))</f>
        <v>0</v>
      </c>
      <c r="K176" s="7" t="str">
        <f aca="false">IF($J176=FALSE(),"",COUNTIF($J$6:$J176,TRUE()))</f>
        <v/>
      </c>
      <c r="L176" s="7" t="str">
        <f aca="false">IF($K176="","","R"&amp;$K176)</f>
        <v/>
      </c>
    </row>
    <row r="177" customFormat="false" ht="15" hidden="false" customHeight="true" outlineLevel="0" collapsed="false">
      <c r="J177" s="29" t="b">
        <f aca="false">IF(소진분석!$A177="",FALSE(),IF($B$3="발주만",소진분석!$L177="발주",OR(소진분석!$L177="발주",소진분석!$L177="임박")))</f>
        <v>0</v>
      </c>
      <c r="K177" s="7" t="str">
        <f aca="false">IF($J177=FALSE(),"",COUNTIF($J$6:$J177,TRUE()))</f>
        <v/>
      </c>
      <c r="L177" s="7" t="str">
        <f aca="false">IF($K177="","","R"&amp;$K177)</f>
        <v/>
      </c>
    </row>
    <row r="178" customFormat="false" ht="15" hidden="false" customHeight="true" outlineLevel="0" collapsed="false">
      <c r="J178" s="29" t="b">
        <f aca="false">IF(소진분석!$A178="",FALSE(),IF($B$3="발주만",소진분석!$L178="발주",OR(소진분석!$L178="발주",소진분석!$L178="임박")))</f>
        <v>0</v>
      </c>
      <c r="K178" s="7" t="str">
        <f aca="false">IF($J178=FALSE(),"",COUNTIF($J$6:$J178,TRUE()))</f>
        <v/>
      </c>
      <c r="L178" s="7" t="str">
        <f aca="false">IF($K178="","","R"&amp;$K178)</f>
        <v/>
      </c>
    </row>
    <row r="179" customFormat="false" ht="15" hidden="false" customHeight="true" outlineLevel="0" collapsed="false">
      <c r="J179" s="29" t="b">
        <f aca="false">IF(소진분석!$A179="",FALSE(),IF($B$3="발주만",소진분석!$L179="발주",OR(소진분석!$L179="발주",소진분석!$L179="임박")))</f>
        <v>0</v>
      </c>
      <c r="K179" s="7" t="str">
        <f aca="false">IF($J179=FALSE(),"",COUNTIF($J$6:$J179,TRUE()))</f>
        <v/>
      </c>
      <c r="L179" s="7" t="str">
        <f aca="false">IF($K179="","","R"&amp;$K179)</f>
        <v/>
      </c>
    </row>
    <row r="180" customFormat="false" ht="15" hidden="false" customHeight="true" outlineLevel="0" collapsed="false">
      <c r="J180" s="29" t="b">
        <f aca="false">IF(소진분석!$A180="",FALSE(),IF($B$3="발주만",소진분석!$L180="발주",OR(소진분석!$L180="발주",소진분석!$L180="임박")))</f>
        <v>0</v>
      </c>
      <c r="K180" s="7" t="str">
        <f aca="false">IF($J180=FALSE(),"",COUNTIF($J$6:$J180,TRUE()))</f>
        <v/>
      </c>
      <c r="L180" s="7" t="str">
        <f aca="false">IF($K180="","","R"&amp;$K180)</f>
        <v/>
      </c>
    </row>
    <row r="181" customFormat="false" ht="15" hidden="false" customHeight="true" outlineLevel="0" collapsed="false">
      <c r="J181" s="29" t="b">
        <f aca="false">IF(소진분석!$A181="",FALSE(),IF($B$3="발주만",소진분석!$L181="발주",OR(소진분석!$L181="발주",소진분석!$L181="임박")))</f>
        <v>0</v>
      </c>
      <c r="K181" s="7" t="str">
        <f aca="false">IF($J181=FALSE(),"",COUNTIF($J$6:$J181,TRUE()))</f>
        <v/>
      </c>
      <c r="L181" s="7" t="str">
        <f aca="false">IF($K181="","","R"&amp;$K181)</f>
        <v/>
      </c>
    </row>
    <row r="182" customFormat="false" ht="15" hidden="false" customHeight="true" outlineLevel="0" collapsed="false">
      <c r="J182" s="29" t="b">
        <f aca="false">IF(소진분석!$A182="",FALSE(),IF($B$3="발주만",소진분석!$L182="발주",OR(소진분석!$L182="발주",소진분석!$L182="임박")))</f>
        <v>0</v>
      </c>
      <c r="K182" s="7" t="str">
        <f aca="false">IF($J182=FALSE(),"",COUNTIF($J$6:$J182,TRUE()))</f>
        <v/>
      </c>
      <c r="L182" s="7" t="str">
        <f aca="false">IF($K182="","","R"&amp;$K182)</f>
        <v/>
      </c>
    </row>
    <row r="183" customFormat="false" ht="15" hidden="false" customHeight="true" outlineLevel="0" collapsed="false">
      <c r="J183" s="29" t="b">
        <f aca="false">IF(소진분석!$A183="",FALSE(),IF($B$3="발주만",소진분석!$L183="발주",OR(소진분석!$L183="발주",소진분석!$L183="임박")))</f>
        <v>0</v>
      </c>
      <c r="K183" s="7" t="str">
        <f aca="false">IF($J183=FALSE(),"",COUNTIF($J$6:$J183,TRUE()))</f>
        <v/>
      </c>
      <c r="L183" s="7" t="str">
        <f aca="false">IF($K183="","","R"&amp;$K183)</f>
        <v/>
      </c>
    </row>
    <row r="184" customFormat="false" ht="15" hidden="false" customHeight="true" outlineLevel="0" collapsed="false">
      <c r="J184" s="29" t="b">
        <f aca="false">IF(소진분석!$A184="",FALSE(),IF($B$3="발주만",소진분석!$L184="발주",OR(소진분석!$L184="발주",소진분석!$L184="임박")))</f>
        <v>0</v>
      </c>
      <c r="K184" s="7" t="str">
        <f aca="false">IF($J184=FALSE(),"",COUNTIF($J$6:$J184,TRUE()))</f>
        <v/>
      </c>
      <c r="L184" s="7" t="str">
        <f aca="false">IF($K184="","","R"&amp;$K184)</f>
        <v/>
      </c>
    </row>
    <row r="185" customFormat="false" ht="15" hidden="false" customHeight="true" outlineLevel="0" collapsed="false">
      <c r="J185" s="29" t="b">
        <f aca="false">IF(소진분석!$A185="",FALSE(),IF($B$3="발주만",소진분석!$L185="발주",OR(소진분석!$L185="발주",소진분석!$L185="임박")))</f>
        <v>0</v>
      </c>
      <c r="K185" s="7" t="str">
        <f aca="false">IF($J185=FALSE(),"",COUNTIF($J$6:$J185,TRUE()))</f>
        <v/>
      </c>
      <c r="L185" s="7" t="str">
        <f aca="false">IF($K185="","","R"&amp;$K185)</f>
        <v/>
      </c>
    </row>
    <row r="186" customFormat="false" ht="15" hidden="false" customHeight="true" outlineLevel="0" collapsed="false">
      <c r="J186" s="29" t="b">
        <f aca="false">IF(소진분석!$A186="",FALSE(),IF($B$3="발주만",소진분석!$L186="발주",OR(소진분석!$L186="발주",소진분석!$L186="임박")))</f>
        <v>0</v>
      </c>
      <c r="K186" s="7" t="str">
        <f aca="false">IF($J186=FALSE(),"",COUNTIF($J$6:$J186,TRUE()))</f>
        <v/>
      </c>
      <c r="L186" s="7" t="str">
        <f aca="false">IF($K186="","","R"&amp;$K186)</f>
        <v/>
      </c>
    </row>
    <row r="187" customFormat="false" ht="15" hidden="false" customHeight="true" outlineLevel="0" collapsed="false">
      <c r="J187" s="29" t="b">
        <f aca="false">IF(소진분석!$A187="",FALSE(),IF($B$3="발주만",소진분석!$L187="발주",OR(소진분석!$L187="발주",소진분석!$L187="임박")))</f>
        <v>0</v>
      </c>
      <c r="K187" s="7" t="str">
        <f aca="false">IF($J187=FALSE(),"",COUNTIF($J$6:$J187,TRUE()))</f>
        <v/>
      </c>
      <c r="L187" s="7" t="str">
        <f aca="false">IF($K187="","","R"&amp;$K187)</f>
        <v/>
      </c>
    </row>
    <row r="188" customFormat="false" ht="15" hidden="false" customHeight="true" outlineLevel="0" collapsed="false">
      <c r="J188" s="29" t="b">
        <f aca="false">IF(소진분석!$A188="",FALSE(),IF($B$3="발주만",소진분석!$L188="발주",OR(소진분석!$L188="발주",소진분석!$L188="임박")))</f>
        <v>0</v>
      </c>
      <c r="K188" s="7" t="str">
        <f aca="false">IF($J188=FALSE(),"",COUNTIF($J$6:$J188,TRUE()))</f>
        <v/>
      </c>
      <c r="L188" s="7" t="str">
        <f aca="false">IF($K188="","","R"&amp;$K188)</f>
        <v/>
      </c>
    </row>
    <row r="189" customFormat="false" ht="15" hidden="false" customHeight="true" outlineLevel="0" collapsed="false">
      <c r="J189" s="29" t="b">
        <f aca="false">IF(소진분석!$A189="",FALSE(),IF($B$3="발주만",소진분석!$L189="발주",OR(소진분석!$L189="발주",소진분석!$L189="임박")))</f>
        <v>0</v>
      </c>
      <c r="K189" s="7" t="str">
        <f aca="false">IF($J189=FALSE(),"",COUNTIF($J$6:$J189,TRUE()))</f>
        <v/>
      </c>
      <c r="L189" s="7" t="str">
        <f aca="false">IF($K189="","","R"&amp;$K189)</f>
        <v/>
      </c>
    </row>
    <row r="190" customFormat="false" ht="15" hidden="false" customHeight="true" outlineLevel="0" collapsed="false">
      <c r="J190" s="29" t="b">
        <f aca="false">IF(소진분석!$A190="",FALSE(),IF($B$3="발주만",소진분석!$L190="발주",OR(소진분석!$L190="발주",소진분석!$L190="임박")))</f>
        <v>0</v>
      </c>
      <c r="K190" s="7" t="str">
        <f aca="false">IF($J190=FALSE(),"",COUNTIF($J$6:$J190,TRUE()))</f>
        <v/>
      </c>
      <c r="L190" s="7" t="str">
        <f aca="false">IF($K190="","","R"&amp;$K190)</f>
        <v/>
      </c>
    </row>
    <row r="191" customFormat="false" ht="15" hidden="false" customHeight="true" outlineLevel="0" collapsed="false">
      <c r="J191" s="29" t="b">
        <f aca="false">IF(소진분석!$A191="",FALSE(),IF($B$3="발주만",소진분석!$L191="발주",OR(소진분석!$L191="발주",소진분석!$L191="임박")))</f>
        <v>0</v>
      </c>
      <c r="K191" s="7" t="str">
        <f aca="false">IF($J191=FALSE(),"",COUNTIF($J$6:$J191,TRUE()))</f>
        <v/>
      </c>
      <c r="L191" s="7" t="str">
        <f aca="false">IF($K191="","","R"&amp;$K191)</f>
        <v/>
      </c>
    </row>
    <row r="192" customFormat="false" ht="15" hidden="false" customHeight="true" outlineLevel="0" collapsed="false">
      <c r="J192" s="29" t="b">
        <f aca="false">IF(소진분석!$A192="",FALSE(),IF($B$3="발주만",소진분석!$L192="발주",OR(소진분석!$L192="발주",소진분석!$L192="임박")))</f>
        <v>0</v>
      </c>
      <c r="K192" s="7" t="str">
        <f aca="false">IF($J192=FALSE(),"",COUNTIF($J$6:$J192,TRUE()))</f>
        <v/>
      </c>
      <c r="L192" s="7" t="str">
        <f aca="false">IF($K192="","","R"&amp;$K192)</f>
        <v/>
      </c>
    </row>
    <row r="193" customFormat="false" ht="15" hidden="false" customHeight="true" outlineLevel="0" collapsed="false">
      <c r="J193" s="29" t="b">
        <f aca="false">IF(소진분석!$A193="",FALSE(),IF($B$3="발주만",소진분석!$L193="발주",OR(소진분석!$L193="발주",소진분석!$L193="임박")))</f>
        <v>0</v>
      </c>
      <c r="K193" s="7" t="str">
        <f aca="false">IF($J193=FALSE(),"",COUNTIF($J$6:$J193,TRUE()))</f>
        <v/>
      </c>
      <c r="L193" s="7" t="str">
        <f aca="false">IF($K193="","","R"&amp;$K193)</f>
        <v/>
      </c>
    </row>
    <row r="194" customFormat="false" ht="15" hidden="false" customHeight="true" outlineLevel="0" collapsed="false">
      <c r="J194" s="29" t="b">
        <f aca="false">IF(소진분석!$A194="",FALSE(),IF($B$3="발주만",소진분석!$L194="발주",OR(소진분석!$L194="발주",소진분석!$L194="임박")))</f>
        <v>0</v>
      </c>
      <c r="K194" s="7" t="str">
        <f aca="false">IF($J194=FALSE(),"",COUNTIF($J$6:$J194,TRUE()))</f>
        <v/>
      </c>
      <c r="L194" s="7" t="str">
        <f aca="false">IF($K194="","","R"&amp;$K194)</f>
        <v/>
      </c>
    </row>
    <row r="195" customFormat="false" ht="15" hidden="false" customHeight="true" outlineLevel="0" collapsed="false">
      <c r="J195" s="29" t="b">
        <f aca="false">IF(소진분석!$A195="",FALSE(),IF($B$3="발주만",소진분석!$L195="발주",OR(소진분석!$L195="발주",소진분석!$L195="임박")))</f>
        <v>0</v>
      </c>
      <c r="K195" s="7" t="str">
        <f aca="false">IF($J195=FALSE(),"",COUNTIF($J$6:$J195,TRUE()))</f>
        <v/>
      </c>
      <c r="L195" s="7" t="str">
        <f aca="false">IF($K195="","","R"&amp;$K195)</f>
        <v/>
      </c>
    </row>
    <row r="196" customFormat="false" ht="15" hidden="false" customHeight="true" outlineLevel="0" collapsed="false">
      <c r="J196" s="29" t="b">
        <f aca="false">IF(소진분석!$A196="",FALSE(),IF($B$3="발주만",소진분석!$L196="발주",OR(소진분석!$L196="발주",소진분석!$L196="임박")))</f>
        <v>0</v>
      </c>
      <c r="K196" s="7" t="str">
        <f aca="false">IF($J196=FALSE(),"",COUNTIF($J$6:$J196,TRUE()))</f>
        <v/>
      </c>
      <c r="L196" s="7" t="str">
        <f aca="false">IF($K196="","","R"&amp;$K196)</f>
        <v/>
      </c>
    </row>
    <row r="197" customFormat="false" ht="15" hidden="false" customHeight="true" outlineLevel="0" collapsed="false">
      <c r="J197" s="29" t="b">
        <f aca="false">IF(소진분석!$A197="",FALSE(),IF($B$3="발주만",소진분석!$L197="발주",OR(소진분석!$L197="발주",소진분석!$L197="임박")))</f>
        <v>0</v>
      </c>
      <c r="K197" s="7" t="str">
        <f aca="false">IF($J197=FALSE(),"",COUNTIF($J$6:$J197,TRUE()))</f>
        <v/>
      </c>
      <c r="L197" s="7" t="str">
        <f aca="false">IF($K197="","","R"&amp;$K197)</f>
        <v/>
      </c>
    </row>
    <row r="198" customFormat="false" ht="15" hidden="false" customHeight="true" outlineLevel="0" collapsed="false">
      <c r="J198" s="29" t="b">
        <f aca="false">IF(소진분석!$A198="",FALSE(),IF($B$3="발주만",소진분석!$L198="발주",OR(소진분석!$L198="발주",소진분석!$L198="임박")))</f>
        <v>0</v>
      </c>
      <c r="K198" s="7" t="str">
        <f aca="false">IF($J198=FALSE(),"",COUNTIF($J$6:$J198,TRUE()))</f>
        <v/>
      </c>
      <c r="L198" s="7" t="str">
        <f aca="false">IF($K198="","","R"&amp;$K198)</f>
        <v/>
      </c>
    </row>
    <row r="199" customFormat="false" ht="15" hidden="false" customHeight="true" outlineLevel="0" collapsed="false">
      <c r="J199" s="29" t="b">
        <f aca="false">IF(소진분석!$A199="",FALSE(),IF($B$3="발주만",소진분석!$L199="발주",OR(소진분석!$L199="발주",소진분석!$L199="임박")))</f>
        <v>0</v>
      </c>
      <c r="K199" s="7" t="str">
        <f aca="false">IF($J199=FALSE(),"",COUNTIF($J$6:$J199,TRUE()))</f>
        <v/>
      </c>
      <c r="L199" s="7" t="str">
        <f aca="false">IF($K199="","","R"&amp;$K199)</f>
        <v/>
      </c>
    </row>
    <row r="200" customFormat="false" ht="15" hidden="false" customHeight="true" outlineLevel="0" collapsed="false">
      <c r="J200" s="29" t="b">
        <f aca="false">IF(소진분석!$A200="",FALSE(),IF($B$3="발주만",소진분석!$L200="발주",OR(소진분석!$L200="발주",소진분석!$L200="임박")))</f>
        <v>0</v>
      </c>
      <c r="K200" s="7" t="str">
        <f aca="false">IF($J200=FALSE(),"",COUNTIF($J$6:$J200,TRUE()))</f>
        <v/>
      </c>
      <c r="L200" s="7" t="str">
        <f aca="false">IF($K200="","","R"&amp;$K200)</f>
        <v/>
      </c>
    </row>
    <row r="201" customFormat="false" ht="15" hidden="false" customHeight="true" outlineLevel="0" collapsed="false">
      <c r="J201" s="29" t="b">
        <f aca="false">IF(소진분석!$A201="",FALSE(),IF($B$3="발주만",소진분석!$L201="발주",OR(소진분석!$L201="발주",소진분석!$L201="임박")))</f>
        <v>0</v>
      </c>
      <c r="K201" s="7" t="str">
        <f aca="false">IF($J201=FALSE(),"",COUNTIF($J$6:$J201,TRUE()))</f>
        <v/>
      </c>
      <c r="L201" s="7" t="str">
        <f aca="false">IF($K201="","","R"&amp;$K201)</f>
        <v/>
      </c>
    </row>
    <row r="202" customFormat="false" ht="15" hidden="false" customHeight="true" outlineLevel="0" collapsed="false">
      <c r="J202" s="29" t="b">
        <f aca="false">IF(소진분석!$A202="",FALSE(),IF($B$3="발주만",소진분석!$L202="발주",OR(소진분석!$L202="발주",소진분석!$L202="임박")))</f>
        <v>0</v>
      </c>
      <c r="K202" s="7" t="str">
        <f aca="false">IF($J202=FALSE(),"",COUNTIF($J$6:$J202,TRUE()))</f>
        <v/>
      </c>
      <c r="L202" s="7" t="str">
        <f aca="false">IF($K202="","","R"&amp;$K202)</f>
        <v/>
      </c>
    </row>
    <row r="203" customFormat="false" ht="15" hidden="false" customHeight="true" outlineLevel="0" collapsed="false">
      <c r="J203" s="29" t="b">
        <f aca="false">IF(소진분석!$A203="",FALSE(),IF($B$3="발주만",소진분석!$L203="발주",OR(소진분석!$L203="발주",소진분석!$L203="임박")))</f>
        <v>0</v>
      </c>
      <c r="K203" s="7" t="str">
        <f aca="false">IF($J203=FALSE(),"",COUNTIF($J$6:$J203,TRUE()))</f>
        <v/>
      </c>
      <c r="L203" s="7" t="str">
        <f aca="false">IF($K203="","","R"&amp;$K203)</f>
        <v/>
      </c>
    </row>
    <row r="204" customFormat="false" ht="15" hidden="false" customHeight="true" outlineLevel="0" collapsed="false">
      <c r="J204" s="29" t="b">
        <f aca="false">IF(소진분석!$A204="",FALSE(),IF($B$3="발주만",소진분석!$L204="발주",OR(소진분석!$L204="발주",소진분석!$L204="임박")))</f>
        <v>0</v>
      </c>
      <c r="K204" s="7" t="str">
        <f aca="false">IF($J204=FALSE(),"",COUNTIF($J$6:$J204,TRUE()))</f>
        <v/>
      </c>
      <c r="L204" s="7" t="str">
        <f aca="false">IF($K204="","","R"&amp;$K204)</f>
        <v/>
      </c>
    </row>
    <row r="205" customFormat="false" ht="15" hidden="false" customHeight="true" outlineLevel="0" collapsed="false">
      <c r="J205" s="29" t="b">
        <f aca="false">IF(소진분석!$A205="",FALSE(),IF($B$3="발주만",소진분석!$L205="발주",OR(소진분석!$L205="발주",소진분석!$L205="임박")))</f>
        <v>0</v>
      </c>
      <c r="K205" s="7" t="str">
        <f aca="false">IF($J205=FALSE(),"",COUNTIF($J$6:$J205,TRUE()))</f>
        <v/>
      </c>
      <c r="L205" s="7" t="str">
        <f aca="false">IF($K205="","","R"&amp;$K205)</f>
        <v/>
      </c>
    </row>
    <row r="206" customFormat="false" ht="15" hidden="false" customHeight="true" outlineLevel="0" collapsed="false">
      <c r="J206" s="29" t="b">
        <f aca="false">IF(소진분석!$A206="",FALSE(),IF($B$3="발주만",소진분석!$L206="발주",OR(소진분석!$L206="발주",소진분석!$L206="임박")))</f>
        <v>0</v>
      </c>
      <c r="K206" s="7" t="str">
        <f aca="false">IF($J206=FALSE(),"",COUNTIF($J$6:$J206,TRUE()))</f>
        <v/>
      </c>
      <c r="L206" s="7" t="str">
        <f aca="false">IF($K206="","","R"&amp;$K206)</f>
        <v/>
      </c>
    </row>
    <row r="207" customFormat="false" ht="15" hidden="false" customHeight="true" outlineLevel="0" collapsed="false">
      <c r="J207" s="29" t="b">
        <f aca="false">IF(소진분석!$A207="",FALSE(),IF($B$3="발주만",소진분석!$L207="발주",OR(소진분석!$L207="발주",소진분석!$L207="임박")))</f>
        <v>0</v>
      </c>
      <c r="K207" s="7" t="str">
        <f aca="false">IF($J207=FALSE(),"",COUNTIF($J$6:$J207,TRUE()))</f>
        <v/>
      </c>
      <c r="L207" s="7" t="str">
        <f aca="false">IF($K207="","","R"&amp;$K207)</f>
        <v/>
      </c>
    </row>
    <row r="208" customFormat="false" ht="15" hidden="false" customHeight="true" outlineLevel="0" collapsed="false">
      <c r="J208" s="29" t="b">
        <f aca="false">IF(소진분석!$A208="",FALSE(),IF($B$3="발주만",소진분석!$L208="발주",OR(소진분석!$L208="발주",소진분석!$L208="임박")))</f>
        <v>0</v>
      </c>
      <c r="K208" s="7" t="str">
        <f aca="false">IF($J208=FALSE(),"",COUNTIF($J$6:$J208,TRUE()))</f>
        <v/>
      </c>
      <c r="L208" s="7" t="str">
        <f aca="false">IF($K208="","","R"&amp;$K208)</f>
        <v/>
      </c>
    </row>
    <row r="209" customFormat="false" ht="15" hidden="false" customHeight="true" outlineLevel="0" collapsed="false">
      <c r="J209" s="29" t="b">
        <f aca="false">IF(소진분석!$A209="",FALSE(),IF($B$3="발주만",소진분석!$L209="발주",OR(소진분석!$L209="발주",소진분석!$L209="임박")))</f>
        <v>0</v>
      </c>
      <c r="K209" s="7" t="str">
        <f aca="false">IF($J209=FALSE(),"",COUNTIF($J$6:$J209,TRUE()))</f>
        <v/>
      </c>
      <c r="L209" s="7" t="str">
        <f aca="false">IF($K209="","","R"&amp;$K209)</f>
        <v/>
      </c>
    </row>
    <row r="210" customFormat="false" ht="15" hidden="false" customHeight="true" outlineLevel="0" collapsed="false">
      <c r="J210" s="29" t="b">
        <f aca="false">IF(소진분석!$A210="",FALSE(),IF($B$3="발주만",소진분석!$L210="발주",OR(소진분석!$L210="발주",소진분석!$L210="임박")))</f>
        <v>0</v>
      </c>
      <c r="K210" s="7" t="str">
        <f aca="false">IF($J210=FALSE(),"",COUNTIF($J$6:$J210,TRUE()))</f>
        <v/>
      </c>
      <c r="L210" s="7" t="str">
        <f aca="false">IF($K210="","","R"&amp;$K210)</f>
        <v/>
      </c>
    </row>
    <row r="211" customFormat="false" ht="15" hidden="false" customHeight="true" outlineLevel="0" collapsed="false">
      <c r="J211" s="29" t="b">
        <f aca="false">IF(소진분석!$A211="",FALSE(),IF($B$3="발주만",소진분석!$L211="발주",OR(소진분석!$L211="발주",소진분석!$L211="임박")))</f>
        <v>0</v>
      </c>
      <c r="K211" s="7" t="str">
        <f aca="false">IF($J211=FALSE(),"",COUNTIF($J$6:$J211,TRUE()))</f>
        <v/>
      </c>
      <c r="L211" s="7" t="str">
        <f aca="false">IF($K211="","","R"&amp;$K211)</f>
        <v/>
      </c>
    </row>
    <row r="212" customFormat="false" ht="15" hidden="false" customHeight="true" outlineLevel="0" collapsed="false">
      <c r="J212" s="29" t="b">
        <f aca="false">IF(소진분석!$A212="",FALSE(),IF($B$3="발주만",소진분석!$L212="발주",OR(소진분석!$L212="발주",소진분석!$L212="임박")))</f>
        <v>0</v>
      </c>
      <c r="K212" s="7" t="str">
        <f aca="false">IF($J212=FALSE(),"",COUNTIF($J$6:$J212,TRUE()))</f>
        <v/>
      </c>
      <c r="L212" s="7" t="str">
        <f aca="false">IF($K212="","","R"&amp;$K212)</f>
        <v/>
      </c>
    </row>
    <row r="213" customFormat="false" ht="15" hidden="false" customHeight="true" outlineLevel="0" collapsed="false">
      <c r="J213" s="29" t="b">
        <f aca="false">IF(소진분석!$A213="",FALSE(),IF($B$3="발주만",소진분석!$L213="발주",OR(소진분석!$L213="발주",소진분석!$L213="임박")))</f>
        <v>0</v>
      </c>
      <c r="K213" s="7" t="str">
        <f aca="false">IF($J213=FALSE(),"",COUNTIF($J$6:$J213,TRUE()))</f>
        <v/>
      </c>
      <c r="L213" s="7" t="str">
        <f aca="false">IF($K213="","","R"&amp;$K213)</f>
        <v/>
      </c>
    </row>
    <row r="214" customFormat="false" ht="15" hidden="false" customHeight="true" outlineLevel="0" collapsed="false">
      <c r="J214" s="29" t="b">
        <f aca="false">IF(소진분석!$A214="",FALSE(),IF($B$3="발주만",소진분석!$L214="발주",OR(소진분석!$L214="발주",소진분석!$L214="임박")))</f>
        <v>0</v>
      </c>
      <c r="K214" s="7" t="str">
        <f aca="false">IF($J214=FALSE(),"",COUNTIF($J$6:$J214,TRUE()))</f>
        <v/>
      </c>
      <c r="L214" s="7" t="str">
        <f aca="false">IF($K214="","","R"&amp;$K214)</f>
        <v/>
      </c>
    </row>
    <row r="215" customFormat="false" ht="15" hidden="false" customHeight="true" outlineLevel="0" collapsed="false">
      <c r="J215" s="29" t="b">
        <f aca="false">IF(소진분석!$A215="",FALSE(),IF($B$3="발주만",소진분석!$L215="발주",OR(소진분석!$L215="발주",소진분석!$L215="임박")))</f>
        <v>0</v>
      </c>
      <c r="K215" s="7" t="str">
        <f aca="false">IF($J215=FALSE(),"",COUNTIF($J$6:$J215,TRUE()))</f>
        <v/>
      </c>
      <c r="L215" s="7" t="str">
        <f aca="false">IF($K215="","","R"&amp;$K215)</f>
        <v/>
      </c>
    </row>
    <row r="216" customFormat="false" ht="15" hidden="false" customHeight="true" outlineLevel="0" collapsed="false">
      <c r="J216" s="29" t="b">
        <f aca="false">IF(소진분석!$A216="",FALSE(),IF($B$3="발주만",소진분석!$L216="발주",OR(소진분석!$L216="발주",소진분석!$L216="임박")))</f>
        <v>0</v>
      </c>
      <c r="K216" s="7" t="str">
        <f aca="false">IF($J216=FALSE(),"",COUNTIF($J$6:$J216,TRUE()))</f>
        <v/>
      </c>
      <c r="L216" s="7" t="str">
        <f aca="false">IF($K216="","","R"&amp;$K216)</f>
        <v/>
      </c>
    </row>
    <row r="217" customFormat="false" ht="15" hidden="false" customHeight="true" outlineLevel="0" collapsed="false">
      <c r="J217" s="29" t="b">
        <f aca="false">IF(소진분석!$A217="",FALSE(),IF($B$3="발주만",소진분석!$L217="발주",OR(소진분석!$L217="발주",소진분석!$L217="임박")))</f>
        <v>0</v>
      </c>
      <c r="K217" s="7" t="str">
        <f aca="false">IF($J217=FALSE(),"",COUNTIF($J$6:$J217,TRUE()))</f>
        <v/>
      </c>
      <c r="L217" s="7" t="str">
        <f aca="false">IF($K217="","","R"&amp;$K217)</f>
        <v/>
      </c>
    </row>
    <row r="218" customFormat="false" ht="15" hidden="false" customHeight="true" outlineLevel="0" collapsed="false">
      <c r="J218" s="29" t="b">
        <f aca="false">IF(소진분석!$A218="",FALSE(),IF($B$3="발주만",소진분석!$L218="발주",OR(소진분석!$L218="발주",소진분석!$L218="임박")))</f>
        <v>0</v>
      </c>
      <c r="K218" s="7" t="str">
        <f aca="false">IF($J218=FALSE(),"",COUNTIF($J$6:$J218,TRUE()))</f>
        <v/>
      </c>
      <c r="L218" s="7" t="str">
        <f aca="false">IF($K218="","","R"&amp;$K218)</f>
        <v/>
      </c>
    </row>
    <row r="219" customFormat="false" ht="15" hidden="false" customHeight="true" outlineLevel="0" collapsed="false">
      <c r="J219" s="29" t="b">
        <f aca="false">IF(소진분석!$A219="",FALSE(),IF($B$3="발주만",소진분석!$L219="발주",OR(소진분석!$L219="발주",소진분석!$L219="임박")))</f>
        <v>0</v>
      </c>
      <c r="K219" s="7" t="str">
        <f aca="false">IF($J219=FALSE(),"",COUNTIF($J$6:$J219,TRUE()))</f>
        <v/>
      </c>
      <c r="L219" s="7" t="str">
        <f aca="false">IF($K219="","","R"&amp;$K219)</f>
        <v/>
      </c>
    </row>
    <row r="220" customFormat="false" ht="15" hidden="false" customHeight="true" outlineLevel="0" collapsed="false">
      <c r="J220" s="29" t="b">
        <f aca="false">IF(소진분석!$A220="",FALSE(),IF($B$3="발주만",소진분석!$L220="발주",OR(소진분석!$L220="발주",소진분석!$L220="임박")))</f>
        <v>0</v>
      </c>
      <c r="K220" s="7" t="str">
        <f aca="false">IF($J220=FALSE(),"",COUNTIF($J$6:$J220,TRUE()))</f>
        <v/>
      </c>
      <c r="L220" s="7" t="str">
        <f aca="false">IF($K220="","","R"&amp;$K220)</f>
        <v/>
      </c>
    </row>
    <row r="221" customFormat="false" ht="15" hidden="false" customHeight="true" outlineLevel="0" collapsed="false">
      <c r="J221" s="29" t="b">
        <f aca="false">IF(소진분석!$A221="",FALSE(),IF($B$3="발주만",소진분석!$L221="발주",OR(소진분석!$L221="발주",소진분석!$L221="임박")))</f>
        <v>0</v>
      </c>
      <c r="K221" s="7" t="str">
        <f aca="false">IF($J221=FALSE(),"",COUNTIF($J$6:$J221,TRUE()))</f>
        <v/>
      </c>
      <c r="L221" s="7" t="str">
        <f aca="false">IF($K221="","","R"&amp;$K221)</f>
        <v/>
      </c>
    </row>
    <row r="222" customFormat="false" ht="15" hidden="false" customHeight="true" outlineLevel="0" collapsed="false">
      <c r="J222" s="29" t="b">
        <f aca="false">IF(소진분석!$A222="",FALSE(),IF($B$3="발주만",소진분석!$L222="발주",OR(소진분석!$L222="발주",소진분석!$L222="임박")))</f>
        <v>0</v>
      </c>
      <c r="K222" s="7" t="str">
        <f aca="false">IF($J222=FALSE(),"",COUNTIF($J$6:$J222,TRUE()))</f>
        <v/>
      </c>
      <c r="L222" s="7" t="str">
        <f aca="false">IF($K222="","","R"&amp;$K222)</f>
        <v/>
      </c>
    </row>
    <row r="223" customFormat="false" ht="15" hidden="false" customHeight="true" outlineLevel="0" collapsed="false">
      <c r="J223" s="29" t="b">
        <f aca="false">IF(소진분석!$A223="",FALSE(),IF($B$3="발주만",소진분석!$L223="발주",OR(소진분석!$L223="발주",소진분석!$L223="임박")))</f>
        <v>0</v>
      </c>
      <c r="K223" s="7" t="str">
        <f aca="false">IF($J223=FALSE(),"",COUNTIF($J$6:$J223,TRUE()))</f>
        <v/>
      </c>
      <c r="L223" s="7" t="str">
        <f aca="false">IF($K223="","","R"&amp;$K223)</f>
        <v/>
      </c>
    </row>
    <row r="224" customFormat="false" ht="15" hidden="false" customHeight="true" outlineLevel="0" collapsed="false">
      <c r="J224" s="29" t="b">
        <f aca="false">IF(소진분석!$A224="",FALSE(),IF($B$3="발주만",소진분석!$L224="발주",OR(소진분석!$L224="발주",소진분석!$L224="임박")))</f>
        <v>0</v>
      </c>
      <c r="K224" s="7" t="str">
        <f aca="false">IF($J224=FALSE(),"",COUNTIF($J$6:$J224,TRUE()))</f>
        <v/>
      </c>
      <c r="L224" s="7" t="str">
        <f aca="false">IF($K224="","","R"&amp;$K224)</f>
        <v/>
      </c>
    </row>
    <row r="225" customFormat="false" ht="15" hidden="false" customHeight="true" outlineLevel="0" collapsed="false">
      <c r="J225" s="29" t="b">
        <f aca="false">IF(소진분석!$A225="",FALSE(),IF($B$3="발주만",소진분석!$L225="발주",OR(소진분석!$L225="발주",소진분석!$L225="임박")))</f>
        <v>0</v>
      </c>
      <c r="K225" s="7" t="str">
        <f aca="false">IF($J225=FALSE(),"",COUNTIF($J$6:$J225,TRUE()))</f>
        <v/>
      </c>
      <c r="L225" s="7" t="str">
        <f aca="false">IF($K225="","","R"&amp;$K225)</f>
        <v/>
      </c>
    </row>
    <row r="226" customFormat="false" ht="15" hidden="false" customHeight="true" outlineLevel="0" collapsed="false">
      <c r="J226" s="29" t="b">
        <f aca="false">IF(소진분석!$A226="",FALSE(),IF($B$3="발주만",소진분석!$L226="발주",OR(소진분석!$L226="발주",소진분석!$L226="임박")))</f>
        <v>0</v>
      </c>
      <c r="K226" s="7" t="str">
        <f aca="false">IF($J226=FALSE(),"",COUNTIF($J$6:$J226,TRUE()))</f>
        <v/>
      </c>
      <c r="L226" s="7" t="str">
        <f aca="false">IF($K226="","","R"&amp;$K226)</f>
        <v/>
      </c>
    </row>
    <row r="227" customFormat="false" ht="15" hidden="false" customHeight="true" outlineLevel="0" collapsed="false">
      <c r="J227" s="29" t="b">
        <f aca="false">IF(소진분석!$A227="",FALSE(),IF($B$3="발주만",소진분석!$L227="발주",OR(소진분석!$L227="발주",소진분석!$L227="임박")))</f>
        <v>0</v>
      </c>
      <c r="K227" s="7" t="str">
        <f aca="false">IF($J227=FALSE(),"",COUNTIF($J$6:$J227,TRUE()))</f>
        <v/>
      </c>
      <c r="L227" s="7" t="str">
        <f aca="false">IF($K227="","","R"&amp;$K227)</f>
        <v/>
      </c>
    </row>
    <row r="228" customFormat="false" ht="15" hidden="false" customHeight="true" outlineLevel="0" collapsed="false">
      <c r="J228" s="29" t="b">
        <f aca="false">IF(소진분석!$A228="",FALSE(),IF($B$3="발주만",소진분석!$L228="발주",OR(소진분석!$L228="발주",소진분석!$L228="임박")))</f>
        <v>0</v>
      </c>
      <c r="K228" s="7" t="str">
        <f aca="false">IF($J228=FALSE(),"",COUNTIF($J$6:$J228,TRUE()))</f>
        <v/>
      </c>
      <c r="L228" s="7" t="str">
        <f aca="false">IF($K228="","","R"&amp;$K228)</f>
        <v/>
      </c>
    </row>
    <row r="229" customFormat="false" ht="15" hidden="false" customHeight="true" outlineLevel="0" collapsed="false">
      <c r="J229" s="29" t="b">
        <f aca="false">IF(소진분석!$A229="",FALSE(),IF($B$3="발주만",소진분석!$L229="발주",OR(소진분석!$L229="발주",소진분석!$L229="임박")))</f>
        <v>0</v>
      </c>
      <c r="K229" s="7" t="str">
        <f aca="false">IF($J229=FALSE(),"",COUNTIF($J$6:$J229,TRUE()))</f>
        <v/>
      </c>
      <c r="L229" s="7" t="str">
        <f aca="false">IF($K229="","","R"&amp;$K229)</f>
        <v/>
      </c>
    </row>
    <row r="230" customFormat="false" ht="15" hidden="false" customHeight="true" outlineLevel="0" collapsed="false">
      <c r="J230" s="29" t="b">
        <f aca="false">IF(소진분석!$A230="",FALSE(),IF($B$3="발주만",소진분석!$L230="발주",OR(소진분석!$L230="발주",소진분석!$L230="임박")))</f>
        <v>0</v>
      </c>
      <c r="K230" s="7" t="str">
        <f aca="false">IF($J230=FALSE(),"",COUNTIF($J$6:$J230,TRUE()))</f>
        <v/>
      </c>
      <c r="L230" s="7" t="str">
        <f aca="false">IF($K230="","","R"&amp;$K230)</f>
        <v/>
      </c>
    </row>
    <row r="231" customFormat="false" ht="15" hidden="false" customHeight="true" outlineLevel="0" collapsed="false">
      <c r="J231" s="29" t="b">
        <f aca="false">IF(소진분석!$A231="",FALSE(),IF($B$3="발주만",소진분석!$L231="발주",OR(소진분석!$L231="발주",소진분석!$L231="임박")))</f>
        <v>0</v>
      </c>
      <c r="K231" s="7" t="str">
        <f aca="false">IF($J231=FALSE(),"",COUNTIF($J$6:$J231,TRUE()))</f>
        <v/>
      </c>
      <c r="L231" s="7" t="str">
        <f aca="false">IF($K231="","","R"&amp;$K231)</f>
        <v/>
      </c>
    </row>
    <row r="232" customFormat="false" ht="15" hidden="false" customHeight="true" outlineLevel="0" collapsed="false">
      <c r="J232" s="29" t="b">
        <f aca="false">IF(소진분석!$A232="",FALSE(),IF($B$3="발주만",소진분석!$L232="발주",OR(소진분석!$L232="발주",소진분석!$L232="임박")))</f>
        <v>0</v>
      </c>
      <c r="K232" s="7" t="str">
        <f aca="false">IF($J232=FALSE(),"",COUNTIF($J$6:$J232,TRUE()))</f>
        <v/>
      </c>
      <c r="L232" s="7" t="str">
        <f aca="false">IF($K232="","","R"&amp;$K232)</f>
        <v/>
      </c>
    </row>
    <row r="233" customFormat="false" ht="15" hidden="false" customHeight="true" outlineLevel="0" collapsed="false">
      <c r="J233" s="29" t="b">
        <f aca="false">IF(소진분석!$A233="",FALSE(),IF($B$3="발주만",소진분석!$L233="발주",OR(소진분석!$L233="발주",소진분석!$L233="임박")))</f>
        <v>0</v>
      </c>
      <c r="K233" s="7" t="str">
        <f aca="false">IF($J233=FALSE(),"",COUNTIF($J$6:$J233,TRUE()))</f>
        <v/>
      </c>
      <c r="L233" s="7" t="str">
        <f aca="false">IF($K233="","","R"&amp;$K233)</f>
        <v/>
      </c>
    </row>
    <row r="234" customFormat="false" ht="15" hidden="false" customHeight="true" outlineLevel="0" collapsed="false">
      <c r="J234" s="29" t="b">
        <f aca="false">IF(소진분석!$A234="",FALSE(),IF($B$3="발주만",소진분석!$L234="발주",OR(소진분석!$L234="발주",소진분석!$L234="임박")))</f>
        <v>0</v>
      </c>
      <c r="K234" s="7" t="str">
        <f aca="false">IF($J234=FALSE(),"",COUNTIF($J$6:$J234,TRUE()))</f>
        <v/>
      </c>
      <c r="L234" s="7" t="str">
        <f aca="false">IF($K234="","","R"&amp;$K234)</f>
        <v/>
      </c>
    </row>
    <row r="235" customFormat="false" ht="15" hidden="false" customHeight="true" outlineLevel="0" collapsed="false">
      <c r="J235" s="29" t="b">
        <f aca="false">IF(소진분석!$A235="",FALSE(),IF($B$3="발주만",소진분석!$L235="발주",OR(소진분석!$L235="발주",소진분석!$L235="임박")))</f>
        <v>0</v>
      </c>
      <c r="K235" s="7" t="str">
        <f aca="false">IF($J235=FALSE(),"",COUNTIF($J$6:$J235,TRUE()))</f>
        <v/>
      </c>
      <c r="L235" s="7" t="str">
        <f aca="false">IF($K235="","","R"&amp;$K235)</f>
        <v/>
      </c>
    </row>
    <row r="236" customFormat="false" ht="15" hidden="false" customHeight="true" outlineLevel="0" collapsed="false">
      <c r="J236" s="29" t="b">
        <f aca="false">IF(소진분석!$A236="",FALSE(),IF($B$3="발주만",소진분석!$L236="발주",OR(소진분석!$L236="발주",소진분석!$L236="임박")))</f>
        <v>0</v>
      </c>
      <c r="K236" s="7" t="str">
        <f aca="false">IF($J236=FALSE(),"",COUNTIF($J$6:$J236,TRUE()))</f>
        <v/>
      </c>
      <c r="L236" s="7" t="str">
        <f aca="false">IF($K236="","","R"&amp;$K236)</f>
        <v/>
      </c>
    </row>
    <row r="237" customFormat="false" ht="15" hidden="false" customHeight="true" outlineLevel="0" collapsed="false">
      <c r="J237" s="29" t="b">
        <f aca="false">IF(소진분석!$A237="",FALSE(),IF($B$3="발주만",소진분석!$L237="발주",OR(소진분석!$L237="발주",소진분석!$L237="임박")))</f>
        <v>0</v>
      </c>
      <c r="K237" s="7" t="str">
        <f aca="false">IF($J237=FALSE(),"",COUNTIF($J$6:$J237,TRUE()))</f>
        <v/>
      </c>
      <c r="L237" s="7" t="str">
        <f aca="false">IF($K237="","","R"&amp;$K237)</f>
        <v/>
      </c>
    </row>
    <row r="238" customFormat="false" ht="15" hidden="false" customHeight="true" outlineLevel="0" collapsed="false">
      <c r="J238" s="29" t="b">
        <f aca="false">IF(소진분석!$A238="",FALSE(),IF($B$3="발주만",소진분석!$L238="발주",OR(소진분석!$L238="발주",소진분석!$L238="임박")))</f>
        <v>0</v>
      </c>
      <c r="K238" s="7" t="str">
        <f aca="false">IF($J238=FALSE(),"",COUNTIF($J$6:$J238,TRUE()))</f>
        <v/>
      </c>
      <c r="L238" s="7" t="str">
        <f aca="false">IF($K238="","","R"&amp;$K238)</f>
        <v/>
      </c>
    </row>
    <row r="239" customFormat="false" ht="15" hidden="false" customHeight="true" outlineLevel="0" collapsed="false">
      <c r="J239" s="29" t="b">
        <f aca="false">IF(소진분석!$A239="",FALSE(),IF($B$3="발주만",소진분석!$L239="발주",OR(소진분석!$L239="발주",소진분석!$L239="임박")))</f>
        <v>0</v>
      </c>
      <c r="K239" s="7" t="str">
        <f aca="false">IF($J239=FALSE(),"",COUNTIF($J$6:$J239,TRUE()))</f>
        <v/>
      </c>
      <c r="L239" s="7" t="str">
        <f aca="false">IF($K239="","","R"&amp;$K239)</f>
        <v/>
      </c>
    </row>
    <row r="240" customFormat="false" ht="15" hidden="false" customHeight="true" outlineLevel="0" collapsed="false">
      <c r="J240" s="29" t="b">
        <f aca="false">IF(소진분석!$A240="",FALSE(),IF($B$3="발주만",소진분석!$L240="발주",OR(소진분석!$L240="발주",소진분석!$L240="임박")))</f>
        <v>0</v>
      </c>
      <c r="K240" s="7" t="str">
        <f aca="false">IF($J240=FALSE(),"",COUNTIF($J$6:$J240,TRUE()))</f>
        <v/>
      </c>
      <c r="L240" s="7" t="str">
        <f aca="false">IF($K240="","","R"&amp;$K240)</f>
        <v/>
      </c>
    </row>
    <row r="241" customFormat="false" ht="15" hidden="false" customHeight="true" outlineLevel="0" collapsed="false">
      <c r="J241" s="29" t="b">
        <f aca="false">IF(소진분석!$A241="",FALSE(),IF($B$3="발주만",소진분석!$L241="발주",OR(소진분석!$L241="발주",소진분석!$L241="임박")))</f>
        <v>0</v>
      </c>
      <c r="K241" s="7" t="str">
        <f aca="false">IF($J241=FALSE(),"",COUNTIF($J$6:$J241,TRUE()))</f>
        <v/>
      </c>
      <c r="L241" s="7" t="str">
        <f aca="false">IF($K241="","","R"&amp;$K241)</f>
        <v/>
      </c>
    </row>
    <row r="242" customFormat="false" ht="15" hidden="false" customHeight="true" outlineLevel="0" collapsed="false">
      <c r="J242" s="29" t="b">
        <f aca="false">IF(소진분석!$A242="",FALSE(),IF($B$3="발주만",소진분석!$L242="발주",OR(소진분석!$L242="발주",소진분석!$L242="임박")))</f>
        <v>0</v>
      </c>
      <c r="K242" s="7" t="str">
        <f aca="false">IF($J242=FALSE(),"",COUNTIF($J$6:$J242,TRUE()))</f>
        <v/>
      </c>
      <c r="L242" s="7" t="str">
        <f aca="false">IF($K242="","","R"&amp;$K242)</f>
        <v/>
      </c>
    </row>
    <row r="243" customFormat="false" ht="15" hidden="false" customHeight="true" outlineLevel="0" collapsed="false">
      <c r="J243" s="29" t="b">
        <f aca="false">IF(소진분석!$A243="",FALSE(),IF($B$3="발주만",소진분석!$L243="발주",OR(소진분석!$L243="발주",소진분석!$L243="임박")))</f>
        <v>0</v>
      </c>
      <c r="K243" s="7" t="str">
        <f aca="false">IF($J243=FALSE(),"",COUNTIF($J$6:$J243,TRUE()))</f>
        <v/>
      </c>
      <c r="L243" s="7" t="str">
        <f aca="false">IF($K243="","","R"&amp;$K243)</f>
        <v/>
      </c>
    </row>
    <row r="244" customFormat="false" ht="15" hidden="false" customHeight="true" outlineLevel="0" collapsed="false">
      <c r="J244" s="29" t="b">
        <f aca="false">IF(소진분석!$A244="",FALSE(),IF($B$3="발주만",소진분석!$L244="발주",OR(소진분석!$L244="발주",소진분석!$L244="임박")))</f>
        <v>0</v>
      </c>
      <c r="K244" s="7" t="str">
        <f aca="false">IF($J244=FALSE(),"",COUNTIF($J$6:$J244,TRUE()))</f>
        <v/>
      </c>
      <c r="L244" s="7" t="str">
        <f aca="false">IF($K244="","","R"&amp;$K244)</f>
        <v/>
      </c>
    </row>
    <row r="245" customFormat="false" ht="15" hidden="false" customHeight="true" outlineLevel="0" collapsed="false">
      <c r="J245" s="29" t="b">
        <f aca="false">IF(소진분석!$A245="",FALSE(),IF($B$3="발주만",소진분석!$L245="발주",OR(소진분석!$L245="발주",소진분석!$L245="임박")))</f>
        <v>0</v>
      </c>
      <c r="K245" s="7" t="str">
        <f aca="false">IF($J245=FALSE(),"",COUNTIF($J$6:$J245,TRUE()))</f>
        <v/>
      </c>
      <c r="L245" s="7" t="str">
        <f aca="false">IF($K245="","","R"&amp;$K245)</f>
        <v/>
      </c>
    </row>
    <row r="246" customFormat="false" ht="15" hidden="false" customHeight="true" outlineLevel="0" collapsed="false">
      <c r="J246" s="29" t="b">
        <f aca="false">IF(소진분석!$A246="",FALSE(),IF($B$3="발주만",소진분석!$L246="발주",OR(소진분석!$L246="발주",소진분석!$L246="임박")))</f>
        <v>0</v>
      </c>
      <c r="K246" s="7" t="str">
        <f aca="false">IF($J246=FALSE(),"",COUNTIF($J$6:$J246,TRUE()))</f>
        <v/>
      </c>
      <c r="L246" s="7" t="str">
        <f aca="false">IF($K246="","","R"&amp;$K246)</f>
        <v/>
      </c>
    </row>
    <row r="247" customFormat="false" ht="15" hidden="false" customHeight="true" outlineLevel="0" collapsed="false">
      <c r="J247" s="29" t="b">
        <f aca="false">IF(소진분석!$A247="",FALSE(),IF($B$3="발주만",소진분석!$L247="발주",OR(소진분석!$L247="발주",소진분석!$L247="임박")))</f>
        <v>0</v>
      </c>
      <c r="K247" s="7" t="str">
        <f aca="false">IF($J247=FALSE(),"",COUNTIF($J$6:$J247,TRUE()))</f>
        <v/>
      </c>
      <c r="L247" s="7" t="str">
        <f aca="false">IF($K247="","","R"&amp;$K247)</f>
        <v/>
      </c>
    </row>
    <row r="248" customFormat="false" ht="15" hidden="false" customHeight="true" outlineLevel="0" collapsed="false">
      <c r="J248" s="29" t="b">
        <f aca="false">IF(소진분석!$A248="",FALSE(),IF($B$3="발주만",소진분석!$L248="발주",OR(소진분석!$L248="발주",소진분석!$L248="임박")))</f>
        <v>0</v>
      </c>
      <c r="K248" s="7" t="str">
        <f aca="false">IF($J248=FALSE(),"",COUNTIF($J$6:$J248,TRUE()))</f>
        <v/>
      </c>
      <c r="L248" s="7" t="str">
        <f aca="false">IF($K248="","","R"&amp;$K248)</f>
        <v/>
      </c>
    </row>
    <row r="249" customFormat="false" ht="15" hidden="false" customHeight="true" outlineLevel="0" collapsed="false">
      <c r="J249" s="29" t="b">
        <f aca="false">IF(소진분석!$A249="",FALSE(),IF($B$3="발주만",소진분석!$L249="발주",OR(소진분석!$L249="발주",소진분석!$L249="임박")))</f>
        <v>0</v>
      </c>
      <c r="K249" s="7" t="str">
        <f aca="false">IF($J249=FALSE(),"",COUNTIF($J$6:$J249,TRUE()))</f>
        <v/>
      </c>
      <c r="L249" s="7" t="str">
        <f aca="false">IF($K249="","","R"&amp;$K249)</f>
        <v/>
      </c>
    </row>
    <row r="250" customFormat="false" ht="15" hidden="false" customHeight="true" outlineLevel="0" collapsed="false">
      <c r="J250" s="29" t="b">
        <f aca="false">IF(소진분석!$A250="",FALSE(),IF($B$3="발주만",소진분석!$L250="발주",OR(소진분석!$L250="발주",소진분석!$L250="임박")))</f>
        <v>0</v>
      </c>
      <c r="K250" s="7" t="str">
        <f aca="false">IF($J250=FALSE(),"",COUNTIF($J$6:$J250,TRUE()))</f>
        <v/>
      </c>
      <c r="L250" s="7" t="str">
        <f aca="false">IF($K250="","","R"&amp;$K250)</f>
        <v/>
      </c>
    </row>
    <row r="251" customFormat="false" ht="15" hidden="false" customHeight="true" outlineLevel="0" collapsed="false">
      <c r="J251" s="29" t="b">
        <f aca="false">IF(소진분석!$A251="",FALSE(),IF($B$3="발주만",소진분석!$L251="발주",OR(소진분석!$L251="발주",소진분석!$L251="임박")))</f>
        <v>0</v>
      </c>
      <c r="K251" s="7" t="str">
        <f aca="false">IF($J251=FALSE(),"",COUNTIF($J$6:$J251,TRUE()))</f>
        <v/>
      </c>
      <c r="L251" s="7" t="str">
        <f aca="false">IF($K251="","","R"&amp;$K251)</f>
        <v/>
      </c>
    </row>
    <row r="252" customFormat="false" ht="15" hidden="false" customHeight="true" outlineLevel="0" collapsed="false">
      <c r="J252" s="29" t="b">
        <f aca="false">IF(소진분석!$A252="",FALSE(),IF($B$3="발주만",소진분석!$L252="발주",OR(소진분석!$L252="발주",소진분석!$L252="임박")))</f>
        <v>0</v>
      </c>
      <c r="K252" s="7" t="str">
        <f aca="false">IF($J252=FALSE(),"",COUNTIF($J$6:$J252,TRUE()))</f>
        <v/>
      </c>
      <c r="L252" s="7" t="str">
        <f aca="false">IF($K252="","","R"&amp;$K252)</f>
        <v/>
      </c>
    </row>
    <row r="253" customFormat="false" ht="15" hidden="false" customHeight="true" outlineLevel="0" collapsed="false">
      <c r="J253" s="29" t="b">
        <f aca="false">IF(소진분석!$A253="",FALSE(),IF($B$3="발주만",소진분석!$L253="발주",OR(소진분석!$L253="발주",소진분석!$L253="임박")))</f>
        <v>0</v>
      </c>
      <c r="K253" s="7" t="str">
        <f aca="false">IF($J253=FALSE(),"",COUNTIF($J$6:$J253,TRUE()))</f>
        <v/>
      </c>
      <c r="L253" s="7" t="str">
        <f aca="false">IF($K253="","","R"&amp;$K253)</f>
        <v/>
      </c>
    </row>
    <row r="254" customFormat="false" ht="15" hidden="false" customHeight="true" outlineLevel="0" collapsed="false">
      <c r="J254" s="29" t="b">
        <f aca="false">IF(소진분석!$A254="",FALSE(),IF($B$3="발주만",소진분석!$L254="발주",OR(소진분석!$L254="발주",소진분석!$L254="임박")))</f>
        <v>0</v>
      </c>
      <c r="K254" s="7" t="str">
        <f aca="false">IF($J254=FALSE(),"",COUNTIF($J$6:$J254,TRUE()))</f>
        <v/>
      </c>
      <c r="L254" s="7" t="str">
        <f aca="false">IF($K254="","","R"&amp;$K254)</f>
        <v/>
      </c>
    </row>
    <row r="255" customFormat="false" ht="15" hidden="false" customHeight="true" outlineLevel="0" collapsed="false">
      <c r="J255" s="29" t="b">
        <f aca="false">IF(소진분석!$A255="",FALSE(),IF($B$3="발주만",소진분석!$L255="발주",OR(소진분석!$L255="발주",소진분석!$L255="임박")))</f>
        <v>0</v>
      </c>
      <c r="K255" s="7" t="str">
        <f aca="false">IF($J255=FALSE(),"",COUNTIF($J$6:$J255,TRUE()))</f>
        <v/>
      </c>
      <c r="L255" s="7" t="str">
        <f aca="false">IF($K255="","","R"&amp;$K255)</f>
        <v/>
      </c>
    </row>
    <row r="256" customFormat="false" ht="15" hidden="false" customHeight="true" outlineLevel="0" collapsed="false">
      <c r="J256" s="29" t="b">
        <f aca="false">IF(소진분석!$A256="",FALSE(),IF($B$3="발주만",소진분석!$L256="발주",OR(소진분석!$L256="발주",소진분석!$L256="임박")))</f>
        <v>0</v>
      </c>
      <c r="K256" s="7" t="str">
        <f aca="false">IF($J256=FALSE(),"",COUNTIF($J$6:$J256,TRUE()))</f>
        <v/>
      </c>
      <c r="L256" s="7" t="str">
        <f aca="false">IF($K256="","","R"&amp;$K256)</f>
        <v/>
      </c>
    </row>
    <row r="257" customFormat="false" ht="15" hidden="false" customHeight="true" outlineLevel="0" collapsed="false">
      <c r="J257" s="29" t="b">
        <f aca="false">IF(소진분석!$A257="",FALSE(),IF($B$3="발주만",소진분석!$L257="발주",OR(소진분석!$L257="발주",소진분석!$L257="임박")))</f>
        <v>0</v>
      </c>
      <c r="K257" s="7" t="str">
        <f aca="false">IF($J257=FALSE(),"",COUNTIF($J$6:$J257,TRUE()))</f>
        <v/>
      </c>
      <c r="L257" s="7" t="str">
        <f aca="false">IF($K257="","","R"&amp;$K257)</f>
        <v/>
      </c>
    </row>
    <row r="258" customFormat="false" ht="15" hidden="false" customHeight="true" outlineLevel="0" collapsed="false">
      <c r="J258" s="29" t="b">
        <f aca="false">IF(소진분석!$A258="",FALSE(),IF($B$3="발주만",소진분석!$L258="발주",OR(소진분석!$L258="발주",소진분석!$L258="임박")))</f>
        <v>0</v>
      </c>
      <c r="K258" s="7" t="str">
        <f aca="false">IF($J258=FALSE(),"",COUNTIF($J$6:$J258,TRUE()))</f>
        <v/>
      </c>
      <c r="L258" s="7" t="str">
        <f aca="false">IF($K258="","","R"&amp;$K258)</f>
        <v/>
      </c>
    </row>
    <row r="259" customFormat="false" ht="15" hidden="false" customHeight="true" outlineLevel="0" collapsed="false">
      <c r="J259" s="29" t="b">
        <f aca="false">IF(소진분석!$A259="",FALSE(),IF($B$3="발주만",소진분석!$L259="발주",OR(소진분석!$L259="발주",소진분석!$L259="임박")))</f>
        <v>0</v>
      </c>
      <c r="K259" s="7" t="str">
        <f aca="false">IF($J259=FALSE(),"",COUNTIF($J$6:$J259,TRUE()))</f>
        <v/>
      </c>
      <c r="L259" s="7" t="str">
        <f aca="false">IF($K259="","","R"&amp;$K259)</f>
        <v/>
      </c>
    </row>
    <row r="260" customFormat="false" ht="15" hidden="false" customHeight="true" outlineLevel="0" collapsed="false">
      <c r="J260" s="29" t="b">
        <f aca="false">IF(소진분석!$A260="",FALSE(),IF($B$3="발주만",소진분석!$L260="발주",OR(소진분석!$L260="발주",소진분석!$L260="임박")))</f>
        <v>0</v>
      </c>
      <c r="K260" s="7" t="str">
        <f aca="false">IF($J260=FALSE(),"",COUNTIF($J$6:$J260,TRUE()))</f>
        <v/>
      </c>
      <c r="L260" s="7" t="str">
        <f aca="false">IF($K260="","","R"&amp;$K260)</f>
        <v/>
      </c>
    </row>
    <row r="261" customFormat="false" ht="15" hidden="false" customHeight="true" outlineLevel="0" collapsed="false">
      <c r="J261" s="29" t="b">
        <f aca="false">IF(소진분석!$A261="",FALSE(),IF($B$3="발주만",소진분석!$L261="발주",OR(소진분석!$L261="발주",소진분석!$L261="임박")))</f>
        <v>0</v>
      </c>
      <c r="K261" s="7" t="str">
        <f aca="false">IF($J261=FALSE(),"",COUNTIF($J$6:$J261,TRUE()))</f>
        <v/>
      </c>
      <c r="L261" s="7" t="str">
        <f aca="false">IF($K261="","","R"&amp;$K261)</f>
        <v/>
      </c>
    </row>
    <row r="262" customFormat="false" ht="15" hidden="false" customHeight="true" outlineLevel="0" collapsed="false">
      <c r="J262" s="29" t="b">
        <f aca="false">IF(소진분석!$A262="",FALSE(),IF($B$3="발주만",소진분석!$L262="발주",OR(소진분석!$L262="발주",소진분석!$L262="임박")))</f>
        <v>0</v>
      </c>
      <c r="K262" s="7" t="str">
        <f aca="false">IF($J262=FALSE(),"",COUNTIF($J$6:$J262,TRUE()))</f>
        <v/>
      </c>
      <c r="L262" s="7" t="str">
        <f aca="false">IF($K262="","","R"&amp;$K262)</f>
        <v/>
      </c>
    </row>
    <row r="263" customFormat="false" ht="15" hidden="false" customHeight="true" outlineLevel="0" collapsed="false">
      <c r="J263" s="29" t="b">
        <f aca="false">IF(소진분석!$A263="",FALSE(),IF($B$3="발주만",소진분석!$L263="발주",OR(소진분석!$L263="발주",소진분석!$L263="임박")))</f>
        <v>0</v>
      </c>
      <c r="K263" s="7" t="str">
        <f aca="false">IF($J263=FALSE(),"",COUNTIF($J$6:$J263,TRUE()))</f>
        <v/>
      </c>
      <c r="L263" s="7" t="str">
        <f aca="false">IF($K263="","","R"&amp;$K263)</f>
        <v/>
      </c>
    </row>
    <row r="264" customFormat="false" ht="15" hidden="false" customHeight="true" outlineLevel="0" collapsed="false">
      <c r="J264" s="29" t="b">
        <f aca="false">IF(소진분석!$A264="",FALSE(),IF($B$3="발주만",소진분석!$L264="발주",OR(소진분석!$L264="발주",소진분석!$L264="임박")))</f>
        <v>0</v>
      </c>
      <c r="K264" s="7" t="str">
        <f aca="false">IF($J264=FALSE(),"",COUNTIF($J$6:$J264,TRUE()))</f>
        <v/>
      </c>
      <c r="L264" s="7" t="str">
        <f aca="false">IF($K264="","","R"&amp;$K264)</f>
        <v/>
      </c>
    </row>
    <row r="265" customFormat="false" ht="15" hidden="false" customHeight="true" outlineLevel="0" collapsed="false">
      <c r="J265" s="29" t="b">
        <f aca="false">IF(소진분석!$A265="",FALSE(),IF($B$3="발주만",소진분석!$L265="발주",OR(소진분석!$L265="발주",소진분석!$L265="임박")))</f>
        <v>0</v>
      </c>
      <c r="K265" s="7" t="str">
        <f aca="false">IF($J265=FALSE(),"",COUNTIF($J$6:$J265,TRUE()))</f>
        <v/>
      </c>
      <c r="L265" s="7" t="str">
        <f aca="false">IF($K265="","","R"&amp;$K265)</f>
        <v/>
      </c>
    </row>
    <row r="266" customFormat="false" ht="15" hidden="false" customHeight="true" outlineLevel="0" collapsed="false">
      <c r="J266" s="29" t="b">
        <f aca="false">IF(소진분석!$A266="",FALSE(),IF($B$3="발주만",소진분석!$L266="발주",OR(소진분석!$L266="발주",소진분석!$L266="임박")))</f>
        <v>0</v>
      </c>
      <c r="K266" s="7" t="str">
        <f aca="false">IF($J266=FALSE(),"",COUNTIF($J$6:$J266,TRUE()))</f>
        <v/>
      </c>
      <c r="L266" s="7" t="str">
        <f aca="false">IF($K266="","","R"&amp;$K266)</f>
        <v/>
      </c>
    </row>
    <row r="267" customFormat="false" ht="15" hidden="false" customHeight="true" outlineLevel="0" collapsed="false">
      <c r="J267" s="29" t="b">
        <f aca="false">IF(소진분석!$A267="",FALSE(),IF($B$3="발주만",소진분석!$L267="발주",OR(소진분석!$L267="발주",소진분석!$L267="임박")))</f>
        <v>0</v>
      </c>
      <c r="K267" s="7" t="str">
        <f aca="false">IF($J267=FALSE(),"",COUNTIF($J$6:$J267,TRUE()))</f>
        <v/>
      </c>
      <c r="L267" s="7" t="str">
        <f aca="false">IF($K267="","","R"&amp;$K267)</f>
        <v/>
      </c>
    </row>
    <row r="268" customFormat="false" ht="15" hidden="false" customHeight="true" outlineLevel="0" collapsed="false">
      <c r="J268" s="29" t="b">
        <f aca="false">IF(소진분석!$A268="",FALSE(),IF($B$3="발주만",소진분석!$L268="발주",OR(소진분석!$L268="발주",소진분석!$L268="임박")))</f>
        <v>0</v>
      </c>
      <c r="K268" s="7" t="str">
        <f aca="false">IF($J268=FALSE(),"",COUNTIF($J$6:$J268,TRUE()))</f>
        <v/>
      </c>
      <c r="L268" s="7" t="str">
        <f aca="false">IF($K268="","","R"&amp;$K268)</f>
        <v/>
      </c>
    </row>
    <row r="269" customFormat="false" ht="15" hidden="false" customHeight="true" outlineLevel="0" collapsed="false">
      <c r="J269" s="29" t="b">
        <f aca="false">IF(소진분석!$A269="",FALSE(),IF($B$3="발주만",소진분석!$L269="발주",OR(소진분석!$L269="발주",소진분석!$L269="임박")))</f>
        <v>0</v>
      </c>
      <c r="K269" s="7" t="str">
        <f aca="false">IF($J269=FALSE(),"",COUNTIF($J$6:$J269,TRUE()))</f>
        <v/>
      </c>
      <c r="L269" s="7" t="str">
        <f aca="false">IF($K269="","","R"&amp;$K269)</f>
        <v/>
      </c>
    </row>
    <row r="270" customFormat="false" ht="15" hidden="false" customHeight="true" outlineLevel="0" collapsed="false">
      <c r="J270" s="29" t="b">
        <f aca="false">IF(소진분석!$A270="",FALSE(),IF($B$3="발주만",소진분석!$L270="발주",OR(소진분석!$L270="발주",소진분석!$L270="임박")))</f>
        <v>0</v>
      </c>
      <c r="K270" s="7" t="str">
        <f aca="false">IF($J270=FALSE(),"",COUNTIF($J$6:$J270,TRUE()))</f>
        <v/>
      </c>
      <c r="L270" s="7" t="str">
        <f aca="false">IF($K270="","","R"&amp;$K270)</f>
        <v/>
      </c>
    </row>
    <row r="271" customFormat="false" ht="15" hidden="false" customHeight="true" outlineLevel="0" collapsed="false">
      <c r="J271" s="29" t="b">
        <f aca="false">IF(소진분석!$A271="",FALSE(),IF($B$3="발주만",소진분석!$L271="발주",OR(소진분석!$L271="발주",소진분석!$L271="임박")))</f>
        <v>0</v>
      </c>
      <c r="K271" s="7" t="str">
        <f aca="false">IF($J271=FALSE(),"",COUNTIF($J$6:$J271,TRUE()))</f>
        <v/>
      </c>
      <c r="L271" s="7" t="str">
        <f aca="false">IF($K271="","","R"&amp;$K271)</f>
        <v/>
      </c>
    </row>
    <row r="272" customFormat="false" ht="15" hidden="false" customHeight="true" outlineLevel="0" collapsed="false">
      <c r="J272" s="29" t="b">
        <f aca="false">IF(소진분석!$A272="",FALSE(),IF($B$3="발주만",소진분석!$L272="발주",OR(소진분석!$L272="발주",소진분석!$L272="임박")))</f>
        <v>0</v>
      </c>
      <c r="K272" s="7" t="str">
        <f aca="false">IF($J272=FALSE(),"",COUNTIF($J$6:$J272,TRUE()))</f>
        <v/>
      </c>
      <c r="L272" s="7" t="str">
        <f aca="false">IF($K272="","","R"&amp;$K272)</f>
        <v/>
      </c>
    </row>
    <row r="273" customFormat="false" ht="15" hidden="false" customHeight="true" outlineLevel="0" collapsed="false">
      <c r="J273" s="29" t="b">
        <f aca="false">IF(소진분석!$A273="",FALSE(),IF($B$3="발주만",소진분석!$L273="발주",OR(소진분석!$L273="발주",소진분석!$L273="임박")))</f>
        <v>0</v>
      </c>
      <c r="K273" s="7" t="str">
        <f aca="false">IF($J273=FALSE(),"",COUNTIF($J$6:$J273,TRUE()))</f>
        <v/>
      </c>
      <c r="L273" s="7" t="str">
        <f aca="false">IF($K273="","","R"&amp;$K273)</f>
        <v/>
      </c>
    </row>
    <row r="274" customFormat="false" ht="15" hidden="false" customHeight="true" outlineLevel="0" collapsed="false">
      <c r="J274" s="29" t="b">
        <f aca="false">IF(소진분석!$A274="",FALSE(),IF($B$3="발주만",소진분석!$L274="발주",OR(소진분석!$L274="발주",소진분석!$L274="임박")))</f>
        <v>0</v>
      </c>
      <c r="K274" s="7" t="str">
        <f aca="false">IF($J274=FALSE(),"",COUNTIF($J$6:$J274,TRUE()))</f>
        <v/>
      </c>
      <c r="L274" s="7" t="str">
        <f aca="false">IF($K274="","","R"&amp;$K274)</f>
        <v/>
      </c>
    </row>
    <row r="275" customFormat="false" ht="15" hidden="false" customHeight="true" outlineLevel="0" collapsed="false">
      <c r="J275" s="29" t="b">
        <f aca="false">IF(소진분석!$A275="",FALSE(),IF($B$3="발주만",소진분석!$L275="발주",OR(소진분석!$L275="발주",소진분석!$L275="임박")))</f>
        <v>0</v>
      </c>
      <c r="K275" s="7" t="str">
        <f aca="false">IF($J275=FALSE(),"",COUNTIF($J$6:$J275,TRUE()))</f>
        <v/>
      </c>
      <c r="L275" s="7" t="str">
        <f aca="false">IF($K275="","","R"&amp;$K275)</f>
        <v/>
      </c>
    </row>
    <row r="276" customFormat="false" ht="15" hidden="false" customHeight="true" outlineLevel="0" collapsed="false">
      <c r="J276" s="29" t="b">
        <f aca="false">IF(소진분석!$A276="",FALSE(),IF($B$3="발주만",소진분석!$L276="발주",OR(소진분석!$L276="발주",소진분석!$L276="임박")))</f>
        <v>0</v>
      </c>
      <c r="K276" s="7" t="str">
        <f aca="false">IF($J276=FALSE(),"",COUNTIF($J$6:$J276,TRUE()))</f>
        <v/>
      </c>
      <c r="L276" s="7" t="str">
        <f aca="false">IF($K276="","","R"&amp;$K276)</f>
        <v/>
      </c>
    </row>
    <row r="277" customFormat="false" ht="15" hidden="false" customHeight="true" outlineLevel="0" collapsed="false">
      <c r="J277" s="29" t="b">
        <f aca="false">IF(소진분석!$A277="",FALSE(),IF($B$3="발주만",소진분석!$L277="발주",OR(소진분석!$L277="발주",소진분석!$L277="임박")))</f>
        <v>0</v>
      </c>
      <c r="K277" s="7" t="str">
        <f aca="false">IF($J277=FALSE(),"",COUNTIF($J$6:$J277,TRUE()))</f>
        <v/>
      </c>
      <c r="L277" s="7" t="str">
        <f aca="false">IF($K277="","","R"&amp;$K277)</f>
        <v/>
      </c>
    </row>
    <row r="278" customFormat="false" ht="15" hidden="false" customHeight="true" outlineLevel="0" collapsed="false">
      <c r="J278" s="29" t="b">
        <f aca="false">IF(소진분석!$A278="",FALSE(),IF($B$3="발주만",소진분석!$L278="발주",OR(소진분석!$L278="발주",소진분석!$L278="임박")))</f>
        <v>0</v>
      </c>
      <c r="K278" s="7" t="str">
        <f aca="false">IF($J278=FALSE(),"",COUNTIF($J$6:$J278,TRUE()))</f>
        <v/>
      </c>
      <c r="L278" s="7" t="str">
        <f aca="false">IF($K278="","","R"&amp;$K278)</f>
        <v/>
      </c>
    </row>
    <row r="279" customFormat="false" ht="15" hidden="false" customHeight="true" outlineLevel="0" collapsed="false">
      <c r="J279" s="29" t="b">
        <f aca="false">IF(소진분석!$A279="",FALSE(),IF($B$3="발주만",소진분석!$L279="발주",OR(소진분석!$L279="발주",소진분석!$L279="임박")))</f>
        <v>0</v>
      </c>
      <c r="K279" s="7" t="str">
        <f aca="false">IF($J279=FALSE(),"",COUNTIF($J$6:$J279,TRUE()))</f>
        <v/>
      </c>
      <c r="L279" s="7" t="str">
        <f aca="false">IF($K279="","","R"&amp;$K279)</f>
        <v/>
      </c>
    </row>
    <row r="280" customFormat="false" ht="15" hidden="false" customHeight="true" outlineLevel="0" collapsed="false">
      <c r="J280" s="29" t="b">
        <f aca="false">IF(소진분석!$A280="",FALSE(),IF($B$3="발주만",소진분석!$L280="발주",OR(소진분석!$L280="발주",소진분석!$L280="임박")))</f>
        <v>0</v>
      </c>
      <c r="K280" s="7" t="str">
        <f aca="false">IF($J280=FALSE(),"",COUNTIF($J$6:$J280,TRUE()))</f>
        <v/>
      </c>
      <c r="L280" s="7" t="str">
        <f aca="false">IF($K280="","","R"&amp;$K280)</f>
        <v/>
      </c>
    </row>
    <row r="281" customFormat="false" ht="15" hidden="false" customHeight="true" outlineLevel="0" collapsed="false">
      <c r="J281" s="29" t="b">
        <f aca="false">IF(소진분석!$A281="",FALSE(),IF($B$3="발주만",소진분석!$L281="발주",OR(소진분석!$L281="발주",소진분석!$L281="임박")))</f>
        <v>0</v>
      </c>
      <c r="K281" s="7" t="str">
        <f aca="false">IF($J281=FALSE(),"",COUNTIF($J$6:$J281,TRUE()))</f>
        <v/>
      </c>
      <c r="L281" s="7" t="str">
        <f aca="false">IF($K281="","","R"&amp;$K281)</f>
        <v/>
      </c>
    </row>
    <row r="282" customFormat="false" ht="15" hidden="false" customHeight="true" outlineLevel="0" collapsed="false">
      <c r="J282" s="29" t="b">
        <f aca="false">IF(소진분석!$A282="",FALSE(),IF($B$3="발주만",소진분석!$L282="발주",OR(소진분석!$L282="발주",소진분석!$L282="임박")))</f>
        <v>0</v>
      </c>
      <c r="K282" s="7" t="str">
        <f aca="false">IF($J282=FALSE(),"",COUNTIF($J$6:$J282,TRUE()))</f>
        <v/>
      </c>
      <c r="L282" s="7" t="str">
        <f aca="false">IF($K282="","","R"&amp;$K282)</f>
        <v/>
      </c>
    </row>
    <row r="283" customFormat="false" ht="15" hidden="false" customHeight="true" outlineLevel="0" collapsed="false">
      <c r="J283" s="29" t="b">
        <f aca="false">IF(소진분석!$A283="",FALSE(),IF($B$3="발주만",소진분석!$L283="발주",OR(소진분석!$L283="발주",소진분석!$L283="임박")))</f>
        <v>0</v>
      </c>
      <c r="K283" s="7" t="str">
        <f aca="false">IF($J283=FALSE(),"",COUNTIF($J$6:$J283,TRUE()))</f>
        <v/>
      </c>
      <c r="L283" s="7" t="str">
        <f aca="false">IF($K283="","","R"&amp;$K283)</f>
        <v/>
      </c>
    </row>
    <row r="284" customFormat="false" ht="15" hidden="false" customHeight="true" outlineLevel="0" collapsed="false">
      <c r="J284" s="29" t="b">
        <f aca="false">IF(소진분석!$A284="",FALSE(),IF($B$3="발주만",소진분석!$L284="발주",OR(소진분석!$L284="발주",소진분석!$L284="임박")))</f>
        <v>0</v>
      </c>
      <c r="K284" s="7" t="str">
        <f aca="false">IF($J284=FALSE(),"",COUNTIF($J$6:$J284,TRUE()))</f>
        <v/>
      </c>
      <c r="L284" s="7" t="str">
        <f aca="false">IF($K284="","","R"&amp;$K284)</f>
        <v/>
      </c>
    </row>
    <row r="285" customFormat="false" ht="15" hidden="false" customHeight="true" outlineLevel="0" collapsed="false">
      <c r="J285" s="29" t="b">
        <f aca="false">IF(소진분석!$A285="",FALSE(),IF($B$3="발주만",소진분석!$L285="발주",OR(소진분석!$L285="발주",소진분석!$L285="임박")))</f>
        <v>0</v>
      </c>
      <c r="K285" s="7" t="str">
        <f aca="false">IF($J285=FALSE(),"",COUNTIF($J$6:$J285,TRUE()))</f>
        <v/>
      </c>
      <c r="L285" s="7" t="str">
        <f aca="false">IF($K285="","","R"&amp;$K285)</f>
        <v/>
      </c>
    </row>
    <row r="286" customFormat="false" ht="15" hidden="false" customHeight="true" outlineLevel="0" collapsed="false">
      <c r="J286" s="29" t="b">
        <f aca="false">IF(소진분석!$A286="",FALSE(),IF($B$3="발주만",소진분석!$L286="발주",OR(소진분석!$L286="발주",소진분석!$L286="임박")))</f>
        <v>0</v>
      </c>
      <c r="K286" s="7" t="str">
        <f aca="false">IF($J286=FALSE(),"",COUNTIF($J$6:$J286,TRUE()))</f>
        <v/>
      </c>
      <c r="L286" s="7" t="str">
        <f aca="false">IF($K286="","","R"&amp;$K286)</f>
        <v/>
      </c>
    </row>
    <row r="287" customFormat="false" ht="15" hidden="false" customHeight="true" outlineLevel="0" collapsed="false">
      <c r="J287" s="29" t="b">
        <f aca="false">IF(소진분석!$A287="",FALSE(),IF($B$3="발주만",소진분석!$L287="발주",OR(소진분석!$L287="발주",소진분석!$L287="임박")))</f>
        <v>0</v>
      </c>
      <c r="K287" s="7" t="str">
        <f aca="false">IF($J287=FALSE(),"",COUNTIF($J$6:$J287,TRUE()))</f>
        <v/>
      </c>
      <c r="L287" s="7" t="str">
        <f aca="false">IF($K287="","","R"&amp;$K287)</f>
        <v/>
      </c>
    </row>
    <row r="288" customFormat="false" ht="15" hidden="false" customHeight="true" outlineLevel="0" collapsed="false">
      <c r="J288" s="29" t="b">
        <f aca="false">IF(소진분석!$A288="",FALSE(),IF($B$3="발주만",소진분석!$L288="발주",OR(소진분석!$L288="발주",소진분석!$L288="임박")))</f>
        <v>0</v>
      </c>
      <c r="K288" s="7" t="str">
        <f aca="false">IF($J288=FALSE(),"",COUNTIF($J$6:$J288,TRUE()))</f>
        <v/>
      </c>
      <c r="L288" s="7" t="str">
        <f aca="false">IF($K288="","","R"&amp;$K288)</f>
        <v/>
      </c>
    </row>
    <row r="289" customFormat="false" ht="15" hidden="false" customHeight="true" outlineLevel="0" collapsed="false">
      <c r="J289" s="29" t="b">
        <f aca="false">IF(소진분석!$A289="",FALSE(),IF($B$3="발주만",소진분석!$L289="발주",OR(소진분석!$L289="발주",소진분석!$L289="임박")))</f>
        <v>0</v>
      </c>
      <c r="K289" s="7" t="str">
        <f aca="false">IF($J289=FALSE(),"",COUNTIF($J$6:$J289,TRUE()))</f>
        <v/>
      </c>
      <c r="L289" s="7" t="str">
        <f aca="false">IF($K289="","","R"&amp;$K289)</f>
        <v/>
      </c>
    </row>
    <row r="290" customFormat="false" ht="15" hidden="false" customHeight="true" outlineLevel="0" collapsed="false">
      <c r="J290" s="29" t="b">
        <f aca="false">IF(소진분석!$A290="",FALSE(),IF($B$3="발주만",소진분석!$L290="발주",OR(소진분석!$L290="발주",소진분석!$L290="임박")))</f>
        <v>0</v>
      </c>
      <c r="K290" s="7" t="str">
        <f aca="false">IF($J290=FALSE(),"",COUNTIF($J$6:$J290,TRUE()))</f>
        <v/>
      </c>
      <c r="L290" s="7" t="str">
        <f aca="false">IF($K290="","","R"&amp;$K290)</f>
        <v/>
      </c>
    </row>
    <row r="291" customFormat="false" ht="15" hidden="false" customHeight="true" outlineLevel="0" collapsed="false">
      <c r="J291" s="29" t="b">
        <f aca="false">IF(소진분석!$A291="",FALSE(),IF($B$3="발주만",소진분석!$L291="발주",OR(소진분석!$L291="발주",소진분석!$L291="임박")))</f>
        <v>0</v>
      </c>
      <c r="K291" s="7" t="str">
        <f aca="false">IF($J291=FALSE(),"",COUNTIF($J$6:$J291,TRUE()))</f>
        <v/>
      </c>
      <c r="L291" s="7" t="str">
        <f aca="false">IF($K291="","","R"&amp;$K291)</f>
        <v/>
      </c>
    </row>
    <row r="292" customFormat="false" ht="15" hidden="false" customHeight="true" outlineLevel="0" collapsed="false">
      <c r="J292" s="29" t="b">
        <f aca="false">IF(소진분석!$A292="",FALSE(),IF($B$3="발주만",소진분석!$L292="발주",OR(소진분석!$L292="발주",소진분석!$L292="임박")))</f>
        <v>0</v>
      </c>
      <c r="K292" s="7" t="str">
        <f aca="false">IF($J292=FALSE(),"",COUNTIF($J$6:$J292,TRUE()))</f>
        <v/>
      </c>
      <c r="L292" s="7" t="str">
        <f aca="false">IF($K292="","","R"&amp;$K292)</f>
        <v/>
      </c>
    </row>
    <row r="293" customFormat="false" ht="15" hidden="false" customHeight="true" outlineLevel="0" collapsed="false">
      <c r="J293" s="29" t="b">
        <f aca="false">IF(소진분석!$A293="",FALSE(),IF($B$3="발주만",소진분석!$L293="발주",OR(소진분석!$L293="발주",소진분석!$L293="임박")))</f>
        <v>0</v>
      </c>
      <c r="K293" s="7" t="str">
        <f aca="false">IF($J293=FALSE(),"",COUNTIF($J$6:$J293,TRUE()))</f>
        <v/>
      </c>
      <c r="L293" s="7" t="str">
        <f aca="false">IF($K293="","","R"&amp;$K293)</f>
        <v/>
      </c>
    </row>
    <row r="294" customFormat="false" ht="15" hidden="false" customHeight="true" outlineLevel="0" collapsed="false">
      <c r="J294" s="29" t="b">
        <f aca="false">IF(소진분석!$A294="",FALSE(),IF($B$3="발주만",소진분석!$L294="발주",OR(소진분석!$L294="발주",소진분석!$L294="임박")))</f>
        <v>0</v>
      </c>
      <c r="K294" s="7" t="str">
        <f aca="false">IF($J294=FALSE(),"",COUNTIF($J$6:$J294,TRUE()))</f>
        <v/>
      </c>
      <c r="L294" s="7" t="str">
        <f aca="false">IF($K294="","","R"&amp;$K294)</f>
        <v/>
      </c>
    </row>
    <row r="295" customFormat="false" ht="15" hidden="false" customHeight="true" outlineLevel="0" collapsed="false">
      <c r="J295" s="29" t="b">
        <f aca="false">IF(소진분석!$A295="",FALSE(),IF($B$3="발주만",소진분석!$L295="발주",OR(소진분석!$L295="발주",소진분석!$L295="임박")))</f>
        <v>0</v>
      </c>
      <c r="K295" s="7" t="str">
        <f aca="false">IF($J295=FALSE(),"",COUNTIF($J$6:$J295,TRUE()))</f>
        <v/>
      </c>
      <c r="L295" s="7" t="str">
        <f aca="false">IF($K295="","","R"&amp;$K295)</f>
        <v/>
      </c>
    </row>
    <row r="296" customFormat="false" ht="15" hidden="false" customHeight="true" outlineLevel="0" collapsed="false">
      <c r="J296" s="29" t="b">
        <f aca="false">IF(소진분석!$A296="",FALSE(),IF($B$3="발주만",소진분석!$L296="발주",OR(소진분석!$L296="발주",소진분석!$L296="임박")))</f>
        <v>0</v>
      </c>
      <c r="K296" s="7" t="str">
        <f aca="false">IF($J296=FALSE(),"",COUNTIF($J$6:$J296,TRUE()))</f>
        <v/>
      </c>
      <c r="L296" s="7" t="str">
        <f aca="false">IF($K296="","","R"&amp;$K296)</f>
        <v/>
      </c>
    </row>
    <row r="297" customFormat="false" ht="15" hidden="false" customHeight="true" outlineLevel="0" collapsed="false">
      <c r="J297" s="29" t="b">
        <f aca="false">IF(소진분석!$A297="",FALSE(),IF($B$3="발주만",소진분석!$L297="발주",OR(소진분석!$L297="발주",소진분석!$L297="임박")))</f>
        <v>0</v>
      </c>
      <c r="K297" s="7" t="str">
        <f aca="false">IF($J297=FALSE(),"",COUNTIF($J$6:$J297,TRUE()))</f>
        <v/>
      </c>
      <c r="L297" s="7" t="str">
        <f aca="false">IF($K297="","","R"&amp;$K297)</f>
        <v/>
      </c>
    </row>
    <row r="298" customFormat="false" ht="15" hidden="false" customHeight="true" outlineLevel="0" collapsed="false">
      <c r="J298" s="29" t="b">
        <f aca="false">IF(소진분석!$A298="",FALSE(),IF($B$3="발주만",소진분석!$L298="발주",OR(소진분석!$L298="발주",소진분석!$L298="임박")))</f>
        <v>0</v>
      </c>
      <c r="K298" s="7" t="str">
        <f aca="false">IF($J298=FALSE(),"",COUNTIF($J$6:$J298,TRUE()))</f>
        <v/>
      </c>
      <c r="L298" s="7" t="str">
        <f aca="false">IF($K298="","","R"&amp;$K298)</f>
        <v/>
      </c>
    </row>
    <row r="299" customFormat="false" ht="15" hidden="false" customHeight="true" outlineLevel="0" collapsed="false">
      <c r="J299" s="29" t="b">
        <f aca="false">IF(소진분석!$A299="",FALSE(),IF($B$3="발주만",소진분석!$L299="발주",OR(소진분석!$L299="발주",소진분석!$L299="임박")))</f>
        <v>0</v>
      </c>
      <c r="K299" s="7" t="str">
        <f aca="false">IF($J299=FALSE(),"",COUNTIF($J$6:$J299,TRUE()))</f>
        <v/>
      </c>
      <c r="L299" s="7" t="str">
        <f aca="false">IF($K299="","","R"&amp;$K299)</f>
        <v/>
      </c>
    </row>
    <row r="300" customFormat="false" ht="15" hidden="false" customHeight="true" outlineLevel="0" collapsed="false">
      <c r="J300" s="29" t="b">
        <f aca="false">IF(소진분석!$A300="",FALSE(),IF($B$3="발주만",소진분석!$L300="발주",OR(소진분석!$L300="발주",소진분석!$L300="임박")))</f>
        <v>0</v>
      </c>
      <c r="K300" s="7" t="str">
        <f aca="false">IF($J300=FALSE(),"",COUNTIF($J$6:$J300,TRUE()))</f>
        <v/>
      </c>
      <c r="L300" s="7" t="str">
        <f aca="false">IF($K300="","","R"&amp;$K300)</f>
        <v/>
      </c>
    </row>
    <row r="301" customFormat="false" ht="15" hidden="false" customHeight="true" outlineLevel="0" collapsed="false">
      <c r="J301" s="29" t="b">
        <f aca="false">IF(소진분석!$A301="",FALSE(),IF($B$3="발주만",소진분석!$L301="발주",OR(소진분석!$L301="발주",소진분석!$L301="임박")))</f>
        <v>0</v>
      </c>
      <c r="K301" s="7" t="str">
        <f aca="false">IF($J301=FALSE(),"",COUNTIF($J$6:$J301,TRUE()))</f>
        <v/>
      </c>
      <c r="L301" s="7" t="str">
        <f aca="false">IF($K301="","","R"&amp;$K301)</f>
        <v/>
      </c>
    </row>
    <row r="302" customFormat="false" ht="15" hidden="false" customHeight="true" outlineLevel="0" collapsed="false">
      <c r="J302" s="29" t="b">
        <f aca="false">IF(소진분석!$A302="",FALSE(),IF($B$3="발주만",소진분석!$L302="발주",OR(소진분석!$L302="발주",소진분석!$L302="임박")))</f>
        <v>0</v>
      </c>
      <c r="K302" s="7" t="str">
        <f aca="false">IF($J302=FALSE(),"",COUNTIF($J$6:$J302,TRUE()))</f>
        <v/>
      </c>
      <c r="L302" s="7" t="str">
        <f aca="false">IF($K302="","","R"&amp;$K302)</f>
        <v/>
      </c>
    </row>
    <row r="303" customFormat="false" ht="15" hidden="false" customHeight="true" outlineLevel="0" collapsed="false">
      <c r="J303" s="29" t="b">
        <f aca="false">IF(소진분석!$A303="",FALSE(),IF($B$3="발주만",소진분석!$L303="발주",OR(소진분석!$L303="발주",소진분석!$L303="임박")))</f>
        <v>0</v>
      </c>
      <c r="K303" s="7" t="str">
        <f aca="false">IF($J303=FALSE(),"",COUNTIF($J$6:$J303,TRUE()))</f>
        <v/>
      </c>
      <c r="L303" s="7" t="str">
        <f aca="false">IF($K303="","","R"&amp;$K303)</f>
        <v/>
      </c>
    </row>
    <row r="304" customFormat="false" ht="15" hidden="false" customHeight="true" outlineLevel="0" collapsed="false">
      <c r="J304" s="29" t="b">
        <f aca="false">IF(소진분석!$A304="",FALSE(),IF($B$3="발주만",소진분석!$L304="발주",OR(소진분석!$L304="발주",소진분석!$L304="임박")))</f>
        <v>0</v>
      </c>
      <c r="K304" s="7" t="str">
        <f aca="false">IF($J304=FALSE(),"",COUNTIF($J$6:$J304,TRUE()))</f>
        <v/>
      </c>
      <c r="L304" s="7" t="str">
        <f aca="false">IF($K304="","","R"&amp;$K304)</f>
        <v/>
      </c>
    </row>
    <row r="305" customFormat="false" ht="15" hidden="false" customHeight="true" outlineLevel="0" collapsed="false">
      <c r="J305" s="29" t="b">
        <f aca="false">IF(소진분석!$A305="",FALSE(),IF($B$3="발주만",소진분석!$L305="발주",OR(소진분석!$L305="발주",소진분석!$L305="임박")))</f>
        <v>0</v>
      </c>
      <c r="K305" s="7" t="str">
        <f aca="false">IF($J305=FALSE(),"",COUNTIF($J$6:$J305,TRUE()))</f>
        <v/>
      </c>
      <c r="L305" s="7" t="str">
        <f aca="false">IF($K305="","","R"&amp;$K305)</f>
        <v/>
      </c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B3" type="list">
      <formula1>"발주만,발주 + 임박"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24"/>
  </cols>
  <sheetData>
    <row r="1" customFormat="false" ht="25.5" hidden="false" customHeight="true" outlineLevel="0" collapsed="false">
      <c r="A1" s="2" t="s">
        <v>83</v>
      </c>
      <c r="B1" s="2"/>
      <c r="C1" s="2"/>
      <c r="D1" s="2"/>
      <c r="E1" s="2"/>
    </row>
    <row r="3" customFormat="false" ht="16.5" hidden="false" customHeight="true" outlineLevel="0" collapsed="false">
      <c r="A3" s="3" t="s">
        <v>27</v>
      </c>
      <c r="B3" s="31" t="s">
        <v>36</v>
      </c>
      <c r="C3" s="19" t="str">
        <f aca="false">IFERROR(INDEX(품목마스터!$B$3:$B$302,MATCH($B$3,품목마스터!$A$3:$A$302,0)),"")</f>
        <v>생리식염수 500ml</v>
      </c>
    </row>
    <row r="4" customFormat="false" ht="15" hidden="false" customHeight="true" outlineLevel="0" collapsed="false">
      <c r="A4" s="3" t="s">
        <v>84</v>
      </c>
      <c r="B4" s="31" t="n">
        <v>2026</v>
      </c>
    </row>
    <row r="6" customFormat="false" ht="15" hidden="false" customHeight="true" outlineLevel="0" collapsed="false">
      <c r="A6" s="9" t="s">
        <v>85</v>
      </c>
      <c r="B6" s="9" t="s">
        <v>59</v>
      </c>
      <c r="C6" s="9" t="s">
        <v>86</v>
      </c>
      <c r="D6" s="9" t="s">
        <v>66</v>
      </c>
      <c r="E6" s="9" t="s">
        <v>87</v>
      </c>
    </row>
    <row r="7" customFormat="false" ht="15" hidden="false" customHeight="true" outlineLevel="0" collapsed="false">
      <c r="A7" s="28" t="n">
        <v>1</v>
      </c>
      <c r="B7" s="32" t="n">
        <f aca="false">SUMIFS(사용내역!$E$3:$E$3002,사용내역!$B$3:$B$3002,$B$3,사용내역!$A$3:$A$3002,"&gt;="&amp;DATE($B$4,1,1),사용내역!$A$3:$A$3002,"&lt;="&amp;EOMONTH(DATE($B$4,1,1),0))</f>
        <v>0</v>
      </c>
      <c r="C7" s="28" t="n">
        <f aca="false">COUNTIFS(사용내역!$B$3:$B$3002,$B$3,사용내역!$A$3:$A$3002,"&gt;="&amp;DATE($B$4,1,1),사용내역!$A$3:$A$3002,"&lt;="&amp;EOMONTH(DATE($B$4,1,1),0))</f>
        <v>0</v>
      </c>
      <c r="D7" s="33" t="n">
        <f aca="false">IF($B7=0,0,ROUND($B7/DAY(EOMONTH(DATE($B$4,1,1),0)),2))</f>
        <v>0</v>
      </c>
      <c r="E7" s="28"/>
    </row>
    <row r="8" customFormat="false" ht="15" hidden="false" customHeight="true" outlineLevel="0" collapsed="false">
      <c r="A8" s="28" t="n">
        <v>2</v>
      </c>
      <c r="B8" s="32" t="n">
        <f aca="false">SUMIFS(사용내역!$E$3:$E$3002,사용내역!$B$3:$B$3002,$B$3,사용내역!$A$3:$A$3002,"&gt;="&amp;DATE($B$4,2,1),사용내역!$A$3:$A$3002,"&lt;="&amp;EOMONTH(DATE($B$4,2,1),0))</f>
        <v>0</v>
      </c>
      <c r="C8" s="28" t="n">
        <f aca="false">COUNTIFS(사용내역!$B$3:$B$3002,$B$3,사용내역!$A$3:$A$3002,"&gt;="&amp;DATE($B$4,2,1),사용내역!$A$3:$A$3002,"&lt;="&amp;EOMONTH(DATE($B$4,2,1),0))</f>
        <v>0</v>
      </c>
      <c r="D8" s="33" t="n">
        <f aca="false">IF($B8=0,0,ROUND($B8/DAY(EOMONTH(DATE($B$4,2,1),0)),2))</f>
        <v>0</v>
      </c>
      <c r="E8" s="28"/>
    </row>
    <row r="9" customFormat="false" ht="15" hidden="false" customHeight="true" outlineLevel="0" collapsed="false">
      <c r="A9" s="28" t="n">
        <v>3</v>
      </c>
      <c r="B9" s="32" t="n">
        <f aca="false">SUMIFS(사용내역!$E$3:$E$3002,사용내역!$B$3:$B$3002,$B$3,사용내역!$A$3:$A$3002,"&gt;="&amp;DATE($B$4,3,1),사용내역!$A$3:$A$3002,"&lt;="&amp;EOMONTH(DATE($B$4,3,1),0))</f>
        <v>0</v>
      </c>
      <c r="C9" s="28" t="n">
        <f aca="false">COUNTIFS(사용내역!$B$3:$B$3002,$B$3,사용내역!$A$3:$A$3002,"&gt;="&amp;DATE($B$4,3,1),사용내역!$A$3:$A$3002,"&lt;="&amp;EOMONTH(DATE($B$4,3,1),0))</f>
        <v>0</v>
      </c>
      <c r="D9" s="33" t="n">
        <f aca="false">IF($B9=0,0,ROUND($B9/DAY(EOMONTH(DATE($B$4,3,1),0)),2))</f>
        <v>0</v>
      </c>
      <c r="E9" s="28"/>
    </row>
    <row r="10" customFormat="false" ht="15" hidden="false" customHeight="true" outlineLevel="0" collapsed="false">
      <c r="A10" s="28" t="n">
        <v>4</v>
      </c>
      <c r="B10" s="32" t="n">
        <f aca="false">SUMIFS(사용내역!$E$3:$E$3002,사용내역!$B$3:$B$3002,$B$3,사용내역!$A$3:$A$3002,"&gt;="&amp;DATE($B$4,4,1),사용내역!$A$3:$A$3002,"&lt;="&amp;EOMONTH(DATE($B$4,4,1),0))</f>
        <v>0</v>
      </c>
      <c r="C10" s="28" t="n">
        <f aca="false">COUNTIFS(사용내역!$B$3:$B$3002,$B$3,사용내역!$A$3:$A$3002,"&gt;="&amp;DATE($B$4,4,1),사용내역!$A$3:$A$3002,"&lt;="&amp;EOMONTH(DATE($B$4,4,1),0))</f>
        <v>0</v>
      </c>
      <c r="D10" s="33" t="n">
        <f aca="false">IF($B10=0,0,ROUND($B10/DAY(EOMONTH(DATE($B$4,4,1),0)),2))</f>
        <v>0</v>
      </c>
      <c r="E10" s="28"/>
    </row>
    <row r="11" customFormat="false" ht="15" hidden="false" customHeight="true" outlineLevel="0" collapsed="false">
      <c r="A11" s="28" t="n">
        <v>5</v>
      </c>
      <c r="B11" s="32" t="n">
        <f aca="false">SUMIFS(사용내역!$E$3:$E$3002,사용내역!$B$3:$B$3002,$B$3,사용내역!$A$3:$A$3002,"&gt;="&amp;DATE($B$4,5,1),사용내역!$A$3:$A$3002,"&lt;="&amp;EOMONTH(DATE($B$4,5,1),0))</f>
        <v>0</v>
      </c>
      <c r="C11" s="28" t="n">
        <f aca="false">COUNTIFS(사용내역!$B$3:$B$3002,$B$3,사용내역!$A$3:$A$3002,"&gt;="&amp;DATE($B$4,5,1),사용내역!$A$3:$A$3002,"&lt;="&amp;EOMONTH(DATE($B$4,5,1),0))</f>
        <v>0</v>
      </c>
      <c r="D11" s="33" t="n">
        <f aca="false">IF($B11=0,0,ROUND($B11/DAY(EOMONTH(DATE($B$4,5,1),0)),2))</f>
        <v>0</v>
      </c>
      <c r="E11" s="28"/>
    </row>
    <row r="12" customFormat="false" ht="15" hidden="false" customHeight="true" outlineLevel="0" collapsed="false">
      <c r="A12" s="28" t="n">
        <v>6</v>
      </c>
      <c r="B12" s="32" t="n">
        <f aca="false">SUMIFS(사용내역!$E$3:$E$3002,사용내역!$B$3:$B$3002,$B$3,사용내역!$A$3:$A$3002,"&gt;="&amp;DATE($B$4,6,1),사용내역!$A$3:$A$3002,"&lt;="&amp;EOMONTH(DATE($B$4,6,1),0))</f>
        <v>0</v>
      </c>
      <c r="C12" s="28" t="n">
        <f aca="false">COUNTIFS(사용내역!$B$3:$B$3002,$B$3,사용내역!$A$3:$A$3002,"&gt;="&amp;DATE($B$4,6,1),사용내역!$A$3:$A$3002,"&lt;="&amp;EOMONTH(DATE($B$4,6,1),0))</f>
        <v>0</v>
      </c>
      <c r="D12" s="33" t="n">
        <f aca="false">IF($B12=0,0,ROUND($B12/DAY(EOMONTH(DATE($B$4,6,1),0)),2))</f>
        <v>0</v>
      </c>
      <c r="E12" s="28"/>
    </row>
    <row r="13" customFormat="false" ht="15" hidden="false" customHeight="true" outlineLevel="0" collapsed="false">
      <c r="A13" s="28" t="n">
        <v>7</v>
      </c>
      <c r="B13" s="32" t="n">
        <f aca="false">SUMIFS(사용내역!$E$3:$E$3002,사용내역!$B$3:$B$3002,$B$3,사용내역!$A$3:$A$3002,"&gt;="&amp;DATE($B$4,7,1),사용내역!$A$3:$A$3002,"&lt;="&amp;EOMONTH(DATE($B$4,7,1),0))</f>
        <v>27</v>
      </c>
      <c r="C13" s="28" t="n">
        <f aca="false">COUNTIFS(사용내역!$B$3:$B$3002,$B$3,사용내역!$A$3:$A$3002,"&gt;="&amp;DATE($B$4,7,1),사용내역!$A$3:$A$3002,"&lt;="&amp;EOMONTH(DATE($B$4,7,1),0))</f>
        <v>2</v>
      </c>
      <c r="D13" s="33" t="n">
        <f aca="false">IF($B13=0,0,ROUND($B13/DAY(EOMONTH(DATE($B$4,7,1),0)),2))</f>
        <v>0.87</v>
      </c>
      <c r="E13" s="28"/>
    </row>
    <row r="14" customFormat="false" ht="15" hidden="false" customHeight="true" outlineLevel="0" collapsed="false">
      <c r="A14" s="28" t="n">
        <v>8</v>
      </c>
      <c r="B14" s="32" t="n">
        <f aca="false">SUMIFS(사용내역!$E$3:$E$3002,사용내역!$B$3:$B$3002,$B$3,사용내역!$A$3:$A$3002,"&gt;="&amp;DATE($B$4,8,1),사용내역!$A$3:$A$3002,"&lt;="&amp;EOMONTH(DATE($B$4,8,1),0))</f>
        <v>32</v>
      </c>
      <c r="C14" s="28" t="n">
        <f aca="false">COUNTIFS(사용내역!$B$3:$B$3002,$B$3,사용내역!$A$3:$A$3002,"&gt;="&amp;DATE($B$4,8,1),사용내역!$A$3:$A$3002,"&lt;="&amp;EOMONTH(DATE($B$4,8,1),0))</f>
        <v>2</v>
      </c>
      <c r="D14" s="33" t="n">
        <f aca="false">IF($B14=0,0,ROUND($B14/DAY(EOMONTH(DATE($B$4,8,1),0)),2))</f>
        <v>1.03</v>
      </c>
      <c r="E14" s="28"/>
    </row>
    <row r="15" customFormat="false" ht="15" hidden="false" customHeight="true" outlineLevel="0" collapsed="false">
      <c r="A15" s="28" t="n">
        <v>9</v>
      </c>
      <c r="B15" s="32" t="n">
        <f aca="false">SUMIFS(사용내역!$E$3:$E$3002,사용내역!$B$3:$B$3002,$B$3,사용내역!$A$3:$A$3002,"&gt;="&amp;DATE($B$4,9,1),사용내역!$A$3:$A$3002,"&lt;="&amp;EOMONTH(DATE($B$4,9,1),0))</f>
        <v>16</v>
      </c>
      <c r="C15" s="28" t="n">
        <f aca="false">COUNTIFS(사용내역!$B$3:$B$3002,$B$3,사용내역!$A$3:$A$3002,"&gt;="&amp;DATE($B$4,9,1),사용내역!$A$3:$A$3002,"&lt;="&amp;EOMONTH(DATE($B$4,9,1),0))</f>
        <v>1</v>
      </c>
      <c r="D15" s="33" t="n">
        <f aca="false">IF($B15=0,0,ROUND($B15/DAY(EOMONTH(DATE($B$4,9,1),0)),2))</f>
        <v>0.53</v>
      </c>
      <c r="E15" s="28"/>
    </row>
    <row r="16" customFormat="false" ht="15" hidden="false" customHeight="true" outlineLevel="0" collapsed="false">
      <c r="A16" s="28" t="n">
        <v>10</v>
      </c>
      <c r="B16" s="32" t="n">
        <f aca="false">SUMIFS(사용내역!$E$3:$E$3002,사용내역!$B$3:$B$3002,$B$3,사용내역!$A$3:$A$3002,"&gt;="&amp;DATE($B$4,10,1),사용내역!$A$3:$A$3002,"&lt;="&amp;EOMONTH(DATE($B$4,10,1),0))</f>
        <v>0</v>
      </c>
      <c r="C16" s="28" t="n">
        <f aca="false">COUNTIFS(사용내역!$B$3:$B$3002,$B$3,사용내역!$A$3:$A$3002,"&gt;="&amp;DATE($B$4,10,1),사용내역!$A$3:$A$3002,"&lt;="&amp;EOMONTH(DATE($B$4,10,1),0))</f>
        <v>0</v>
      </c>
      <c r="D16" s="33" t="n">
        <f aca="false">IF($B16=0,0,ROUND($B16/DAY(EOMONTH(DATE($B$4,10,1),0)),2))</f>
        <v>0</v>
      </c>
      <c r="E16" s="28"/>
    </row>
    <row r="17" customFormat="false" ht="15" hidden="false" customHeight="true" outlineLevel="0" collapsed="false">
      <c r="A17" s="28" t="n">
        <v>11</v>
      </c>
      <c r="B17" s="32" t="n">
        <f aca="false">SUMIFS(사용내역!$E$3:$E$3002,사용내역!$B$3:$B$3002,$B$3,사용내역!$A$3:$A$3002,"&gt;="&amp;DATE($B$4,11,1),사용내역!$A$3:$A$3002,"&lt;="&amp;EOMONTH(DATE($B$4,11,1),0))</f>
        <v>0</v>
      </c>
      <c r="C17" s="28" t="n">
        <f aca="false">COUNTIFS(사용내역!$B$3:$B$3002,$B$3,사용내역!$A$3:$A$3002,"&gt;="&amp;DATE($B$4,11,1),사용내역!$A$3:$A$3002,"&lt;="&amp;EOMONTH(DATE($B$4,11,1),0))</f>
        <v>0</v>
      </c>
      <c r="D17" s="33" t="n">
        <f aca="false">IF($B17=0,0,ROUND($B17/DAY(EOMONTH(DATE($B$4,11,1),0)),2))</f>
        <v>0</v>
      </c>
      <c r="E17" s="28"/>
    </row>
    <row r="18" customFormat="false" ht="15" hidden="false" customHeight="true" outlineLevel="0" collapsed="false">
      <c r="A18" s="28" t="n">
        <v>12</v>
      </c>
      <c r="B18" s="32" t="n">
        <f aca="false">SUMIFS(사용내역!$E$3:$E$3002,사용내역!$B$3:$B$3002,$B$3,사용내역!$A$3:$A$3002,"&gt;="&amp;DATE($B$4,12,1),사용내역!$A$3:$A$3002,"&lt;="&amp;EOMONTH(DATE($B$4,12,1),0))</f>
        <v>0</v>
      </c>
      <c r="C18" s="28" t="n">
        <f aca="false">COUNTIFS(사용내역!$B$3:$B$3002,$B$3,사용내역!$A$3:$A$3002,"&gt;="&amp;DATE($B$4,12,1),사용내역!$A$3:$A$3002,"&lt;="&amp;EOMONTH(DATE($B$4,12,1),0))</f>
        <v>0</v>
      </c>
      <c r="D18" s="33" t="n">
        <f aca="false">IF($B18=0,0,ROUND($B18/DAY(EOMONTH(DATE($B$4,12,1),0)),2))</f>
        <v>0</v>
      </c>
      <c r="E18" s="28"/>
    </row>
    <row r="19" customFormat="false" ht="15" hidden="false" customHeight="true" outlineLevel="0" collapsed="false">
      <c r="A19" s="34" t="s">
        <v>88</v>
      </c>
      <c r="B19" s="35" t="n">
        <f aca="false">SUM(B7:B18)</f>
        <v>75</v>
      </c>
      <c r="C19" s="35" t="n">
        <f aca="false">SUM(C7:C18)</f>
        <v>5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B3" type="list">
      <formula1>품목마스터!$A$3:$A$302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2026-09-14T08:47:59Z</dcterms:created>
  <dc:creator>openpyxl</dc:creator>
  <dc:description/>
  <dc:language>en-US</dc:language>
  <cp:lastModifiedBy/>
  <dcterms:modified xsi:type="dcterms:W3CDTF">2026-09-14T08:59:11Z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