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학생명부" sheetId="2" state="visible" r:id="rId4"/>
    <sheet name="봉사기록" sheetId="3" state="visible" r:id="rId5"/>
    <sheet name="독서활동기록" sheetId="4" state="visible" r:id="rId6"/>
    <sheet name="개인별집계" sheetId="5" state="visible" r:id="rId7"/>
    <sheet name="월별집계" sheetId="6" state="visible" r:id="rId8"/>
    <sheet name="학기별집계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<sst xmlns="http://schemas.openxmlformats.org/spreadsheetml/2006/main" count="91" uniqueCount="77">
  <si>
    <t xml:space="preserve">도서부 봉사시간 누적관리</t>
  </si>
  <si>
    <t xml:space="preserve">입력하는 곳</t>
  </si>
  <si>
    <t xml:space="preserve">파란색 글씨 칸에만 입력하세요. 검은색 글씨는 자동 계산되므로 건드리지 마세요.</t>
  </si>
  <si>
    <t xml:space="preserve">① 설정</t>
  </si>
  <si>
    <t xml:space="preserve">아래 설정값을 학교 사정에 맞게 먼저 수정하세요.</t>
  </si>
  <si>
    <t xml:space="preserve">② 학생명부</t>
  </si>
  <si>
    <t xml:space="preserve">도서부 학생의 학번·이름·학년반·연락처를 등록합니다. 학번은 중복되면 안 됩니다.</t>
  </si>
  <si>
    <t xml:space="preserve">③ 봉사기록</t>
  </si>
  <si>
    <t xml:space="preserve">봉사할 때마다 한 줄씩. 날짜·학번·구분·시작시각·종료시각만 넣으면</t>
  </si>
  <si>
    <t xml:space="preserve">이름과 봉사시간(시간 단위)은 자동으로 채워집니다.</t>
  </si>
  <si>
    <t xml:space="preserve">④ 독서활동기록</t>
  </si>
  <si>
    <t xml:space="preserve">봉사시간과 별개로 독서활동 참여를 기록합니다. 횟수만 집계됩니다.</t>
  </si>
  <si>
    <t xml:space="preserve">⑤ 개인별집계</t>
  </si>
  <si>
    <t xml:space="preserve">학생별 누적시간과 20시간 한도 대비 남은 시간이 자동 계산됩니다.</t>
  </si>
  <si>
    <t xml:space="preserve">⑥ 월별집계 / 학기별집계</t>
  </si>
  <si>
    <t xml:space="preserve">자동 집계표입니다. 입력할 것이 없습니다.</t>
  </si>
  <si>
    <t xml:space="preserve">시각 입력 방법</t>
  </si>
  <si>
    <t xml:space="preserve">콜론(:) 없이 숫자 네 자리로 입력하세요.  오후 2시 30분 → 1430,  오전 9시 → 900</t>
  </si>
  <si>
    <t xml:space="preserve">입력하면 화면에는 14:30 처럼 보입니다. 분 단위까지 그대로 반영됩니다.</t>
  </si>
  <si>
    <t xml:space="preserve">자정을 넘는 경우</t>
  </si>
  <si>
    <t xml:space="preserve">이 파일은 같은 날 안에서 끝나는 봉사만 계산합니다.</t>
  </si>
  <si>
    <t xml:space="preserve">설정</t>
  </si>
  <si>
    <t xml:space="preserve">값을 바꾸면 모든 집계에 즉시 반영됩니다</t>
  </si>
  <si>
    <t xml:space="preserve">연간 봉사시간 한도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</si>
  <si>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시작일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</si>
  <si>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종료일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</si>
  <si>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시작일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</si>
  <si>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종료일</t>
    </r>
  </si>
  <si>
    <t xml:space="preserve">※ 학기 기간은 예시 날짜입니다. 반드시 실제 학사일정으로 바꿔주세요.</t>
  </si>
  <si>
    <t xml:space="preserve">학생명부  (파란색 칸에 입력)</t>
  </si>
  <si>
    <t xml:space="preserve">학번</t>
  </si>
  <si>
    <t xml:space="preserve">이름</t>
  </si>
  <si>
    <t xml:space="preserve">학년반</t>
  </si>
  <si>
    <t xml:space="preserve">연락처</t>
  </si>
  <si>
    <t xml:space="preserve">비고</t>
  </si>
  <si>
    <t xml:space="preserve">10101</t>
  </si>
  <si>
    <t xml:space="preserve">김예시</t>
  </si>
  <si>
    <t xml:space="preserve">1-1</t>
  </si>
  <si>
    <t xml:space="preserve">010-0000-0000</t>
  </si>
  <si>
    <t xml:space="preserve">← 예시 행입니다. 지우고 사용하세요.</t>
  </si>
  <si>
    <t xml:space="preserve">봉사기록  (날짜·학번·구분·시작·종료만 입력하면 나머지는 자동)</t>
  </si>
  <si>
    <t xml:space="preserve">날짜</t>
  </si>
  <si>
    <t xml:space="preserve">이름(자동)</t>
  </si>
  <si>
    <t xml:space="preserve">봉사구분</t>
  </si>
  <si>
    <t xml:space="preserve">시작시각
(예: 1230)</t>
  </si>
  <si>
    <t xml:space="preserve">종료시각
(예: 1300)</t>
  </si>
  <si>
    <t xml:space="preserve">봉사시간(자동)</t>
  </si>
  <si>
    <t xml:space="preserve">봉사내용</t>
  </si>
  <si>
    <t xml:space="preserve">연(자동)</t>
  </si>
  <si>
    <t xml:space="preserve">월(자동)</t>
  </si>
  <si>
    <t xml:space="preserve">학기(자동)</t>
  </si>
  <si>
    <t xml:space="preserve">독서활동기록  (봉사시간과 별개 · 참여 횟수만 집계)</t>
  </si>
  <si>
    <t xml:space="preserve">활동명</t>
  </si>
  <si>
    <t xml:space="preserve">개인별집계  (전부 자동 · 입력할 것 없음)</t>
  </si>
  <si>
    <t xml:space="preserve">일상봉사(h)</t>
  </si>
  <si>
    <t xml:space="preserve">특별봉사(h)</t>
  </si>
  <si>
    <t xml:space="preserve">총 봉사시간(h)</t>
  </si>
  <si>
    <t xml:space="preserve">연간한도(h)</t>
  </si>
  <si>
    <t xml:space="preserve">남은시간(h)</t>
  </si>
  <si>
    <t xml:space="preserve">달성률</t>
  </si>
  <si>
    <t xml:space="preserve">독서활동(회)</t>
  </si>
  <si>
    <t xml:space="preserve">전체 합계</t>
  </si>
  <si>
    <t xml:space="preserve">월별집계  (전부 자동)</t>
  </si>
  <si>
    <t xml:space="preserve">대상 연도</t>
  </si>
  <si>
    <t xml:space="preserve">← 이 칸만 바꾸면 아래 표가 전부 바뀝니다</t>
  </si>
  <si>
    <t xml:space="preserve">월</t>
  </si>
  <si>
    <t xml:space="preserve">합계(h)</t>
  </si>
  <si>
    <t xml:space="preserve">봉사 건수</t>
  </si>
  <si>
    <t xml:space="preserve">합계</t>
  </si>
  <si>
    <t xml:space="preserve">학기별집계  (학기 기간은 사용안내 시트에서 수정)</t>
  </si>
  <si>
    <t xml:space="preserve">구분</t>
  </si>
  <si>
    <t xml:space="preserve">참여 학생 수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</si>
  <si>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</si>
  <si>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</t>
    </r>
  </si>
  <si>
    <t xml:space="preserve">기간외</t>
  </si>
  <si>
    <t xml:space="preserve">연간 합계</t>
  </si>
  <si>
    <r>
      <rPr>
        <sz val="9"/>
        <color rgb="FF808080"/>
        <rFont val="맑은 고딕"/>
        <family val="0"/>
        <charset val="1"/>
      </rPr>
      <t xml:space="preserve">※ '</t>
    </r>
    <r>
      <rPr>
        <sz val="9"/>
        <color rgb="FF808080"/>
        <rFont val="Noto Sans CJK SC"/>
        <family val="2"/>
      </rPr>
      <t xml:space="preserve">기간외</t>
    </r>
    <r>
      <rPr>
        <sz val="9"/>
        <color rgb="FF808080"/>
        <rFont val="맑은 고딕"/>
        <family val="0"/>
        <charset val="1"/>
      </rPr>
      <t xml:space="preserve">'</t>
    </r>
    <r>
      <rPr>
        <sz val="9"/>
        <color rgb="FF808080"/>
        <rFont val="Noto Sans CJK SC"/>
        <family val="2"/>
      </rPr>
      <t xml:space="preserve">는 사용안내 시트의 학기 기간에 속하지 않는 날짜입니다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학사일정을 확인하세요</t>
    </r>
    <r>
      <rPr>
        <sz val="9"/>
        <color rgb="FF80808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</si>
</sst>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0\:00"/>
    <numFmt numFmtId="167" formatCode="0.00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sz val="10"/>
      <color rgb="FF0000FF"/>
      <name val="Noto Sans CJK SC"/>
      <family val="2"/>
      <charset val="1"/>
    </font>
    <font>
      <b val="true"/>
      <sz val="10"/>
      <name val="맑은 고딕"/>
      <family val="0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78"/>
  </cols>
  <sheetData>
    <row r="2" customFormat="false" ht="27.7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/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/>
      <c r="C13" s="4" t="s">
        <v>18</v>
      </c>
    </row>
    <row r="14" customFormat="false" ht="15" hidden="false" customHeight="true" outlineLevel="0" collapsed="false">
      <c r="B14" s="3" t="s">
        <v>19</v>
      </c>
      <c r="C14" s="4" t="s">
        <v>20</v>
      </c>
    </row>
    <row r="16" customFormat="false" ht="15" hidden="false" customHeight="true" outlineLevel="0" collapsed="false">
      <c r="B16" s="5" t="s">
        <v>21</v>
      </c>
      <c r="C16" s="6" t="s">
        <v>22</v>
      </c>
    </row>
    <row r="17" customFormat="false" ht="15" hidden="false" customHeight="true" outlineLevel="0" collapsed="false">
      <c r="B17" s="7" t="s">
        <v>23</v>
      </c>
      <c r="C17" s="8" t="n">
        <v>20</v>
      </c>
    </row>
    <row r="18" customFormat="false" ht="15" hidden="false" customHeight="true" outlineLevel="0" collapsed="false">
      <c r="B18" s="9" t="s">
        <v>24</v>
      </c>
      <c r="C18" s="10" t="n">
        <v>46083</v>
      </c>
    </row>
    <row r="19" customFormat="false" ht="15" hidden="false" customHeight="true" outlineLevel="0" collapsed="false">
      <c r="B19" s="9" t="s">
        <v>25</v>
      </c>
      <c r="C19" s="10" t="n">
        <v>46223</v>
      </c>
    </row>
    <row r="20" customFormat="false" ht="15" hidden="false" customHeight="true" outlineLevel="0" collapsed="false">
      <c r="B20" s="9" t="s">
        <v>26</v>
      </c>
      <c r="C20" s="10" t="n">
        <v>46252</v>
      </c>
    </row>
    <row r="21" customFormat="false" ht="15" hidden="false" customHeight="true" outlineLevel="0" collapsed="false">
      <c r="B21" s="9" t="s">
        <v>27</v>
      </c>
      <c r="C21" s="10" t="n">
        <v>46430</v>
      </c>
    </row>
    <row r="23" customFormat="false" ht="15" hidden="false" customHeight="true" outlineLevel="0" collapsed="false">
      <c r="B23" s="6" t="s">
        <v>28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30"/>
  </cols>
  <sheetData>
    <row r="1" customFormat="false" ht="24" hidden="false" customHeight="true" outlineLevel="0" collapsed="false">
      <c r="A1" s="2" t="s">
        <v>29</v>
      </c>
      <c r="B1" s="2"/>
      <c r="C1" s="2"/>
      <c r="D1" s="2"/>
      <c r="E1" s="2"/>
    </row>
    <row r="2" customFormat="false" ht="15" hidden="false" customHeight="true" outlineLevel="0" collapsed="false">
      <c r="A2" s="11" t="s">
        <v>30</v>
      </c>
      <c r="B2" s="11" t="s">
        <v>31</v>
      </c>
      <c r="C2" s="11" t="s">
        <v>32</v>
      </c>
      <c r="D2" s="11" t="s">
        <v>33</v>
      </c>
      <c r="E2" s="11" t="s">
        <v>34</v>
      </c>
    </row>
    <row r="3" customFormat="false" ht="15" hidden="false" customHeight="true" outlineLevel="0" collapsed="false">
      <c r="A3" s="12" t="s">
        <v>35</v>
      </c>
      <c r="B3" s="13" t="s">
        <v>36</v>
      </c>
      <c r="C3" s="12" t="s">
        <v>37</v>
      </c>
      <c r="D3" s="12" t="s">
        <v>38</v>
      </c>
      <c r="E3" s="13" t="s">
        <v>39</v>
      </c>
    </row>
    <row r="4" customFormat="false" ht="15" hidden="false" customHeight="true" outlineLevel="0" collapsed="false">
      <c r="A4" s="12" t="n">
        <v>10102</v>
      </c>
      <c r="B4" s="12" t="inlineStr">
        <is>
          <t>이예시</t>
        </is>
      </c>
      <c r="C4" s="12" t="inlineStr">
        <is>
          <t>1-3</t>
        </is>
      </c>
      <c r="D4" s="12" t="inlineStr">
        <is>
          <t>010-0000-0002</t>
        </is>
      </c>
      <c r="E4" s="12"/>
    </row>
    <row r="5" customFormat="false" ht="15" hidden="false" customHeight="true" outlineLevel="0" collapsed="false">
      <c r="A5" s="12" t="n">
        <v>10203</v>
      </c>
      <c r="B5" s="12" t="inlineStr">
        <is>
          <t>박예시</t>
        </is>
      </c>
      <c r="C5" s="12" t="inlineStr">
        <is>
          <t>2-1</t>
        </is>
      </c>
      <c r="D5" s="12" t="inlineStr">
        <is>
          <t>010-0000-0003</t>
        </is>
      </c>
      <c r="E5" s="12"/>
    </row>
    <row r="6" customFormat="false" ht="15" hidden="false" customHeight="true" outlineLevel="0" collapsed="false">
      <c r="A6" s="12"/>
      <c r="B6" s="12"/>
      <c r="C6" s="12"/>
      <c r="D6" s="12"/>
      <c r="E6" s="12"/>
    </row>
    <row r="7" customFormat="false" ht="15" hidden="false" customHeight="true" outlineLevel="0" collapsed="false">
      <c r="A7" s="12"/>
      <c r="B7" s="12"/>
      <c r="C7" s="12"/>
      <c r="D7" s="12"/>
      <c r="E7" s="12"/>
    </row>
    <row r="8" customFormat="false" ht="15" hidden="false" customHeight="true" outlineLevel="0" collapsed="false">
      <c r="A8" s="12"/>
      <c r="B8" s="12"/>
      <c r="C8" s="12"/>
      <c r="D8" s="12"/>
      <c r="E8" s="12"/>
    </row>
    <row r="9" customFormat="false" ht="15" hidden="false" customHeight="true" outlineLevel="0" collapsed="false">
      <c r="A9" s="12"/>
      <c r="B9" s="12"/>
      <c r="C9" s="12"/>
      <c r="D9" s="12"/>
      <c r="E9" s="12"/>
    </row>
    <row r="10" customFormat="false" ht="15" hidden="false" customHeight="true" outlineLevel="0" collapsed="false">
      <c r="A10" s="12"/>
      <c r="B10" s="12"/>
      <c r="C10" s="12"/>
      <c r="D10" s="12"/>
      <c r="E10" s="12"/>
    </row>
    <row r="11" customFormat="false" ht="15" hidden="false" customHeight="true" outlineLevel="0" collapsed="false">
      <c r="A11" s="12"/>
      <c r="B11" s="12"/>
      <c r="C11" s="12"/>
      <c r="D11" s="12"/>
      <c r="E11" s="12"/>
    </row>
    <row r="12" customFormat="false" ht="15" hidden="false" customHeight="true" outlineLevel="0" collapsed="false">
      <c r="A12" s="12"/>
      <c r="B12" s="12"/>
      <c r="C12" s="12"/>
      <c r="D12" s="12"/>
      <c r="E12" s="12"/>
    </row>
    <row r="13" customFormat="false" ht="15" hidden="false" customHeight="true" outlineLevel="0" collapsed="false">
      <c r="A13" s="12"/>
      <c r="B13" s="12"/>
      <c r="C13" s="12"/>
      <c r="D13" s="12"/>
      <c r="E13" s="12"/>
    </row>
    <row r="14" customFormat="false" ht="15" hidden="false" customHeight="true" outlineLevel="0" collapsed="false">
      <c r="A14" s="12"/>
      <c r="B14" s="12"/>
      <c r="C14" s="12"/>
      <c r="D14" s="12"/>
      <c r="E14" s="12"/>
    </row>
    <row r="15" customFormat="false" ht="15" hidden="false" customHeight="true" outlineLevel="0" collapsed="false">
      <c r="A15" s="12"/>
      <c r="B15" s="12"/>
      <c r="C15" s="12"/>
      <c r="D15" s="12"/>
      <c r="E15" s="12"/>
    </row>
    <row r="16" customFormat="false" ht="15" hidden="false" customHeight="true" outlineLevel="0" collapsed="false">
      <c r="A16" s="12"/>
      <c r="B16" s="12"/>
      <c r="C16" s="12"/>
      <c r="D16" s="12"/>
      <c r="E16" s="12"/>
    </row>
    <row r="17" customFormat="false" ht="15" hidden="false" customHeight="true" outlineLevel="0" collapsed="false">
      <c r="A17" s="12"/>
      <c r="B17" s="12"/>
      <c r="C17" s="12"/>
      <c r="D17" s="12"/>
      <c r="E17" s="12"/>
    </row>
    <row r="18" customFormat="false" ht="15" hidden="false" customHeight="true" outlineLevel="0" collapsed="false">
      <c r="A18" s="12"/>
      <c r="B18" s="12"/>
      <c r="C18" s="12"/>
      <c r="D18" s="12"/>
      <c r="E18" s="12"/>
    </row>
    <row r="19" customFormat="false" ht="15" hidden="false" customHeight="true" outlineLevel="0" collapsed="false">
      <c r="A19" s="12"/>
      <c r="B19" s="12"/>
      <c r="C19" s="12"/>
      <c r="D19" s="12"/>
      <c r="E19" s="12"/>
    </row>
    <row r="20" customFormat="false" ht="15" hidden="false" customHeight="true" outlineLevel="0" collapsed="false">
      <c r="A20" s="12"/>
      <c r="B20" s="12"/>
      <c r="C20" s="12"/>
      <c r="D20" s="12"/>
      <c r="E20" s="12"/>
    </row>
    <row r="21" customFormat="false" ht="15" hidden="false" customHeight="true" outlineLevel="0" collapsed="false">
      <c r="A21" s="12"/>
      <c r="B21" s="12"/>
      <c r="C21" s="12"/>
      <c r="D21" s="12"/>
      <c r="E21" s="12"/>
    </row>
    <row r="22" customFormat="false" ht="15" hidden="false" customHeight="true" outlineLevel="0" collapsed="false">
      <c r="A22" s="12"/>
      <c r="B22" s="12"/>
      <c r="C22" s="12"/>
      <c r="D22" s="12"/>
      <c r="E22" s="12"/>
    </row>
    <row r="23" customFormat="false" ht="15" hidden="false" customHeight="true" outlineLevel="0" collapsed="false">
      <c r="A23" s="12"/>
      <c r="B23" s="12"/>
      <c r="C23" s="12"/>
      <c r="D23" s="12"/>
      <c r="E23" s="12"/>
    </row>
    <row r="24" customFormat="false" ht="15" hidden="false" customHeight="true" outlineLevel="0" collapsed="false">
      <c r="A24" s="12"/>
      <c r="B24" s="12"/>
      <c r="C24" s="12"/>
      <c r="D24" s="12"/>
      <c r="E24" s="12"/>
    </row>
    <row r="25" customFormat="false" ht="15" hidden="false" customHeight="true" outlineLevel="0" collapsed="false">
      <c r="A25" s="12"/>
      <c r="B25" s="12"/>
      <c r="C25" s="12"/>
      <c r="D25" s="12"/>
      <c r="E25" s="12"/>
    </row>
    <row r="26" customFormat="false" ht="15" hidden="false" customHeight="true" outlineLevel="0" collapsed="false">
      <c r="A26" s="12"/>
      <c r="B26" s="12"/>
      <c r="C26" s="12"/>
      <c r="D26" s="12"/>
      <c r="E26" s="12"/>
    </row>
    <row r="27" customFormat="false" ht="15" hidden="false" customHeight="true" outlineLevel="0" collapsed="false">
      <c r="A27" s="12"/>
      <c r="B27" s="12"/>
      <c r="C27" s="12"/>
      <c r="D27" s="12"/>
      <c r="E27" s="12"/>
    </row>
    <row r="28" customFormat="false" ht="15" hidden="false" customHeight="true" outlineLevel="0" collapsed="false">
      <c r="A28" s="12"/>
      <c r="B28" s="12"/>
      <c r="C28" s="12"/>
      <c r="D28" s="12"/>
      <c r="E28" s="12"/>
    </row>
    <row r="29" customFormat="false" ht="15" hidden="false" customHeight="true" outlineLevel="0" collapsed="false">
      <c r="A29" s="12"/>
      <c r="B29" s="12"/>
      <c r="C29" s="12"/>
      <c r="D29" s="12"/>
      <c r="E29" s="12"/>
    </row>
    <row r="30" customFormat="false" ht="15" hidden="false" customHeight="true" outlineLevel="0" collapsed="false">
      <c r="A30" s="12"/>
      <c r="B30" s="12"/>
      <c r="C30" s="12"/>
      <c r="D30" s="12"/>
      <c r="E30" s="12"/>
    </row>
    <row r="31" customFormat="false" ht="15" hidden="false" customHeight="true" outlineLevel="0" collapsed="false">
      <c r="A31" s="12"/>
      <c r="B31" s="12"/>
      <c r="C31" s="12"/>
      <c r="D31" s="12"/>
      <c r="E31" s="12"/>
    </row>
    <row r="32" customFormat="false" ht="15" hidden="false" customHeight="true" outlineLevel="0" collapsed="false">
      <c r="A32" s="12"/>
      <c r="B32" s="12"/>
      <c r="C32" s="12"/>
      <c r="D32" s="12"/>
      <c r="E32" s="12"/>
    </row>
    <row r="33" customFormat="false" ht="15" hidden="false" customHeight="true" outlineLevel="0" collapsed="false">
      <c r="A33" s="12"/>
      <c r="B33" s="12"/>
      <c r="C33" s="12"/>
      <c r="D33" s="12"/>
      <c r="E33" s="12"/>
    </row>
    <row r="34" customFormat="false" ht="15" hidden="false" customHeight="true" outlineLevel="0" collapsed="false">
      <c r="A34" s="12"/>
      <c r="B34" s="12"/>
      <c r="C34" s="12"/>
      <c r="D34" s="12"/>
      <c r="E34" s="12"/>
    </row>
    <row r="35" customFormat="false" ht="15" hidden="false" customHeight="true" outlineLevel="0" collapsed="false">
      <c r="A35" s="12"/>
      <c r="B35" s="12"/>
      <c r="C35" s="12"/>
      <c r="D35" s="12"/>
      <c r="E35" s="12"/>
    </row>
    <row r="36" customFormat="false" ht="15" hidden="false" customHeight="true" outlineLevel="0" collapsed="false">
      <c r="A36" s="12"/>
      <c r="B36" s="12"/>
      <c r="C36" s="12"/>
      <c r="D36" s="12"/>
      <c r="E36" s="12"/>
    </row>
    <row r="37" customFormat="false" ht="15" hidden="false" customHeight="true" outlineLevel="0" collapsed="false">
      <c r="A37" s="12"/>
      <c r="B37" s="12"/>
      <c r="C37" s="12"/>
      <c r="D37" s="12"/>
      <c r="E37" s="12"/>
    </row>
    <row r="38" customFormat="false" ht="15" hidden="false" customHeight="true" outlineLevel="0" collapsed="false">
      <c r="A38" s="12"/>
      <c r="B38" s="12"/>
      <c r="C38" s="12"/>
      <c r="D38" s="12"/>
      <c r="E38" s="12"/>
    </row>
    <row r="39" customFormat="false" ht="15" hidden="false" customHeight="true" outlineLevel="0" collapsed="false">
      <c r="A39" s="12"/>
      <c r="B39" s="12"/>
      <c r="C39" s="12"/>
      <c r="D39" s="12"/>
      <c r="E39" s="12"/>
    </row>
    <row r="40" customFormat="false" ht="15" hidden="false" customHeight="true" outlineLevel="0" collapsed="false">
      <c r="A40" s="12"/>
      <c r="B40" s="12"/>
      <c r="C40" s="12"/>
      <c r="D40" s="12"/>
      <c r="E40" s="12"/>
    </row>
    <row r="41" customFormat="false" ht="15" hidden="false" customHeight="true" outlineLevel="0" collapsed="false">
      <c r="A41" s="12"/>
      <c r="B41" s="12"/>
      <c r="C41" s="12"/>
      <c r="D41" s="12"/>
      <c r="E41" s="12"/>
    </row>
    <row r="42" customFormat="false" ht="15" hidden="false" customHeight="true" outlineLevel="0" collapsed="false">
      <c r="A42" s="12"/>
      <c r="B42" s="12"/>
      <c r="C42" s="12"/>
      <c r="D42" s="12"/>
      <c r="E42" s="12"/>
    </row>
    <row r="43" customFormat="false" ht="15" hidden="false" customHeight="true" outlineLevel="0" collapsed="false">
      <c r="A43" s="12"/>
      <c r="B43" s="12"/>
      <c r="C43" s="12"/>
      <c r="D43" s="12"/>
      <c r="E43" s="12"/>
    </row>
    <row r="44" customFormat="false" ht="15" hidden="false" customHeight="true" outlineLevel="0" collapsed="false">
      <c r="A44" s="12"/>
      <c r="B44" s="12"/>
      <c r="C44" s="12"/>
      <c r="D44" s="12"/>
      <c r="E44" s="12"/>
    </row>
    <row r="45" customFormat="false" ht="15" hidden="false" customHeight="true" outlineLevel="0" collapsed="false">
      <c r="A45" s="12"/>
      <c r="B45" s="12"/>
      <c r="C45" s="12"/>
      <c r="D45" s="12"/>
      <c r="E45" s="12"/>
    </row>
    <row r="46" customFormat="false" ht="15" hidden="false" customHeight="true" outlineLevel="0" collapsed="false">
      <c r="A46" s="12"/>
      <c r="B46" s="12"/>
      <c r="C46" s="12"/>
      <c r="D46" s="12"/>
      <c r="E46" s="12"/>
    </row>
    <row r="47" customFormat="false" ht="15" hidden="false" customHeight="true" outlineLevel="0" collapsed="false">
      <c r="A47" s="12"/>
      <c r="B47" s="12"/>
      <c r="C47" s="12"/>
      <c r="D47" s="12"/>
      <c r="E47" s="12"/>
    </row>
    <row r="48" customFormat="false" ht="15" hidden="false" customHeight="true" outlineLevel="0" collapsed="false">
      <c r="A48" s="12"/>
      <c r="B48" s="12"/>
      <c r="C48" s="12"/>
      <c r="D48" s="12"/>
      <c r="E48" s="12"/>
    </row>
    <row r="49" customFormat="false" ht="15" hidden="false" customHeight="true" outlineLevel="0" collapsed="false">
      <c r="A49" s="12"/>
      <c r="B49" s="12"/>
      <c r="C49" s="12"/>
      <c r="D49" s="12"/>
      <c r="E49" s="12"/>
    </row>
    <row r="50" customFormat="false" ht="15" hidden="false" customHeight="true" outlineLevel="0" collapsed="false">
      <c r="A50" s="12"/>
      <c r="B50" s="12"/>
      <c r="C50" s="12"/>
      <c r="D50" s="12"/>
      <c r="E50" s="12"/>
    </row>
    <row r="51" customFormat="false" ht="15" hidden="false" customHeight="true" outlineLevel="0" collapsed="false">
      <c r="A51" s="12"/>
      <c r="B51" s="12"/>
      <c r="C51" s="12"/>
      <c r="D51" s="12"/>
      <c r="E51" s="12"/>
    </row>
    <row r="52" customFormat="false" ht="15" hidden="false" customHeight="true" outlineLevel="0" collapsed="false">
      <c r="A52" s="12"/>
      <c r="B52" s="12"/>
      <c r="C52" s="12"/>
      <c r="D52" s="12"/>
      <c r="E52" s="12"/>
    </row>
    <row r="53" customFormat="false" ht="15" hidden="false" customHeight="true" outlineLevel="0" collapsed="false">
      <c r="A53" s="12"/>
      <c r="B53" s="12"/>
      <c r="C53" s="12"/>
      <c r="D53" s="12"/>
      <c r="E53" s="12"/>
    </row>
    <row r="54" customFormat="false" ht="15" hidden="false" customHeight="true" outlineLevel="0" collapsed="false">
      <c r="A54" s="12"/>
      <c r="B54" s="12"/>
      <c r="C54" s="12"/>
      <c r="D54" s="12"/>
      <c r="E54" s="12"/>
    </row>
    <row r="55" customFormat="false" ht="15" hidden="false" customHeight="true" outlineLevel="0" collapsed="false">
      <c r="A55" s="12"/>
      <c r="B55" s="12"/>
      <c r="C55" s="12"/>
      <c r="D55" s="12"/>
      <c r="E55" s="12"/>
    </row>
    <row r="56" customFormat="false" ht="15" hidden="false" customHeight="true" outlineLevel="0" collapsed="false">
      <c r="A56" s="12"/>
      <c r="B56" s="12"/>
      <c r="C56" s="12"/>
      <c r="D56" s="12"/>
      <c r="E56" s="12"/>
    </row>
    <row r="57" customFormat="false" ht="15" hidden="false" customHeight="true" outlineLevel="0" collapsed="false">
      <c r="A57" s="12"/>
      <c r="B57" s="12"/>
      <c r="C57" s="12"/>
      <c r="D57" s="12"/>
      <c r="E57" s="12"/>
    </row>
    <row r="58" customFormat="false" ht="15" hidden="false" customHeight="true" outlineLevel="0" collapsed="false">
      <c r="A58" s="12"/>
      <c r="B58" s="12"/>
      <c r="C58" s="12"/>
      <c r="D58" s="12"/>
      <c r="E58" s="12"/>
    </row>
    <row r="59" customFormat="false" ht="15" hidden="false" customHeight="true" outlineLevel="0" collapsed="false">
      <c r="A59" s="12"/>
      <c r="B59" s="12"/>
      <c r="C59" s="12"/>
      <c r="D59" s="12"/>
      <c r="E59" s="12"/>
    </row>
    <row r="60" customFormat="false" ht="15" hidden="false" customHeight="true" outlineLevel="0" collapsed="false">
      <c r="A60" s="12"/>
      <c r="B60" s="12"/>
      <c r="C60" s="12"/>
      <c r="D60" s="12"/>
      <c r="E60" s="12"/>
    </row>
    <row r="61" customFormat="false" ht="15" hidden="false" customHeight="true" outlineLevel="0" collapsed="false">
      <c r="A61" s="12"/>
      <c r="B61" s="12"/>
      <c r="C61" s="12"/>
      <c r="D61" s="12"/>
      <c r="E61" s="12"/>
    </row>
    <row r="62" customFormat="false" ht="15" hidden="false" customHeight="true" outlineLevel="0" collapsed="false">
      <c r="A62" s="12"/>
      <c r="B62" s="12"/>
      <c r="C62" s="12"/>
      <c r="D62" s="12"/>
      <c r="E62" s="12"/>
    </row>
    <row r="63" customFormat="false" ht="15" hidden="false" customHeight="true" outlineLevel="0" collapsed="false">
      <c r="A63" s="12"/>
      <c r="B63" s="12"/>
      <c r="C63" s="12"/>
      <c r="D63" s="12"/>
      <c r="E63" s="12"/>
    </row>
    <row r="64" customFormat="false" ht="15" hidden="false" customHeight="true" outlineLevel="0" collapsed="false">
      <c r="A64" s="12"/>
      <c r="B64" s="12"/>
      <c r="C64" s="12"/>
      <c r="D64" s="12"/>
      <c r="E64" s="12"/>
    </row>
    <row r="65" customFormat="false" ht="15" hidden="false" customHeight="true" outlineLevel="0" collapsed="false">
      <c r="A65" s="12"/>
      <c r="B65" s="12"/>
      <c r="C65" s="12"/>
      <c r="D65" s="12"/>
      <c r="E65" s="12"/>
    </row>
    <row r="66" customFormat="false" ht="15" hidden="false" customHeight="true" outlineLevel="0" collapsed="false">
      <c r="A66" s="12"/>
      <c r="B66" s="12"/>
      <c r="C66" s="12"/>
      <c r="D66" s="12"/>
      <c r="E66" s="12"/>
    </row>
    <row r="67" customFormat="false" ht="15" hidden="false" customHeight="true" outlineLevel="0" collapsed="false">
      <c r="A67" s="12"/>
      <c r="B67" s="12"/>
      <c r="C67" s="12"/>
      <c r="D67" s="12"/>
      <c r="E67" s="12"/>
    </row>
    <row r="68" customFormat="false" ht="15" hidden="false" customHeight="true" outlineLevel="0" collapsed="false">
      <c r="A68" s="12"/>
      <c r="B68" s="12"/>
      <c r="C68" s="12"/>
      <c r="D68" s="12"/>
      <c r="E68" s="12"/>
    </row>
    <row r="69" customFormat="false" ht="15" hidden="false" customHeight="true" outlineLevel="0" collapsed="false">
      <c r="A69" s="12"/>
      <c r="B69" s="12"/>
      <c r="C69" s="12"/>
      <c r="D69" s="12"/>
      <c r="E69" s="12"/>
    </row>
    <row r="70" customFormat="false" ht="15" hidden="false" customHeight="true" outlineLevel="0" collapsed="false">
      <c r="A70" s="12"/>
      <c r="B70" s="12"/>
      <c r="C70" s="12"/>
      <c r="D70" s="12"/>
      <c r="E70" s="12"/>
    </row>
    <row r="71" customFormat="false" ht="15" hidden="false" customHeight="true" outlineLevel="0" collapsed="false">
      <c r="A71" s="12"/>
      <c r="B71" s="12"/>
      <c r="C71" s="12"/>
      <c r="D71" s="12"/>
      <c r="E71" s="12"/>
    </row>
    <row r="72" customFormat="false" ht="15" hidden="false" customHeight="true" outlineLevel="0" collapsed="false">
      <c r="A72" s="12"/>
      <c r="B72" s="12"/>
      <c r="C72" s="12"/>
      <c r="D72" s="12"/>
      <c r="E72" s="12"/>
    </row>
    <row r="73" customFormat="false" ht="15" hidden="false" customHeight="true" outlineLevel="0" collapsed="false">
      <c r="A73" s="12"/>
      <c r="B73" s="12"/>
      <c r="C73" s="12"/>
      <c r="D73" s="12"/>
      <c r="E73" s="12"/>
    </row>
    <row r="74" customFormat="false" ht="15" hidden="false" customHeight="true" outlineLevel="0" collapsed="false">
      <c r="A74" s="12"/>
      <c r="B74" s="12"/>
      <c r="C74" s="12"/>
      <c r="D74" s="12"/>
      <c r="E74" s="12"/>
    </row>
    <row r="75" customFormat="false" ht="15" hidden="false" customHeight="true" outlineLevel="0" collapsed="false">
      <c r="A75" s="12"/>
      <c r="B75" s="12"/>
      <c r="C75" s="12"/>
      <c r="D75" s="12"/>
      <c r="E75" s="12"/>
    </row>
    <row r="76" customFormat="false" ht="15" hidden="false" customHeight="true" outlineLevel="0" collapsed="false">
      <c r="A76" s="12"/>
      <c r="B76" s="12"/>
      <c r="C76" s="12"/>
      <c r="D76" s="12"/>
      <c r="E76" s="12"/>
    </row>
    <row r="77" customFormat="false" ht="15" hidden="false" customHeight="true" outlineLevel="0" collapsed="false">
      <c r="A77" s="12"/>
      <c r="B77" s="12"/>
      <c r="C77" s="12"/>
      <c r="D77" s="12"/>
      <c r="E77" s="12"/>
    </row>
    <row r="78" customFormat="false" ht="15" hidden="false" customHeight="true" outlineLevel="0" collapsed="false">
      <c r="A78" s="12"/>
      <c r="B78" s="12"/>
      <c r="C78" s="12"/>
      <c r="D78" s="12"/>
      <c r="E78" s="12"/>
    </row>
    <row r="79" customFormat="false" ht="15" hidden="false" customHeight="true" outlineLevel="0" collapsed="false">
      <c r="A79" s="12"/>
      <c r="B79" s="12"/>
      <c r="C79" s="12"/>
      <c r="D79" s="12"/>
      <c r="E79" s="12"/>
    </row>
    <row r="80" customFormat="false" ht="15" hidden="false" customHeight="true" outlineLevel="0" collapsed="false">
      <c r="A80" s="12"/>
      <c r="B80" s="12"/>
      <c r="C80" s="12"/>
      <c r="D80" s="12"/>
      <c r="E80" s="12"/>
    </row>
    <row r="81" customFormat="false" ht="15" hidden="false" customHeight="true" outlineLevel="0" collapsed="false">
      <c r="A81" s="12"/>
      <c r="B81" s="12"/>
      <c r="C81" s="12"/>
      <c r="D81" s="12"/>
      <c r="E81" s="12"/>
    </row>
    <row r="82" customFormat="false" ht="15" hidden="false" customHeight="true" outlineLevel="0" collapsed="false">
      <c r="A82" s="12"/>
      <c r="B82" s="12"/>
      <c r="C82" s="12"/>
      <c r="D82" s="12"/>
      <c r="E82" s="12"/>
    </row>
    <row r="83" customFormat="false" ht="15" hidden="false" customHeight="true" outlineLevel="0" collapsed="false">
      <c r="A83" s="12"/>
      <c r="B83" s="12"/>
      <c r="C83" s="12"/>
      <c r="D83" s="12"/>
      <c r="E83" s="1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6"/>
    <col collapsed="false" customWidth="true" hidden="false" outlineLevel="0" max="8" min="8" style="1" width="26"/>
    <col collapsed="false" customWidth="true" hidden="false" outlineLevel="0" max="10" min="9" style="1" width="10"/>
    <col collapsed="false" customWidth="true" hidden="false" outlineLevel="0" max="11" min="11" style="1" width="12"/>
  </cols>
  <sheetData>
    <row r="1" customFormat="false" ht="24" hidden="false" customHeight="true" outlineLevel="0" collapsed="false">
      <c r="A1" s="2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1.5" hidden="false" customHeight="true" outlineLevel="0" collapsed="false">
      <c r="A2" s="11" t="s">
        <v>41</v>
      </c>
      <c r="B2" s="11" t="s">
        <v>30</v>
      </c>
      <c r="C2" s="14" t="s">
        <v>42</v>
      </c>
      <c r="D2" s="11" t="s">
        <v>43</v>
      </c>
      <c r="E2" s="15" t="s">
        <v>44</v>
      </c>
      <c r="F2" s="15" t="s">
        <v>45</v>
      </c>
      <c r="G2" s="14" t="s">
        <v>46</v>
      </c>
      <c r="H2" s="11" t="s">
        <v>47</v>
      </c>
      <c r="I2" s="14" t="s">
        <v>48</v>
      </c>
      <c r="J2" s="14" t="s">
        <v>49</v>
      </c>
      <c r="K2" s="14" t="s">
        <v>50</v>
      </c>
    </row>
    <row r="3" customFormat="false" ht="15" hidden="false" customHeight="true" outlineLevel="0" collapsed="false">
      <c r="A3" s="16" t="n">
        <v>46153</v>
      </c>
      <c r="B3" s="12" t="n">
        <v>10101</v>
      </c>
      <c r="C3" s="17" t="str">
        <f aca="false">IF($B3="","",IFERROR(INDEX(학생명부!$B$3:$B$83,MATCH($B3,학생명부!$A$3:$A$83,0)),"학번없음"))</f>
        <v>학번없음</v>
      </c>
      <c r="D3" s="12" t="inlineStr">
        <is>
          <t>일상봉사</t>
        </is>
      </c>
      <c r="E3" s="18" t="n">
        <v>1230</v>
      </c>
      <c r="F3" s="18" t="n">
        <v>1320</v>
      </c>
      <c r="G3" s="19" t="n">
        <f aca="false">IF(OR($E3="",$F3=""),"",ROUND(IF($F3&lt;1,$F3*24,INT($F3/100)+MOD($F3,100)/60)-IF($E3&lt;1,$E3*24,INT($E3/100)+MOD($E3,100)/60),2))</f>
        <v>0.83</v>
      </c>
      <c r="H3" s="12" t="inlineStr">
        <is>
          <t>도서 대출·반납 도우미</t>
        </is>
      </c>
      <c r="I3" s="17" t="n">
        <f aca="false">IF($A3="","",YEAR($A3))</f>
        <v>2026</v>
      </c>
      <c r="J3" s="17" t="n">
        <f aca="false">IF($A3="","",MONTH($A3))</f>
        <v>5</v>
      </c>
      <c r="K3" s="17" t="str">
        <f aca="false">IF($A3="","",IF(AND($A3&gt;=사용안내!$C$18,$A3&lt;=사용안내!$C$19),"1학기",IF(AND($A3&gt;=사용안내!$C$20,$A3&lt;=사용안내!$C$21),"2학기","기간외")))</f>
        <v>1학기</v>
      </c>
    </row>
    <row r="4" customFormat="false" ht="15" hidden="false" customHeight="true" outlineLevel="0" collapsed="false">
      <c r="A4" s="16" t="n">
        <v>46160</v>
      </c>
      <c r="B4" s="12" t="n">
        <v>10102</v>
      </c>
      <c r="C4" s="17" t="str">
        <f aca="false">IF($B4="","",IFERROR(INDEX(학생명부!$B$3:$B$83,MATCH($B4,학생명부!$A$3:$A$83,0)),"학번없음"))</f>
        <v>이예시</v>
      </c>
      <c r="D4" s="12" t="inlineStr">
        <is>
          <t>일상봉사</t>
        </is>
      </c>
      <c r="E4" s="18" t="n">
        <v>1230</v>
      </c>
      <c r="F4" s="18" t="n">
        <v>1320</v>
      </c>
      <c r="G4" s="19" t="n">
        <f aca="false">IF(OR($E4="",$F4=""),"",ROUND(IF($F4&lt;1,$F4*24,INT($F4/100)+MOD($F4,100)/60)-IF($E4&lt;1,$E4*24,INT($E4/100)+MOD($E4,100)/60),2))</f>
        <v>0.83</v>
      </c>
      <c r="H4" s="12" t="inlineStr">
        <is>
          <t>서가 정리</t>
        </is>
      </c>
      <c r="I4" s="17" t="n">
        <f aca="false">IF($A4="","",YEAR($A4))</f>
        <v>2026</v>
      </c>
      <c r="J4" s="17" t="n">
        <f aca="false">IF($A4="","",MONTH($A4))</f>
        <v>5</v>
      </c>
      <c r="K4" s="17" t="str">
        <f aca="false">IF($A4="","",IF(AND($A4&gt;=사용안내!$C$18,$A4&lt;=사용안내!$C$19),"1학기",IF(AND($A4&gt;=사용안내!$C$20,$A4&lt;=사용안내!$C$21),"2학기","기간외")))</f>
        <v>1학기</v>
      </c>
    </row>
    <row r="5" customFormat="false" ht="15" hidden="false" customHeight="true" outlineLevel="0" collapsed="false">
      <c r="A5" s="16" t="n">
        <v>46178</v>
      </c>
      <c r="B5" s="12" t="n">
        <v>10101</v>
      </c>
      <c r="C5" s="17" t="str">
        <f aca="false">IF($B5="","",IFERROR(INDEX(학생명부!$B$3:$B$83,MATCH($B5,학생명부!$A$3:$A$83,0)),"학번없음"))</f>
        <v>학번없음</v>
      </c>
      <c r="D5" s="12" t="inlineStr">
        <is>
          <t>특별봉사</t>
        </is>
      </c>
      <c r="E5" s="18" t="n">
        <v>1400</v>
      </c>
      <c r="F5" s="18" t="n">
        <v>1700</v>
      </c>
      <c r="G5" s="19" t="n">
        <f aca="false">IF(OR($E5="",$F5=""),"",ROUND(IF($F5&lt;1,$F5*24,INT($F5/100)+MOD($F5,100)/60)-IF($E5&lt;1,$E5*24,INT($E5/100)+MOD($E5,100)/60),2))</f>
        <v>3</v>
      </c>
      <c r="H5" s="12" t="inlineStr">
        <is>
          <t>독서의 달 행사 준비</t>
        </is>
      </c>
      <c r="I5" s="17" t="n">
        <f aca="false">IF($A5="","",YEAR($A5))</f>
        <v>2026</v>
      </c>
      <c r="J5" s="17" t="n">
        <f aca="false">IF($A5="","",MONTH($A5))</f>
        <v>6</v>
      </c>
      <c r="K5" s="17" t="str">
        <f aca="false">IF($A5="","",IF(AND($A5&gt;=사용안내!$C$18,$A5&lt;=사용안내!$C$19),"1학기",IF(AND($A5&gt;=사용안내!$C$20,$A5&lt;=사용안내!$C$21),"2학기","기간외")))</f>
        <v>1학기</v>
      </c>
    </row>
    <row r="6" customFormat="false" ht="15" hidden="false" customHeight="true" outlineLevel="0" collapsed="false">
      <c r="A6" s="16" t="n">
        <v>46188</v>
      </c>
      <c r="B6" s="12" t="n">
        <v>10203</v>
      </c>
      <c r="C6" s="17" t="str">
        <f aca="false">IF($B6="","",IFERROR(INDEX(학생명부!$B$3:$B$83,MATCH($B6,학생명부!$A$3:$A$83,0)),"학번없음"))</f>
        <v>박예시</v>
      </c>
      <c r="D6" s="12" t="inlineStr">
        <is>
          <t>일상봉사</t>
        </is>
      </c>
      <c r="E6" s="18" t="n">
        <v>1230</v>
      </c>
      <c r="F6" s="18" t="n">
        <v>1320</v>
      </c>
      <c r="G6" s="19" t="n">
        <f aca="false">IF(OR($E6="",$F6=""),"",ROUND(IF($F6&lt;1,$F6*24,INT($F6/100)+MOD($F6,100)/60)-IF($E6&lt;1,$E6*24,INT($E6/100)+MOD($E6,100)/60),2))</f>
        <v>0.83</v>
      </c>
      <c r="H6" s="12" t="inlineStr">
        <is>
          <t>도서 대출·반납 도우미</t>
        </is>
      </c>
      <c r="I6" s="17" t="n">
        <f aca="false">IF($A6="","",YEAR($A6))</f>
        <v>2026</v>
      </c>
      <c r="J6" s="17" t="n">
        <f aca="false">IF($A6="","",MONTH($A6))</f>
        <v>6</v>
      </c>
      <c r="K6" s="17" t="str">
        <f aca="false">IF($A6="","",IF(AND($A6&gt;=사용안내!$C$18,$A6&lt;=사용안내!$C$19),"1학기",IF(AND($A6&gt;=사용안내!$C$20,$A6&lt;=사용안내!$C$21),"2학기","기간외")))</f>
        <v>1학기</v>
      </c>
    </row>
    <row r="7" customFormat="false" ht="15" hidden="false" customHeight="true" outlineLevel="0" collapsed="false">
      <c r="A7" s="16" t="n">
        <v>46266</v>
      </c>
      <c r="B7" s="12" t="n">
        <v>10101</v>
      </c>
      <c r="C7" s="17" t="str">
        <f aca="false">IF($B7="","",IFERROR(INDEX(학생명부!$B$3:$B$83,MATCH($B7,학생명부!$A$3:$A$83,0)),"학번없음"))</f>
        <v>학번없음</v>
      </c>
      <c r="D7" s="12" t="inlineStr">
        <is>
          <t>일상봉사</t>
        </is>
      </c>
      <c r="E7" s="18" t="n">
        <v>1230</v>
      </c>
      <c r="F7" s="18" t="n">
        <v>1320</v>
      </c>
      <c r="G7" s="19" t="n">
        <f aca="false">IF(OR($E7="",$F7=""),"",ROUND(IF($F7&lt;1,$F7*24,INT($F7/100)+MOD($F7,100)/60)-IF($E7&lt;1,$E7*24,INT($E7/100)+MOD($E7,100)/60),2))</f>
        <v>0.83</v>
      </c>
      <c r="H7" s="12" t="inlineStr">
        <is>
          <t>신간 도서 등록</t>
        </is>
      </c>
      <c r="I7" s="17" t="n">
        <f aca="false">IF($A7="","",YEAR($A7))</f>
        <v>2026</v>
      </c>
      <c r="J7" s="17" t="n">
        <f aca="false">IF($A7="","",MONTH($A7))</f>
        <v>9</v>
      </c>
      <c r="K7" s="17" t="str">
        <f aca="false">IF($A7="","",IF(AND($A7&gt;=사용안내!$C$18,$A7&lt;=사용안내!$C$19),"1학기",IF(AND($A7&gt;=사용안내!$C$20,$A7&lt;=사용안내!$C$21),"2학기","기간외")))</f>
        <v>2학기</v>
      </c>
    </row>
    <row r="8" customFormat="false" ht="15" hidden="false" customHeight="true" outlineLevel="0" collapsed="false">
      <c r="A8" s="16" t="n">
        <v>46272</v>
      </c>
      <c r="B8" s="12" t="n">
        <v>10102</v>
      </c>
      <c r="C8" s="17" t="str">
        <f aca="false">IF($B8="","",IFERROR(INDEX(학생명부!$B$3:$B$83,MATCH($B8,학생명부!$A$3:$A$83,0)),"학번없음"))</f>
        <v>이예시</v>
      </c>
      <c r="D8" s="12" t="inlineStr">
        <is>
          <t>특별봉사</t>
        </is>
      </c>
      <c r="E8" s="18" t="n">
        <v>1400</v>
      </c>
      <c r="F8" s="18" t="n">
        <v>1630</v>
      </c>
      <c r="G8" s="19" t="n">
        <f aca="false">IF(OR($E8="",$F8=""),"",ROUND(IF($F8&lt;1,$F8*24,INT($F8/100)+MOD($F8,100)/60)-IF($E8&lt;1,$E8*24,INT($E8/100)+MOD($E8,100)/60),2))</f>
        <v>2.5</v>
      </c>
      <c r="H8" s="12" t="inlineStr">
        <is>
          <t>도서관 대청소</t>
        </is>
      </c>
      <c r="I8" s="17" t="n">
        <f aca="false">IF($A8="","",YEAR($A8))</f>
        <v>2026</v>
      </c>
      <c r="J8" s="17" t="n">
        <f aca="false">IF($A8="","",MONTH($A8))</f>
        <v>9</v>
      </c>
      <c r="K8" s="17" t="str">
        <f aca="false">IF($A8="","",IF(AND($A8&gt;=사용안내!$C$18,$A8&lt;=사용안내!$C$19),"1학기",IF(AND($A8&gt;=사용안내!$C$20,$A8&lt;=사용안내!$C$21),"2학기","기간외")))</f>
        <v>2학기</v>
      </c>
    </row>
    <row r="9" customFormat="false" ht="15" hidden="false" customHeight="true" outlineLevel="0" collapsed="false">
      <c r="A9" s="16" t="n">
        <v>46275</v>
      </c>
      <c r="B9" s="12" t="n">
        <v>10203</v>
      </c>
      <c r="C9" s="17" t="str">
        <f aca="false">IF($B9="","",IFERROR(INDEX(학생명부!$B$3:$B$83,MATCH($B9,학생명부!$A$3:$A$83,0)),"학번없음"))</f>
        <v>박예시</v>
      </c>
      <c r="D9" s="12" t="inlineStr">
        <is>
          <t>일상봉사</t>
        </is>
      </c>
      <c r="E9" s="18" t="n">
        <v>1230</v>
      </c>
      <c r="F9" s="18" t="n">
        <v>1320</v>
      </c>
      <c r="G9" s="19" t="n">
        <f aca="false">IF(OR($E9="",$F9=""),"",ROUND(IF($F9&lt;1,$F9*24,INT($F9/100)+MOD($F9,100)/60)-IF($E9&lt;1,$E9*24,INT($E9/100)+MOD($E9,100)/60),2))</f>
        <v>0.83</v>
      </c>
      <c r="H9" s="12" t="inlineStr">
        <is>
          <t>도서 대출·반납 도우미</t>
        </is>
      </c>
      <c r="I9" s="17" t="n">
        <f aca="false">IF($A9="","",YEAR($A9))</f>
        <v>2026</v>
      </c>
      <c r="J9" s="17" t="n">
        <f aca="false">IF($A9="","",MONTH($A9))</f>
        <v>9</v>
      </c>
      <c r="K9" s="17" t="str">
        <f aca="false">IF($A9="","",IF(AND($A9&gt;=사용안내!$C$18,$A9&lt;=사용안내!$C$19),"1학기",IF(AND($A9&gt;=사용안내!$C$20,$A9&lt;=사용안내!$C$21),"2학기","기간외")))</f>
        <v>2학기</v>
      </c>
    </row>
    <row r="10" customFormat="false" ht="15" hidden="false" customHeight="true" outlineLevel="0" collapsed="false">
      <c r="A10" s="16"/>
      <c r="B10" s="12"/>
      <c r="C10" s="17" t="str">
        <f aca="false">IF($B10="","",IFERROR(INDEX(학생명부!$B$3:$B$83,MATCH($B10,학생명부!$A$3:$A$83,0)),"학번없음"))</f>
        <v/>
      </c>
      <c r="D10" s="12"/>
      <c r="E10" s="18"/>
      <c r="F10" s="18"/>
      <c r="G10" s="19" t="str">
        <f aca="false">IF(OR($E10="",$F10=""),"",ROUND(IF($F10&lt;1,$F10*24,INT($F10/100)+MOD($F10,100)/60)-IF($E10&lt;1,$E10*24,INT($E10/100)+MOD($E10,100)/60),2))</f>
        <v/>
      </c>
      <c r="H10" s="12"/>
      <c r="I10" s="17" t="str">
        <f aca="false">IF($A10="","",YEAR($A10))</f>
        <v/>
      </c>
      <c r="J10" s="17" t="str">
        <f aca="false">IF($A10="","",MONTH($A10))</f>
        <v/>
      </c>
      <c r="K10" s="17" t="str">
        <f aca="false">IF($A10="","",IF(AND($A10&gt;=사용안내!$C$18,$A10&lt;=사용안내!$C$19),"1학기",IF(AND($A10&gt;=사용안내!$C$20,$A10&lt;=사용안내!$C$21),"2학기","기간외")))</f>
        <v/>
      </c>
    </row>
    <row r="11" customFormat="false" ht="15" hidden="false" customHeight="true" outlineLevel="0" collapsed="false">
      <c r="A11" s="16"/>
      <c r="B11" s="12"/>
      <c r="C11" s="17" t="str">
        <f aca="false">IF($B11="","",IFERROR(INDEX(학생명부!$B$3:$B$83,MATCH($B11,학생명부!$A$3:$A$83,0)),"학번없음"))</f>
        <v/>
      </c>
      <c r="D11" s="12"/>
      <c r="E11" s="18"/>
      <c r="F11" s="18"/>
      <c r="G11" s="19" t="str">
        <f aca="false">IF(OR($E11="",$F11=""),"",ROUND(IF($F11&lt;1,$F11*24,INT($F11/100)+MOD($F11,100)/60)-IF($E11&lt;1,$E11*24,INT($E11/100)+MOD($E11,100)/60),2))</f>
        <v/>
      </c>
      <c r="H11" s="12"/>
      <c r="I11" s="17" t="str">
        <f aca="false">IF($A11="","",YEAR($A11))</f>
        <v/>
      </c>
      <c r="J11" s="17" t="str">
        <f aca="false">IF($A11="","",MONTH($A11))</f>
        <v/>
      </c>
      <c r="K11" s="17" t="str">
        <f aca="false">IF($A11="","",IF(AND($A11&gt;=사용안내!$C$18,$A11&lt;=사용안내!$C$19),"1학기",IF(AND($A11&gt;=사용안내!$C$20,$A11&lt;=사용안내!$C$21),"2학기","기간외")))</f>
        <v/>
      </c>
    </row>
    <row r="12" customFormat="false" ht="15" hidden="false" customHeight="true" outlineLevel="0" collapsed="false">
      <c r="A12" s="16"/>
      <c r="B12" s="12"/>
      <c r="C12" s="17" t="str">
        <f aca="false">IF($B12="","",IFERROR(INDEX(학생명부!$B$3:$B$83,MATCH($B12,학생명부!$A$3:$A$83,0)),"학번없음"))</f>
        <v/>
      </c>
      <c r="D12" s="12"/>
      <c r="E12" s="18"/>
      <c r="F12" s="18"/>
      <c r="G12" s="19" t="str">
        <f aca="false">IF(OR($E12="",$F12=""),"",ROUND(IF($F12&lt;1,$F12*24,INT($F12/100)+MOD($F12,100)/60)-IF($E12&lt;1,$E12*24,INT($E12/100)+MOD($E12,100)/60),2))</f>
        <v/>
      </c>
      <c r="H12" s="12"/>
      <c r="I12" s="17" t="str">
        <f aca="false">IF($A12="","",YEAR($A12))</f>
        <v/>
      </c>
      <c r="J12" s="17" t="str">
        <f aca="false">IF($A12="","",MONTH($A12))</f>
        <v/>
      </c>
      <c r="K12" s="17" t="str">
        <f aca="false">IF($A12="","",IF(AND($A12&gt;=사용안내!$C$18,$A12&lt;=사용안내!$C$19),"1학기",IF(AND($A12&gt;=사용안내!$C$20,$A12&lt;=사용안내!$C$21),"2학기","기간외")))</f>
        <v/>
      </c>
    </row>
    <row r="13" customFormat="false" ht="15" hidden="false" customHeight="true" outlineLevel="0" collapsed="false">
      <c r="A13" s="16"/>
      <c r="B13" s="12"/>
      <c r="C13" s="17" t="str">
        <f aca="false">IF($B13="","",IFERROR(INDEX(학생명부!$B$3:$B$83,MATCH($B13,학생명부!$A$3:$A$83,0)),"학번없음"))</f>
        <v/>
      </c>
      <c r="D13" s="12"/>
      <c r="E13" s="18"/>
      <c r="F13" s="18"/>
      <c r="G13" s="19" t="str">
        <f aca="false">IF(OR($E13="",$F13=""),"",ROUND(IF($F13&lt;1,$F13*24,INT($F13/100)+MOD($F13,100)/60)-IF($E13&lt;1,$E13*24,INT($E13/100)+MOD($E13,100)/60),2))</f>
        <v/>
      </c>
      <c r="H13" s="12"/>
      <c r="I13" s="17" t="str">
        <f aca="false">IF($A13="","",YEAR($A13))</f>
        <v/>
      </c>
      <c r="J13" s="17" t="str">
        <f aca="false">IF($A13="","",MONTH($A13))</f>
        <v/>
      </c>
      <c r="K13" s="17" t="str">
        <f aca="false">IF($A13="","",IF(AND($A13&gt;=사용안내!$C$18,$A13&lt;=사용안내!$C$19),"1학기",IF(AND($A13&gt;=사용안내!$C$20,$A13&lt;=사용안내!$C$21),"2학기","기간외")))</f>
        <v/>
      </c>
    </row>
    <row r="14" customFormat="false" ht="15" hidden="false" customHeight="true" outlineLevel="0" collapsed="false">
      <c r="A14" s="16"/>
      <c r="B14" s="12"/>
      <c r="C14" s="17" t="str">
        <f aca="false">IF($B14="","",IFERROR(INDEX(학생명부!$B$3:$B$83,MATCH($B14,학생명부!$A$3:$A$83,0)),"학번없음"))</f>
        <v/>
      </c>
      <c r="D14" s="12"/>
      <c r="E14" s="18"/>
      <c r="F14" s="18"/>
      <c r="G14" s="19" t="str">
        <f aca="false">IF(OR($E14="",$F14=""),"",ROUND(IF($F14&lt;1,$F14*24,INT($F14/100)+MOD($F14,100)/60)-IF($E14&lt;1,$E14*24,INT($E14/100)+MOD($E14,100)/60),2))</f>
        <v/>
      </c>
      <c r="H14" s="12"/>
      <c r="I14" s="17" t="str">
        <f aca="false">IF($A14="","",YEAR($A14))</f>
        <v/>
      </c>
      <c r="J14" s="17" t="str">
        <f aca="false">IF($A14="","",MONTH($A14))</f>
        <v/>
      </c>
      <c r="K14" s="17" t="str">
        <f aca="false">IF($A14="","",IF(AND($A14&gt;=사용안내!$C$18,$A14&lt;=사용안내!$C$19),"1학기",IF(AND($A14&gt;=사용안내!$C$20,$A14&lt;=사용안내!$C$21),"2학기","기간외")))</f>
        <v/>
      </c>
    </row>
    <row r="15" customFormat="false" ht="15" hidden="false" customHeight="true" outlineLevel="0" collapsed="false">
      <c r="A15" s="16"/>
      <c r="B15" s="12"/>
      <c r="C15" s="17" t="str">
        <f aca="false">IF($B15="","",IFERROR(INDEX(학생명부!$B$3:$B$83,MATCH($B15,학생명부!$A$3:$A$83,0)),"학번없음"))</f>
        <v/>
      </c>
      <c r="D15" s="12"/>
      <c r="E15" s="18"/>
      <c r="F15" s="18"/>
      <c r="G15" s="19" t="str">
        <f aca="false">IF(OR($E15="",$F15=""),"",ROUND(IF($F15&lt;1,$F15*24,INT($F15/100)+MOD($F15,100)/60)-IF($E15&lt;1,$E15*24,INT($E15/100)+MOD($E15,100)/60),2))</f>
        <v/>
      </c>
      <c r="H15" s="12"/>
      <c r="I15" s="17" t="str">
        <f aca="false">IF($A15="","",YEAR($A15))</f>
        <v/>
      </c>
      <c r="J15" s="17" t="str">
        <f aca="false">IF($A15="","",MONTH($A15))</f>
        <v/>
      </c>
      <c r="K15" s="17" t="str">
        <f aca="false">IF($A15="","",IF(AND($A15&gt;=사용안내!$C$18,$A15&lt;=사용안내!$C$19),"1학기",IF(AND($A15&gt;=사용안내!$C$20,$A15&lt;=사용안내!$C$21),"2학기","기간외")))</f>
        <v/>
      </c>
    </row>
    <row r="16" customFormat="false" ht="15" hidden="false" customHeight="true" outlineLevel="0" collapsed="false">
      <c r="A16" s="16"/>
      <c r="B16" s="12"/>
      <c r="C16" s="17" t="str">
        <f aca="false">IF($B16="","",IFERROR(INDEX(학생명부!$B$3:$B$83,MATCH($B16,학생명부!$A$3:$A$83,0)),"학번없음"))</f>
        <v/>
      </c>
      <c r="D16" s="12"/>
      <c r="E16" s="18"/>
      <c r="F16" s="18"/>
      <c r="G16" s="19" t="str">
        <f aca="false">IF(OR($E16="",$F16=""),"",ROUND(IF($F16&lt;1,$F16*24,INT($F16/100)+MOD($F16,100)/60)-IF($E16&lt;1,$E16*24,INT($E16/100)+MOD($E16,100)/60),2))</f>
        <v/>
      </c>
      <c r="H16" s="12"/>
      <c r="I16" s="17" t="str">
        <f aca="false">IF($A16="","",YEAR($A16))</f>
        <v/>
      </c>
      <c r="J16" s="17" t="str">
        <f aca="false">IF($A16="","",MONTH($A16))</f>
        <v/>
      </c>
      <c r="K16" s="17" t="str">
        <f aca="false">IF($A16="","",IF(AND($A16&gt;=사용안내!$C$18,$A16&lt;=사용안내!$C$19),"1학기",IF(AND($A16&gt;=사용안내!$C$20,$A16&lt;=사용안내!$C$21),"2학기","기간외")))</f>
        <v/>
      </c>
    </row>
    <row r="17" customFormat="false" ht="15" hidden="false" customHeight="true" outlineLevel="0" collapsed="false">
      <c r="A17" s="16"/>
      <c r="B17" s="12"/>
      <c r="C17" s="17" t="str">
        <f aca="false">IF($B17="","",IFERROR(INDEX(학생명부!$B$3:$B$83,MATCH($B17,학생명부!$A$3:$A$83,0)),"학번없음"))</f>
        <v/>
      </c>
      <c r="D17" s="12"/>
      <c r="E17" s="18"/>
      <c r="F17" s="18"/>
      <c r="G17" s="19" t="str">
        <f aca="false">IF(OR($E17="",$F17=""),"",ROUND(IF($F17&lt;1,$F17*24,INT($F17/100)+MOD($F17,100)/60)-IF($E17&lt;1,$E17*24,INT($E17/100)+MOD($E17,100)/60),2))</f>
        <v/>
      </c>
      <c r="H17" s="12"/>
      <c r="I17" s="17" t="str">
        <f aca="false">IF($A17="","",YEAR($A17))</f>
        <v/>
      </c>
      <c r="J17" s="17" t="str">
        <f aca="false">IF($A17="","",MONTH($A17))</f>
        <v/>
      </c>
      <c r="K17" s="17" t="str">
        <f aca="false">IF($A17="","",IF(AND($A17&gt;=사용안내!$C$18,$A17&lt;=사용안내!$C$19),"1학기",IF(AND($A17&gt;=사용안내!$C$20,$A17&lt;=사용안내!$C$21),"2학기","기간외")))</f>
        <v/>
      </c>
    </row>
    <row r="18" customFormat="false" ht="15" hidden="false" customHeight="true" outlineLevel="0" collapsed="false">
      <c r="A18" s="16"/>
      <c r="B18" s="12"/>
      <c r="C18" s="17" t="str">
        <f aca="false">IF($B18="","",IFERROR(INDEX(학생명부!$B$3:$B$83,MATCH($B18,학생명부!$A$3:$A$83,0)),"학번없음"))</f>
        <v/>
      </c>
      <c r="D18" s="12"/>
      <c r="E18" s="18"/>
      <c r="F18" s="18"/>
      <c r="G18" s="19" t="str">
        <f aca="false">IF(OR($E18="",$F18=""),"",ROUND(IF($F18&lt;1,$F18*24,INT($F18/100)+MOD($F18,100)/60)-IF($E18&lt;1,$E18*24,INT($E18/100)+MOD($E18,100)/60),2))</f>
        <v/>
      </c>
      <c r="H18" s="12"/>
      <c r="I18" s="17" t="str">
        <f aca="false">IF($A18="","",YEAR($A18))</f>
        <v/>
      </c>
      <c r="J18" s="17" t="str">
        <f aca="false">IF($A18="","",MONTH($A18))</f>
        <v/>
      </c>
      <c r="K18" s="17" t="str">
        <f aca="false">IF($A18="","",IF(AND($A18&gt;=사용안내!$C$18,$A18&lt;=사용안내!$C$19),"1학기",IF(AND($A18&gt;=사용안내!$C$20,$A18&lt;=사용안내!$C$21),"2학기","기간외")))</f>
        <v/>
      </c>
    </row>
    <row r="19" customFormat="false" ht="15" hidden="false" customHeight="true" outlineLevel="0" collapsed="false">
      <c r="A19" s="16"/>
      <c r="B19" s="12"/>
      <c r="C19" s="17" t="str">
        <f aca="false">IF($B19="","",IFERROR(INDEX(학생명부!$B$3:$B$83,MATCH($B19,학생명부!$A$3:$A$83,0)),"학번없음"))</f>
        <v/>
      </c>
      <c r="D19" s="12"/>
      <c r="E19" s="18"/>
      <c r="F19" s="18"/>
      <c r="G19" s="19" t="str">
        <f aca="false">IF(OR($E19="",$F19=""),"",ROUND(IF($F19&lt;1,$F19*24,INT($F19/100)+MOD($F19,100)/60)-IF($E19&lt;1,$E19*24,INT($E19/100)+MOD($E19,100)/60),2))</f>
        <v/>
      </c>
      <c r="H19" s="12"/>
      <c r="I19" s="17" t="str">
        <f aca="false">IF($A19="","",YEAR($A19))</f>
        <v/>
      </c>
      <c r="J19" s="17" t="str">
        <f aca="false">IF($A19="","",MONTH($A19))</f>
        <v/>
      </c>
      <c r="K19" s="17" t="str">
        <f aca="false">IF($A19="","",IF(AND($A19&gt;=사용안내!$C$18,$A19&lt;=사용안내!$C$19),"1학기",IF(AND($A19&gt;=사용안내!$C$20,$A19&lt;=사용안내!$C$21),"2학기","기간외")))</f>
        <v/>
      </c>
    </row>
    <row r="20" customFormat="false" ht="15" hidden="false" customHeight="true" outlineLevel="0" collapsed="false">
      <c r="A20" s="16"/>
      <c r="B20" s="12"/>
      <c r="C20" s="17" t="str">
        <f aca="false">IF($B20="","",IFERROR(INDEX(학생명부!$B$3:$B$83,MATCH($B20,학생명부!$A$3:$A$83,0)),"학번없음"))</f>
        <v/>
      </c>
      <c r="D20" s="12"/>
      <c r="E20" s="18"/>
      <c r="F20" s="18"/>
      <c r="G20" s="19" t="str">
        <f aca="false">IF(OR($E20="",$F20=""),"",ROUND(IF($F20&lt;1,$F20*24,INT($F20/100)+MOD($F20,100)/60)-IF($E20&lt;1,$E20*24,INT($E20/100)+MOD($E20,100)/60),2))</f>
        <v/>
      </c>
      <c r="H20" s="12"/>
      <c r="I20" s="17" t="str">
        <f aca="false">IF($A20="","",YEAR($A20))</f>
        <v/>
      </c>
      <c r="J20" s="17" t="str">
        <f aca="false">IF($A20="","",MONTH($A20))</f>
        <v/>
      </c>
      <c r="K20" s="17" t="str">
        <f aca="false">IF($A20="","",IF(AND($A20&gt;=사용안내!$C$18,$A20&lt;=사용안내!$C$19),"1학기",IF(AND($A20&gt;=사용안내!$C$20,$A20&lt;=사용안내!$C$21),"2학기","기간외")))</f>
        <v/>
      </c>
    </row>
    <row r="21" customFormat="false" ht="15" hidden="false" customHeight="true" outlineLevel="0" collapsed="false">
      <c r="A21" s="16"/>
      <c r="B21" s="12"/>
      <c r="C21" s="17" t="str">
        <f aca="false">IF($B21="","",IFERROR(INDEX(학생명부!$B$3:$B$83,MATCH($B21,학생명부!$A$3:$A$83,0)),"학번없음"))</f>
        <v/>
      </c>
      <c r="D21" s="12"/>
      <c r="E21" s="18"/>
      <c r="F21" s="18"/>
      <c r="G21" s="19" t="str">
        <f aca="false">IF(OR($E21="",$F21=""),"",ROUND(IF($F21&lt;1,$F21*24,INT($F21/100)+MOD($F21,100)/60)-IF($E21&lt;1,$E21*24,INT($E21/100)+MOD($E21,100)/60),2))</f>
        <v/>
      </c>
      <c r="H21" s="12"/>
      <c r="I21" s="17" t="str">
        <f aca="false">IF($A21="","",YEAR($A21))</f>
        <v/>
      </c>
      <c r="J21" s="17" t="str">
        <f aca="false">IF($A21="","",MONTH($A21))</f>
        <v/>
      </c>
      <c r="K21" s="17" t="str">
        <f aca="false">IF($A21="","",IF(AND($A21&gt;=사용안내!$C$18,$A21&lt;=사용안내!$C$19),"1학기",IF(AND($A21&gt;=사용안내!$C$20,$A21&lt;=사용안내!$C$21),"2학기","기간외")))</f>
        <v/>
      </c>
    </row>
    <row r="22" customFormat="false" ht="15" hidden="false" customHeight="true" outlineLevel="0" collapsed="false">
      <c r="A22" s="16"/>
      <c r="B22" s="12"/>
      <c r="C22" s="17" t="str">
        <f aca="false">IF($B22="","",IFERROR(INDEX(학생명부!$B$3:$B$83,MATCH($B22,학생명부!$A$3:$A$83,0)),"학번없음"))</f>
        <v/>
      </c>
      <c r="D22" s="12"/>
      <c r="E22" s="18"/>
      <c r="F22" s="18"/>
      <c r="G22" s="19" t="str">
        <f aca="false">IF(OR($E22="",$F22=""),"",ROUND(IF($F22&lt;1,$F22*24,INT($F22/100)+MOD($F22,100)/60)-IF($E22&lt;1,$E22*24,INT($E22/100)+MOD($E22,100)/60),2))</f>
        <v/>
      </c>
      <c r="H22" s="12"/>
      <c r="I22" s="17" t="str">
        <f aca="false">IF($A22="","",YEAR($A22))</f>
        <v/>
      </c>
      <c r="J22" s="17" t="str">
        <f aca="false">IF($A22="","",MONTH($A22))</f>
        <v/>
      </c>
      <c r="K22" s="17" t="str">
        <f aca="false">IF($A22="","",IF(AND($A22&gt;=사용안내!$C$18,$A22&lt;=사용안내!$C$19),"1학기",IF(AND($A22&gt;=사용안내!$C$20,$A22&lt;=사용안내!$C$21),"2학기","기간외")))</f>
        <v/>
      </c>
    </row>
    <row r="23" customFormat="false" ht="15" hidden="false" customHeight="true" outlineLevel="0" collapsed="false">
      <c r="A23" s="16"/>
      <c r="B23" s="12"/>
      <c r="C23" s="17" t="str">
        <f aca="false">IF($B23="","",IFERROR(INDEX(학생명부!$B$3:$B$83,MATCH($B23,학생명부!$A$3:$A$83,0)),"학번없음"))</f>
        <v/>
      </c>
      <c r="D23" s="12"/>
      <c r="E23" s="18"/>
      <c r="F23" s="18"/>
      <c r="G23" s="19" t="str">
        <f aca="false">IF(OR($E23="",$F23=""),"",ROUND(IF($F23&lt;1,$F23*24,INT($F23/100)+MOD($F23,100)/60)-IF($E23&lt;1,$E23*24,INT($E23/100)+MOD($E23,100)/60),2))</f>
        <v/>
      </c>
      <c r="H23" s="12"/>
      <c r="I23" s="17" t="str">
        <f aca="false">IF($A23="","",YEAR($A23))</f>
        <v/>
      </c>
      <c r="J23" s="17" t="str">
        <f aca="false">IF($A23="","",MONTH($A23))</f>
        <v/>
      </c>
      <c r="K23" s="17" t="str">
        <f aca="false">IF($A23="","",IF(AND($A23&gt;=사용안내!$C$18,$A23&lt;=사용안내!$C$19),"1학기",IF(AND($A23&gt;=사용안내!$C$20,$A23&lt;=사용안내!$C$21),"2학기","기간외")))</f>
        <v/>
      </c>
    </row>
    <row r="24" customFormat="false" ht="15" hidden="false" customHeight="true" outlineLevel="0" collapsed="false">
      <c r="A24" s="16"/>
      <c r="B24" s="12"/>
      <c r="C24" s="17" t="str">
        <f aca="false">IF($B24="","",IFERROR(INDEX(학생명부!$B$3:$B$83,MATCH($B24,학생명부!$A$3:$A$83,0)),"학번없음"))</f>
        <v/>
      </c>
      <c r="D24" s="12"/>
      <c r="E24" s="18"/>
      <c r="F24" s="18"/>
      <c r="G24" s="19" t="str">
        <f aca="false">IF(OR($E24="",$F24=""),"",ROUND(IF($F24&lt;1,$F24*24,INT($F24/100)+MOD($F24,100)/60)-IF($E24&lt;1,$E24*24,INT($E24/100)+MOD($E24,100)/60),2))</f>
        <v/>
      </c>
      <c r="H24" s="12"/>
      <c r="I24" s="17" t="str">
        <f aca="false">IF($A24="","",YEAR($A24))</f>
        <v/>
      </c>
      <c r="J24" s="17" t="str">
        <f aca="false">IF($A24="","",MONTH($A24))</f>
        <v/>
      </c>
      <c r="K24" s="17" t="str">
        <f aca="false">IF($A24="","",IF(AND($A24&gt;=사용안내!$C$18,$A24&lt;=사용안내!$C$19),"1학기",IF(AND($A24&gt;=사용안내!$C$20,$A24&lt;=사용안내!$C$21),"2학기","기간외")))</f>
        <v/>
      </c>
    </row>
    <row r="25" customFormat="false" ht="15" hidden="false" customHeight="true" outlineLevel="0" collapsed="false">
      <c r="A25" s="16"/>
      <c r="B25" s="12"/>
      <c r="C25" s="17" t="str">
        <f aca="false">IF($B25="","",IFERROR(INDEX(학생명부!$B$3:$B$83,MATCH($B25,학생명부!$A$3:$A$83,0)),"학번없음"))</f>
        <v/>
      </c>
      <c r="D25" s="12"/>
      <c r="E25" s="18"/>
      <c r="F25" s="18"/>
      <c r="G25" s="19" t="str">
        <f aca="false">IF(OR($E25="",$F25=""),"",ROUND(IF($F25&lt;1,$F25*24,INT($F25/100)+MOD($F25,100)/60)-IF($E25&lt;1,$E25*24,INT($E25/100)+MOD($E25,100)/60),2))</f>
        <v/>
      </c>
      <c r="H25" s="12"/>
      <c r="I25" s="17" t="str">
        <f aca="false">IF($A25="","",YEAR($A25))</f>
        <v/>
      </c>
      <c r="J25" s="17" t="str">
        <f aca="false">IF($A25="","",MONTH($A25))</f>
        <v/>
      </c>
      <c r="K25" s="17" t="str">
        <f aca="false">IF($A25="","",IF(AND($A25&gt;=사용안내!$C$18,$A25&lt;=사용안내!$C$19),"1학기",IF(AND($A25&gt;=사용안내!$C$20,$A25&lt;=사용안내!$C$21),"2학기","기간외")))</f>
        <v/>
      </c>
    </row>
    <row r="26" customFormat="false" ht="15" hidden="false" customHeight="true" outlineLevel="0" collapsed="false">
      <c r="A26" s="16"/>
      <c r="B26" s="12"/>
      <c r="C26" s="17" t="str">
        <f aca="false">IF($B26="","",IFERROR(INDEX(학생명부!$B$3:$B$83,MATCH($B26,학생명부!$A$3:$A$83,0)),"학번없음"))</f>
        <v/>
      </c>
      <c r="D26" s="12"/>
      <c r="E26" s="18"/>
      <c r="F26" s="18"/>
      <c r="G26" s="19" t="str">
        <f aca="false">IF(OR($E26="",$F26=""),"",ROUND(IF($F26&lt;1,$F26*24,INT($F26/100)+MOD($F26,100)/60)-IF($E26&lt;1,$E26*24,INT($E26/100)+MOD($E26,100)/60),2))</f>
        <v/>
      </c>
      <c r="H26" s="12"/>
      <c r="I26" s="17" t="str">
        <f aca="false">IF($A26="","",YEAR($A26))</f>
        <v/>
      </c>
      <c r="J26" s="17" t="str">
        <f aca="false">IF($A26="","",MONTH($A26))</f>
        <v/>
      </c>
      <c r="K26" s="17" t="str">
        <f aca="false">IF($A26="","",IF(AND($A26&gt;=사용안내!$C$18,$A26&lt;=사용안내!$C$19),"1학기",IF(AND($A26&gt;=사용안내!$C$20,$A26&lt;=사용안내!$C$21),"2학기","기간외")))</f>
        <v/>
      </c>
    </row>
    <row r="27" customFormat="false" ht="15" hidden="false" customHeight="true" outlineLevel="0" collapsed="false">
      <c r="A27" s="16"/>
      <c r="B27" s="12"/>
      <c r="C27" s="17" t="str">
        <f aca="false">IF($B27="","",IFERROR(INDEX(학생명부!$B$3:$B$83,MATCH($B27,학생명부!$A$3:$A$83,0)),"학번없음"))</f>
        <v/>
      </c>
      <c r="D27" s="12"/>
      <c r="E27" s="18"/>
      <c r="F27" s="18"/>
      <c r="G27" s="19" t="str">
        <f aca="false">IF(OR($E27="",$F27=""),"",ROUND(IF($F27&lt;1,$F27*24,INT($F27/100)+MOD($F27,100)/60)-IF($E27&lt;1,$E27*24,INT($E27/100)+MOD($E27,100)/60),2))</f>
        <v/>
      </c>
      <c r="H27" s="12"/>
      <c r="I27" s="17" t="str">
        <f aca="false">IF($A27="","",YEAR($A27))</f>
        <v/>
      </c>
      <c r="J27" s="17" t="str">
        <f aca="false">IF($A27="","",MONTH($A27))</f>
        <v/>
      </c>
      <c r="K27" s="17" t="str">
        <f aca="false">IF($A27="","",IF(AND($A27&gt;=사용안내!$C$18,$A27&lt;=사용안내!$C$19),"1학기",IF(AND($A27&gt;=사용안내!$C$20,$A27&lt;=사용안내!$C$21),"2학기","기간외")))</f>
        <v/>
      </c>
    </row>
    <row r="28" customFormat="false" ht="15" hidden="false" customHeight="true" outlineLevel="0" collapsed="false">
      <c r="A28" s="16"/>
      <c r="B28" s="12"/>
      <c r="C28" s="17" t="str">
        <f aca="false">IF($B28="","",IFERROR(INDEX(학생명부!$B$3:$B$83,MATCH($B28,학생명부!$A$3:$A$83,0)),"학번없음"))</f>
        <v/>
      </c>
      <c r="D28" s="12"/>
      <c r="E28" s="18"/>
      <c r="F28" s="18"/>
      <c r="G28" s="19" t="str">
        <f aca="false">IF(OR($E28="",$F28=""),"",ROUND(IF($F28&lt;1,$F28*24,INT($F28/100)+MOD($F28,100)/60)-IF($E28&lt;1,$E28*24,INT($E28/100)+MOD($E28,100)/60),2))</f>
        <v/>
      </c>
      <c r="H28" s="12"/>
      <c r="I28" s="17" t="str">
        <f aca="false">IF($A28="","",YEAR($A28))</f>
        <v/>
      </c>
      <c r="J28" s="17" t="str">
        <f aca="false">IF($A28="","",MONTH($A28))</f>
        <v/>
      </c>
      <c r="K28" s="17" t="str">
        <f aca="false">IF($A28="","",IF(AND($A28&gt;=사용안내!$C$18,$A28&lt;=사용안내!$C$19),"1학기",IF(AND($A28&gt;=사용안내!$C$20,$A28&lt;=사용안내!$C$21),"2학기","기간외")))</f>
        <v/>
      </c>
    </row>
    <row r="29" customFormat="false" ht="15" hidden="false" customHeight="true" outlineLevel="0" collapsed="false">
      <c r="A29" s="16"/>
      <c r="B29" s="12"/>
      <c r="C29" s="17" t="str">
        <f aca="false">IF($B29="","",IFERROR(INDEX(학생명부!$B$3:$B$83,MATCH($B29,학생명부!$A$3:$A$83,0)),"학번없음"))</f>
        <v/>
      </c>
      <c r="D29" s="12"/>
      <c r="E29" s="18"/>
      <c r="F29" s="18"/>
      <c r="G29" s="19" t="str">
        <f aca="false">IF(OR($E29="",$F29=""),"",ROUND(IF($F29&lt;1,$F29*24,INT($F29/100)+MOD($F29,100)/60)-IF($E29&lt;1,$E29*24,INT($E29/100)+MOD($E29,100)/60),2))</f>
        <v/>
      </c>
      <c r="H29" s="12"/>
      <c r="I29" s="17" t="str">
        <f aca="false">IF($A29="","",YEAR($A29))</f>
        <v/>
      </c>
      <c r="J29" s="17" t="str">
        <f aca="false">IF($A29="","",MONTH($A29))</f>
        <v/>
      </c>
      <c r="K29" s="17" t="str">
        <f aca="false">IF($A29="","",IF(AND($A29&gt;=사용안내!$C$18,$A29&lt;=사용안내!$C$19),"1학기",IF(AND($A29&gt;=사용안내!$C$20,$A29&lt;=사용안내!$C$21),"2학기","기간외")))</f>
        <v/>
      </c>
    </row>
    <row r="30" customFormat="false" ht="15" hidden="false" customHeight="true" outlineLevel="0" collapsed="false">
      <c r="A30" s="16"/>
      <c r="B30" s="12"/>
      <c r="C30" s="17" t="str">
        <f aca="false">IF($B30="","",IFERROR(INDEX(학생명부!$B$3:$B$83,MATCH($B30,학생명부!$A$3:$A$83,0)),"학번없음"))</f>
        <v/>
      </c>
      <c r="D30" s="12"/>
      <c r="E30" s="18"/>
      <c r="F30" s="18"/>
      <c r="G30" s="19" t="str">
        <f aca="false">IF(OR($E30="",$F30=""),"",ROUND(IF($F30&lt;1,$F30*24,INT($F30/100)+MOD($F30,100)/60)-IF($E30&lt;1,$E30*24,INT($E30/100)+MOD($E30,100)/60),2))</f>
        <v/>
      </c>
      <c r="H30" s="12"/>
      <c r="I30" s="17" t="str">
        <f aca="false">IF($A30="","",YEAR($A30))</f>
        <v/>
      </c>
      <c r="J30" s="17" t="str">
        <f aca="false">IF($A30="","",MONTH($A30))</f>
        <v/>
      </c>
      <c r="K30" s="17" t="str">
        <f aca="false">IF($A30="","",IF(AND($A30&gt;=사용안내!$C$18,$A30&lt;=사용안내!$C$19),"1학기",IF(AND($A30&gt;=사용안내!$C$20,$A30&lt;=사용안내!$C$21),"2학기","기간외")))</f>
        <v/>
      </c>
    </row>
    <row r="31" customFormat="false" ht="15" hidden="false" customHeight="true" outlineLevel="0" collapsed="false">
      <c r="A31" s="16"/>
      <c r="B31" s="12"/>
      <c r="C31" s="17" t="str">
        <f aca="false">IF($B31="","",IFERROR(INDEX(학생명부!$B$3:$B$83,MATCH($B31,학생명부!$A$3:$A$83,0)),"학번없음"))</f>
        <v/>
      </c>
      <c r="D31" s="12"/>
      <c r="E31" s="18"/>
      <c r="F31" s="18"/>
      <c r="G31" s="19" t="str">
        <f aca="false">IF(OR($E31="",$F31=""),"",ROUND(IF($F31&lt;1,$F31*24,INT($F31/100)+MOD($F31,100)/60)-IF($E31&lt;1,$E31*24,INT($E31/100)+MOD($E31,100)/60),2))</f>
        <v/>
      </c>
      <c r="H31" s="12"/>
      <c r="I31" s="17" t="str">
        <f aca="false">IF($A31="","",YEAR($A31))</f>
        <v/>
      </c>
      <c r="J31" s="17" t="str">
        <f aca="false">IF($A31="","",MONTH($A31))</f>
        <v/>
      </c>
      <c r="K31" s="17" t="str">
        <f aca="false">IF($A31="","",IF(AND($A31&gt;=사용안내!$C$18,$A31&lt;=사용안내!$C$19),"1학기",IF(AND($A31&gt;=사용안내!$C$20,$A31&lt;=사용안내!$C$21),"2학기","기간외")))</f>
        <v/>
      </c>
    </row>
    <row r="32" customFormat="false" ht="15" hidden="false" customHeight="true" outlineLevel="0" collapsed="false">
      <c r="A32" s="16"/>
      <c r="B32" s="12"/>
      <c r="C32" s="17" t="str">
        <f aca="false">IF($B32="","",IFERROR(INDEX(학생명부!$B$3:$B$83,MATCH($B32,학생명부!$A$3:$A$83,0)),"학번없음"))</f>
        <v/>
      </c>
      <c r="D32" s="12"/>
      <c r="E32" s="18"/>
      <c r="F32" s="18"/>
      <c r="G32" s="19" t="str">
        <f aca="false">IF(OR($E32="",$F32=""),"",ROUND(IF($F32&lt;1,$F32*24,INT($F32/100)+MOD($F32,100)/60)-IF($E32&lt;1,$E32*24,INT($E32/100)+MOD($E32,100)/60),2))</f>
        <v/>
      </c>
      <c r="H32" s="12"/>
      <c r="I32" s="17" t="str">
        <f aca="false">IF($A32="","",YEAR($A32))</f>
        <v/>
      </c>
      <c r="J32" s="17" t="str">
        <f aca="false">IF($A32="","",MONTH($A32))</f>
        <v/>
      </c>
      <c r="K32" s="17" t="str">
        <f aca="false">IF($A32="","",IF(AND($A32&gt;=사용안내!$C$18,$A32&lt;=사용안내!$C$19),"1학기",IF(AND($A32&gt;=사용안내!$C$20,$A32&lt;=사용안내!$C$21),"2학기","기간외")))</f>
        <v/>
      </c>
    </row>
    <row r="33" customFormat="false" ht="15" hidden="false" customHeight="true" outlineLevel="0" collapsed="false">
      <c r="A33" s="16"/>
      <c r="B33" s="12"/>
      <c r="C33" s="17" t="str">
        <f aca="false">IF($B33="","",IFERROR(INDEX(학생명부!$B$3:$B$83,MATCH($B33,학생명부!$A$3:$A$83,0)),"학번없음"))</f>
        <v/>
      </c>
      <c r="D33" s="12"/>
      <c r="E33" s="18"/>
      <c r="F33" s="18"/>
      <c r="G33" s="19" t="str">
        <f aca="false">IF(OR($E33="",$F33=""),"",ROUND(IF($F33&lt;1,$F33*24,INT($F33/100)+MOD($F33,100)/60)-IF($E33&lt;1,$E33*24,INT($E33/100)+MOD($E33,100)/60),2))</f>
        <v/>
      </c>
      <c r="H33" s="12"/>
      <c r="I33" s="17" t="str">
        <f aca="false">IF($A33="","",YEAR($A33))</f>
        <v/>
      </c>
      <c r="J33" s="17" t="str">
        <f aca="false">IF($A33="","",MONTH($A33))</f>
        <v/>
      </c>
      <c r="K33" s="17" t="str">
        <f aca="false">IF($A33="","",IF(AND($A33&gt;=사용안내!$C$18,$A33&lt;=사용안내!$C$19),"1학기",IF(AND($A33&gt;=사용안내!$C$20,$A33&lt;=사용안내!$C$21),"2학기","기간외")))</f>
        <v/>
      </c>
    </row>
    <row r="34" customFormat="false" ht="15" hidden="false" customHeight="true" outlineLevel="0" collapsed="false">
      <c r="A34" s="16"/>
      <c r="B34" s="12"/>
      <c r="C34" s="17" t="str">
        <f aca="false">IF($B34="","",IFERROR(INDEX(학생명부!$B$3:$B$83,MATCH($B34,학생명부!$A$3:$A$83,0)),"학번없음"))</f>
        <v/>
      </c>
      <c r="D34" s="12"/>
      <c r="E34" s="18"/>
      <c r="F34" s="18"/>
      <c r="G34" s="19" t="str">
        <f aca="false">IF(OR($E34="",$F34=""),"",ROUND(IF($F34&lt;1,$F34*24,INT($F34/100)+MOD($F34,100)/60)-IF($E34&lt;1,$E34*24,INT($E34/100)+MOD($E34,100)/60),2))</f>
        <v/>
      </c>
      <c r="H34" s="12"/>
      <c r="I34" s="17" t="str">
        <f aca="false">IF($A34="","",YEAR($A34))</f>
        <v/>
      </c>
      <c r="J34" s="17" t="str">
        <f aca="false">IF($A34="","",MONTH($A34))</f>
        <v/>
      </c>
      <c r="K34" s="17" t="str">
        <f aca="false">IF($A34="","",IF(AND($A34&gt;=사용안내!$C$18,$A34&lt;=사용안내!$C$19),"1학기",IF(AND($A34&gt;=사용안내!$C$20,$A34&lt;=사용안내!$C$21),"2학기","기간외")))</f>
        <v/>
      </c>
    </row>
    <row r="35" customFormat="false" ht="15" hidden="false" customHeight="true" outlineLevel="0" collapsed="false">
      <c r="A35" s="16"/>
      <c r="B35" s="12"/>
      <c r="C35" s="17" t="str">
        <f aca="false">IF($B35="","",IFERROR(INDEX(학생명부!$B$3:$B$83,MATCH($B35,학생명부!$A$3:$A$83,0)),"학번없음"))</f>
        <v/>
      </c>
      <c r="D35" s="12"/>
      <c r="E35" s="18"/>
      <c r="F35" s="18"/>
      <c r="G35" s="19" t="str">
        <f aca="false">IF(OR($E35="",$F35=""),"",ROUND(IF($F35&lt;1,$F35*24,INT($F35/100)+MOD($F35,100)/60)-IF($E35&lt;1,$E35*24,INT($E35/100)+MOD($E35,100)/60),2))</f>
        <v/>
      </c>
      <c r="H35" s="12"/>
      <c r="I35" s="17" t="str">
        <f aca="false">IF($A35="","",YEAR($A35))</f>
        <v/>
      </c>
      <c r="J35" s="17" t="str">
        <f aca="false">IF($A35="","",MONTH($A35))</f>
        <v/>
      </c>
      <c r="K35" s="17" t="str">
        <f aca="false">IF($A35="","",IF(AND($A35&gt;=사용안내!$C$18,$A35&lt;=사용안내!$C$19),"1학기",IF(AND($A35&gt;=사용안내!$C$20,$A35&lt;=사용안내!$C$21),"2학기","기간외")))</f>
        <v/>
      </c>
    </row>
    <row r="36" customFormat="false" ht="15" hidden="false" customHeight="true" outlineLevel="0" collapsed="false">
      <c r="A36" s="16"/>
      <c r="B36" s="12"/>
      <c r="C36" s="17" t="str">
        <f aca="false">IF($B36="","",IFERROR(INDEX(학생명부!$B$3:$B$83,MATCH($B36,학생명부!$A$3:$A$83,0)),"학번없음"))</f>
        <v/>
      </c>
      <c r="D36" s="12"/>
      <c r="E36" s="18"/>
      <c r="F36" s="18"/>
      <c r="G36" s="19" t="str">
        <f aca="false">IF(OR($E36="",$F36=""),"",ROUND(IF($F36&lt;1,$F36*24,INT($F36/100)+MOD($F36,100)/60)-IF($E36&lt;1,$E36*24,INT($E36/100)+MOD($E36,100)/60),2))</f>
        <v/>
      </c>
      <c r="H36" s="12"/>
      <c r="I36" s="17" t="str">
        <f aca="false">IF($A36="","",YEAR($A36))</f>
        <v/>
      </c>
      <c r="J36" s="17" t="str">
        <f aca="false">IF($A36="","",MONTH($A36))</f>
        <v/>
      </c>
      <c r="K36" s="17" t="str">
        <f aca="false">IF($A36="","",IF(AND($A36&gt;=사용안내!$C$18,$A36&lt;=사용안내!$C$19),"1학기",IF(AND($A36&gt;=사용안내!$C$20,$A36&lt;=사용안내!$C$21),"2학기","기간외")))</f>
        <v/>
      </c>
    </row>
    <row r="37" customFormat="false" ht="15" hidden="false" customHeight="true" outlineLevel="0" collapsed="false">
      <c r="A37" s="16"/>
      <c r="B37" s="12"/>
      <c r="C37" s="17" t="str">
        <f aca="false">IF($B37="","",IFERROR(INDEX(학생명부!$B$3:$B$83,MATCH($B37,학생명부!$A$3:$A$83,0)),"학번없음"))</f>
        <v/>
      </c>
      <c r="D37" s="12"/>
      <c r="E37" s="18"/>
      <c r="F37" s="18"/>
      <c r="G37" s="19" t="str">
        <f aca="false">IF(OR($E37="",$F37=""),"",ROUND(IF($F37&lt;1,$F37*24,INT($F37/100)+MOD($F37,100)/60)-IF($E37&lt;1,$E37*24,INT($E37/100)+MOD($E37,100)/60),2))</f>
        <v/>
      </c>
      <c r="H37" s="12"/>
      <c r="I37" s="17" t="str">
        <f aca="false">IF($A37="","",YEAR($A37))</f>
        <v/>
      </c>
      <c r="J37" s="17" t="str">
        <f aca="false">IF($A37="","",MONTH($A37))</f>
        <v/>
      </c>
      <c r="K37" s="17" t="str">
        <f aca="false">IF($A37="","",IF(AND($A37&gt;=사용안내!$C$18,$A37&lt;=사용안내!$C$19),"1학기",IF(AND($A37&gt;=사용안내!$C$20,$A37&lt;=사용안내!$C$21),"2학기","기간외")))</f>
        <v/>
      </c>
    </row>
    <row r="38" customFormat="false" ht="15" hidden="false" customHeight="true" outlineLevel="0" collapsed="false">
      <c r="A38" s="16"/>
      <c r="B38" s="12"/>
      <c r="C38" s="17" t="str">
        <f aca="false">IF($B38="","",IFERROR(INDEX(학생명부!$B$3:$B$83,MATCH($B38,학생명부!$A$3:$A$83,0)),"학번없음"))</f>
        <v/>
      </c>
      <c r="D38" s="12"/>
      <c r="E38" s="18"/>
      <c r="F38" s="18"/>
      <c r="G38" s="19" t="str">
        <f aca="false">IF(OR($E38="",$F38=""),"",ROUND(IF($F38&lt;1,$F38*24,INT($F38/100)+MOD($F38,100)/60)-IF($E38&lt;1,$E38*24,INT($E38/100)+MOD($E38,100)/60),2))</f>
        <v/>
      </c>
      <c r="H38" s="12"/>
      <c r="I38" s="17" t="str">
        <f aca="false">IF($A38="","",YEAR($A38))</f>
        <v/>
      </c>
      <c r="J38" s="17" t="str">
        <f aca="false">IF($A38="","",MONTH($A38))</f>
        <v/>
      </c>
      <c r="K38" s="17" t="str">
        <f aca="false">IF($A38="","",IF(AND($A38&gt;=사용안내!$C$18,$A38&lt;=사용안내!$C$19),"1학기",IF(AND($A38&gt;=사용안내!$C$20,$A38&lt;=사용안내!$C$21),"2학기","기간외")))</f>
        <v/>
      </c>
    </row>
    <row r="39" customFormat="false" ht="15" hidden="false" customHeight="true" outlineLevel="0" collapsed="false">
      <c r="A39" s="16"/>
      <c r="B39" s="12"/>
      <c r="C39" s="17" t="str">
        <f aca="false">IF($B39="","",IFERROR(INDEX(학생명부!$B$3:$B$83,MATCH($B39,학생명부!$A$3:$A$83,0)),"학번없음"))</f>
        <v/>
      </c>
      <c r="D39" s="12"/>
      <c r="E39" s="18"/>
      <c r="F39" s="18"/>
      <c r="G39" s="19" t="str">
        <f aca="false">IF(OR($E39="",$F39=""),"",ROUND(IF($F39&lt;1,$F39*24,INT($F39/100)+MOD($F39,100)/60)-IF($E39&lt;1,$E39*24,INT($E39/100)+MOD($E39,100)/60),2))</f>
        <v/>
      </c>
      <c r="H39" s="12"/>
      <c r="I39" s="17" t="str">
        <f aca="false">IF($A39="","",YEAR($A39))</f>
        <v/>
      </c>
      <c r="J39" s="17" t="str">
        <f aca="false">IF($A39="","",MONTH($A39))</f>
        <v/>
      </c>
      <c r="K39" s="17" t="str">
        <f aca="false">IF($A39="","",IF(AND($A39&gt;=사용안내!$C$18,$A39&lt;=사용안내!$C$19),"1학기",IF(AND($A39&gt;=사용안내!$C$20,$A39&lt;=사용안내!$C$21),"2학기","기간외")))</f>
        <v/>
      </c>
    </row>
    <row r="40" customFormat="false" ht="15" hidden="false" customHeight="true" outlineLevel="0" collapsed="false">
      <c r="A40" s="16"/>
      <c r="B40" s="12"/>
      <c r="C40" s="17" t="str">
        <f aca="false">IF($B40="","",IFERROR(INDEX(학생명부!$B$3:$B$83,MATCH($B40,학생명부!$A$3:$A$83,0)),"학번없음"))</f>
        <v/>
      </c>
      <c r="D40" s="12"/>
      <c r="E40" s="18"/>
      <c r="F40" s="18"/>
      <c r="G40" s="19" t="str">
        <f aca="false">IF(OR($E40="",$F40=""),"",ROUND(IF($F40&lt;1,$F40*24,INT($F40/100)+MOD($F40,100)/60)-IF($E40&lt;1,$E40*24,INT($E40/100)+MOD($E40,100)/60),2))</f>
        <v/>
      </c>
      <c r="H40" s="12"/>
      <c r="I40" s="17" t="str">
        <f aca="false">IF($A40="","",YEAR($A40))</f>
        <v/>
      </c>
      <c r="J40" s="17" t="str">
        <f aca="false">IF($A40="","",MONTH($A40))</f>
        <v/>
      </c>
      <c r="K40" s="17" t="str">
        <f aca="false">IF($A40="","",IF(AND($A40&gt;=사용안내!$C$18,$A40&lt;=사용안내!$C$19),"1학기",IF(AND($A40&gt;=사용안내!$C$20,$A40&lt;=사용안내!$C$21),"2학기","기간외")))</f>
        <v/>
      </c>
    </row>
    <row r="41" customFormat="false" ht="15" hidden="false" customHeight="true" outlineLevel="0" collapsed="false">
      <c r="A41" s="16"/>
      <c r="B41" s="12"/>
      <c r="C41" s="17" t="str">
        <f aca="false">IF($B41="","",IFERROR(INDEX(학생명부!$B$3:$B$83,MATCH($B41,학생명부!$A$3:$A$83,0)),"학번없음"))</f>
        <v/>
      </c>
      <c r="D41" s="12"/>
      <c r="E41" s="18"/>
      <c r="F41" s="18"/>
      <c r="G41" s="19" t="str">
        <f aca="false">IF(OR($E41="",$F41=""),"",ROUND(IF($F41&lt;1,$F41*24,INT($F41/100)+MOD($F41,100)/60)-IF($E41&lt;1,$E41*24,INT($E41/100)+MOD($E41,100)/60),2))</f>
        <v/>
      </c>
      <c r="H41" s="12"/>
      <c r="I41" s="17" t="str">
        <f aca="false">IF($A41="","",YEAR($A41))</f>
        <v/>
      </c>
      <c r="J41" s="17" t="str">
        <f aca="false">IF($A41="","",MONTH($A41))</f>
        <v/>
      </c>
      <c r="K41" s="17" t="str">
        <f aca="false">IF($A41="","",IF(AND($A41&gt;=사용안내!$C$18,$A41&lt;=사용안내!$C$19),"1학기",IF(AND($A41&gt;=사용안내!$C$20,$A41&lt;=사용안내!$C$21),"2학기","기간외")))</f>
        <v/>
      </c>
    </row>
    <row r="42" customFormat="false" ht="15" hidden="false" customHeight="true" outlineLevel="0" collapsed="false">
      <c r="A42" s="16"/>
      <c r="B42" s="12"/>
      <c r="C42" s="17" t="str">
        <f aca="false">IF($B42="","",IFERROR(INDEX(학생명부!$B$3:$B$83,MATCH($B42,학생명부!$A$3:$A$83,0)),"학번없음"))</f>
        <v/>
      </c>
      <c r="D42" s="12"/>
      <c r="E42" s="18"/>
      <c r="F42" s="18"/>
      <c r="G42" s="19" t="str">
        <f aca="false">IF(OR($E42="",$F42=""),"",ROUND(IF($F42&lt;1,$F42*24,INT($F42/100)+MOD($F42,100)/60)-IF($E42&lt;1,$E42*24,INT($E42/100)+MOD($E42,100)/60),2))</f>
        <v/>
      </c>
      <c r="H42" s="12"/>
      <c r="I42" s="17" t="str">
        <f aca="false">IF($A42="","",YEAR($A42))</f>
        <v/>
      </c>
      <c r="J42" s="17" t="str">
        <f aca="false">IF($A42="","",MONTH($A42))</f>
        <v/>
      </c>
      <c r="K42" s="17" t="str">
        <f aca="false">IF($A42="","",IF(AND($A42&gt;=사용안내!$C$18,$A42&lt;=사용안내!$C$19),"1학기",IF(AND($A42&gt;=사용안내!$C$20,$A42&lt;=사용안내!$C$21),"2학기","기간외")))</f>
        <v/>
      </c>
    </row>
    <row r="43" customFormat="false" ht="15" hidden="false" customHeight="true" outlineLevel="0" collapsed="false">
      <c r="A43" s="16"/>
      <c r="B43" s="12"/>
      <c r="C43" s="17" t="str">
        <f aca="false">IF($B43="","",IFERROR(INDEX(학생명부!$B$3:$B$83,MATCH($B43,학생명부!$A$3:$A$83,0)),"학번없음"))</f>
        <v/>
      </c>
      <c r="D43" s="12"/>
      <c r="E43" s="18"/>
      <c r="F43" s="18"/>
      <c r="G43" s="19" t="str">
        <f aca="false">IF(OR($E43="",$F43=""),"",ROUND(IF($F43&lt;1,$F43*24,INT($F43/100)+MOD($F43,100)/60)-IF($E43&lt;1,$E43*24,INT($E43/100)+MOD($E43,100)/60),2))</f>
        <v/>
      </c>
      <c r="H43" s="12"/>
      <c r="I43" s="17" t="str">
        <f aca="false">IF($A43="","",YEAR($A43))</f>
        <v/>
      </c>
      <c r="J43" s="17" t="str">
        <f aca="false">IF($A43="","",MONTH($A43))</f>
        <v/>
      </c>
      <c r="K43" s="17" t="str">
        <f aca="false">IF($A43="","",IF(AND($A43&gt;=사용안내!$C$18,$A43&lt;=사용안내!$C$19),"1학기",IF(AND($A43&gt;=사용안내!$C$20,$A43&lt;=사용안내!$C$21),"2학기","기간외")))</f>
        <v/>
      </c>
    </row>
    <row r="44" customFormat="false" ht="15" hidden="false" customHeight="true" outlineLevel="0" collapsed="false">
      <c r="A44" s="16"/>
      <c r="B44" s="12"/>
      <c r="C44" s="17" t="str">
        <f aca="false">IF($B44="","",IFERROR(INDEX(학생명부!$B$3:$B$83,MATCH($B44,학생명부!$A$3:$A$83,0)),"학번없음"))</f>
        <v/>
      </c>
      <c r="D44" s="12"/>
      <c r="E44" s="18"/>
      <c r="F44" s="18"/>
      <c r="G44" s="19" t="str">
        <f aca="false">IF(OR($E44="",$F44=""),"",ROUND(IF($F44&lt;1,$F44*24,INT($F44/100)+MOD($F44,100)/60)-IF($E44&lt;1,$E44*24,INT($E44/100)+MOD($E44,100)/60),2))</f>
        <v/>
      </c>
      <c r="H44" s="12"/>
      <c r="I44" s="17" t="str">
        <f aca="false">IF($A44="","",YEAR($A44))</f>
        <v/>
      </c>
      <c r="J44" s="17" t="str">
        <f aca="false">IF($A44="","",MONTH($A44))</f>
        <v/>
      </c>
      <c r="K44" s="17" t="str">
        <f aca="false">IF($A44="","",IF(AND($A44&gt;=사용안내!$C$18,$A44&lt;=사용안내!$C$19),"1학기",IF(AND($A44&gt;=사용안내!$C$20,$A44&lt;=사용안내!$C$21),"2학기","기간외")))</f>
        <v/>
      </c>
    </row>
    <row r="45" customFormat="false" ht="15" hidden="false" customHeight="true" outlineLevel="0" collapsed="false">
      <c r="A45" s="16"/>
      <c r="B45" s="12"/>
      <c r="C45" s="17" t="str">
        <f aca="false">IF($B45="","",IFERROR(INDEX(학생명부!$B$3:$B$83,MATCH($B45,학생명부!$A$3:$A$83,0)),"학번없음"))</f>
        <v/>
      </c>
      <c r="D45" s="12"/>
      <c r="E45" s="18"/>
      <c r="F45" s="18"/>
      <c r="G45" s="19" t="str">
        <f aca="false">IF(OR($E45="",$F45=""),"",ROUND(IF($F45&lt;1,$F45*24,INT($F45/100)+MOD($F45,100)/60)-IF($E45&lt;1,$E45*24,INT($E45/100)+MOD($E45,100)/60),2))</f>
        <v/>
      </c>
      <c r="H45" s="12"/>
      <c r="I45" s="17" t="str">
        <f aca="false">IF($A45="","",YEAR($A45))</f>
        <v/>
      </c>
      <c r="J45" s="17" t="str">
        <f aca="false">IF($A45="","",MONTH($A45))</f>
        <v/>
      </c>
      <c r="K45" s="17" t="str">
        <f aca="false">IF($A45="","",IF(AND($A45&gt;=사용안내!$C$18,$A45&lt;=사용안내!$C$19),"1학기",IF(AND($A45&gt;=사용안내!$C$20,$A45&lt;=사용안내!$C$21),"2학기","기간외")))</f>
        <v/>
      </c>
    </row>
    <row r="46" customFormat="false" ht="15" hidden="false" customHeight="true" outlineLevel="0" collapsed="false">
      <c r="A46" s="16"/>
      <c r="B46" s="12"/>
      <c r="C46" s="17" t="str">
        <f aca="false">IF($B46="","",IFERROR(INDEX(학생명부!$B$3:$B$83,MATCH($B46,학생명부!$A$3:$A$83,0)),"학번없음"))</f>
        <v/>
      </c>
      <c r="D46" s="12"/>
      <c r="E46" s="18"/>
      <c r="F46" s="18"/>
      <c r="G46" s="19" t="str">
        <f aca="false">IF(OR($E46="",$F46=""),"",ROUND(IF($F46&lt;1,$F46*24,INT($F46/100)+MOD($F46,100)/60)-IF($E46&lt;1,$E46*24,INT($E46/100)+MOD($E46,100)/60),2))</f>
        <v/>
      </c>
      <c r="H46" s="12"/>
      <c r="I46" s="17" t="str">
        <f aca="false">IF($A46="","",YEAR($A46))</f>
        <v/>
      </c>
      <c r="J46" s="17" t="str">
        <f aca="false">IF($A46="","",MONTH($A46))</f>
        <v/>
      </c>
      <c r="K46" s="17" t="str">
        <f aca="false">IF($A46="","",IF(AND($A46&gt;=사용안내!$C$18,$A46&lt;=사용안내!$C$19),"1학기",IF(AND($A46&gt;=사용안내!$C$20,$A46&lt;=사용안내!$C$21),"2학기","기간외")))</f>
        <v/>
      </c>
    </row>
    <row r="47" customFormat="false" ht="15" hidden="false" customHeight="true" outlineLevel="0" collapsed="false">
      <c r="A47" s="16"/>
      <c r="B47" s="12"/>
      <c r="C47" s="17" t="str">
        <f aca="false">IF($B47="","",IFERROR(INDEX(학생명부!$B$3:$B$83,MATCH($B47,학생명부!$A$3:$A$83,0)),"학번없음"))</f>
        <v/>
      </c>
      <c r="D47" s="12"/>
      <c r="E47" s="18"/>
      <c r="F47" s="18"/>
      <c r="G47" s="19" t="str">
        <f aca="false">IF(OR($E47="",$F47=""),"",ROUND(IF($F47&lt;1,$F47*24,INT($F47/100)+MOD($F47,100)/60)-IF($E47&lt;1,$E47*24,INT($E47/100)+MOD($E47,100)/60),2))</f>
        <v/>
      </c>
      <c r="H47" s="12"/>
      <c r="I47" s="17" t="str">
        <f aca="false">IF($A47="","",YEAR($A47))</f>
        <v/>
      </c>
      <c r="J47" s="17" t="str">
        <f aca="false">IF($A47="","",MONTH($A47))</f>
        <v/>
      </c>
      <c r="K47" s="17" t="str">
        <f aca="false">IF($A47="","",IF(AND($A47&gt;=사용안내!$C$18,$A47&lt;=사용안내!$C$19),"1학기",IF(AND($A47&gt;=사용안내!$C$20,$A47&lt;=사용안내!$C$21),"2학기","기간외")))</f>
        <v/>
      </c>
    </row>
    <row r="48" customFormat="false" ht="15" hidden="false" customHeight="true" outlineLevel="0" collapsed="false">
      <c r="A48" s="16"/>
      <c r="B48" s="12"/>
      <c r="C48" s="17" t="str">
        <f aca="false">IF($B48="","",IFERROR(INDEX(학생명부!$B$3:$B$83,MATCH($B48,학생명부!$A$3:$A$83,0)),"학번없음"))</f>
        <v/>
      </c>
      <c r="D48" s="12"/>
      <c r="E48" s="18"/>
      <c r="F48" s="18"/>
      <c r="G48" s="19" t="str">
        <f aca="false">IF(OR($E48="",$F48=""),"",ROUND(IF($F48&lt;1,$F48*24,INT($F48/100)+MOD($F48,100)/60)-IF($E48&lt;1,$E48*24,INT($E48/100)+MOD($E48,100)/60),2))</f>
        <v/>
      </c>
      <c r="H48" s="12"/>
      <c r="I48" s="17" t="str">
        <f aca="false">IF($A48="","",YEAR($A48))</f>
        <v/>
      </c>
      <c r="J48" s="17" t="str">
        <f aca="false">IF($A48="","",MONTH($A48))</f>
        <v/>
      </c>
      <c r="K48" s="17" t="str">
        <f aca="false">IF($A48="","",IF(AND($A48&gt;=사용안내!$C$18,$A48&lt;=사용안내!$C$19),"1학기",IF(AND($A48&gt;=사용안내!$C$20,$A48&lt;=사용안내!$C$21),"2학기","기간외")))</f>
        <v/>
      </c>
    </row>
    <row r="49" customFormat="false" ht="15" hidden="false" customHeight="true" outlineLevel="0" collapsed="false">
      <c r="A49" s="16"/>
      <c r="B49" s="12"/>
      <c r="C49" s="17" t="str">
        <f aca="false">IF($B49="","",IFERROR(INDEX(학생명부!$B$3:$B$83,MATCH($B49,학생명부!$A$3:$A$83,0)),"학번없음"))</f>
        <v/>
      </c>
      <c r="D49" s="12"/>
      <c r="E49" s="18"/>
      <c r="F49" s="18"/>
      <c r="G49" s="19" t="str">
        <f aca="false">IF(OR($E49="",$F49=""),"",ROUND(IF($F49&lt;1,$F49*24,INT($F49/100)+MOD($F49,100)/60)-IF($E49&lt;1,$E49*24,INT($E49/100)+MOD($E49,100)/60),2))</f>
        <v/>
      </c>
      <c r="H49" s="12"/>
      <c r="I49" s="17" t="str">
        <f aca="false">IF($A49="","",YEAR($A49))</f>
        <v/>
      </c>
      <c r="J49" s="17" t="str">
        <f aca="false">IF($A49="","",MONTH($A49))</f>
        <v/>
      </c>
      <c r="K49" s="17" t="str">
        <f aca="false">IF($A49="","",IF(AND($A49&gt;=사용안내!$C$18,$A49&lt;=사용안내!$C$19),"1학기",IF(AND($A49&gt;=사용안내!$C$20,$A49&lt;=사용안내!$C$21),"2학기","기간외")))</f>
        <v/>
      </c>
    </row>
    <row r="50" customFormat="false" ht="15" hidden="false" customHeight="true" outlineLevel="0" collapsed="false">
      <c r="A50" s="16"/>
      <c r="B50" s="12"/>
      <c r="C50" s="17" t="str">
        <f aca="false">IF($B50="","",IFERROR(INDEX(학생명부!$B$3:$B$83,MATCH($B50,학생명부!$A$3:$A$83,0)),"학번없음"))</f>
        <v/>
      </c>
      <c r="D50" s="12"/>
      <c r="E50" s="18"/>
      <c r="F50" s="18"/>
      <c r="G50" s="19" t="str">
        <f aca="false">IF(OR($E50="",$F50=""),"",ROUND(IF($F50&lt;1,$F50*24,INT($F50/100)+MOD($F50,100)/60)-IF($E50&lt;1,$E50*24,INT($E50/100)+MOD($E50,100)/60),2))</f>
        <v/>
      </c>
      <c r="H50" s="12"/>
      <c r="I50" s="17" t="str">
        <f aca="false">IF($A50="","",YEAR($A50))</f>
        <v/>
      </c>
      <c r="J50" s="17" t="str">
        <f aca="false">IF($A50="","",MONTH($A50))</f>
        <v/>
      </c>
      <c r="K50" s="17" t="str">
        <f aca="false">IF($A50="","",IF(AND($A50&gt;=사용안내!$C$18,$A50&lt;=사용안내!$C$19),"1학기",IF(AND($A50&gt;=사용안내!$C$20,$A50&lt;=사용안내!$C$21),"2학기","기간외")))</f>
        <v/>
      </c>
    </row>
    <row r="51" customFormat="false" ht="15" hidden="false" customHeight="true" outlineLevel="0" collapsed="false">
      <c r="A51" s="16"/>
      <c r="B51" s="12"/>
      <c r="C51" s="17" t="str">
        <f aca="false">IF($B51="","",IFERROR(INDEX(학생명부!$B$3:$B$83,MATCH($B51,학생명부!$A$3:$A$83,0)),"학번없음"))</f>
        <v/>
      </c>
      <c r="D51" s="12"/>
      <c r="E51" s="18"/>
      <c r="F51" s="18"/>
      <c r="G51" s="19" t="str">
        <f aca="false">IF(OR($E51="",$F51=""),"",ROUND(IF($F51&lt;1,$F51*24,INT($F51/100)+MOD($F51,100)/60)-IF($E51&lt;1,$E51*24,INT($E51/100)+MOD($E51,100)/60),2))</f>
        <v/>
      </c>
      <c r="H51" s="12"/>
      <c r="I51" s="17" t="str">
        <f aca="false">IF($A51="","",YEAR($A51))</f>
        <v/>
      </c>
      <c r="J51" s="17" t="str">
        <f aca="false">IF($A51="","",MONTH($A51))</f>
        <v/>
      </c>
      <c r="K51" s="17" t="str">
        <f aca="false">IF($A51="","",IF(AND($A51&gt;=사용안내!$C$18,$A51&lt;=사용안내!$C$19),"1학기",IF(AND($A51&gt;=사용안내!$C$20,$A51&lt;=사용안내!$C$21),"2학기","기간외")))</f>
        <v/>
      </c>
    </row>
    <row r="52" customFormat="false" ht="15" hidden="false" customHeight="true" outlineLevel="0" collapsed="false">
      <c r="A52" s="16"/>
      <c r="B52" s="12"/>
      <c r="C52" s="17" t="str">
        <f aca="false">IF($B52="","",IFERROR(INDEX(학생명부!$B$3:$B$83,MATCH($B52,학생명부!$A$3:$A$83,0)),"학번없음"))</f>
        <v/>
      </c>
      <c r="D52" s="12"/>
      <c r="E52" s="18"/>
      <c r="F52" s="18"/>
      <c r="G52" s="19" t="str">
        <f aca="false">IF(OR($E52="",$F52=""),"",ROUND(IF($F52&lt;1,$F52*24,INT($F52/100)+MOD($F52,100)/60)-IF($E52&lt;1,$E52*24,INT($E52/100)+MOD($E52,100)/60),2))</f>
        <v/>
      </c>
      <c r="H52" s="12"/>
      <c r="I52" s="17" t="str">
        <f aca="false">IF($A52="","",YEAR($A52))</f>
        <v/>
      </c>
      <c r="J52" s="17" t="str">
        <f aca="false">IF($A52="","",MONTH($A52))</f>
        <v/>
      </c>
      <c r="K52" s="17" t="str">
        <f aca="false">IF($A52="","",IF(AND($A52&gt;=사용안내!$C$18,$A52&lt;=사용안내!$C$19),"1학기",IF(AND($A52&gt;=사용안내!$C$20,$A52&lt;=사용안내!$C$21),"2학기","기간외")))</f>
        <v/>
      </c>
    </row>
    <row r="53" customFormat="false" ht="15" hidden="false" customHeight="true" outlineLevel="0" collapsed="false">
      <c r="A53" s="16"/>
      <c r="B53" s="12"/>
      <c r="C53" s="17" t="str">
        <f aca="false">IF($B53="","",IFERROR(INDEX(학생명부!$B$3:$B$83,MATCH($B53,학생명부!$A$3:$A$83,0)),"학번없음"))</f>
        <v/>
      </c>
      <c r="D53" s="12"/>
      <c r="E53" s="18"/>
      <c r="F53" s="18"/>
      <c r="G53" s="19" t="str">
        <f aca="false">IF(OR($E53="",$F53=""),"",ROUND(IF($F53&lt;1,$F53*24,INT($F53/100)+MOD($F53,100)/60)-IF($E53&lt;1,$E53*24,INT($E53/100)+MOD($E53,100)/60),2))</f>
        <v/>
      </c>
      <c r="H53" s="12"/>
      <c r="I53" s="17" t="str">
        <f aca="false">IF($A53="","",YEAR($A53))</f>
        <v/>
      </c>
      <c r="J53" s="17" t="str">
        <f aca="false">IF($A53="","",MONTH($A53))</f>
        <v/>
      </c>
      <c r="K53" s="17" t="str">
        <f aca="false">IF($A53="","",IF(AND($A53&gt;=사용안내!$C$18,$A53&lt;=사용안내!$C$19),"1학기",IF(AND($A53&gt;=사용안내!$C$20,$A53&lt;=사용안내!$C$21),"2학기","기간외")))</f>
        <v/>
      </c>
    </row>
    <row r="54" customFormat="false" ht="15" hidden="false" customHeight="true" outlineLevel="0" collapsed="false">
      <c r="A54" s="16"/>
      <c r="B54" s="12"/>
      <c r="C54" s="17" t="str">
        <f aca="false">IF($B54="","",IFERROR(INDEX(학생명부!$B$3:$B$83,MATCH($B54,학생명부!$A$3:$A$83,0)),"학번없음"))</f>
        <v/>
      </c>
      <c r="D54" s="12"/>
      <c r="E54" s="18"/>
      <c r="F54" s="18"/>
      <c r="G54" s="19" t="str">
        <f aca="false">IF(OR($E54="",$F54=""),"",ROUND(IF($F54&lt;1,$F54*24,INT($F54/100)+MOD($F54,100)/60)-IF($E54&lt;1,$E54*24,INT($E54/100)+MOD($E54,100)/60),2))</f>
        <v/>
      </c>
      <c r="H54" s="12"/>
      <c r="I54" s="17" t="str">
        <f aca="false">IF($A54="","",YEAR($A54))</f>
        <v/>
      </c>
      <c r="J54" s="17" t="str">
        <f aca="false">IF($A54="","",MONTH($A54))</f>
        <v/>
      </c>
      <c r="K54" s="17" t="str">
        <f aca="false">IF($A54="","",IF(AND($A54&gt;=사용안내!$C$18,$A54&lt;=사용안내!$C$19),"1학기",IF(AND($A54&gt;=사용안내!$C$20,$A54&lt;=사용안내!$C$21),"2학기","기간외")))</f>
        <v/>
      </c>
    </row>
    <row r="55" customFormat="false" ht="15" hidden="false" customHeight="true" outlineLevel="0" collapsed="false">
      <c r="A55" s="16"/>
      <c r="B55" s="12"/>
      <c r="C55" s="17" t="str">
        <f aca="false">IF($B55="","",IFERROR(INDEX(학생명부!$B$3:$B$83,MATCH($B55,학생명부!$A$3:$A$83,0)),"학번없음"))</f>
        <v/>
      </c>
      <c r="D55" s="12"/>
      <c r="E55" s="18"/>
      <c r="F55" s="18"/>
      <c r="G55" s="19" t="str">
        <f aca="false">IF(OR($E55="",$F55=""),"",ROUND(IF($F55&lt;1,$F55*24,INT($F55/100)+MOD($F55,100)/60)-IF($E55&lt;1,$E55*24,INT($E55/100)+MOD($E55,100)/60),2))</f>
        <v/>
      </c>
      <c r="H55" s="12"/>
      <c r="I55" s="17" t="str">
        <f aca="false">IF($A55="","",YEAR($A55))</f>
        <v/>
      </c>
      <c r="J55" s="17" t="str">
        <f aca="false">IF($A55="","",MONTH($A55))</f>
        <v/>
      </c>
      <c r="K55" s="17" t="str">
        <f aca="false">IF($A55="","",IF(AND($A55&gt;=사용안내!$C$18,$A55&lt;=사용안내!$C$19),"1학기",IF(AND($A55&gt;=사용안내!$C$20,$A55&lt;=사용안내!$C$21),"2학기","기간외")))</f>
        <v/>
      </c>
    </row>
    <row r="56" customFormat="false" ht="15" hidden="false" customHeight="true" outlineLevel="0" collapsed="false">
      <c r="A56" s="16"/>
      <c r="B56" s="12"/>
      <c r="C56" s="17" t="str">
        <f aca="false">IF($B56="","",IFERROR(INDEX(학생명부!$B$3:$B$83,MATCH($B56,학생명부!$A$3:$A$83,0)),"학번없음"))</f>
        <v/>
      </c>
      <c r="D56" s="12"/>
      <c r="E56" s="18"/>
      <c r="F56" s="18"/>
      <c r="G56" s="19" t="str">
        <f aca="false">IF(OR($E56="",$F56=""),"",ROUND(IF($F56&lt;1,$F56*24,INT($F56/100)+MOD($F56,100)/60)-IF($E56&lt;1,$E56*24,INT($E56/100)+MOD($E56,100)/60),2))</f>
        <v/>
      </c>
      <c r="H56" s="12"/>
      <c r="I56" s="17" t="str">
        <f aca="false">IF($A56="","",YEAR($A56))</f>
        <v/>
      </c>
      <c r="J56" s="17" t="str">
        <f aca="false">IF($A56="","",MONTH($A56))</f>
        <v/>
      </c>
      <c r="K56" s="17" t="str">
        <f aca="false">IF($A56="","",IF(AND($A56&gt;=사용안내!$C$18,$A56&lt;=사용안내!$C$19),"1학기",IF(AND($A56&gt;=사용안내!$C$20,$A56&lt;=사용안내!$C$21),"2학기","기간외")))</f>
        <v/>
      </c>
    </row>
    <row r="57" customFormat="false" ht="15" hidden="false" customHeight="true" outlineLevel="0" collapsed="false">
      <c r="A57" s="16"/>
      <c r="B57" s="12"/>
      <c r="C57" s="17" t="str">
        <f aca="false">IF($B57="","",IFERROR(INDEX(학생명부!$B$3:$B$83,MATCH($B57,학생명부!$A$3:$A$83,0)),"학번없음"))</f>
        <v/>
      </c>
      <c r="D57" s="12"/>
      <c r="E57" s="18"/>
      <c r="F57" s="18"/>
      <c r="G57" s="19" t="str">
        <f aca="false">IF(OR($E57="",$F57=""),"",ROUND(IF($F57&lt;1,$F57*24,INT($F57/100)+MOD($F57,100)/60)-IF($E57&lt;1,$E57*24,INT($E57/100)+MOD($E57,100)/60),2))</f>
        <v/>
      </c>
      <c r="H57" s="12"/>
      <c r="I57" s="17" t="str">
        <f aca="false">IF($A57="","",YEAR($A57))</f>
        <v/>
      </c>
      <c r="J57" s="17" t="str">
        <f aca="false">IF($A57="","",MONTH($A57))</f>
        <v/>
      </c>
      <c r="K57" s="17" t="str">
        <f aca="false">IF($A57="","",IF(AND($A57&gt;=사용안내!$C$18,$A57&lt;=사용안내!$C$19),"1학기",IF(AND($A57&gt;=사용안내!$C$20,$A57&lt;=사용안내!$C$21),"2학기","기간외")))</f>
        <v/>
      </c>
    </row>
    <row r="58" customFormat="false" ht="15" hidden="false" customHeight="true" outlineLevel="0" collapsed="false">
      <c r="A58" s="16"/>
      <c r="B58" s="12"/>
      <c r="C58" s="17" t="str">
        <f aca="false">IF($B58="","",IFERROR(INDEX(학생명부!$B$3:$B$83,MATCH($B58,학생명부!$A$3:$A$83,0)),"학번없음"))</f>
        <v/>
      </c>
      <c r="D58" s="12"/>
      <c r="E58" s="18"/>
      <c r="F58" s="18"/>
      <c r="G58" s="19" t="str">
        <f aca="false">IF(OR($E58="",$F58=""),"",ROUND(IF($F58&lt;1,$F58*24,INT($F58/100)+MOD($F58,100)/60)-IF($E58&lt;1,$E58*24,INT($E58/100)+MOD($E58,100)/60),2))</f>
        <v/>
      </c>
      <c r="H58" s="12"/>
      <c r="I58" s="17" t="str">
        <f aca="false">IF($A58="","",YEAR($A58))</f>
        <v/>
      </c>
      <c r="J58" s="17" t="str">
        <f aca="false">IF($A58="","",MONTH($A58))</f>
        <v/>
      </c>
      <c r="K58" s="17" t="str">
        <f aca="false">IF($A58="","",IF(AND($A58&gt;=사용안내!$C$18,$A58&lt;=사용안내!$C$19),"1학기",IF(AND($A58&gt;=사용안내!$C$20,$A58&lt;=사용안내!$C$21),"2학기","기간외")))</f>
        <v/>
      </c>
    </row>
    <row r="59" customFormat="false" ht="15" hidden="false" customHeight="true" outlineLevel="0" collapsed="false">
      <c r="A59" s="16"/>
      <c r="B59" s="12"/>
      <c r="C59" s="17" t="str">
        <f aca="false">IF($B59="","",IFERROR(INDEX(학생명부!$B$3:$B$83,MATCH($B59,학생명부!$A$3:$A$83,0)),"학번없음"))</f>
        <v/>
      </c>
      <c r="D59" s="12"/>
      <c r="E59" s="18"/>
      <c r="F59" s="18"/>
      <c r="G59" s="19" t="str">
        <f aca="false">IF(OR($E59="",$F59=""),"",ROUND(IF($F59&lt;1,$F59*24,INT($F59/100)+MOD($F59,100)/60)-IF($E59&lt;1,$E59*24,INT($E59/100)+MOD($E59,100)/60),2))</f>
        <v/>
      </c>
      <c r="H59" s="12"/>
      <c r="I59" s="17" t="str">
        <f aca="false">IF($A59="","",YEAR($A59))</f>
        <v/>
      </c>
      <c r="J59" s="17" t="str">
        <f aca="false">IF($A59="","",MONTH($A59))</f>
        <v/>
      </c>
      <c r="K59" s="17" t="str">
        <f aca="false">IF($A59="","",IF(AND($A59&gt;=사용안내!$C$18,$A59&lt;=사용안내!$C$19),"1학기",IF(AND($A59&gt;=사용안내!$C$20,$A59&lt;=사용안내!$C$21),"2학기","기간외")))</f>
        <v/>
      </c>
    </row>
    <row r="60" customFormat="false" ht="15" hidden="false" customHeight="true" outlineLevel="0" collapsed="false">
      <c r="A60" s="16"/>
      <c r="B60" s="12"/>
      <c r="C60" s="17" t="str">
        <f aca="false">IF($B60="","",IFERROR(INDEX(학생명부!$B$3:$B$83,MATCH($B60,학생명부!$A$3:$A$83,0)),"학번없음"))</f>
        <v/>
      </c>
      <c r="D60" s="12"/>
      <c r="E60" s="18"/>
      <c r="F60" s="18"/>
      <c r="G60" s="19" t="str">
        <f aca="false">IF(OR($E60="",$F60=""),"",ROUND(IF($F60&lt;1,$F60*24,INT($F60/100)+MOD($F60,100)/60)-IF($E60&lt;1,$E60*24,INT($E60/100)+MOD($E60,100)/60),2))</f>
        <v/>
      </c>
      <c r="H60" s="12"/>
      <c r="I60" s="17" t="str">
        <f aca="false">IF($A60="","",YEAR($A60))</f>
        <v/>
      </c>
      <c r="J60" s="17" t="str">
        <f aca="false">IF($A60="","",MONTH($A60))</f>
        <v/>
      </c>
      <c r="K60" s="17" t="str">
        <f aca="false">IF($A60="","",IF(AND($A60&gt;=사용안내!$C$18,$A60&lt;=사용안내!$C$19),"1학기",IF(AND($A60&gt;=사용안내!$C$20,$A60&lt;=사용안내!$C$21),"2학기","기간외")))</f>
        <v/>
      </c>
    </row>
    <row r="61" customFormat="false" ht="15" hidden="false" customHeight="true" outlineLevel="0" collapsed="false">
      <c r="A61" s="16"/>
      <c r="B61" s="12"/>
      <c r="C61" s="17" t="str">
        <f aca="false">IF($B61="","",IFERROR(INDEX(학생명부!$B$3:$B$83,MATCH($B61,학생명부!$A$3:$A$83,0)),"학번없음"))</f>
        <v/>
      </c>
      <c r="D61" s="12"/>
      <c r="E61" s="18"/>
      <c r="F61" s="18"/>
      <c r="G61" s="19" t="str">
        <f aca="false">IF(OR($E61="",$F61=""),"",ROUND(IF($F61&lt;1,$F61*24,INT($F61/100)+MOD($F61,100)/60)-IF($E61&lt;1,$E61*24,INT($E61/100)+MOD($E61,100)/60),2))</f>
        <v/>
      </c>
      <c r="H61" s="12"/>
      <c r="I61" s="17" t="str">
        <f aca="false">IF($A61="","",YEAR($A61))</f>
        <v/>
      </c>
      <c r="J61" s="17" t="str">
        <f aca="false">IF($A61="","",MONTH($A61))</f>
        <v/>
      </c>
      <c r="K61" s="17" t="str">
        <f aca="false">IF($A61="","",IF(AND($A61&gt;=사용안내!$C$18,$A61&lt;=사용안내!$C$19),"1학기",IF(AND($A61&gt;=사용안내!$C$20,$A61&lt;=사용안내!$C$21),"2학기","기간외")))</f>
        <v/>
      </c>
    </row>
    <row r="62" customFormat="false" ht="15" hidden="false" customHeight="true" outlineLevel="0" collapsed="false">
      <c r="A62" s="16"/>
      <c r="B62" s="12"/>
      <c r="C62" s="17" t="str">
        <f aca="false">IF($B62="","",IFERROR(INDEX(학생명부!$B$3:$B$83,MATCH($B62,학생명부!$A$3:$A$83,0)),"학번없음"))</f>
        <v/>
      </c>
      <c r="D62" s="12"/>
      <c r="E62" s="18"/>
      <c r="F62" s="18"/>
      <c r="G62" s="19" t="str">
        <f aca="false">IF(OR($E62="",$F62=""),"",ROUND(IF($F62&lt;1,$F62*24,INT($F62/100)+MOD($F62,100)/60)-IF($E62&lt;1,$E62*24,INT($E62/100)+MOD($E62,100)/60),2))</f>
        <v/>
      </c>
      <c r="H62" s="12"/>
      <c r="I62" s="17" t="str">
        <f aca="false">IF($A62="","",YEAR($A62))</f>
        <v/>
      </c>
      <c r="J62" s="17" t="str">
        <f aca="false">IF($A62="","",MONTH($A62))</f>
        <v/>
      </c>
      <c r="K62" s="17" t="str">
        <f aca="false">IF($A62="","",IF(AND($A62&gt;=사용안내!$C$18,$A62&lt;=사용안내!$C$19),"1학기",IF(AND($A62&gt;=사용안내!$C$20,$A62&lt;=사용안내!$C$21),"2학기","기간외")))</f>
        <v/>
      </c>
    </row>
    <row r="63" customFormat="false" ht="15" hidden="false" customHeight="true" outlineLevel="0" collapsed="false">
      <c r="A63" s="16"/>
      <c r="B63" s="12"/>
      <c r="C63" s="17" t="str">
        <f aca="false">IF($B63="","",IFERROR(INDEX(학생명부!$B$3:$B$83,MATCH($B63,학생명부!$A$3:$A$83,0)),"학번없음"))</f>
        <v/>
      </c>
      <c r="D63" s="12"/>
      <c r="E63" s="18"/>
      <c r="F63" s="18"/>
      <c r="G63" s="19" t="str">
        <f aca="false">IF(OR($E63="",$F63=""),"",ROUND(IF($F63&lt;1,$F63*24,INT($F63/100)+MOD($F63,100)/60)-IF($E63&lt;1,$E63*24,INT($E63/100)+MOD($E63,100)/60),2))</f>
        <v/>
      </c>
      <c r="H63" s="12"/>
      <c r="I63" s="17" t="str">
        <f aca="false">IF($A63="","",YEAR($A63))</f>
        <v/>
      </c>
      <c r="J63" s="17" t="str">
        <f aca="false">IF($A63="","",MONTH($A63))</f>
        <v/>
      </c>
      <c r="K63" s="17" t="str">
        <f aca="false">IF($A63="","",IF(AND($A63&gt;=사용안내!$C$18,$A63&lt;=사용안내!$C$19),"1학기",IF(AND($A63&gt;=사용안내!$C$20,$A63&lt;=사용안내!$C$21),"2학기","기간외")))</f>
        <v/>
      </c>
    </row>
    <row r="64" customFormat="false" ht="15" hidden="false" customHeight="true" outlineLevel="0" collapsed="false">
      <c r="A64" s="16"/>
      <c r="B64" s="12"/>
      <c r="C64" s="17" t="str">
        <f aca="false">IF($B64="","",IFERROR(INDEX(학생명부!$B$3:$B$83,MATCH($B64,학생명부!$A$3:$A$83,0)),"학번없음"))</f>
        <v/>
      </c>
      <c r="D64" s="12"/>
      <c r="E64" s="18"/>
      <c r="F64" s="18"/>
      <c r="G64" s="19" t="str">
        <f aca="false">IF(OR($E64="",$F64=""),"",ROUND(IF($F64&lt;1,$F64*24,INT($F64/100)+MOD($F64,100)/60)-IF($E64&lt;1,$E64*24,INT($E64/100)+MOD($E64,100)/60),2))</f>
        <v/>
      </c>
      <c r="H64" s="12"/>
      <c r="I64" s="17" t="str">
        <f aca="false">IF($A64="","",YEAR($A64))</f>
        <v/>
      </c>
      <c r="J64" s="17" t="str">
        <f aca="false">IF($A64="","",MONTH($A64))</f>
        <v/>
      </c>
      <c r="K64" s="17" t="str">
        <f aca="false">IF($A64="","",IF(AND($A64&gt;=사용안내!$C$18,$A64&lt;=사용안내!$C$19),"1학기",IF(AND($A64&gt;=사용안내!$C$20,$A64&lt;=사용안내!$C$21),"2학기","기간외")))</f>
        <v/>
      </c>
    </row>
    <row r="65" customFormat="false" ht="15" hidden="false" customHeight="true" outlineLevel="0" collapsed="false">
      <c r="A65" s="16"/>
      <c r="B65" s="12"/>
      <c r="C65" s="17" t="str">
        <f aca="false">IF($B65="","",IFERROR(INDEX(학생명부!$B$3:$B$83,MATCH($B65,학생명부!$A$3:$A$83,0)),"학번없음"))</f>
        <v/>
      </c>
      <c r="D65" s="12"/>
      <c r="E65" s="18"/>
      <c r="F65" s="18"/>
      <c r="G65" s="19" t="str">
        <f aca="false">IF(OR($E65="",$F65=""),"",ROUND(IF($F65&lt;1,$F65*24,INT($F65/100)+MOD($F65,100)/60)-IF($E65&lt;1,$E65*24,INT($E65/100)+MOD($E65,100)/60),2))</f>
        <v/>
      </c>
      <c r="H65" s="12"/>
      <c r="I65" s="17" t="str">
        <f aca="false">IF($A65="","",YEAR($A65))</f>
        <v/>
      </c>
      <c r="J65" s="17" t="str">
        <f aca="false">IF($A65="","",MONTH($A65))</f>
        <v/>
      </c>
      <c r="K65" s="17" t="str">
        <f aca="false">IF($A65="","",IF(AND($A65&gt;=사용안내!$C$18,$A65&lt;=사용안내!$C$19),"1학기",IF(AND($A65&gt;=사용안내!$C$20,$A65&lt;=사용안내!$C$21),"2학기","기간외")))</f>
        <v/>
      </c>
    </row>
    <row r="66" customFormat="false" ht="15" hidden="false" customHeight="true" outlineLevel="0" collapsed="false">
      <c r="A66" s="16"/>
      <c r="B66" s="12"/>
      <c r="C66" s="17" t="str">
        <f aca="false">IF($B66="","",IFERROR(INDEX(학생명부!$B$3:$B$83,MATCH($B66,학생명부!$A$3:$A$83,0)),"학번없음"))</f>
        <v/>
      </c>
      <c r="D66" s="12"/>
      <c r="E66" s="18"/>
      <c r="F66" s="18"/>
      <c r="G66" s="19" t="str">
        <f aca="false">IF(OR($E66="",$F66=""),"",ROUND(IF($F66&lt;1,$F66*24,INT($F66/100)+MOD($F66,100)/60)-IF($E66&lt;1,$E66*24,INT($E66/100)+MOD($E66,100)/60),2))</f>
        <v/>
      </c>
      <c r="H66" s="12"/>
      <c r="I66" s="17" t="str">
        <f aca="false">IF($A66="","",YEAR($A66))</f>
        <v/>
      </c>
      <c r="J66" s="17" t="str">
        <f aca="false">IF($A66="","",MONTH($A66))</f>
        <v/>
      </c>
      <c r="K66" s="17" t="str">
        <f aca="false">IF($A66="","",IF(AND($A66&gt;=사용안내!$C$18,$A66&lt;=사용안내!$C$19),"1학기",IF(AND($A66&gt;=사용안내!$C$20,$A66&lt;=사용안내!$C$21),"2학기","기간외")))</f>
        <v/>
      </c>
    </row>
    <row r="67" customFormat="false" ht="15" hidden="false" customHeight="true" outlineLevel="0" collapsed="false">
      <c r="A67" s="16"/>
      <c r="B67" s="12"/>
      <c r="C67" s="17" t="str">
        <f aca="false">IF($B67="","",IFERROR(INDEX(학생명부!$B$3:$B$83,MATCH($B67,학생명부!$A$3:$A$83,0)),"학번없음"))</f>
        <v/>
      </c>
      <c r="D67" s="12"/>
      <c r="E67" s="18"/>
      <c r="F67" s="18"/>
      <c r="G67" s="19" t="str">
        <f aca="false">IF(OR($E67="",$F67=""),"",ROUND(IF($F67&lt;1,$F67*24,INT($F67/100)+MOD($F67,100)/60)-IF($E67&lt;1,$E67*24,INT($E67/100)+MOD($E67,100)/60),2))</f>
        <v/>
      </c>
      <c r="H67" s="12"/>
      <c r="I67" s="17" t="str">
        <f aca="false">IF($A67="","",YEAR($A67))</f>
        <v/>
      </c>
      <c r="J67" s="17" t="str">
        <f aca="false">IF($A67="","",MONTH($A67))</f>
        <v/>
      </c>
      <c r="K67" s="17" t="str">
        <f aca="false">IF($A67="","",IF(AND($A67&gt;=사용안내!$C$18,$A67&lt;=사용안내!$C$19),"1학기",IF(AND($A67&gt;=사용안내!$C$20,$A67&lt;=사용안내!$C$21),"2학기","기간외")))</f>
        <v/>
      </c>
    </row>
    <row r="68" customFormat="false" ht="15" hidden="false" customHeight="true" outlineLevel="0" collapsed="false">
      <c r="A68" s="16"/>
      <c r="B68" s="12"/>
      <c r="C68" s="17" t="str">
        <f aca="false">IF($B68="","",IFERROR(INDEX(학생명부!$B$3:$B$83,MATCH($B68,학생명부!$A$3:$A$83,0)),"학번없음"))</f>
        <v/>
      </c>
      <c r="D68" s="12"/>
      <c r="E68" s="18"/>
      <c r="F68" s="18"/>
      <c r="G68" s="19" t="str">
        <f aca="false">IF(OR($E68="",$F68=""),"",ROUND(IF($F68&lt;1,$F68*24,INT($F68/100)+MOD($F68,100)/60)-IF($E68&lt;1,$E68*24,INT($E68/100)+MOD($E68,100)/60),2))</f>
        <v/>
      </c>
      <c r="H68" s="12"/>
      <c r="I68" s="17" t="str">
        <f aca="false">IF($A68="","",YEAR($A68))</f>
        <v/>
      </c>
      <c r="J68" s="17" t="str">
        <f aca="false">IF($A68="","",MONTH($A68))</f>
        <v/>
      </c>
      <c r="K68" s="17" t="str">
        <f aca="false">IF($A68="","",IF(AND($A68&gt;=사용안내!$C$18,$A68&lt;=사용안내!$C$19),"1학기",IF(AND($A68&gt;=사용안내!$C$20,$A68&lt;=사용안내!$C$21),"2학기","기간외")))</f>
        <v/>
      </c>
    </row>
    <row r="69" customFormat="false" ht="15" hidden="false" customHeight="true" outlineLevel="0" collapsed="false">
      <c r="A69" s="16"/>
      <c r="B69" s="12"/>
      <c r="C69" s="17" t="str">
        <f aca="false">IF($B69="","",IFERROR(INDEX(학생명부!$B$3:$B$83,MATCH($B69,학생명부!$A$3:$A$83,0)),"학번없음"))</f>
        <v/>
      </c>
      <c r="D69" s="12"/>
      <c r="E69" s="18"/>
      <c r="F69" s="18"/>
      <c r="G69" s="19" t="str">
        <f aca="false">IF(OR($E69="",$F69=""),"",ROUND(IF($F69&lt;1,$F69*24,INT($F69/100)+MOD($F69,100)/60)-IF($E69&lt;1,$E69*24,INT($E69/100)+MOD($E69,100)/60),2))</f>
        <v/>
      </c>
      <c r="H69" s="12"/>
      <c r="I69" s="17" t="str">
        <f aca="false">IF($A69="","",YEAR($A69))</f>
        <v/>
      </c>
      <c r="J69" s="17" t="str">
        <f aca="false">IF($A69="","",MONTH($A69))</f>
        <v/>
      </c>
      <c r="K69" s="17" t="str">
        <f aca="false">IF($A69="","",IF(AND($A69&gt;=사용안내!$C$18,$A69&lt;=사용안내!$C$19),"1학기",IF(AND($A69&gt;=사용안내!$C$20,$A69&lt;=사용안내!$C$21),"2학기","기간외")))</f>
        <v/>
      </c>
    </row>
    <row r="70" customFormat="false" ht="15" hidden="false" customHeight="true" outlineLevel="0" collapsed="false">
      <c r="A70" s="16"/>
      <c r="B70" s="12"/>
      <c r="C70" s="17" t="str">
        <f aca="false">IF($B70="","",IFERROR(INDEX(학생명부!$B$3:$B$83,MATCH($B70,학생명부!$A$3:$A$83,0)),"학번없음"))</f>
        <v/>
      </c>
      <c r="D70" s="12"/>
      <c r="E70" s="18"/>
      <c r="F70" s="18"/>
      <c r="G70" s="19" t="str">
        <f aca="false">IF(OR($E70="",$F70=""),"",ROUND(IF($F70&lt;1,$F70*24,INT($F70/100)+MOD($F70,100)/60)-IF($E70&lt;1,$E70*24,INT($E70/100)+MOD($E70,100)/60),2))</f>
        <v/>
      </c>
      <c r="H70" s="12"/>
      <c r="I70" s="17" t="str">
        <f aca="false">IF($A70="","",YEAR($A70))</f>
        <v/>
      </c>
      <c r="J70" s="17" t="str">
        <f aca="false">IF($A70="","",MONTH($A70))</f>
        <v/>
      </c>
      <c r="K70" s="17" t="str">
        <f aca="false">IF($A70="","",IF(AND($A70&gt;=사용안내!$C$18,$A70&lt;=사용안내!$C$19),"1학기",IF(AND($A70&gt;=사용안내!$C$20,$A70&lt;=사용안내!$C$21),"2학기","기간외")))</f>
        <v/>
      </c>
    </row>
    <row r="71" customFormat="false" ht="15" hidden="false" customHeight="true" outlineLevel="0" collapsed="false">
      <c r="A71" s="16"/>
      <c r="B71" s="12"/>
      <c r="C71" s="17" t="str">
        <f aca="false">IF($B71="","",IFERROR(INDEX(학생명부!$B$3:$B$83,MATCH($B71,학생명부!$A$3:$A$83,0)),"학번없음"))</f>
        <v/>
      </c>
      <c r="D71" s="12"/>
      <c r="E71" s="18"/>
      <c r="F71" s="18"/>
      <c r="G71" s="19" t="str">
        <f aca="false">IF(OR($E71="",$F71=""),"",ROUND(IF($F71&lt;1,$F71*24,INT($F71/100)+MOD($F71,100)/60)-IF($E71&lt;1,$E71*24,INT($E71/100)+MOD($E71,100)/60),2))</f>
        <v/>
      </c>
      <c r="H71" s="12"/>
      <c r="I71" s="17" t="str">
        <f aca="false">IF($A71="","",YEAR($A71))</f>
        <v/>
      </c>
      <c r="J71" s="17" t="str">
        <f aca="false">IF($A71="","",MONTH($A71))</f>
        <v/>
      </c>
      <c r="K71" s="17" t="str">
        <f aca="false">IF($A71="","",IF(AND($A71&gt;=사용안내!$C$18,$A71&lt;=사용안내!$C$19),"1학기",IF(AND($A71&gt;=사용안내!$C$20,$A71&lt;=사용안내!$C$21),"2학기","기간외")))</f>
        <v/>
      </c>
    </row>
    <row r="72" customFormat="false" ht="15" hidden="false" customHeight="true" outlineLevel="0" collapsed="false">
      <c r="A72" s="16"/>
      <c r="B72" s="12"/>
      <c r="C72" s="17" t="str">
        <f aca="false">IF($B72="","",IFERROR(INDEX(학생명부!$B$3:$B$83,MATCH($B72,학생명부!$A$3:$A$83,0)),"학번없음"))</f>
        <v/>
      </c>
      <c r="D72" s="12"/>
      <c r="E72" s="18"/>
      <c r="F72" s="18"/>
      <c r="G72" s="19" t="str">
        <f aca="false">IF(OR($E72="",$F72=""),"",ROUND(IF($F72&lt;1,$F72*24,INT($F72/100)+MOD($F72,100)/60)-IF($E72&lt;1,$E72*24,INT($E72/100)+MOD($E72,100)/60),2))</f>
        <v/>
      </c>
      <c r="H72" s="12"/>
      <c r="I72" s="17" t="str">
        <f aca="false">IF($A72="","",YEAR($A72))</f>
        <v/>
      </c>
      <c r="J72" s="17" t="str">
        <f aca="false">IF($A72="","",MONTH($A72))</f>
        <v/>
      </c>
      <c r="K72" s="17" t="str">
        <f aca="false">IF($A72="","",IF(AND($A72&gt;=사용안내!$C$18,$A72&lt;=사용안내!$C$19),"1학기",IF(AND($A72&gt;=사용안내!$C$20,$A72&lt;=사용안내!$C$21),"2학기","기간외")))</f>
        <v/>
      </c>
    </row>
    <row r="73" customFormat="false" ht="15" hidden="false" customHeight="true" outlineLevel="0" collapsed="false">
      <c r="A73" s="16"/>
      <c r="B73" s="12"/>
      <c r="C73" s="17" t="str">
        <f aca="false">IF($B73="","",IFERROR(INDEX(학생명부!$B$3:$B$83,MATCH($B73,학생명부!$A$3:$A$83,0)),"학번없음"))</f>
        <v/>
      </c>
      <c r="D73" s="12"/>
      <c r="E73" s="18"/>
      <c r="F73" s="18"/>
      <c r="G73" s="19" t="str">
        <f aca="false">IF(OR($E73="",$F73=""),"",ROUND(IF($F73&lt;1,$F73*24,INT($F73/100)+MOD($F73,100)/60)-IF($E73&lt;1,$E73*24,INT($E73/100)+MOD($E73,100)/60),2))</f>
        <v/>
      </c>
      <c r="H73" s="12"/>
      <c r="I73" s="17" t="str">
        <f aca="false">IF($A73="","",YEAR($A73))</f>
        <v/>
      </c>
      <c r="J73" s="17" t="str">
        <f aca="false">IF($A73="","",MONTH($A73))</f>
        <v/>
      </c>
      <c r="K73" s="17" t="str">
        <f aca="false">IF($A73="","",IF(AND($A73&gt;=사용안내!$C$18,$A73&lt;=사용안내!$C$19),"1학기",IF(AND($A73&gt;=사용안내!$C$20,$A73&lt;=사용안내!$C$21),"2학기","기간외")))</f>
        <v/>
      </c>
    </row>
    <row r="74" customFormat="false" ht="15" hidden="false" customHeight="true" outlineLevel="0" collapsed="false">
      <c r="A74" s="16"/>
      <c r="B74" s="12"/>
      <c r="C74" s="17" t="str">
        <f aca="false">IF($B74="","",IFERROR(INDEX(학생명부!$B$3:$B$83,MATCH($B74,학생명부!$A$3:$A$83,0)),"학번없음"))</f>
        <v/>
      </c>
      <c r="D74" s="12"/>
      <c r="E74" s="18"/>
      <c r="F74" s="18"/>
      <c r="G74" s="19" t="str">
        <f aca="false">IF(OR($E74="",$F74=""),"",ROUND(IF($F74&lt;1,$F74*24,INT($F74/100)+MOD($F74,100)/60)-IF($E74&lt;1,$E74*24,INT($E74/100)+MOD($E74,100)/60),2))</f>
        <v/>
      </c>
      <c r="H74" s="12"/>
      <c r="I74" s="17" t="str">
        <f aca="false">IF($A74="","",YEAR($A74))</f>
        <v/>
      </c>
      <c r="J74" s="17" t="str">
        <f aca="false">IF($A74="","",MONTH($A74))</f>
        <v/>
      </c>
      <c r="K74" s="17" t="str">
        <f aca="false">IF($A74="","",IF(AND($A74&gt;=사용안내!$C$18,$A74&lt;=사용안내!$C$19),"1학기",IF(AND($A74&gt;=사용안내!$C$20,$A74&lt;=사용안내!$C$21),"2학기","기간외")))</f>
        <v/>
      </c>
    </row>
    <row r="75" customFormat="false" ht="15" hidden="false" customHeight="true" outlineLevel="0" collapsed="false">
      <c r="A75" s="16"/>
      <c r="B75" s="12"/>
      <c r="C75" s="17" t="str">
        <f aca="false">IF($B75="","",IFERROR(INDEX(학생명부!$B$3:$B$83,MATCH($B75,학생명부!$A$3:$A$83,0)),"학번없음"))</f>
        <v/>
      </c>
      <c r="D75" s="12"/>
      <c r="E75" s="18"/>
      <c r="F75" s="18"/>
      <c r="G75" s="19" t="str">
        <f aca="false">IF(OR($E75="",$F75=""),"",ROUND(IF($F75&lt;1,$F75*24,INT($F75/100)+MOD($F75,100)/60)-IF($E75&lt;1,$E75*24,INT($E75/100)+MOD($E75,100)/60),2))</f>
        <v/>
      </c>
      <c r="H75" s="12"/>
      <c r="I75" s="17" t="str">
        <f aca="false">IF($A75="","",YEAR($A75))</f>
        <v/>
      </c>
      <c r="J75" s="17" t="str">
        <f aca="false">IF($A75="","",MONTH($A75))</f>
        <v/>
      </c>
      <c r="K75" s="17" t="str">
        <f aca="false">IF($A75="","",IF(AND($A75&gt;=사용안내!$C$18,$A75&lt;=사용안내!$C$19),"1학기",IF(AND($A75&gt;=사용안내!$C$20,$A75&lt;=사용안내!$C$21),"2학기","기간외")))</f>
        <v/>
      </c>
    </row>
    <row r="76" customFormat="false" ht="15" hidden="false" customHeight="true" outlineLevel="0" collapsed="false">
      <c r="A76" s="16"/>
      <c r="B76" s="12"/>
      <c r="C76" s="17" t="str">
        <f aca="false">IF($B76="","",IFERROR(INDEX(학생명부!$B$3:$B$83,MATCH($B76,학생명부!$A$3:$A$83,0)),"학번없음"))</f>
        <v/>
      </c>
      <c r="D76" s="12"/>
      <c r="E76" s="18"/>
      <c r="F76" s="18"/>
      <c r="G76" s="19" t="str">
        <f aca="false">IF(OR($E76="",$F76=""),"",ROUND(IF($F76&lt;1,$F76*24,INT($F76/100)+MOD($F76,100)/60)-IF($E76&lt;1,$E76*24,INT($E76/100)+MOD($E76,100)/60),2))</f>
        <v/>
      </c>
      <c r="H76" s="12"/>
      <c r="I76" s="17" t="str">
        <f aca="false">IF($A76="","",YEAR($A76))</f>
        <v/>
      </c>
      <c r="J76" s="17" t="str">
        <f aca="false">IF($A76="","",MONTH($A76))</f>
        <v/>
      </c>
      <c r="K76" s="17" t="str">
        <f aca="false">IF($A76="","",IF(AND($A76&gt;=사용안내!$C$18,$A76&lt;=사용안내!$C$19),"1학기",IF(AND($A76&gt;=사용안내!$C$20,$A76&lt;=사용안내!$C$21),"2학기","기간외")))</f>
        <v/>
      </c>
    </row>
    <row r="77" customFormat="false" ht="15" hidden="false" customHeight="true" outlineLevel="0" collapsed="false">
      <c r="A77" s="16"/>
      <c r="B77" s="12"/>
      <c r="C77" s="17" t="str">
        <f aca="false">IF($B77="","",IFERROR(INDEX(학생명부!$B$3:$B$83,MATCH($B77,학생명부!$A$3:$A$83,0)),"학번없음"))</f>
        <v/>
      </c>
      <c r="D77" s="12"/>
      <c r="E77" s="18"/>
      <c r="F77" s="18"/>
      <c r="G77" s="19" t="str">
        <f aca="false">IF(OR($E77="",$F77=""),"",ROUND(IF($F77&lt;1,$F77*24,INT($F77/100)+MOD($F77,100)/60)-IF($E77&lt;1,$E77*24,INT($E77/100)+MOD($E77,100)/60),2))</f>
        <v/>
      </c>
      <c r="H77" s="12"/>
      <c r="I77" s="17" t="str">
        <f aca="false">IF($A77="","",YEAR($A77))</f>
        <v/>
      </c>
      <c r="J77" s="17" t="str">
        <f aca="false">IF($A77="","",MONTH($A77))</f>
        <v/>
      </c>
      <c r="K77" s="17" t="str">
        <f aca="false">IF($A77="","",IF(AND($A77&gt;=사용안내!$C$18,$A77&lt;=사용안내!$C$19),"1학기",IF(AND($A77&gt;=사용안내!$C$20,$A77&lt;=사용안내!$C$21),"2학기","기간외")))</f>
        <v/>
      </c>
    </row>
    <row r="78" customFormat="false" ht="15" hidden="false" customHeight="true" outlineLevel="0" collapsed="false">
      <c r="A78" s="16"/>
      <c r="B78" s="12"/>
      <c r="C78" s="17" t="str">
        <f aca="false">IF($B78="","",IFERROR(INDEX(학생명부!$B$3:$B$83,MATCH($B78,학생명부!$A$3:$A$83,0)),"학번없음"))</f>
        <v/>
      </c>
      <c r="D78" s="12"/>
      <c r="E78" s="18"/>
      <c r="F78" s="18"/>
      <c r="G78" s="19" t="str">
        <f aca="false">IF(OR($E78="",$F78=""),"",ROUND(IF($F78&lt;1,$F78*24,INT($F78/100)+MOD($F78,100)/60)-IF($E78&lt;1,$E78*24,INT($E78/100)+MOD($E78,100)/60),2))</f>
        <v/>
      </c>
      <c r="H78" s="12"/>
      <c r="I78" s="17" t="str">
        <f aca="false">IF($A78="","",YEAR($A78))</f>
        <v/>
      </c>
      <c r="J78" s="17" t="str">
        <f aca="false">IF($A78="","",MONTH($A78))</f>
        <v/>
      </c>
      <c r="K78" s="17" t="str">
        <f aca="false">IF($A78="","",IF(AND($A78&gt;=사용안내!$C$18,$A78&lt;=사용안내!$C$19),"1학기",IF(AND($A78&gt;=사용안내!$C$20,$A78&lt;=사용안내!$C$21),"2학기","기간외")))</f>
        <v/>
      </c>
    </row>
    <row r="79" customFormat="false" ht="15" hidden="false" customHeight="true" outlineLevel="0" collapsed="false">
      <c r="A79" s="16"/>
      <c r="B79" s="12"/>
      <c r="C79" s="17" t="str">
        <f aca="false">IF($B79="","",IFERROR(INDEX(학생명부!$B$3:$B$83,MATCH($B79,학생명부!$A$3:$A$83,0)),"학번없음"))</f>
        <v/>
      </c>
      <c r="D79" s="12"/>
      <c r="E79" s="18"/>
      <c r="F79" s="18"/>
      <c r="G79" s="19" t="str">
        <f aca="false">IF(OR($E79="",$F79=""),"",ROUND(IF($F79&lt;1,$F79*24,INT($F79/100)+MOD($F79,100)/60)-IF($E79&lt;1,$E79*24,INT($E79/100)+MOD($E79,100)/60),2))</f>
        <v/>
      </c>
      <c r="H79" s="12"/>
      <c r="I79" s="17" t="str">
        <f aca="false">IF($A79="","",YEAR($A79))</f>
        <v/>
      </c>
      <c r="J79" s="17" t="str">
        <f aca="false">IF($A79="","",MONTH($A79))</f>
        <v/>
      </c>
      <c r="K79" s="17" t="str">
        <f aca="false">IF($A79="","",IF(AND($A79&gt;=사용안내!$C$18,$A79&lt;=사용안내!$C$19),"1학기",IF(AND($A79&gt;=사용안내!$C$20,$A79&lt;=사용안내!$C$21),"2학기","기간외")))</f>
        <v/>
      </c>
    </row>
    <row r="80" customFormat="false" ht="15" hidden="false" customHeight="true" outlineLevel="0" collapsed="false">
      <c r="A80" s="16"/>
      <c r="B80" s="12"/>
      <c r="C80" s="17" t="str">
        <f aca="false">IF($B80="","",IFERROR(INDEX(학생명부!$B$3:$B$83,MATCH($B80,학생명부!$A$3:$A$83,0)),"학번없음"))</f>
        <v/>
      </c>
      <c r="D80" s="12"/>
      <c r="E80" s="18"/>
      <c r="F80" s="18"/>
      <c r="G80" s="19" t="str">
        <f aca="false">IF(OR($E80="",$F80=""),"",ROUND(IF($F80&lt;1,$F80*24,INT($F80/100)+MOD($F80,100)/60)-IF($E80&lt;1,$E80*24,INT($E80/100)+MOD($E80,100)/60),2))</f>
        <v/>
      </c>
      <c r="H80" s="12"/>
      <c r="I80" s="17" t="str">
        <f aca="false">IF($A80="","",YEAR($A80))</f>
        <v/>
      </c>
      <c r="J80" s="17" t="str">
        <f aca="false">IF($A80="","",MONTH($A80))</f>
        <v/>
      </c>
      <c r="K80" s="17" t="str">
        <f aca="false">IF($A80="","",IF(AND($A80&gt;=사용안내!$C$18,$A80&lt;=사용안내!$C$19),"1학기",IF(AND($A80&gt;=사용안내!$C$20,$A80&lt;=사용안내!$C$21),"2학기","기간외")))</f>
        <v/>
      </c>
    </row>
    <row r="81" customFormat="false" ht="15" hidden="false" customHeight="true" outlineLevel="0" collapsed="false">
      <c r="A81" s="16"/>
      <c r="B81" s="12"/>
      <c r="C81" s="17" t="str">
        <f aca="false">IF($B81="","",IFERROR(INDEX(학생명부!$B$3:$B$83,MATCH($B81,학생명부!$A$3:$A$83,0)),"학번없음"))</f>
        <v/>
      </c>
      <c r="D81" s="12"/>
      <c r="E81" s="18"/>
      <c r="F81" s="18"/>
      <c r="G81" s="19" t="str">
        <f aca="false">IF(OR($E81="",$F81=""),"",ROUND(IF($F81&lt;1,$F81*24,INT($F81/100)+MOD($F81,100)/60)-IF($E81&lt;1,$E81*24,INT($E81/100)+MOD($E81,100)/60),2))</f>
        <v/>
      </c>
      <c r="H81" s="12"/>
      <c r="I81" s="17" t="str">
        <f aca="false">IF($A81="","",YEAR($A81))</f>
        <v/>
      </c>
      <c r="J81" s="17" t="str">
        <f aca="false">IF($A81="","",MONTH($A81))</f>
        <v/>
      </c>
      <c r="K81" s="17" t="str">
        <f aca="false">IF($A81="","",IF(AND($A81&gt;=사용안내!$C$18,$A81&lt;=사용안내!$C$19),"1학기",IF(AND($A81&gt;=사용안내!$C$20,$A81&lt;=사용안내!$C$21),"2학기","기간외")))</f>
        <v/>
      </c>
    </row>
    <row r="82" customFormat="false" ht="15" hidden="false" customHeight="true" outlineLevel="0" collapsed="false">
      <c r="A82" s="16"/>
      <c r="B82" s="12"/>
      <c r="C82" s="17" t="str">
        <f aca="false">IF($B82="","",IFERROR(INDEX(학생명부!$B$3:$B$83,MATCH($B82,학생명부!$A$3:$A$83,0)),"학번없음"))</f>
        <v/>
      </c>
      <c r="D82" s="12"/>
      <c r="E82" s="18"/>
      <c r="F82" s="18"/>
      <c r="G82" s="19" t="str">
        <f aca="false">IF(OR($E82="",$F82=""),"",ROUND(IF($F82&lt;1,$F82*24,INT($F82/100)+MOD($F82,100)/60)-IF($E82&lt;1,$E82*24,INT($E82/100)+MOD($E82,100)/60),2))</f>
        <v/>
      </c>
      <c r="H82" s="12"/>
      <c r="I82" s="17" t="str">
        <f aca="false">IF($A82="","",YEAR($A82))</f>
        <v/>
      </c>
      <c r="J82" s="17" t="str">
        <f aca="false">IF($A82="","",MONTH($A82))</f>
        <v/>
      </c>
      <c r="K82" s="17" t="str">
        <f aca="false">IF($A82="","",IF(AND($A82&gt;=사용안내!$C$18,$A82&lt;=사용안내!$C$19),"1학기",IF(AND($A82&gt;=사용안내!$C$20,$A82&lt;=사용안내!$C$21),"2학기","기간외")))</f>
        <v/>
      </c>
    </row>
    <row r="83" customFormat="false" ht="15" hidden="false" customHeight="true" outlineLevel="0" collapsed="false">
      <c r="A83" s="16"/>
      <c r="B83" s="12"/>
      <c r="C83" s="17" t="str">
        <f aca="false">IF($B83="","",IFERROR(INDEX(학생명부!$B$3:$B$83,MATCH($B83,학생명부!$A$3:$A$83,0)),"학번없음"))</f>
        <v/>
      </c>
      <c r="D83" s="12"/>
      <c r="E83" s="18"/>
      <c r="F83" s="18"/>
      <c r="G83" s="19" t="str">
        <f aca="false">IF(OR($E83="",$F83=""),"",ROUND(IF($F83&lt;1,$F83*24,INT($F83/100)+MOD($F83,100)/60)-IF($E83&lt;1,$E83*24,INT($E83/100)+MOD($E83,100)/60),2))</f>
        <v/>
      </c>
      <c r="H83" s="12"/>
      <c r="I83" s="17" t="str">
        <f aca="false">IF($A83="","",YEAR($A83))</f>
        <v/>
      </c>
      <c r="J83" s="17" t="str">
        <f aca="false">IF($A83="","",MONTH($A83))</f>
        <v/>
      </c>
      <c r="K83" s="17" t="str">
        <f aca="false">IF($A83="","",IF(AND($A83&gt;=사용안내!$C$18,$A83&lt;=사용안내!$C$19),"1학기",IF(AND($A83&gt;=사용안내!$C$20,$A83&lt;=사용안내!$C$21),"2학기","기간외")))</f>
        <v/>
      </c>
    </row>
    <row r="84" customFormat="false" ht="15" hidden="false" customHeight="true" outlineLevel="0" collapsed="false">
      <c r="A84" s="16"/>
      <c r="B84" s="12"/>
      <c r="C84" s="17" t="str">
        <f aca="false">IF($B84="","",IFERROR(INDEX(학생명부!$B$3:$B$83,MATCH($B84,학생명부!$A$3:$A$83,0)),"학번없음"))</f>
        <v/>
      </c>
      <c r="D84" s="12"/>
      <c r="E84" s="18"/>
      <c r="F84" s="18"/>
      <c r="G84" s="19" t="str">
        <f aca="false">IF(OR($E84="",$F84=""),"",ROUND(IF($F84&lt;1,$F84*24,INT($F84/100)+MOD($F84,100)/60)-IF($E84&lt;1,$E84*24,INT($E84/100)+MOD($E84,100)/60),2))</f>
        <v/>
      </c>
      <c r="H84" s="12"/>
      <c r="I84" s="17" t="str">
        <f aca="false">IF($A84="","",YEAR($A84))</f>
        <v/>
      </c>
      <c r="J84" s="17" t="str">
        <f aca="false">IF($A84="","",MONTH($A84))</f>
        <v/>
      </c>
      <c r="K84" s="17" t="str">
        <f aca="false">IF($A84="","",IF(AND($A84&gt;=사용안내!$C$18,$A84&lt;=사용안내!$C$19),"1학기",IF(AND($A84&gt;=사용안내!$C$20,$A84&lt;=사용안내!$C$21),"2학기","기간외")))</f>
        <v/>
      </c>
    </row>
    <row r="85" customFormat="false" ht="15" hidden="false" customHeight="true" outlineLevel="0" collapsed="false">
      <c r="A85" s="16"/>
      <c r="B85" s="12"/>
      <c r="C85" s="17" t="str">
        <f aca="false">IF($B85="","",IFERROR(INDEX(학생명부!$B$3:$B$83,MATCH($B85,학생명부!$A$3:$A$83,0)),"학번없음"))</f>
        <v/>
      </c>
      <c r="D85" s="12"/>
      <c r="E85" s="18"/>
      <c r="F85" s="18"/>
      <c r="G85" s="19" t="str">
        <f aca="false">IF(OR($E85="",$F85=""),"",ROUND(IF($F85&lt;1,$F85*24,INT($F85/100)+MOD($F85,100)/60)-IF($E85&lt;1,$E85*24,INT($E85/100)+MOD($E85,100)/60),2))</f>
        <v/>
      </c>
      <c r="H85" s="12"/>
      <c r="I85" s="17" t="str">
        <f aca="false">IF($A85="","",YEAR($A85))</f>
        <v/>
      </c>
      <c r="J85" s="17" t="str">
        <f aca="false">IF($A85="","",MONTH($A85))</f>
        <v/>
      </c>
      <c r="K85" s="17" t="str">
        <f aca="false">IF($A85="","",IF(AND($A85&gt;=사용안내!$C$18,$A85&lt;=사용안내!$C$19),"1학기",IF(AND($A85&gt;=사용안내!$C$20,$A85&lt;=사용안내!$C$21),"2학기","기간외")))</f>
        <v/>
      </c>
    </row>
    <row r="86" customFormat="false" ht="15" hidden="false" customHeight="true" outlineLevel="0" collapsed="false">
      <c r="A86" s="16"/>
      <c r="B86" s="12"/>
      <c r="C86" s="17" t="str">
        <f aca="false">IF($B86="","",IFERROR(INDEX(학생명부!$B$3:$B$83,MATCH($B86,학생명부!$A$3:$A$83,0)),"학번없음"))</f>
        <v/>
      </c>
      <c r="D86" s="12"/>
      <c r="E86" s="18"/>
      <c r="F86" s="18"/>
      <c r="G86" s="19" t="str">
        <f aca="false">IF(OR($E86="",$F86=""),"",ROUND(IF($F86&lt;1,$F86*24,INT($F86/100)+MOD($F86,100)/60)-IF($E86&lt;1,$E86*24,INT($E86/100)+MOD($E86,100)/60),2))</f>
        <v/>
      </c>
      <c r="H86" s="12"/>
      <c r="I86" s="17" t="str">
        <f aca="false">IF($A86="","",YEAR($A86))</f>
        <v/>
      </c>
      <c r="J86" s="17" t="str">
        <f aca="false">IF($A86="","",MONTH($A86))</f>
        <v/>
      </c>
      <c r="K86" s="17" t="str">
        <f aca="false">IF($A86="","",IF(AND($A86&gt;=사용안내!$C$18,$A86&lt;=사용안내!$C$19),"1학기",IF(AND($A86&gt;=사용안내!$C$20,$A86&lt;=사용안내!$C$21),"2학기","기간외")))</f>
        <v/>
      </c>
    </row>
    <row r="87" customFormat="false" ht="15" hidden="false" customHeight="true" outlineLevel="0" collapsed="false">
      <c r="A87" s="16"/>
      <c r="B87" s="12"/>
      <c r="C87" s="17" t="str">
        <f aca="false">IF($B87="","",IFERROR(INDEX(학생명부!$B$3:$B$83,MATCH($B87,학생명부!$A$3:$A$83,0)),"학번없음"))</f>
        <v/>
      </c>
      <c r="D87" s="12"/>
      <c r="E87" s="18"/>
      <c r="F87" s="18"/>
      <c r="G87" s="19" t="str">
        <f aca="false">IF(OR($E87="",$F87=""),"",ROUND(IF($F87&lt;1,$F87*24,INT($F87/100)+MOD($F87,100)/60)-IF($E87&lt;1,$E87*24,INT($E87/100)+MOD($E87,100)/60),2))</f>
        <v/>
      </c>
      <c r="H87" s="12"/>
      <c r="I87" s="17" t="str">
        <f aca="false">IF($A87="","",YEAR($A87))</f>
        <v/>
      </c>
      <c r="J87" s="17" t="str">
        <f aca="false">IF($A87="","",MONTH($A87))</f>
        <v/>
      </c>
      <c r="K87" s="17" t="str">
        <f aca="false">IF($A87="","",IF(AND($A87&gt;=사용안내!$C$18,$A87&lt;=사용안내!$C$19),"1학기",IF(AND($A87&gt;=사용안내!$C$20,$A87&lt;=사용안내!$C$21),"2학기","기간외")))</f>
        <v/>
      </c>
    </row>
    <row r="88" customFormat="false" ht="15" hidden="false" customHeight="true" outlineLevel="0" collapsed="false">
      <c r="A88" s="16"/>
      <c r="B88" s="12"/>
      <c r="C88" s="17" t="str">
        <f aca="false">IF($B88="","",IFERROR(INDEX(학생명부!$B$3:$B$83,MATCH($B88,학생명부!$A$3:$A$83,0)),"학번없음"))</f>
        <v/>
      </c>
      <c r="D88" s="12"/>
      <c r="E88" s="18"/>
      <c r="F88" s="18"/>
      <c r="G88" s="19" t="str">
        <f aca="false">IF(OR($E88="",$F88=""),"",ROUND(IF($F88&lt;1,$F88*24,INT($F88/100)+MOD($F88,100)/60)-IF($E88&lt;1,$E88*24,INT($E88/100)+MOD($E88,100)/60),2))</f>
        <v/>
      </c>
      <c r="H88" s="12"/>
      <c r="I88" s="17" t="str">
        <f aca="false">IF($A88="","",YEAR($A88))</f>
        <v/>
      </c>
      <c r="J88" s="17" t="str">
        <f aca="false">IF($A88="","",MONTH($A88))</f>
        <v/>
      </c>
      <c r="K88" s="17" t="str">
        <f aca="false">IF($A88="","",IF(AND($A88&gt;=사용안내!$C$18,$A88&lt;=사용안내!$C$19),"1학기",IF(AND($A88&gt;=사용안내!$C$20,$A88&lt;=사용안내!$C$21),"2학기","기간외")))</f>
        <v/>
      </c>
    </row>
    <row r="89" customFormat="false" ht="15" hidden="false" customHeight="true" outlineLevel="0" collapsed="false">
      <c r="A89" s="16"/>
      <c r="B89" s="12"/>
      <c r="C89" s="17" t="str">
        <f aca="false">IF($B89="","",IFERROR(INDEX(학생명부!$B$3:$B$83,MATCH($B89,학생명부!$A$3:$A$83,0)),"학번없음"))</f>
        <v/>
      </c>
      <c r="D89" s="12"/>
      <c r="E89" s="18"/>
      <c r="F89" s="18"/>
      <c r="G89" s="19" t="str">
        <f aca="false">IF(OR($E89="",$F89=""),"",ROUND(IF($F89&lt;1,$F89*24,INT($F89/100)+MOD($F89,100)/60)-IF($E89&lt;1,$E89*24,INT($E89/100)+MOD($E89,100)/60),2))</f>
        <v/>
      </c>
      <c r="H89" s="12"/>
      <c r="I89" s="17" t="str">
        <f aca="false">IF($A89="","",YEAR($A89))</f>
        <v/>
      </c>
      <c r="J89" s="17" t="str">
        <f aca="false">IF($A89="","",MONTH($A89))</f>
        <v/>
      </c>
      <c r="K89" s="17" t="str">
        <f aca="false">IF($A89="","",IF(AND($A89&gt;=사용안내!$C$18,$A89&lt;=사용안내!$C$19),"1학기",IF(AND($A89&gt;=사용안내!$C$20,$A89&lt;=사용안내!$C$21),"2학기","기간외")))</f>
        <v/>
      </c>
    </row>
    <row r="90" customFormat="false" ht="15" hidden="false" customHeight="true" outlineLevel="0" collapsed="false">
      <c r="A90" s="16"/>
      <c r="B90" s="12"/>
      <c r="C90" s="17" t="str">
        <f aca="false">IF($B90="","",IFERROR(INDEX(학생명부!$B$3:$B$83,MATCH($B90,학생명부!$A$3:$A$83,0)),"학번없음"))</f>
        <v/>
      </c>
      <c r="D90" s="12"/>
      <c r="E90" s="18"/>
      <c r="F90" s="18"/>
      <c r="G90" s="19" t="str">
        <f aca="false">IF(OR($E90="",$F90=""),"",ROUND(IF($F90&lt;1,$F90*24,INT($F90/100)+MOD($F90,100)/60)-IF($E90&lt;1,$E90*24,INT($E90/100)+MOD($E90,100)/60),2))</f>
        <v/>
      </c>
      <c r="H90" s="12"/>
      <c r="I90" s="17" t="str">
        <f aca="false">IF($A90="","",YEAR($A90))</f>
        <v/>
      </c>
      <c r="J90" s="17" t="str">
        <f aca="false">IF($A90="","",MONTH($A90))</f>
        <v/>
      </c>
      <c r="K90" s="17" t="str">
        <f aca="false">IF($A90="","",IF(AND($A90&gt;=사용안내!$C$18,$A90&lt;=사용안내!$C$19),"1학기",IF(AND($A90&gt;=사용안내!$C$20,$A90&lt;=사용안내!$C$21),"2학기","기간외")))</f>
        <v/>
      </c>
    </row>
    <row r="91" customFormat="false" ht="15" hidden="false" customHeight="true" outlineLevel="0" collapsed="false">
      <c r="A91" s="16"/>
      <c r="B91" s="12"/>
      <c r="C91" s="17" t="str">
        <f aca="false">IF($B91="","",IFERROR(INDEX(학생명부!$B$3:$B$83,MATCH($B91,학생명부!$A$3:$A$83,0)),"학번없음"))</f>
        <v/>
      </c>
      <c r="D91" s="12"/>
      <c r="E91" s="18"/>
      <c r="F91" s="18"/>
      <c r="G91" s="19" t="str">
        <f aca="false">IF(OR($E91="",$F91=""),"",ROUND(IF($F91&lt;1,$F91*24,INT($F91/100)+MOD($F91,100)/60)-IF($E91&lt;1,$E91*24,INT($E91/100)+MOD($E91,100)/60),2))</f>
        <v/>
      </c>
      <c r="H91" s="12"/>
      <c r="I91" s="17" t="str">
        <f aca="false">IF($A91="","",YEAR($A91))</f>
        <v/>
      </c>
      <c r="J91" s="17" t="str">
        <f aca="false">IF($A91="","",MONTH($A91))</f>
        <v/>
      </c>
      <c r="K91" s="17" t="str">
        <f aca="false">IF($A91="","",IF(AND($A91&gt;=사용안내!$C$18,$A91&lt;=사용안내!$C$19),"1학기",IF(AND($A91&gt;=사용안내!$C$20,$A91&lt;=사용안내!$C$21),"2학기","기간외")))</f>
        <v/>
      </c>
    </row>
    <row r="92" customFormat="false" ht="15" hidden="false" customHeight="true" outlineLevel="0" collapsed="false">
      <c r="A92" s="16"/>
      <c r="B92" s="12"/>
      <c r="C92" s="17" t="str">
        <f aca="false">IF($B92="","",IFERROR(INDEX(학생명부!$B$3:$B$83,MATCH($B92,학생명부!$A$3:$A$83,0)),"학번없음"))</f>
        <v/>
      </c>
      <c r="D92" s="12"/>
      <c r="E92" s="18"/>
      <c r="F92" s="18"/>
      <c r="G92" s="19" t="str">
        <f aca="false">IF(OR($E92="",$F92=""),"",ROUND(IF($F92&lt;1,$F92*24,INT($F92/100)+MOD($F92,100)/60)-IF($E92&lt;1,$E92*24,INT($E92/100)+MOD($E92,100)/60),2))</f>
        <v/>
      </c>
      <c r="H92" s="12"/>
      <c r="I92" s="17" t="str">
        <f aca="false">IF($A92="","",YEAR($A92))</f>
        <v/>
      </c>
      <c r="J92" s="17" t="str">
        <f aca="false">IF($A92="","",MONTH($A92))</f>
        <v/>
      </c>
      <c r="K92" s="17" t="str">
        <f aca="false">IF($A92="","",IF(AND($A92&gt;=사용안내!$C$18,$A92&lt;=사용안내!$C$19),"1학기",IF(AND($A92&gt;=사용안내!$C$20,$A92&lt;=사용안내!$C$21),"2학기","기간외")))</f>
        <v/>
      </c>
    </row>
    <row r="93" customFormat="false" ht="15" hidden="false" customHeight="true" outlineLevel="0" collapsed="false">
      <c r="A93" s="16"/>
      <c r="B93" s="12"/>
      <c r="C93" s="17" t="str">
        <f aca="false">IF($B93="","",IFERROR(INDEX(학생명부!$B$3:$B$83,MATCH($B93,학생명부!$A$3:$A$83,0)),"학번없음"))</f>
        <v/>
      </c>
      <c r="D93" s="12"/>
      <c r="E93" s="18"/>
      <c r="F93" s="18"/>
      <c r="G93" s="19" t="str">
        <f aca="false">IF(OR($E93="",$F93=""),"",ROUND(IF($F93&lt;1,$F93*24,INT($F93/100)+MOD($F93,100)/60)-IF($E93&lt;1,$E93*24,INT($E93/100)+MOD($E93,100)/60),2))</f>
        <v/>
      </c>
      <c r="H93" s="12"/>
      <c r="I93" s="17" t="str">
        <f aca="false">IF($A93="","",YEAR($A93))</f>
        <v/>
      </c>
      <c r="J93" s="17" t="str">
        <f aca="false">IF($A93="","",MONTH($A93))</f>
        <v/>
      </c>
      <c r="K93" s="17" t="str">
        <f aca="false">IF($A93="","",IF(AND($A93&gt;=사용안내!$C$18,$A93&lt;=사용안내!$C$19),"1학기",IF(AND($A93&gt;=사용안내!$C$20,$A93&lt;=사용안내!$C$21),"2학기","기간외")))</f>
        <v/>
      </c>
    </row>
    <row r="94" customFormat="false" ht="15" hidden="false" customHeight="true" outlineLevel="0" collapsed="false">
      <c r="A94" s="16"/>
      <c r="B94" s="12"/>
      <c r="C94" s="17" t="str">
        <f aca="false">IF($B94="","",IFERROR(INDEX(학생명부!$B$3:$B$83,MATCH($B94,학생명부!$A$3:$A$83,0)),"학번없음"))</f>
        <v/>
      </c>
      <c r="D94" s="12"/>
      <c r="E94" s="18"/>
      <c r="F94" s="18"/>
      <c r="G94" s="19" t="str">
        <f aca="false">IF(OR($E94="",$F94=""),"",ROUND(IF($F94&lt;1,$F94*24,INT($F94/100)+MOD($F94,100)/60)-IF($E94&lt;1,$E94*24,INT($E94/100)+MOD($E94,100)/60),2))</f>
        <v/>
      </c>
      <c r="H94" s="12"/>
      <c r="I94" s="17" t="str">
        <f aca="false">IF($A94="","",YEAR($A94))</f>
        <v/>
      </c>
      <c r="J94" s="17" t="str">
        <f aca="false">IF($A94="","",MONTH($A94))</f>
        <v/>
      </c>
      <c r="K94" s="17" t="str">
        <f aca="false">IF($A94="","",IF(AND($A94&gt;=사용안내!$C$18,$A94&lt;=사용안내!$C$19),"1학기",IF(AND($A94&gt;=사용안내!$C$20,$A94&lt;=사용안내!$C$21),"2학기","기간외")))</f>
        <v/>
      </c>
    </row>
    <row r="95" customFormat="false" ht="15" hidden="false" customHeight="true" outlineLevel="0" collapsed="false">
      <c r="A95" s="16"/>
      <c r="B95" s="12"/>
      <c r="C95" s="17" t="str">
        <f aca="false">IF($B95="","",IFERROR(INDEX(학생명부!$B$3:$B$83,MATCH($B95,학생명부!$A$3:$A$83,0)),"학번없음"))</f>
        <v/>
      </c>
      <c r="D95" s="12"/>
      <c r="E95" s="18"/>
      <c r="F95" s="18"/>
      <c r="G95" s="19" t="str">
        <f aca="false">IF(OR($E95="",$F95=""),"",ROUND(IF($F95&lt;1,$F95*24,INT($F95/100)+MOD($F95,100)/60)-IF($E95&lt;1,$E95*24,INT($E95/100)+MOD($E95,100)/60),2))</f>
        <v/>
      </c>
      <c r="H95" s="12"/>
      <c r="I95" s="17" t="str">
        <f aca="false">IF($A95="","",YEAR($A95))</f>
        <v/>
      </c>
      <c r="J95" s="17" t="str">
        <f aca="false">IF($A95="","",MONTH($A95))</f>
        <v/>
      </c>
      <c r="K95" s="17" t="str">
        <f aca="false">IF($A95="","",IF(AND($A95&gt;=사용안내!$C$18,$A95&lt;=사용안내!$C$19),"1학기",IF(AND($A95&gt;=사용안내!$C$20,$A95&lt;=사용안내!$C$21),"2학기","기간외")))</f>
        <v/>
      </c>
    </row>
    <row r="96" customFormat="false" ht="15" hidden="false" customHeight="true" outlineLevel="0" collapsed="false">
      <c r="A96" s="16"/>
      <c r="B96" s="12"/>
      <c r="C96" s="17" t="str">
        <f aca="false">IF($B96="","",IFERROR(INDEX(학생명부!$B$3:$B$83,MATCH($B96,학생명부!$A$3:$A$83,0)),"학번없음"))</f>
        <v/>
      </c>
      <c r="D96" s="12"/>
      <c r="E96" s="18"/>
      <c r="F96" s="18"/>
      <c r="G96" s="19" t="str">
        <f aca="false">IF(OR($E96="",$F96=""),"",ROUND(IF($F96&lt;1,$F96*24,INT($F96/100)+MOD($F96,100)/60)-IF($E96&lt;1,$E96*24,INT($E96/100)+MOD($E96,100)/60),2))</f>
        <v/>
      </c>
      <c r="H96" s="12"/>
      <c r="I96" s="17" t="str">
        <f aca="false">IF($A96="","",YEAR($A96))</f>
        <v/>
      </c>
      <c r="J96" s="17" t="str">
        <f aca="false">IF($A96="","",MONTH($A96))</f>
        <v/>
      </c>
      <c r="K96" s="17" t="str">
        <f aca="false">IF($A96="","",IF(AND($A96&gt;=사용안내!$C$18,$A96&lt;=사용안내!$C$19),"1학기",IF(AND($A96&gt;=사용안내!$C$20,$A96&lt;=사용안내!$C$21),"2학기","기간외")))</f>
        <v/>
      </c>
    </row>
    <row r="97" customFormat="false" ht="15" hidden="false" customHeight="true" outlineLevel="0" collapsed="false">
      <c r="A97" s="16"/>
      <c r="B97" s="12"/>
      <c r="C97" s="17" t="str">
        <f aca="false">IF($B97="","",IFERROR(INDEX(학생명부!$B$3:$B$83,MATCH($B97,학생명부!$A$3:$A$83,0)),"학번없음"))</f>
        <v/>
      </c>
      <c r="D97" s="12"/>
      <c r="E97" s="18"/>
      <c r="F97" s="18"/>
      <c r="G97" s="19" t="str">
        <f aca="false">IF(OR($E97="",$F97=""),"",ROUND(IF($F97&lt;1,$F97*24,INT($F97/100)+MOD($F97,100)/60)-IF($E97&lt;1,$E97*24,INT($E97/100)+MOD($E97,100)/60),2))</f>
        <v/>
      </c>
      <c r="H97" s="12"/>
      <c r="I97" s="17" t="str">
        <f aca="false">IF($A97="","",YEAR($A97))</f>
        <v/>
      </c>
      <c r="J97" s="17" t="str">
        <f aca="false">IF($A97="","",MONTH($A97))</f>
        <v/>
      </c>
      <c r="K97" s="17" t="str">
        <f aca="false">IF($A97="","",IF(AND($A97&gt;=사용안내!$C$18,$A97&lt;=사용안내!$C$19),"1학기",IF(AND($A97&gt;=사용안내!$C$20,$A97&lt;=사용안내!$C$21),"2학기","기간외")))</f>
        <v/>
      </c>
    </row>
    <row r="98" customFormat="false" ht="15" hidden="false" customHeight="true" outlineLevel="0" collapsed="false">
      <c r="A98" s="16"/>
      <c r="B98" s="12"/>
      <c r="C98" s="17" t="str">
        <f aca="false">IF($B98="","",IFERROR(INDEX(학생명부!$B$3:$B$83,MATCH($B98,학생명부!$A$3:$A$83,0)),"학번없음"))</f>
        <v/>
      </c>
      <c r="D98" s="12"/>
      <c r="E98" s="18"/>
      <c r="F98" s="18"/>
      <c r="G98" s="19" t="str">
        <f aca="false">IF(OR($E98="",$F98=""),"",ROUND(IF($F98&lt;1,$F98*24,INT($F98/100)+MOD($F98,100)/60)-IF($E98&lt;1,$E98*24,INT($E98/100)+MOD($E98,100)/60),2))</f>
        <v/>
      </c>
      <c r="H98" s="12"/>
      <c r="I98" s="17" t="str">
        <f aca="false">IF($A98="","",YEAR($A98))</f>
        <v/>
      </c>
      <c r="J98" s="17" t="str">
        <f aca="false">IF($A98="","",MONTH($A98))</f>
        <v/>
      </c>
      <c r="K98" s="17" t="str">
        <f aca="false">IF($A98="","",IF(AND($A98&gt;=사용안내!$C$18,$A98&lt;=사용안내!$C$19),"1학기",IF(AND($A98&gt;=사용안내!$C$20,$A98&lt;=사용안내!$C$21),"2학기","기간외")))</f>
        <v/>
      </c>
    </row>
    <row r="99" customFormat="false" ht="15" hidden="false" customHeight="true" outlineLevel="0" collapsed="false">
      <c r="A99" s="16"/>
      <c r="B99" s="12"/>
      <c r="C99" s="17" t="str">
        <f aca="false">IF($B99="","",IFERROR(INDEX(학생명부!$B$3:$B$83,MATCH($B99,학생명부!$A$3:$A$83,0)),"학번없음"))</f>
        <v/>
      </c>
      <c r="D99" s="12"/>
      <c r="E99" s="18"/>
      <c r="F99" s="18"/>
      <c r="G99" s="19" t="str">
        <f aca="false">IF(OR($E99="",$F99=""),"",ROUND(IF($F99&lt;1,$F99*24,INT($F99/100)+MOD($F99,100)/60)-IF($E99&lt;1,$E99*24,INT($E99/100)+MOD($E99,100)/60),2))</f>
        <v/>
      </c>
      <c r="H99" s="12"/>
      <c r="I99" s="17" t="str">
        <f aca="false">IF($A99="","",YEAR($A99))</f>
        <v/>
      </c>
      <c r="J99" s="17" t="str">
        <f aca="false">IF($A99="","",MONTH($A99))</f>
        <v/>
      </c>
      <c r="K99" s="17" t="str">
        <f aca="false">IF($A99="","",IF(AND($A99&gt;=사용안내!$C$18,$A99&lt;=사용안내!$C$19),"1학기",IF(AND($A99&gt;=사용안내!$C$20,$A99&lt;=사용안내!$C$21),"2학기","기간외")))</f>
        <v/>
      </c>
    </row>
    <row r="100" customFormat="false" ht="15" hidden="false" customHeight="true" outlineLevel="0" collapsed="false">
      <c r="A100" s="16"/>
      <c r="B100" s="12"/>
      <c r="C100" s="17" t="str">
        <f aca="false">IF($B100="","",IFERROR(INDEX(학생명부!$B$3:$B$83,MATCH($B100,학생명부!$A$3:$A$83,0)),"학번없음"))</f>
        <v/>
      </c>
      <c r="D100" s="12"/>
      <c r="E100" s="18"/>
      <c r="F100" s="18"/>
      <c r="G100" s="19" t="str">
        <f aca="false">IF(OR($E100="",$F100=""),"",ROUND(IF($F100&lt;1,$F100*24,INT($F100/100)+MOD($F100,100)/60)-IF($E100&lt;1,$E100*24,INT($E100/100)+MOD($E100,100)/60),2))</f>
        <v/>
      </c>
      <c r="H100" s="12"/>
      <c r="I100" s="17" t="str">
        <f aca="false">IF($A100="","",YEAR($A100))</f>
        <v/>
      </c>
      <c r="J100" s="17" t="str">
        <f aca="false">IF($A100="","",MONTH($A100))</f>
        <v/>
      </c>
      <c r="K100" s="17" t="str">
        <f aca="false">IF($A100="","",IF(AND($A100&gt;=사용안내!$C$18,$A100&lt;=사용안내!$C$19),"1학기",IF(AND($A100&gt;=사용안내!$C$20,$A100&lt;=사용안내!$C$21),"2학기","기간외")))</f>
        <v/>
      </c>
    </row>
    <row r="101" customFormat="false" ht="15" hidden="false" customHeight="true" outlineLevel="0" collapsed="false">
      <c r="A101" s="16"/>
      <c r="B101" s="12"/>
      <c r="C101" s="17" t="str">
        <f aca="false">IF($B101="","",IFERROR(INDEX(학생명부!$B$3:$B$83,MATCH($B101,학생명부!$A$3:$A$83,0)),"학번없음"))</f>
        <v/>
      </c>
      <c r="D101" s="12"/>
      <c r="E101" s="18"/>
      <c r="F101" s="18"/>
      <c r="G101" s="19" t="str">
        <f aca="false">IF(OR($E101="",$F101=""),"",ROUND(IF($F101&lt;1,$F101*24,INT($F101/100)+MOD($F101,100)/60)-IF($E101&lt;1,$E101*24,INT($E101/100)+MOD($E101,100)/60),2))</f>
        <v/>
      </c>
      <c r="H101" s="12"/>
      <c r="I101" s="17" t="str">
        <f aca="false">IF($A101="","",YEAR($A101))</f>
        <v/>
      </c>
      <c r="J101" s="17" t="str">
        <f aca="false">IF($A101="","",MONTH($A101))</f>
        <v/>
      </c>
      <c r="K101" s="17" t="str">
        <f aca="false">IF($A101="","",IF(AND($A101&gt;=사용안내!$C$18,$A101&lt;=사용안내!$C$19),"1학기",IF(AND($A101&gt;=사용안내!$C$20,$A101&lt;=사용안내!$C$21),"2학기","기간외")))</f>
        <v/>
      </c>
    </row>
    <row r="102" customFormat="false" ht="15" hidden="false" customHeight="true" outlineLevel="0" collapsed="false">
      <c r="A102" s="16"/>
      <c r="B102" s="12"/>
      <c r="C102" s="17" t="str">
        <f aca="false">IF($B102="","",IFERROR(INDEX(학생명부!$B$3:$B$83,MATCH($B102,학생명부!$A$3:$A$83,0)),"학번없음"))</f>
        <v/>
      </c>
      <c r="D102" s="12"/>
      <c r="E102" s="18"/>
      <c r="F102" s="18"/>
      <c r="G102" s="19" t="str">
        <f aca="false">IF(OR($E102="",$F102=""),"",ROUND(IF($F102&lt;1,$F102*24,INT($F102/100)+MOD($F102,100)/60)-IF($E102&lt;1,$E102*24,INT($E102/100)+MOD($E102,100)/60),2))</f>
        <v/>
      </c>
      <c r="H102" s="12"/>
      <c r="I102" s="17" t="str">
        <f aca="false">IF($A102="","",YEAR($A102))</f>
        <v/>
      </c>
      <c r="J102" s="17" t="str">
        <f aca="false">IF($A102="","",MONTH($A102))</f>
        <v/>
      </c>
      <c r="K102" s="17" t="str">
        <f aca="false">IF($A102="","",IF(AND($A102&gt;=사용안내!$C$18,$A102&lt;=사용안내!$C$19),"1학기",IF(AND($A102&gt;=사용안내!$C$20,$A102&lt;=사용안내!$C$21),"2학기","기간외")))</f>
        <v/>
      </c>
    </row>
    <row r="103" customFormat="false" ht="15" hidden="false" customHeight="true" outlineLevel="0" collapsed="false">
      <c r="A103" s="16"/>
      <c r="B103" s="12"/>
      <c r="C103" s="17" t="str">
        <f aca="false">IF($B103="","",IFERROR(INDEX(학생명부!$B$3:$B$83,MATCH($B103,학생명부!$A$3:$A$83,0)),"학번없음"))</f>
        <v/>
      </c>
      <c r="D103" s="12"/>
      <c r="E103" s="18"/>
      <c r="F103" s="18"/>
      <c r="G103" s="19" t="str">
        <f aca="false">IF(OR($E103="",$F103=""),"",ROUND(IF($F103&lt;1,$F103*24,INT($F103/100)+MOD($F103,100)/60)-IF($E103&lt;1,$E103*24,INT($E103/100)+MOD($E103,100)/60),2))</f>
        <v/>
      </c>
      <c r="H103" s="12"/>
      <c r="I103" s="17" t="str">
        <f aca="false">IF($A103="","",YEAR($A103))</f>
        <v/>
      </c>
      <c r="J103" s="17" t="str">
        <f aca="false">IF($A103="","",MONTH($A103))</f>
        <v/>
      </c>
      <c r="K103" s="17" t="str">
        <f aca="false">IF($A103="","",IF(AND($A103&gt;=사용안내!$C$18,$A103&lt;=사용안내!$C$19),"1학기",IF(AND($A103&gt;=사용안내!$C$20,$A103&lt;=사용안내!$C$21),"2학기","기간외")))</f>
        <v/>
      </c>
    </row>
    <row r="104" customFormat="false" ht="15" hidden="false" customHeight="true" outlineLevel="0" collapsed="false">
      <c r="A104" s="16"/>
      <c r="B104" s="12"/>
      <c r="C104" s="17" t="str">
        <f aca="false">IF($B104="","",IFERROR(INDEX(학생명부!$B$3:$B$83,MATCH($B104,학생명부!$A$3:$A$83,0)),"학번없음"))</f>
        <v/>
      </c>
      <c r="D104" s="12"/>
      <c r="E104" s="18"/>
      <c r="F104" s="18"/>
      <c r="G104" s="19" t="str">
        <f aca="false">IF(OR($E104="",$F104=""),"",ROUND(IF($F104&lt;1,$F104*24,INT($F104/100)+MOD($F104,100)/60)-IF($E104&lt;1,$E104*24,INT($E104/100)+MOD($E104,100)/60),2))</f>
        <v/>
      </c>
      <c r="H104" s="12"/>
      <c r="I104" s="17" t="str">
        <f aca="false">IF($A104="","",YEAR($A104))</f>
        <v/>
      </c>
      <c r="J104" s="17" t="str">
        <f aca="false">IF($A104="","",MONTH($A104))</f>
        <v/>
      </c>
      <c r="K104" s="17" t="str">
        <f aca="false">IF($A104="","",IF(AND($A104&gt;=사용안내!$C$18,$A104&lt;=사용안내!$C$19),"1학기",IF(AND($A104&gt;=사용안내!$C$20,$A104&lt;=사용안내!$C$21),"2학기","기간외")))</f>
        <v/>
      </c>
    </row>
    <row r="105" customFormat="false" ht="15" hidden="false" customHeight="true" outlineLevel="0" collapsed="false">
      <c r="A105" s="16"/>
      <c r="B105" s="12"/>
      <c r="C105" s="17" t="str">
        <f aca="false">IF($B105="","",IFERROR(INDEX(학생명부!$B$3:$B$83,MATCH($B105,학생명부!$A$3:$A$83,0)),"학번없음"))</f>
        <v/>
      </c>
      <c r="D105" s="12"/>
      <c r="E105" s="18"/>
      <c r="F105" s="18"/>
      <c r="G105" s="19" t="str">
        <f aca="false">IF(OR($E105="",$F105=""),"",ROUND(IF($F105&lt;1,$F105*24,INT($F105/100)+MOD($F105,100)/60)-IF($E105&lt;1,$E105*24,INT($E105/100)+MOD($E105,100)/60),2))</f>
        <v/>
      </c>
      <c r="H105" s="12"/>
      <c r="I105" s="17" t="str">
        <f aca="false">IF($A105="","",YEAR($A105))</f>
        <v/>
      </c>
      <c r="J105" s="17" t="str">
        <f aca="false">IF($A105="","",MONTH($A105))</f>
        <v/>
      </c>
      <c r="K105" s="17" t="str">
        <f aca="false">IF($A105="","",IF(AND($A105&gt;=사용안내!$C$18,$A105&lt;=사용안내!$C$19),"1학기",IF(AND($A105&gt;=사용안내!$C$20,$A105&lt;=사용안내!$C$21),"2학기","기간외")))</f>
        <v/>
      </c>
    </row>
    <row r="106" customFormat="false" ht="15" hidden="false" customHeight="true" outlineLevel="0" collapsed="false">
      <c r="A106" s="16"/>
      <c r="B106" s="12"/>
      <c r="C106" s="17" t="str">
        <f aca="false">IF($B106="","",IFERROR(INDEX(학생명부!$B$3:$B$83,MATCH($B106,학생명부!$A$3:$A$83,0)),"학번없음"))</f>
        <v/>
      </c>
      <c r="D106" s="12"/>
      <c r="E106" s="18"/>
      <c r="F106" s="18"/>
      <c r="G106" s="19" t="str">
        <f aca="false">IF(OR($E106="",$F106=""),"",ROUND(IF($F106&lt;1,$F106*24,INT($F106/100)+MOD($F106,100)/60)-IF($E106&lt;1,$E106*24,INT($E106/100)+MOD($E106,100)/60),2))</f>
        <v/>
      </c>
      <c r="H106" s="12"/>
      <c r="I106" s="17" t="str">
        <f aca="false">IF($A106="","",YEAR($A106))</f>
        <v/>
      </c>
      <c r="J106" s="17" t="str">
        <f aca="false">IF($A106="","",MONTH($A106))</f>
        <v/>
      </c>
      <c r="K106" s="17" t="str">
        <f aca="false">IF($A106="","",IF(AND($A106&gt;=사용안내!$C$18,$A106&lt;=사용안내!$C$19),"1학기",IF(AND($A106&gt;=사용안내!$C$20,$A106&lt;=사용안내!$C$21),"2학기","기간외")))</f>
        <v/>
      </c>
    </row>
    <row r="107" customFormat="false" ht="15" hidden="false" customHeight="true" outlineLevel="0" collapsed="false">
      <c r="A107" s="16"/>
      <c r="B107" s="12"/>
      <c r="C107" s="17" t="str">
        <f aca="false">IF($B107="","",IFERROR(INDEX(학생명부!$B$3:$B$83,MATCH($B107,학생명부!$A$3:$A$83,0)),"학번없음"))</f>
        <v/>
      </c>
      <c r="D107" s="12"/>
      <c r="E107" s="18"/>
      <c r="F107" s="18"/>
      <c r="G107" s="19" t="str">
        <f aca="false">IF(OR($E107="",$F107=""),"",ROUND(IF($F107&lt;1,$F107*24,INT($F107/100)+MOD($F107,100)/60)-IF($E107&lt;1,$E107*24,INT($E107/100)+MOD($E107,100)/60),2))</f>
        <v/>
      </c>
      <c r="H107" s="12"/>
      <c r="I107" s="17" t="str">
        <f aca="false">IF($A107="","",YEAR($A107))</f>
        <v/>
      </c>
      <c r="J107" s="17" t="str">
        <f aca="false">IF($A107="","",MONTH($A107))</f>
        <v/>
      </c>
      <c r="K107" s="17" t="str">
        <f aca="false">IF($A107="","",IF(AND($A107&gt;=사용안내!$C$18,$A107&lt;=사용안내!$C$19),"1학기",IF(AND($A107&gt;=사용안내!$C$20,$A107&lt;=사용안내!$C$21),"2학기","기간외")))</f>
        <v/>
      </c>
    </row>
    <row r="108" customFormat="false" ht="15" hidden="false" customHeight="true" outlineLevel="0" collapsed="false">
      <c r="A108" s="16"/>
      <c r="B108" s="12"/>
      <c r="C108" s="17" t="str">
        <f aca="false">IF($B108="","",IFERROR(INDEX(학생명부!$B$3:$B$83,MATCH($B108,학생명부!$A$3:$A$83,0)),"학번없음"))</f>
        <v/>
      </c>
      <c r="D108" s="12"/>
      <c r="E108" s="18"/>
      <c r="F108" s="18"/>
      <c r="G108" s="19" t="str">
        <f aca="false">IF(OR($E108="",$F108=""),"",ROUND(IF($F108&lt;1,$F108*24,INT($F108/100)+MOD($F108,100)/60)-IF($E108&lt;1,$E108*24,INT($E108/100)+MOD($E108,100)/60),2))</f>
        <v/>
      </c>
      <c r="H108" s="12"/>
      <c r="I108" s="17" t="str">
        <f aca="false">IF($A108="","",YEAR($A108))</f>
        <v/>
      </c>
      <c r="J108" s="17" t="str">
        <f aca="false">IF($A108="","",MONTH($A108))</f>
        <v/>
      </c>
      <c r="K108" s="17" t="str">
        <f aca="false">IF($A108="","",IF(AND($A108&gt;=사용안내!$C$18,$A108&lt;=사용안내!$C$19),"1학기",IF(AND($A108&gt;=사용안내!$C$20,$A108&lt;=사용안내!$C$21),"2학기","기간외")))</f>
        <v/>
      </c>
    </row>
    <row r="109" customFormat="false" ht="15" hidden="false" customHeight="true" outlineLevel="0" collapsed="false">
      <c r="A109" s="16"/>
      <c r="B109" s="12"/>
      <c r="C109" s="17" t="str">
        <f aca="false">IF($B109="","",IFERROR(INDEX(학생명부!$B$3:$B$83,MATCH($B109,학생명부!$A$3:$A$83,0)),"학번없음"))</f>
        <v/>
      </c>
      <c r="D109" s="12"/>
      <c r="E109" s="18"/>
      <c r="F109" s="18"/>
      <c r="G109" s="19" t="str">
        <f aca="false">IF(OR($E109="",$F109=""),"",ROUND(IF($F109&lt;1,$F109*24,INT($F109/100)+MOD($F109,100)/60)-IF($E109&lt;1,$E109*24,INT($E109/100)+MOD($E109,100)/60),2))</f>
        <v/>
      </c>
      <c r="H109" s="12"/>
      <c r="I109" s="17" t="str">
        <f aca="false">IF($A109="","",YEAR($A109))</f>
        <v/>
      </c>
      <c r="J109" s="17" t="str">
        <f aca="false">IF($A109="","",MONTH($A109))</f>
        <v/>
      </c>
      <c r="K109" s="17" t="str">
        <f aca="false">IF($A109="","",IF(AND($A109&gt;=사용안내!$C$18,$A109&lt;=사용안내!$C$19),"1학기",IF(AND($A109&gt;=사용안내!$C$20,$A109&lt;=사용안내!$C$21),"2학기","기간외")))</f>
        <v/>
      </c>
    </row>
    <row r="110" customFormat="false" ht="15" hidden="false" customHeight="true" outlineLevel="0" collapsed="false">
      <c r="A110" s="16"/>
      <c r="B110" s="12"/>
      <c r="C110" s="17" t="str">
        <f aca="false">IF($B110="","",IFERROR(INDEX(학생명부!$B$3:$B$83,MATCH($B110,학생명부!$A$3:$A$83,0)),"학번없음"))</f>
        <v/>
      </c>
      <c r="D110" s="12"/>
      <c r="E110" s="18"/>
      <c r="F110" s="18"/>
      <c r="G110" s="19" t="str">
        <f aca="false">IF(OR($E110="",$F110=""),"",ROUND(IF($F110&lt;1,$F110*24,INT($F110/100)+MOD($F110,100)/60)-IF($E110&lt;1,$E110*24,INT($E110/100)+MOD($E110,100)/60),2))</f>
        <v/>
      </c>
      <c r="H110" s="12"/>
      <c r="I110" s="17" t="str">
        <f aca="false">IF($A110="","",YEAR($A110))</f>
        <v/>
      </c>
      <c r="J110" s="17" t="str">
        <f aca="false">IF($A110="","",MONTH($A110))</f>
        <v/>
      </c>
      <c r="K110" s="17" t="str">
        <f aca="false">IF($A110="","",IF(AND($A110&gt;=사용안내!$C$18,$A110&lt;=사용안내!$C$19),"1학기",IF(AND($A110&gt;=사용안내!$C$20,$A110&lt;=사용안내!$C$21),"2학기","기간외")))</f>
        <v/>
      </c>
    </row>
    <row r="111" customFormat="false" ht="15" hidden="false" customHeight="true" outlineLevel="0" collapsed="false">
      <c r="A111" s="16"/>
      <c r="B111" s="12"/>
      <c r="C111" s="17" t="str">
        <f aca="false">IF($B111="","",IFERROR(INDEX(학생명부!$B$3:$B$83,MATCH($B111,학생명부!$A$3:$A$83,0)),"학번없음"))</f>
        <v/>
      </c>
      <c r="D111" s="12"/>
      <c r="E111" s="18"/>
      <c r="F111" s="18"/>
      <c r="G111" s="19" t="str">
        <f aca="false">IF(OR($E111="",$F111=""),"",ROUND(IF($F111&lt;1,$F111*24,INT($F111/100)+MOD($F111,100)/60)-IF($E111&lt;1,$E111*24,INT($E111/100)+MOD($E111,100)/60),2))</f>
        <v/>
      </c>
      <c r="H111" s="12"/>
      <c r="I111" s="17" t="str">
        <f aca="false">IF($A111="","",YEAR($A111))</f>
        <v/>
      </c>
      <c r="J111" s="17" t="str">
        <f aca="false">IF($A111="","",MONTH($A111))</f>
        <v/>
      </c>
      <c r="K111" s="17" t="str">
        <f aca="false">IF($A111="","",IF(AND($A111&gt;=사용안내!$C$18,$A111&lt;=사용안내!$C$19),"1학기",IF(AND($A111&gt;=사용안내!$C$20,$A111&lt;=사용안내!$C$21),"2학기","기간외")))</f>
        <v/>
      </c>
    </row>
    <row r="112" customFormat="false" ht="15" hidden="false" customHeight="true" outlineLevel="0" collapsed="false">
      <c r="A112" s="16"/>
      <c r="B112" s="12"/>
      <c r="C112" s="17" t="str">
        <f aca="false">IF($B112="","",IFERROR(INDEX(학생명부!$B$3:$B$83,MATCH($B112,학생명부!$A$3:$A$83,0)),"학번없음"))</f>
        <v/>
      </c>
      <c r="D112" s="12"/>
      <c r="E112" s="18"/>
      <c r="F112" s="18"/>
      <c r="G112" s="19" t="str">
        <f aca="false">IF(OR($E112="",$F112=""),"",ROUND(IF($F112&lt;1,$F112*24,INT($F112/100)+MOD($F112,100)/60)-IF($E112&lt;1,$E112*24,INT($E112/100)+MOD($E112,100)/60),2))</f>
        <v/>
      </c>
      <c r="H112" s="12"/>
      <c r="I112" s="17" t="str">
        <f aca="false">IF($A112="","",YEAR($A112))</f>
        <v/>
      </c>
      <c r="J112" s="17" t="str">
        <f aca="false">IF($A112="","",MONTH($A112))</f>
        <v/>
      </c>
      <c r="K112" s="17" t="str">
        <f aca="false">IF($A112="","",IF(AND($A112&gt;=사용안내!$C$18,$A112&lt;=사용안내!$C$19),"1학기",IF(AND($A112&gt;=사용안내!$C$20,$A112&lt;=사용안내!$C$21),"2학기","기간외")))</f>
        <v/>
      </c>
    </row>
    <row r="113" customFormat="false" ht="15" hidden="false" customHeight="true" outlineLevel="0" collapsed="false">
      <c r="A113" s="16"/>
      <c r="B113" s="12"/>
      <c r="C113" s="17" t="str">
        <f aca="false">IF($B113="","",IFERROR(INDEX(학생명부!$B$3:$B$83,MATCH($B113,학생명부!$A$3:$A$83,0)),"학번없음"))</f>
        <v/>
      </c>
      <c r="D113" s="12"/>
      <c r="E113" s="18"/>
      <c r="F113" s="18"/>
      <c r="G113" s="19" t="str">
        <f aca="false">IF(OR($E113="",$F113=""),"",ROUND(IF($F113&lt;1,$F113*24,INT($F113/100)+MOD($F113,100)/60)-IF($E113&lt;1,$E113*24,INT($E113/100)+MOD($E113,100)/60),2))</f>
        <v/>
      </c>
      <c r="H113" s="12"/>
      <c r="I113" s="17" t="str">
        <f aca="false">IF($A113="","",YEAR($A113))</f>
        <v/>
      </c>
      <c r="J113" s="17" t="str">
        <f aca="false">IF($A113="","",MONTH($A113))</f>
        <v/>
      </c>
      <c r="K113" s="17" t="str">
        <f aca="false">IF($A113="","",IF(AND($A113&gt;=사용안내!$C$18,$A113&lt;=사용안내!$C$19),"1학기",IF(AND($A113&gt;=사용안내!$C$20,$A113&lt;=사용안내!$C$21),"2학기","기간외")))</f>
        <v/>
      </c>
    </row>
    <row r="114" customFormat="false" ht="15" hidden="false" customHeight="true" outlineLevel="0" collapsed="false">
      <c r="A114" s="16"/>
      <c r="B114" s="12"/>
      <c r="C114" s="17" t="str">
        <f aca="false">IF($B114="","",IFERROR(INDEX(학생명부!$B$3:$B$83,MATCH($B114,학생명부!$A$3:$A$83,0)),"학번없음"))</f>
        <v/>
      </c>
      <c r="D114" s="12"/>
      <c r="E114" s="18"/>
      <c r="F114" s="18"/>
      <c r="G114" s="19" t="str">
        <f aca="false">IF(OR($E114="",$F114=""),"",ROUND(IF($F114&lt;1,$F114*24,INT($F114/100)+MOD($F114,100)/60)-IF($E114&lt;1,$E114*24,INT($E114/100)+MOD($E114,100)/60),2))</f>
        <v/>
      </c>
      <c r="H114" s="12"/>
      <c r="I114" s="17" t="str">
        <f aca="false">IF($A114="","",YEAR($A114))</f>
        <v/>
      </c>
      <c r="J114" s="17" t="str">
        <f aca="false">IF($A114="","",MONTH($A114))</f>
        <v/>
      </c>
      <c r="K114" s="17" t="str">
        <f aca="false">IF($A114="","",IF(AND($A114&gt;=사용안내!$C$18,$A114&lt;=사용안내!$C$19),"1학기",IF(AND($A114&gt;=사용안내!$C$20,$A114&lt;=사용안내!$C$21),"2학기","기간외")))</f>
        <v/>
      </c>
    </row>
    <row r="115" customFormat="false" ht="15" hidden="false" customHeight="true" outlineLevel="0" collapsed="false">
      <c r="A115" s="16"/>
      <c r="B115" s="12"/>
      <c r="C115" s="17" t="str">
        <f aca="false">IF($B115="","",IFERROR(INDEX(학생명부!$B$3:$B$83,MATCH($B115,학생명부!$A$3:$A$83,0)),"학번없음"))</f>
        <v/>
      </c>
      <c r="D115" s="12"/>
      <c r="E115" s="18"/>
      <c r="F115" s="18"/>
      <c r="G115" s="19" t="str">
        <f aca="false">IF(OR($E115="",$F115=""),"",ROUND(IF($F115&lt;1,$F115*24,INT($F115/100)+MOD($F115,100)/60)-IF($E115&lt;1,$E115*24,INT($E115/100)+MOD($E115,100)/60),2))</f>
        <v/>
      </c>
      <c r="H115" s="12"/>
      <c r="I115" s="17" t="str">
        <f aca="false">IF($A115="","",YEAR($A115))</f>
        <v/>
      </c>
      <c r="J115" s="17" t="str">
        <f aca="false">IF($A115="","",MONTH($A115))</f>
        <v/>
      </c>
      <c r="K115" s="17" t="str">
        <f aca="false">IF($A115="","",IF(AND($A115&gt;=사용안내!$C$18,$A115&lt;=사용안내!$C$19),"1학기",IF(AND($A115&gt;=사용안내!$C$20,$A115&lt;=사용안내!$C$21),"2학기","기간외")))</f>
        <v/>
      </c>
    </row>
    <row r="116" customFormat="false" ht="15" hidden="false" customHeight="true" outlineLevel="0" collapsed="false">
      <c r="A116" s="16"/>
      <c r="B116" s="12"/>
      <c r="C116" s="17" t="str">
        <f aca="false">IF($B116="","",IFERROR(INDEX(학생명부!$B$3:$B$83,MATCH($B116,학생명부!$A$3:$A$83,0)),"학번없음"))</f>
        <v/>
      </c>
      <c r="D116" s="12"/>
      <c r="E116" s="18"/>
      <c r="F116" s="18"/>
      <c r="G116" s="19" t="str">
        <f aca="false">IF(OR($E116="",$F116=""),"",ROUND(IF($F116&lt;1,$F116*24,INT($F116/100)+MOD($F116,100)/60)-IF($E116&lt;1,$E116*24,INT($E116/100)+MOD($E116,100)/60),2))</f>
        <v/>
      </c>
      <c r="H116" s="12"/>
      <c r="I116" s="17" t="str">
        <f aca="false">IF($A116="","",YEAR($A116))</f>
        <v/>
      </c>
      <c r="J116" s="17" t="str">
        <f aca="false">IF($A116="","",MONTH($A116))</f>
        <v/>
      </c>
      <c r="K116" s="17" t="str">
        <f aca="false">IF($A116="","",IF(AND($A116&gt;=사용안내!$C$18,$A116&lt;=사용안내!$C$19),"1학기",IF(AND($A116&gt;=사용안내!$C$20,$A116&lt;=사용안내!$C$21),"2학기","기간외")))</f>
        <v/>
      </c>
    </row>
    <row r="117" customFormat="false" ht="15" hidden="false" customHeight="true" outlineLevel="0" collapsed="false">
      <c r="A117" s="16"/>
      <c r="B117" s="12"/>
      <c r="C117" s="17" t="str">
        <f aca="false">IF($B117="","",IFERROR(INDEX(학생명부!$B$3:$B$83,MATCH($B117,학생명부!$A$3:$A$83,0)),"학번없음"))</f>
        <v/>
      </c>
      <c r="D117" s="12"/>
      <c r="E117" s="18"/>
      <c r="F117" s="18"/>
      <c r="G117" s="19" t="str">
        <f aca="false">IF(OR($E117="",$F117=""),"",ROUND(IF($F117&lt;1,$F117*24,INT($F117/100)+MOD($F117,100)/60)-IF($E117&lt;1,$E117*24,INT($E117/100)+MOD($E117,100)/60),2))</f>
        <v/>
      </c>
      <c r="H117" s="12"/>
      <c r="I117" s="17" t="str">
        <f aca="false">IF($A117="","",YEAR($A117))</f>
        <v/>
      </c>
      <c r="J117" s="17" t="str">
        <f aca="false">IF($A117="","",MONTH($A117))</f>
        <v/>
      </c>
      <c r="K117" s="17" t="str">
        <f aca="false">IF($A117="","",IF(AND($A117&gt;=사용안내!$C$18,$A117&lt;=사용안내!$C$19),"1학기",IF(AND($A117&gt;=사용안내!$C$20,$A117&lt;=사용안내!$C$21),"2학기","기간외")))</f>
        <v/>
      </c>
    </row>
    <row r="118" customFormat="false" ht="15" hidden="false" customHeight="true" outlineLevel="0" collapsed="false">
      <c r="A118" s="16"/>
      <c r="B118" s="12"/>
      <c r="C118" s="17" t="str">
        <f aca="false">IF($B118="","",IFERROR(INDEX(학생명부!$B$3:$B$83,MATCH($B118,학생명부!$A$3:$A$83,0)),"학번없음"))</f>
        <v/>
      </c>
      <c r="D118" s="12"/>
      <c r="E118" s="18"/>
      <c r="F118" s="18"/>
      <c r="G118" s="19" t="str">
        <f aca="false">IF(OR($E118="",$F118=""),"",ROUND(IF($F118&lt;1,$F118*24,INT($F118/100)+MOD($F118,100)/60)-IF($E118&lt;1,$E118*24,INT($E118/100)+MOD($E118,100)/60),2))</f>
        <v/>
      </c>
      <c r="H118" s="12"/>
      <c r="I118" s="17" t="str">
        <f aca="false">IF($A118="","",YEAR($A118))</f>
        <v/>
      </c>
      <c r="J118" s="17" t="str">
        <f aca="false">IF($A118="","",MONTH($A118))</f>
        <v/>
      </c>
      <c r="K118" s="17" t="str">
        <f aca="false">IF($A118="","",IF(AND($A118&gt;=사용안내!$C$18,$A118&lt;=사용안내!$C$19),"1학기",IF(AND($A118&gt;=사용안내!$C$20,$A118&lt;=사용안내!$C$21),"2학기","기간외")))</f>
        <v/>
      </c>
    </row>
    <row r="119" customFormat="false" ht="15" hidden="false" customHeight="true" outlineLevel="0" collapsed="false">
      <c r="A119" s="16"/>
      <c r="B119" s="12"/>
      <c r="C119" s="17" t="str">
        <f aca="false">IF($B119="","",IFERROR(INDEX(학생명부!$B$3:$B$83,MATCH($B119,학생명부!$A$3:$A$83,0)),"학번없음"))</f>
        <v/>
      </c>
      <c r="D119" s="12"/>
      <c r="E119" s="18"/>
      <c r="F119" s="18"/>
      <c r="G119" s="19" t="str">
        <f aca="false">IF(OR($E119="",$F119=""),"",ROUND(IF($F119&lt;1,$F119*24,INT($F119/100)+MOD($F119,100)/60)-IF($E119&lt;1,$E119*24,INT($E119/100)+MOD($E119,100)/60),2))</f>
        <v/>
      </c>
      <c r="H119" s="12"/>
      <c r="I119" s="17" t="str">
        <f aca="false">IF($A119="","",YEAR($A119))</f>
        <v/>
      </c>
      <c r="J119" s="17" t="str">
        <f aca="false">IF($A119="","",MONTH($A119))</f>
        <v/>
      </c>
      <c r="K119" s="17" t="str">
        <f aca="false">IF($A119="","",IF(AND($A119&gt;=사용안내!$C$18,$A119&lt;=사용안내!$C$19),"1학기",IF(AND($A119&gt;=사용안내!$C$20,$A119&lt;=사용안내!$C$21),"2학기","기간외")))</f>
        <v/>
      </c>
    </row>
    <row r="120" customFormat="false" ht="15" hidden="false" customHeight="true" outlineLevel="0" collapsed="false">
      <c r="A120" s="16"/>
      <c r="B120" s="12"/>
      <c r="C120" s="17" t="str">
        <f aca="false">IF($B120="","",IFERROR(INDEX(학생명부!$B$3:$B$83,MATCH($B120,학생명부!$A$3:$A$83,0)),"학번없음"))</f>
        <v/>
      </c>
      <c r="D120" s="12"/>
      <c r="E120" s="18"/>
      <c r="F120" s="18"/>
      <c r="G120" s="19" t="str">
        <f aca="false">IF(OR($E120="",$F120=""),"",ROUND(IF($F120&lt;1,$F120*24,INT($F120/100)+MOD($F120,100)/60)-IF($E120&lt;1,$E120*24,INT($E120/100)+MOD($E120,100)/60),2))</f>
        <v/>
      </c>
      <c r="H120" s="12"/>
      <c r="I120" s="17" t="str">
        <f aca="false">IF($A120="","",YEAR($A120))</f>
        <v/>
      </c>
      <c r="J120" s="17" t="str">
        <f aca="false">IF($A120="","",MONTH($A120))</f>
        <v/>
      </c>
      <c r="K120" s="17" t="str">
        <f aca="false">IF($A120="","",IF(AND($A120&gt;=사용안내!$C$18,$A120&lt;=사용안내!$C$19),"1학기",IF(AND($A120&gt;=사용안내!$C$20,$A120&lt;=사용안내!$C$21),"2학기","기간외")))</f>
        <v/>
      </c>
    </row>
    <row r="121" customFormat="false" ht="15" hidden="false" customHeight="true" outlineLevel="0" collapsed="false">
      <c r="A121" s="16"/>
      <c r="B121" s="12"/>
      <c r="C121" s="17" t="str">
        <f aca="false">IF($B121="","",IFERROR(INDEX(학생명부!$B$3:$B$83,MATCH($B121,학생명부!$A$3:$A$83,0)),"학번없음"))</f>
        <v/>
      </c>
      <c r="D121" s="12"/>
      <c r="E121" s="18"/>
      <c r="F121" s="18"/>
      <c r="G121" s="19" t="str">
        <f aca="false">IF(OR($E121="",$F121=""),"",ROUND(IF($F121&lt;1,$F121*24,INT($F121/100)+MOD($F121,100)/60)-IF($E121&lt;1,$E121*24,INT($E121/100)+MOD($E121,100)/60),2))</f>
        <v/>
      </c>
      <c r="H121" s="12"/>
      <c r="I121" s="17" t="str">
        <f aca="false">IF($A121="","",YEAR($A121))</f>
        <v/>
      </c>
      <c r="J121" s="17" t="str">
        <f aca="false">IF($A121="","",MONTH($A121))</f>
        <v/>
      </c>
      <c r="K121" s="17" t="str">
        <f aca="false">IF($A121="","",IF(AND($A121&gt;=사용안내!$C$18,$A121&lt;=사용안내!$C$19),"1학기",IF(AND($A121&gt;=사용안내!$C$20,$A121&lt;=사용안내!$C$21),"2학기","기간외")))</f>
        <v/>
      </c>
    </row>
    <row r="122" customFormat="false" ht="15" hidden="false" customHeight="true" outlineLevel="0" collapsed="false">
      <c r="A122" s="16"/>
      <c r="B122" s="12"/>
      <c r="C122" s="17" t="str">
        <f aca="false">IF($B122="","",IFERROR(INDEX(학생명부!$B$3:$B$83,MATCH($B122,학생명부!$A$3:$A$83,0)),"학번없음"))</f>
        <v/>
      </c>
      <c r="D122" s="12"/>
      <c r="E122" s="18"/>
      <c r="F122" s="18"/>
      <c r="G122" s="19" t="str">
        <f aca="false">IF(OR($E122="",$F122=""),"",ROUND(IF($F122&lt;1,$F122*24,INT($F122/100)+MOD($F122,100)/60)-IF($E122&lt;1,$E122*24,INT($E122/100)+MOD($E122,100)/60),2))</f>
        <v/>
      </c>
      <c r="H122" s="12"/>
      <c r="I122" s="17" t="str">
        <f aca="false">IF($A122="","",YEAR($A122))</f>
        <v/>
      </c>
      <c r="J122" s="17" t="str">
        <f aca="false">IF($A122="","",MONTH($A122))</f>
        <v/>
      </c>
      <c r="K122" s="17" t="str">
        <f aca="false">IF($A122="","",IF(AND($A122&gt;=사용안내!$C$18,$A122&lt;=사용안내!$C$19),"1학기",IF(AND($A122&gt;=사용안내!$C$20,$A122&lt;=사용안내!$C$21),"2학기","기간외")))</f>
        <v/>
      </c>
    </row>
    <row r="123" customFormat="false" ht="15" hidden="false" customHeight="true" outlineLevel="0" collapsed="false">
      <c r="A123" s="16"/>
      <c r="B123" s="12"/>
      <c r="C123" s="17" t="str">
        <f aca="false">IF($B123="","",IFERROR(INDEX(학생명부!$B$3:$B$83,MATCH($B123,학생명부!$A$3:$A$83,0)),"학번없음"))</f>
        <v/>
      </c>
      <c r="D123" s="12"/>
      <c r="E123" s="18"/>
      <c r="F123" s="18"/>
      <c r="G123" s="19" t="str">
        <f aca="false">IF(OR($E123="",$F123=""),"",ROUND(IF($F123&lt;1,$F123*24,INT($F123/100)+MOD($F123,100)/60)-IF($E123&lt;1,$E123*24,INT($E123/100)+MOD($E123,100)/60),2))</f>
        <v/>
      </c>
      <c r="H123" s="12"/>
      <c r="I123" s="17" t="str">
        <f aca="false">IF($A123="","",YEAR($A123))</f>
        <v/>
      </c>
      <c r="J123" s="17" t="str">
        <f aca="false">IF($A123="","",MONTH($A123))</f>
        <v/>
      </c>
      <c r="K123" s="17" t="str">
        <f aca="false">IF($A123="","",IF(AND($A123&gt;=사용안내!$C$18,$A123&lt;=사용안내!$C$19),"1학기",IF(AND($A123&gt;=사용안내!$C$20,$A123&lt;=사용안내!$C$21),"2학기","기간외")))</f>
        <v/>
      </c>
    </row>
    <row r="124" customFormat="false" ht="15" hidden="false" customHeight="true" outlineLevel="0" collapsed="false">
      <c r="A124" s="16"/>
      <c r="B124" s="12"/>
      <c r="C124" s="17" t="str">
        <f aca="false">IF($B124="","",IFERROR(INDEX(학생명부!$B$3:$B$83,MATCH($B124,학생명부!$A$3:$A$83,0)),"학번없음"))</f>
        <v/>
      </c>
      <c r="D124" s="12"/>
      <c r="E124" s="18"/>
      <c r="F124" s="18"/>
      <c r="G124" s="19" t="str">
        <f aca="false">IF(OR($E124="",$F124=""),"",ROUND(IF($F124&lt;1,$F124*24,INT($F124/100)+MOD($F124,100)/60)-IF($E124&lt;1,$E124*24,INT($E124/100)+MOD($E124,100)/60),2))</f>
        <v/>
      </c>
      <c r="H124" s="12"/>
      <c r="I124" s="17" t="str">
        <f aca="false">IF($A124="","",YEAR($A124))</f>
        <v/>
      </c>
      <c r="J124" s="17" t="str">
        <f aca="false">IF($A124="","",MONTH($A124))</f>
        <v/>
      </c>
      <c r="K124" s="17" t="str">
        <f aca="false">IF($A124="","",IF(AND($A124&gt;=사용안내!$C$18,$A124&lt;=사용안내!$C$19),"1학기",IF(AND($A124&gt;=사용안내!$C$20,$A124&lt;=사용안내!$C$21),"2학기","기간외")))</f>
        <v/>
      </c>
    </row>
    <row r="125" customFormat="false" ht="15" hidden="false" customHeight="true" outlineLevel="0" collapsed="false">
      <c r="A125" s="16"/>
      <c r="B125" s="12"/>
      <c r="C125" s="17" t="str">
        <f aca="false">IF($B125="","",IFERROR(INDEX(학생명부!$B$3:$B$83,MATCH($B125,학생명부!$A$3:$A$83,0)),"학번없음"))</f>
        <v/>
      </c>
      <c r="D125" s="12"/>
      <c r="E125" s="18"/>
      <c r="F125" s="18"/>
      <c r="G125" s="19" t="str">
        <f aca="false">IF(OR($E125="",$F125=""),"",ROUND(IF($F125&lt;1,$F125*24,INT($F125/100)+MOD($F125,100)/60)-IF($E125&lt;1,$E125*24,INT($E125/100)+MOD($E125,100)/60),2))</f>
        <v/>
      </c>
      <c r="H125" s="12"/>
      <c r="I125" s="17" t="str">
        <f aca="false">IF($A125="","",YEAR($A125))</f>
        <v/>
      </c>
      <c r="J125" s="17" t="str">
        <f aca="false">IF($A125="","",MONTH($A125))</f>
        <v/>
      </c>
      <c r="K125" s="17" t="str">
        <f aca="false">IF($A125="","",IF(AND($A125&gt;=사용안내!$C$18,$A125&lt;=사용안내!$C$19),"1학기",IF(AND($A125&gt;=사용안내!$C$20,$A125&lt;=사용안내!$C$21),"2학기","기간외")))</f>
        <v/>
      </c>
    </row>
    <row r="126" customFormat="false" ht="15" hidden="false" customHeight="true" outlineLevel="0" collapsed="false">
      <c r="A126" s="16"/>
      <c r="B126" s="12"/>
      <c r="C126" s="17" t="str">
        <f aca="false">IF($B126="","",IFERROR(INDEX(학생명부!$B$3:$B$83,MATCH($B126,학생명부!$A$3:$A$83,0)),"학번없음"))</f>
        <v/>
      </c>
      <c r="D126" s="12"/>
      <c r="E126" s="18"/>
      <c r="F126" s="18"/>
      <c r="G126" s="19" t="str">
        <f aca="false">IF(OR($E126="",$F126=""),"",ROUND(IF($F126&lt;1,$F126*24,INT($F126/100)+MOD($F126,100)/60)-IF($E126&lt;1,$E126*24,INT($E126/100)+MOD($E126,100)/60),2))</f>
        <v/>
      </c>
      <c r="H126" s="12"/>
      <c r="I126" s="17" t="str">
        <f aca="false">IF($A126="","",YEAR($A126))</f>
        <v/>
      </c>
      <c r="J126" s="17" t="str">
        <f aca="false">IF($A126="","",MONTH($A126))</f>
        <v/>
      </c>
      <c r="K126" s="17" t="str">
        <f aca="false">IF($A126="","",IF(AND($A126&gt;=사용안내!$C$18,$A126&lt;=사용안내!$C$19),"1학기",IF(AND($A126&gt;=사용안내!$C$20,$A126&lt;=사용안내!$C$21),"2학기","기간외")))</f>
        <v/>
      </c>
    </row>
    <row r="127" customFormat="false" ht="15" hidden="false" customHeight="true" outlineLevel="0" collapsed="false">
      <c r="A127" s="16"/>
      <c r="B127" s="12"/>
      <c r="C127" s="17" t="str">
        <f aca="false">IF($B127="","",IFERROR(INDEX(학생명부!$B$3:$B$83,MATCH($B127,학생명부!$A$3:$A$83,0)),"학번없음"))</f>
        <v/>
      </c>
      <c r="D127" s="12"/>
      <c r="E127" s="18"/>
      <c r="F127" s="18"/>
      <c r="G127" s="19" t="str">
        <f aca="false">IF(OR($E127="",$F127=""),"",ROUND(IF($F127&lt;1,$F127*24,INT($F127/100)+MOD($F127,100)/60)-IF($E127&lt;1,$E127*24,INT($E127/100)+MOD($E127,100)/60),2))</f>
        <v/>
      </c>
      <c r="H127" s="12"/>
      <c r="I127" s="17" t="str">
        <f aca="false">IF($A127="","",YEAR($A127))</f>
        <v/>
      </c>
      <c r="J127" s="17" t="str">
        <f aca="false">IF($A127="","",MONTH($A127))</f>
        <v/>
      </c>
      <c r="K127" s="17" t="str">
        <f aca="false">IF($A127="","",IF(AND($A127&gt;=사용안내!$C$18,$A127&lt;=사용안내!$C$19),"1학기",IF(AND($A127&gt;=사용안내!$C$20,$A127&lt;=사용안내!$C$21),"2학기","기간외")))</f>
        <v/>
      </c>
    </row>
    <row r="128" customFormat="false" ht="15" hidden="false" customHeight="true" outlineLevel="0" collapsed="false">
      <c r="A128" s="16"/>
      <c r="B128" s="12"/>
      <c r="C128" s="17" t="str">
        <f aca="false">IF($B128="","",IFERROR(INDEX(학생명부!$B$3:$B$83,MATCH($B128,학생명부!$A$3:$A$83,0)),"학번없음"))</f>
        <v/>
      </c>
      <c r="D128" s="12"/>
      <c r="E128" s="18"/>
      <c r="F128" s="18"/>
      <c r="G128" s="19" t="str">
        <f aca="false">IF(OR($E128="",$F128=""),"",ROUND(IF($F128&lt;1,$F128*24,INT($F128/100)+MOD($F128,100)/60)-IF($E128&lt;1,$E128*24,INT($E128/100)+MOD($E128,100)/60),2))</f>
        <v/>
      </c>
      <c r="H128" s="12"/>
      <c r="I128" s="17" t="str">
        <f aca="false">IF($A128="","",YEAR($A128))</f>
        <v/>
      </c>
      <c r="J128" s="17" t="str">
        <f aca="false">IF($A128="","",MONTH($A128))</f>
        <v/>
      </c>
      <c r="K128" s="17" t="str">
        <f aca="false">IF($A128="","",IF(AND($A128&gt;=사용안내!$C$18,$A128&lt;=사용안내!$C$19),"1학기",IF(AND($A128&gt;=사용안내!$C$20,$A128&lt;=사용안내!$C$21),"2학기","기간외")))</f>
        <v/>
      </c>
    </row>
    <row r="129" customFormat="false" ht="15" hidden="false" customHeight="true" outlineLevel="0" collapsed="false">
      <c r="A129" s="16"/>
      <c r="B129" s="12"/>
      <c r="C129" s="17" t="str">
        <f aca="false">IF($B129="","",IFERROR(INDEX(학생명부!$B$3:$B$83,MATCH($B129,학생명부!$A$3:$A$83,0)),"학번없음"))</f>
        <v/>
      </c>
      <c r="D129" s="12"/>
      <c r="E129" s="18"/>
      <c r="F129" s="18"/>
      <c r="G129" s="19" t="str">
        <f aca="false">IF(OR($E129="",$F129=""),"",ROUND(IF($F129&lt;1,$F129*24,INT($F129/100)+MOD($F129,100)/60)-IF($E129&lt;1,$E129*24,INT($E129/100)+MOD($E129,100)/60),2))</f>
        <v/>
      </c>
      <c r="H129" s="12"/>
      <c r="I129" s="17" t="str">
        <f aca="false">IF($A129="","",YEAR($A129))</f>
        <v/>
      </c>
      <c r="J129" s="17" t="str">
        <f aca="false">IF($A129="","",MONTH($A129))</f>
        <v/>
      </c>
      <c r="K129" s="17" t="str">
        <f aca="false">IF($A129="","",IF(AND($A129&gt;=사용안내!$C$18,$A129&lt;=사용안내!$C$19),"1학기",IF(AND($A129&gt;=사용안내!$C$20,$A129&lt;=사용안내!$C$21),"2학기","기간외")))</f>
        <v/>
      </c>
    </row>
    <row r="130" customFormat="false" ht="15" hidden="false" customHeight="true" outlineLevel="0" collapsed="false">
      <c r="A130" s="16"/>
      <c r="B130" s="12"/>
      <c r="C130" s="17" t="str">
        <f aca="false">IF($B130="","",IFERROR(INDEX(학생명부!$B$3:$B$83,MATCH($B130,학생명부!$A$3:$A$83,0)),"학번없음"))</f>
        <v/>
      </c>
      <c r="D130" s="12"/>
      <c r="E130" s="18"/>
      <c r="F130" s="18"/>
      <c r="G130" s="19" t="str">
        <f aca="false">IF(OR($E130="",$F130=""),"",ROUND(IF($F130&lt;1,$F130*24,INT($F130/100)+MOD($F130,100)/60)-IF($E130&lt;1,$E130*24,INT($E130/100)+MOD($E130,100)/60),2))</f>
        <v/>
      </c>
      <c r="H130" s="12"/>
      <c r="I130" s="17" t="str">
        <f aca="false">IF($A130="","",YEAR($A130))</f>
        <v/>
      </c>
      <c r="J130" s="17" t="str">
        <f aca="false">IF($A130="","",MONTH($A130))</f>
        <v/>
      </c>
      <c r="K130" s="17" t="str">
        <f aca="false">IF($A130="","",IF(AND($A130&gt;=사용안내!$C$18,$A130&lt;=사용안내!$C$19),"1학기",IF(AND($A130&gt;=사용안내!$C$20,$A130&lt;=사용안내!$C$21),"2학기","기간외")))</f>
        <v/>
      </c>
    </row>
    <row r="131" customFormat="false" ht="15" hidden="false" customHeight="true" outlineLevel="0" collapsed="false">
      <c r="A131" s="16"/>
      <c r="B131" s="12"/>
      <c r="C131" s="17" t="str">
        <f aca="false">IF($B131="","",IFERROR(INDEX(학생명부!$B$3:$B$83,MATCH($B131,학생명부!$A$3:$A$83,0)),"학번없음"))</f>
        <v/>
      </c>
      <c r="D131" s="12"/>
      <c r="E131" s="18"/>
      <c r="F131" s="18"/>
      <c r="G131" s="19" t="str">
        <f aca="false">IF(OR($E131="",$F131=""),"",ROUND(IF($F131&lt;1,$F131*24,INT($F131/100)+MOD($F131,100)/60)-IF($E131&lt;1,$E131*24,INT($E131/100)+MOD($E131,100)/60),2))</f>
        <v/>
      </c>
      <c r="H131" s="12"/>
      <c r="I131" s="17" t="str">
        <f aca="false">IF($A131="","",YEAR($A131))</f>
        <v/>
      </c>
      <c r="J131" s="17" t="str">
        <f aca="false">IF($A131="","",MONTH($A131))</f>
        <v/>
      </c>
      <c r="K131" s="17" t="str">
        <f aca="false">IF($A131="","",IF(AND($A131&gt;=사용안내!$C$18,$A131&lt;=사용안내!$C$19),"1학기",IF(AND($A131&gt;=사용안내!$C$20,$A131&lt;=사용안내!$C$21),"2학기","기간외")))</f>
        <v/>
      </c>
    </row>
    <row r="132" customFormat="false" ht="15" hidden="false" customHeight="true" outlineLevel="0" collapsed="false">
      <c r="A132" s="16"/>
      <c r="B132" s="12"/>
      <c r="C132" s="17" t="str">
        <f aca="false">IF($B132="","",IFERROR(INDEX(학생명부!$B$3:$B$83,MATCH($B132,학생명부!$A$3:$A$83,0)),"학번없음"))</f>
        <v/>
      </c>
      <c r="D132" s="12"/>
      <c r="E132" s="18"/>
      <c r="F132" s="18"/>
      <c r="G132" s="19" t="str">
        <f aca="false">IF(OR($E132="",$F132=""),"",ROUND(IF($F132&lt;1,$F132*24,INT($F132/100)+MOD($F132,100)/60)-IF($E132&lt;1,$E132*24,INT($E132/100)+MOD($E132,100)/60),2))</f>
        <v/>
      </c>
      <c r="H132" s="12"/>
      <c r="I132" s="17" t="str">
        <f aca="false">IF($A132="","",YEAR($A132))</f>
        <v/>
      </c>
      <c r="J132" s="17" t="str">
        <f aca="false">IF($A132="","",MONTH($A132))</f>
        <v/>
      </c>
      <c r="K132" s="17" t="str">
        <f aca="false">IF($A132="","",IF(AND($A132&gt;=사용안내!$C$18,$A132&lt;=사용안내!$C$19),"1학기",IF(AND($A132&gt;=사용안내!$C$20,$A132&lt;=사용안내!$C$21),"2학기","기간외")))</f>
        <v/>
      </c>
    </row>
    <row r="133" customFormat="false" ht="15" hidden="false" customHeight="true" outlineLevel="0" collapsed="false">
      <c r="A133" s="16"/>
      <c r="B133" s="12"/>
      <c r="C133" s="17" t="str">
        <f aca="false">IF($B133="","",IFERROR(INDEX(학생명부!$B$3:$B$83,MATCH($B133,학생명부!$A$3:$A$83,0)),"학번없음"))</f>
        <v/>
      </c>
      <c r="D133" s="12"/>
      <c r="E133" s="18"/>
      <c r="F133" s="18"/>
      <c r="G133" s="19" t="str">
        <f aca="false">IF(OR($E133="",$F133=""),"",ROUND(IF($F133&lt;1,$F133*24,INT($F133/100)+MOD($F133,100)/60)-IF($E133&lt;1,$E133*24,INT($E133/100)+MOD($E133,100)/60),2))</f>
        <v/>
      </c>
      <c r="H133" s="12"/>
      <c r="I133" s="17" t="str">
        <f aca="false">IF($A133="","",YEAR($A133))</f>
        <v/>
      </c>
      <c r="J133" s="17" t="str">
        <f aca="false">IF($A133="","",MONTH($A133))</f>
        <v/>
      </c>
      <c r="K133" s="17" t="str">
        <f aca="false">IF($A133="","",IF(AND($A133&gt;=사용안내!$C$18,$A133&lt;=사용안내!$C$19),"1학기",IF(AND($A133&gt;=사용안내!$C$20,$A133&lt;=사용안내!$C$21),"2학기","기간외")))</f>
        <v/>
      </c>
    </row>
    <row r="134" customFormat="false" ht="15" hidden="false" customHeight="true" outlineLevel="0" collapsed="false">
      <c r="A134" s="16"/>
      <c r="B134" s="12"/>
      <c r="C134" s="17" t="str">
        <f aca="false">IF($B134="","",IFERROR(INDEX(학생명부!$B$3:$B$83,MATCH($B134,학생명부!$A$3:$A$83,0)),"학번없음"))</f>
        <v/>
      </c>
      <c r="D134" s="12"/>
      <c r="E134" s="18"/>
      <c r="F134" s="18"/>
      <c r="G134" s="19" t="str">
        <f aca="false">IF(OR($E134="",$F134=""),"",ROUND(IF($F134&lt;1,$F134*24,INT($F134/100)+MOD($F134,100)/60)-IF($E134&lt;1,$E134*24,INT($E134/100)+MOD($E134,100)/60),2))</f>
        <v/>
      </c>
      <c r="H134" s="12"/>
      <c r="I134" s="17" t="str">
        <f aca="false">IF($A134="","",YEAR($A134))</f>
        <v/>
      </c>
      <c r="J134" s="17" t="str">
        <f aca="false">IF($A134="","",MONTH($A134))</f>
        <v/>
      </c>
      <c r="K134" s="17" t="str">
        <f aca="false">IF($A134="","",IF(AND($A134&gt;=사용안내!$C$18,$A134&lt;=사용안내!$C$19),"1학기",IF(AND($A134&gt;=사용안내!$C$20,$A134&lt;=사용안내!$C$21),"2학기","기간외")))</f>
        <v/>
      </c>
    </row>
    <row r="135" customFormat="false" ht="15" hidden="false" customHeight="true" outlineLevel="0" collapsed="false">
      <c r="A135" s="16"/>
      <c r="B135" s="12"/>
      <c r="C135" s="17" t="str">
        <f aca="false">IF($B135="","",IFERROR(INDEX(학생명부!$B$3:$B$83,MATCH($B135,학생명부!$A$3:$A$83,0)),"학번없음"))</f>
        <v/>
      </c>
      <c r="D135" s="12"/>
      <c r="E135" s="18"/>
      <c r="F135" s="18"/>
      <c r="G135" s="19" t="str">
        <f aca="false">IF(OR($E135="",$F135=""),"",ROUND(IF($F135&lt;1,$F135*24,INT($F135/100)+MOD($F135,100)/60)-IF($E135&lt;1,$E135*24,INT($E135/100)+MOD($E135,100)/60),2))</f>
        <v/>
      </c>
      <c r="H135" s="12"/>
      <c r="I135" s="17" t="str">
        <f aca="false">IF($A135="","",YEAR($A135))</f>
        <v/>
      </c>
      <c r="J135" s="17" t="str">
        <f aca="false">IF($A135="","",MONTH($A135))</f>
        <v/>
      </c>
      <c r="K135" s="17" t="str">
        <f aca="false">IF($A135="","",IF(AND($A135&gt;=사용안내!$C$18,$A135&lt;=사용안내!$C$19),"1학기",IF(AND($A135&gt;=사용안내!$C$20,$A135&lt;=사용안내!$C$21),"2학기","기간외")))</f>
        <v/>
      </c>
    </row>
    <row r="136" customFormat="false" ht="15" hidden="false" customHeight="true" outlineLevel="0" collapsed="false">
      <c r="A136" s="16"/>
      <c r="B136" s="12"/>
      <c r="C136" s="17" t="str">
        <f aca="false">IF($B136="","",IFERROR(INDEX(학생명부!$B$3:$B$83,MATCH($B136,학생명부!$A$3:$A$83,0)),"학번없음"))</f>
        <v/>
      </c>
      <c r="D136" s="12"/>
      <c r="E136" s="18"/>
      <c r="F136" s="18"/>
      <c r="G136" s="19" t="str">
        <f aca="false">IF(OR($E136="",$F136=""),"",ROUND(IF($F136&lt;1,$F136*24,INT($F136/100)+MOD($F136,100)/60)-IF($E136&lt;1,$E136*24,INT($E136/100)+MOD($E136,100)/60),2))</f>
        <v/>
      </c>
      <c r="H136" s="12"/>
      <c r="I136" s="17" t="str">
        <f aca="false">IF($A136="","",YEAR($A136))</f>
        <v/>
      </c>
      <c r="J136" s="17" t="str">
        <f aca="false">IF($A136="","",MONTH($A136))</f>
        <v/>
      </c>
      <c r="K136" s="17" t="str">
        <f aca="false">IF($A136="","",IF(AND($A136&gt;=사용안내!$C$18,$A136&lt;=사용안내!$C$19),"1학기",IF(AND($A136&gt;=사용안내!$C$20,$A136&lt;=사용안내!$C$21),"2학기","기간외")))</f>
        <v/>
      </c>
    </row>
    <row r="137" customFormat="false" ht="15" hidden="false" customHeight="true" outlineLevel="0" collapsed="false">
      <c r="A137" s="16"/>
      <c r="B137" s="12"/>
      <c r="C137" s="17" t="str">
        <f aca="false">IF($B137="","",IFERROR(INDEX(학생명부!$B$3:$B$83,MATCH($B137,학생명부!$A$3:$A$83,0)),"학번없음"))</f>
        <v/>
      </c>
      <c r="D137" s="12"/>
      <c r="E137" s="18"/>
      <c r="F137" s="18"/>
      <c r="G137" s="19" t="str">
        <f aca="false">IF(OR($E137="",$F137=""),"",ROUND(IF($F137&lt;1,$F137*24,INT($F137/100)+MOD($F137,100)/60)-IF($E137&lt;1,$E137*24,INT($E137/100)+MOD($E137,100)/60),2))</f>
        <v/>
      </c>
      <c r="H137" s="12"/>
      <c r="I137" s="17" t="str">
        <f aca="false">IF($A137="","",YEAR($A137))</f>
        <v/>
      </c>
      <c r="J137" s="17" t="str">
        <f aca="false">IF($A137="","",MONTH($A137))</f>
        <v/>
      </c>
      <c r="K137" s="17" t="str">
        <f aca="false">IF($A137="","",IF(AND($A137&gt;=사용안내!$C$18,$A137&lt;=사용안내!$C$19),"1학기",IF(AND($A137&gt;=사용안내!$C$20,$A137&lt;=사용안내!$C$21),"2학기","기간외")))</f>
        <v/>
      </c>
    </row>
    <row r="138" customFormat="false" ht="15" hidden="false" customHeight="true" outlineLevel="0" collapsed="false">
      <c r="A138" s="16"/>
      <c r="B138" s="12"/>
      <c r="C138" s="17" t="str">
        <f aca="false">IF($B138="","",IFERROR(INDEX(학생명부!$B$3:$B$83,MATCH($B138,학생명부!$A$3:$A$83,0)),"학번없음"))</f>
        <v/>
      </c>
      <c r="D138" s="12"/>
      <c r="E138" s="18"/>
      <c r="F138" s="18"/>
      <c r="G138" s="19" t="str">
        <f aca="false">IF(OR($E138="",$F138=""),"",ROUND(IF($F138&lt;1,$F138*24,INT($F138/100)+MOD($F138,100)/60)-IF($E138&lt;1,$E138*24,INT($E138/100)+MOD($E138,100)/60),2))</f>
        <v/>
      </c>
      <c r="H138" s="12"/>
      <c r="I138" s="17" t="str">
        <f aca="false">IF($A138="","",YEAR($A138))</f>
        <v/>
      </c>
      <c r="J138" s="17" t="str">
        <f aca="false">IF($A138="","",MONTH($A138))</f>
        <v/>
      </c>
      <c r="K138" s="17" t="str">
        <f aca="false">IF($A138="","",IF(AND($A138&gt;=사용안내!$C$18,$A138&lt;=사용안내!$C$19),"1학기",IF(AND($A138&gt;=사용안내!$C$20,$A138&lt;=사용안내!$C$21),"2학기","기간외")))</f>
        <v/>
      </c>
    </row>
    <row r="139" customFormat="false" ht="15" hidden="false" customHeight="true" outlineLevel="0" collapsed="false">
      <c r="A139" s="16"/>
      <c r="B139" s="12"/>
      <c r="C139" s="17" t="str">
        <f aca="false">IF($B139="","",IFERROR(INDEX(학생명부!$B$3:$B$83,MATCH($B139,학생명부!$A$3:$A$83,0)),"학번없음"))</f>
        <v/>
      </c>
      <c r="D139" s="12"/>
      <c r="E139" s="18"/>
      <c r="F139" s="18"/>
      <c r="G139" s="19" t="str">
        <f aca="false">IF(OR($E139="",$F139=""),"",ROUND(IF($F139&lt;1,$F139*24,INT($F139/100)+MOD($F139,100)/60)-IF($E139&lt;1,$E139*24,INT($E139/100)+MOD($E139,100)/60),2))</f>
        <v/>
      </c>
      <c r="H139" s="12"/>
      <c r="I139" s="17" t="str">
        <f aca="false">IF($A139="","",YEAR($A139))</f>
        <v/>
      </c>
      <c r="J139" s="17" t="str">
        <f aca="false">IF($A139="","",MONTH($A139))</f>
        <v/>
      </c>
      <c r="K139" s="17" t="str">
        <f aca="false">IF($A139="","",IF(AND($A139&gt;=사용안내!$C$18,$A139&lt;=사용안내!$C$19),"1학기",IF(AND($A139&gt;=사용안내!$C$20,$A139&lt;=사용안내!$C$21),"2학기","기간외")))</f>
        <v/>
      </c>
    </row>
    <row r="140" customFormat="false" ht="15" hidden="false" customHeight="true" outlineLevel="0" collapsed="false">
      <c r="A140" s="16"/>
      <c r="B140" s="12"/>
      <c r="C140" s="17" t="str">
        <f aca="false">IF($B140="","",IFERROR(INDEX(학생명부!$B$3:$B$83,MATCH($B140,학생명부!$A$3:$A$83,0)),"학번없음"))</f>
        <v/>
      </c>
      <c r="D140" s="12"/>
      <c r="E140" s="18"/>
      <c r="F140" s="18"/>
      <c r="G140" s="19" t="str">
        <f aca="false">IF(OR($E140="",$F140=""),"",ROUND(IF($F140&lt;1,$F140*24,INT($F140/100)+MOD($F140,100)/60)-IF($E140&lt;1,$E140*24,INT($E140/100)+MOD($E140,100)/60),2))</f>
        <v/>
      </c>
      <c r="H140" s="12"/>
      <c r="I140" s="17" t="str">
        <f aca="false">IF($A140="","",YEAR($A140))</f>
        <v/>
      </c>
      <c r="J140" s="17" t="str">
        <f aca="false">IF($A140="","",MONTH($A140))</f>
        <v/>
      </c>
      <c r="K140" s="17" t="str">
        <f aca="false">IF($A140="","",IF(AND($A140&gt;=사용안내!$C$18,$A140&lt;=사용안내!$C$19),"1학기",IF(AND($A140&gt;=사용안내!$C$20,$A140&lt;=사용안내!$C$21),"2학기","기간외")))</f>
        <v/>
      </c>
    </row>
    <row r="141" customFormat="false" ht="15" hidden="false" customHeight="true" outlineLevel="0" collapsed="false">
      <c r="A141" s="16"/>
      <c r="B141" s="12"/>
      <c r="C141" s="17" t="str">
        <f aca="false">IF($B141="","",IFERROR(INDEX(학생명부!$B$3:$B$83,MATCH($B141,학생명부!$A$3:$A$83,0)),"학번없음"))</f>
        <v/>
      </c>
      <c r="D141" s="12"/>
      <c r="E141" s="18"/>
      <c r="F141" s="18"/>
      <c r="G141" s="19" t="str">
        <f aca="false">IF(OR($E141="",$F141=""),"",ROUND(IF($F141&lt;1,$F141*24,INT($F141/100)+MOD($F141,100)/60)-IF($E141&lt;1,$E141*24,INT($E141/100)+MOD($E141,100)/60),2))</f>
        <v/>
      </c>
      <c r="H141" s="12"/>
      <c r="I141" s="17" t="str">
        <f aca="false">IF($A141="","",YEAR($A141))</f>
        <v/>
      </c>
      <c r="J141" s="17" t="str">
        <f aca="false">IF($A141="","",MONTH($A141))</f>
        <v/>
      </c>
      <c r="K141" s="17" t="str">
        <f aca="false">IF($A141="","",IF(AND($A141&gt;=사용안내!$C$18,$A141&lt;=사용안내!$C$19),"1학기",IF(AND($A141&gt;=사용안내!$C$20,$A141&lt;=사용안내!$C$21),"2학기","기간외")))</f>
        <v/>
      </c>
    </row>
    <row r="142" customFormat="false" ht="15" hidden="false" customHeight="true" outlineLevel="0" collapsed="false">
      <c r="A142" s="16"/>
      <c r="B142" s="12"/>
      <c r="C142" s="17" t="str">
        <f aca="false">IF($B142="","",IFERROR(INDEX(학생명부!$B$3:$B$83,MATCH($B142,학생명부!$A$3:$A$83,0)),"학번없음"))</f>
        <v/>
      </c>
      <c r="D142" s="12"/>
      <c r="E142" s="18"/>
      <c r="F142" s="18"/>
      <c r="G142" s="19" t="str">
        <f aca="false">IF(OR($E142="",$F142=""),"",ROUND(IF($F142&lt;1,$F142*24,INT($F142/100)+MOD($F142,100)/60)-IF($E142&lt;1,$E142*24,INT($E142/100)+MOD($E142,100)/60),2))</f>
        <v/>
      </c>
      <c r="H142" s="12"/>
      <c r="I142" s="17" t="str">
        <f aca="false">IF($A142="","",YEAR($A142))</f>
        <v/>
      </c>
      <c r="J142" s="17" t="str">
        <f aca="false">IF($A142="","",MONTH($A142))</f>
        <v/>
      </c>
      <c r="K142" s="17" t="str">
        <f aca="false">IF($A142="","",IF(AND($A142&gt;=사용안내!$C$18,$A142&lt;=사용안내!$C$19),"1학기",IF(AND($A142&gt;=사용안내!$C$20,$A142&lt;=사용안내!$C$21),"2학기","기간외")))</f>
        <v/>
      </c>
    </row>
    <row r="143" customFormat="false" ht="15" hidden="false" customHeight="true" outlineLevel="0" collapsed="false">
      <c r="A143" s="16"/>
      <c r="B143" s="12"/>
      <c r="C143" s="17" t="str">
        <f aca="false">IF($B143="","",IFERROR(INDEX(학생명부!$B$3:$B$83,MATCH($B143,학생명부!$A$3:$A$83,0)),"학번없음"))</f>
        <v/>
      </c>
      <c r="D143" s="12"/>
      <c r="E143" s="18"/>
      <c r="F143" s="18"/>
      <c r="G143" s="19" t="str">
        <f aca="false">IF(OR($E143="",$F143=""),"",ROUND(IF($F143&lt;1,$F143*24,INT($F143/100)+MOD($F143,100)/60)-IF($E143&lt;1,$E143*24,INT($E143/100)+MOD($E143,100)/60),2))</f>
        <v/>
      </c>
      <c r="H143" s="12"/>
      <c r="I143" s="17" t="str">
        <f aca="false">IF($A143="","",YEAR($A143))</f>
        <v/>
      </c>
      <c r="J143" s="17" t="str">
        <f aca="false">IF($A143="","",MONTH($A143))</f>
        <v/>
      </c>
      <c r="K143" s="17" t="str">
        <f aca="false">IF($A143="","",IF(AND($A143&gt;=사용안내!$C$18,$A143&lt;=사용안내!$C$19),"1학기",IF(AND($A143&gt;=사용안내!$C$20,$A143&lt;=사용안내!$C$21),"2학기","기간외")))</f>
        <v/>
      </c>
    </row>
    <row r="144" customFormat="false" ht="15" hidden="false" customHeight="true" outlineLevel="0" collapsed="false">
      <c r="A144" s="16"/>
      <c r="B144" s="12"/>
      <c r="C144" s="17" t="str">
        <f aca="false">IF($B144="","",IFERROR(INDEX(학생명부!$B$3:$B$83,MATCH($B144,학생명부!$A$3:$A$83,0)),"학번없음"))</f>
        <v/>
      </c>
      <c r="D144" s="12"/>
      <c r="E144" s="18"/>
      <c r="F144" s="18"/>
      <c r="G144" s="19" t="str">
        <f aca="false">IF(OR($E144="",$F144=""),"",ROUND(IF($F144&lt;1,$F144*24,INT($F144/100)+MOD($F144,100)/60)-IF($E144&lt;1,$E144*24,INT($E144/100)+MOD($E144,100)/60),2))</f>
        <v/>
      </c>
      <c r="H144" s="12"/>
      <c r="I144" s="17" t="str">
        <f aca="false">IF($A144="","",YEAR($A144))</f>
        <v/>
      </c>
      <c r="J144" s="17" t="str">
        <f aca="false">IF($A144="","",MONTH($A144))</f>
        <v/>
      </c>
      <c r="K144" s="17" t="str">
        <f aca="false">IF($A144="","",IF(AND($A144&gt;=사용안내!$C$18,$A144&lt;=사용안내!$C$19),"1학기",IF(AND($A144&gt;=사용안내!$C$20,$A144&lt;=사용안내!$C$21),"2학기","기간외")))</f>
        <v/>
      </c>
    </row>
    <row r="145" customFormat="false" ht="15" hidden="false" customHeight="true" outlineLevel="0" collapsed="false">
      <c r="A145" s="16"/>
      <c r="B145" s="12"/>
      <c r="C145" s="17" t="str">
        <f aca="false">IF($B145="","",IFERROR(INDEX(학생명부!$B$3:$B$83,MATCH($B145,학생명부!$A$3:$A$83,0)),"학번없음"))</f>
        <v/>
      </c>
      <c r="D145" s="12"/>
      <c r="E145" s="18"/>
      <c r="F145" s="18"/>
      <c r="G145" s="19" t="str">
        <f aca="false">IF(OR($E145="",$F145=""),"",ROUND(IF($F145&lt;1,$F145*24,INT($F145/100)+MOD($F145,100)/60)-IF($E145&lt;1,$E145*24,INT($E145/100)+MOD($E145,100)/60),2))</f>
        <v/>
      </c>
      <c r="H145" s="12"/>
      <c r="I145" s="17" t="str">
        <f aca="false">IF($A145="","",YEAR($A145))</f>
        <v/>
      </c>
      <c r="J145" s="17" t="str">
        <f aca="false">IF($A145="","",MONTH($A145))</f>
        <v/>
      </c>
      <c r="K145" s="17" t="str">
        <f aca="false">IF($A145="","",IF(AND($A145&gt;=사용안내!$C$18,$A145&lt;=사용안내!$C$19),"1학기",IF(AND($A145&gt;=사용안내!$C$20,$A145&lt;=사용안내!$C$21),"2학기","기간외")))</f>
        <v/>
      </c>
    </row>
    <row r="146" customFormat="false" ht="15" hidden="false" customHeight="true" outlineLevel="0" collapsed="false">
      <c r="A146" s="16"/>
      <c r="B146" s="12"/>
      <c r="C146" s="17" t="str">
        <f aca="false">IF($B146="","",IFERROR(INDEX(학생명부!$B$3:$B$83,MATCH($B146,학생명부!$A$3:$A$83,0)),"학번없음"))</f>
        <v/>
      </c>
      <c r="D146" s="12"/>
      <c r="E146" s="18"/>
      <c r="F146" s="18"/>
      <c r="G146" s="19" t="str">
        <f aca="false">IF(OR($E146="",$F146=""),"",ROUND(IF($F146&lt;1,$F146*24,INT($F146/100)+MOD($F146,100)/60)-IF($E146&lt;1,$E146*24,INT($E146/100)+MOD($E146,100)/60),2))</f>
        <v/>
      </c>
      <c r="H146" s="12"/>
      <c r="I146" s="17" t="str">
        <f aca="false">IF($A146="","",YEAR($A146))</f>
        <v/>
      </c>
      <c r="J146" s="17" t="str">
        <f aca="false">IF($A146="","",MONTH($A146))</f>
        <v/>
      </c>
      <c r="K146" s="17" t="str">
        <f aca="false">IF($A146="","",IF(AND($A146&gt;=사용안내!$C$18,$A146&lt;=사용안내!$C$19),"1학기",IF(AND($A146&gt;=사용안내!$C$20,$A146&lt;=사용안내!$C$21),"2학기","기간외")))</f>
        <v/>
      </c>
    </row>
    <row r="147" customFormat="false" ht="15" hidden="false" customHeight="true" outlineLevel="0" collapsed="false">
      <c r="A147" s="16"/>
      <c r="B147" s="12"/>
      <c r="C147" s="17" t="str">
        <f aca="false">IF($B147="","",IFERROR(INDEX(학생명부!$B$3:$B$83,MATCH($B147,학생명부!$A$3:$A$83,0)),"학번없음"))</f>
        <v/>
      </c>
      <c r="D147" s="12"/>
      <c r="E147" s="18"/>
      <c r="F147" s="18"/>
      <c r="G147" s="19" t="str">
        <f aca="false">IF(OR($E147="",$F147=""),"",ROUND(IF($F147&lt;1,$F147*24,INT($F147/100)+MOD($F147,100)/60)-IF($E147&lt;1,$E147*24,INT($E147/100)+MOD($E147,100)/60),2))</f>
        <v/>
      </c>
      <c r="H147" s="12"/>
      <c r="I147" s="17" t="str">
        <f aca="false">IF($A147="","",YEAR($A147))</f>
        <v/>
      </c>
      <c r="J147" s="17" t="str">
        <f aca="false">IF($A147="","",MONTH($A147))</f>
        <v/>
      </c>
      <c r="K147" s="17" t="str">
        <f aca="false">IF($A147="","",IF(AND($A147&gt;=사용안내!$C$18,$A147&lt;=사용안내!$C$19),"1학기",IF(AND($A147&gt;=사용안내!$C$20,$A147&lt;=사용안내!$C$21),"2학기","기간외")))</f>
        <v/>
      </c>
    </row>
    <row r="148" customFormat="false" ht="15" hidden="false" customHeight="true" outlineLevel="0" collapsed="false">
      <c r="A148" s="16"/>
      <c r="B148" s="12"/>
      <c r="C148" s="17" t="str">
        <f aca="false">IF($B148="","",IFERROR(INDEX(학생명부!$B$3:$B$83,MATCH($B148,학생명부!$A$3:$A$83,0)),"학번없음"))</f>
        <v/>
      </c>
      <c r="D148" s="12"/>
      <c r="E148" s="18"/>
      <c r="F148" s="18"/>
      <c r="G148" s="19" t="str">
        <f aca="false">IF(OR($E148="",$F148=""),"",ROUND(IF($F148&lt;1,$F148*24,INT($F148/100)+MOD($F148,100)/60)-IF($E148&lt;1,$E148*24,INT($E148/100)+MOD($E148,100)/60),2))</f>
        <v/>
      </c>
      <c r="H148" s="12"/>
      <c r="I148" s="17" t="str">
        <f aca="false">IF($A148="","",YEAR($A148))</f>
        <v/>
      </c>
      <c r="J148" s="17" t="str">
        <f aca="false">IF($A148="","",MONTH($A148))</f>
        <v/>
      </c>
      <c r="K148" s="17" t="str">
        <f aca="false">IF($A148="","",IF(AND($A148&gt;=사용안내!$C$18,$A148&lt;=사용안내!$C$19),"1학기",IF(AND($A148&gt;=사용안내!$C$20,$A148&lt;=사용안내!$C$21),"2학기","기간외")))</f>
        <v/>
      </c>
    </row>
    <row r="149" customFormat="false" ht="15" hidden="false" customHeight="true" outlineLevel="0" collapsed="false">
      <c r="A149" s="16"/>
      <c r="B149" s="12"/>
      <c r="C149" s="17" t="str">
        <f aca="false">IF($B149="","",IFERROR(INDEX(학생명부!$B$3:$B$83,MATCH($B149,학생명부!$A$3:$A$83,0)),"학번없음"))</f>
        <v/>
      </c>
      <c r="D149" s="12"/>
      <c r="E149" s="18"/>
      <c r="F149" s="18"/>
      <c r="G149" s="19" t="str">
        <f aca="false">IF(OR($E149="",$F149=""),"",ROUND(IF($F149&lt;1,$F149*24,INT($F149/100)+MOD($F149,100)/60)-IF($E149&lt;1,$E149*24,INT($E149/100)+MOD($E149,100)/60),2))</f>
        <v/>
      </c>
      <c r="H149" s="12"/>
      <c r="I149" s="17" t="str">
        <f aca="false">IF($A149="","",YEAR($A149))</f>
        <v/>
      </c>
      <c r="J149" s="17" t="str">
        <f aca="false">IF($A149="","",MONTH($A149))</f>
        <v/>
      </c>
      <c r="K149" s="17" t="str">
        <f aca="false">IF($A149="","",IF(AND($A149&gt;=사용안내!$C$18,$A149&lt;=사용안내!$C$19),"1학기",IF(AND($A149&gt;=사용안내!$C$20,$A149&lt;=사용안내!$C$21),"2학기","기간외")))</f>
        <v/>
      </c>
    </row>
    <row r="150" customFormat="false" ht="15" hidden="false" customHeight="true" outlineLevel="0" collapsed="false">
      <c r="A150" s="16"/>
      <c r="B150" s="12"/>
      <c r="C150" s="17" t="str">
        <f aca="false">IF($B150="","",IFERROR(INDEX(학생명부!$B$3:$B$83,MATCH($B150,학생명부!$A$3:$A$83,0)),"학번없음"))</f>
        <v/>
      </c>
      <c r="D150" s="12"/>
      <c r="E150" s="18"/>
      <c r="F150" s="18"/>
      <c r="G150" s="19" t="str">
        <f aca="false">IF(OR($E150="",$F150=""),"",ROUND(IF($F150&lt;1,$F150*24,INT($F150/100)+MOD($F150,100)/60)-IF($E150&lt;1,$E150*24,INT($E150/100)+MOD($E150,100)/60),2))</f>
        <v/>
      </c>
      <c r="H150" s="12"/>
      <c r="I150" s="17" t="str">
        <f aca="false">IF($A150="","",YEAR($A150))</f>
        <v/>
      </c>
      <c r="J150" s="17" t="str">
        <f aca="false">IF($A150="","",MONTH($A150))</f>
        <v/>
      </c>
      <c r="K150" s="17" t="str">
        <f aca="false">IF($A150="","",IF(AND($A150&gt;=사용안내!$C$18,$A150&lt;=사용안내!$C$19),"1학기",IF(AND($A150&gt;=사용안내!$C$20,$A150&lt;=사용안내!$C$21),"2학기","기간외")))</f>
        <v/>
      </c>
    </row>
    <row r="151" customFormat="false" ht="15" hidden="false" customHeight="true" outlineLevel="0" collapsed="false">
      <c r="A151" s="16"/>
      <c r="B151" s="12"/>
      <c r="C151" s="17" t="str">
        <f aca="false">IF($B151="","",IFERROR(INDEX(학생명부!$B$3:$B$83,MATCH($B151,학생명부!$A$3:$A$83,0)),"학번없음"))</f>
        <v/>
      </c>
      <c r="D151" s="12"/>
      <c r="E151" s="18"/>
      <c r="F151" s="18"/>
      <c r="G151" s="19" t="str">
        <f aca="false">IF(OR($E151="",$F151=""),"",ROUND(IF($F151&lt;1,$F151*24,INT($F151/100)+MOD($F151,100)/60)-IF($E151&lt;1,$E151*24,INT($E151/100)+MOD($E151,100)/60),2))</f>
        <v/>
      </c>
      <c r="H151" s="12"/>
      <c r="I151" s="17" t="str">
        <f aca="false">IF($A151="","",YEAR($A151))</f>
        <v/>
      </c>
      <c r="J151" s="17" t="str">
        <f aca="false">IF($A151="","",MONTH($A151))</f>
        <v/>
      </c>
      <c r="K151" s="17" t="str">
        <f aca="false">IF($A151="","",IF(AND($A151&gt;=사용안내!$C$18,$A151&lt;=사용안내!$C$19),"1학기",IF(AND($A151&gt;=사용안내!$C$20,$A151&lt;=사용안내!$C$21),"2학기","기간외")))</f>
        <v/>
      </c>
    </row>
    <row r="152" customFormat="false" ht="15" hidden="false" customHeight="true" outlineLevel="0" collapsed="false">
      <c r="A152" s="16"/>
      <c r="B152" s="12"/>
      <c r="C152" s="17" t="str">
        <f aca="false">IF($B152="","",IFERROR(INDEX(학생명부!$B$3:$B$83,MATCH($B152,학생명부!$A$3:$A$83,0)),"학번없음"))</f>
        <v/>
      </c>
      <c r="D152" s="12"/>
      <c r="E152" s="18"/>
      <c r="F152" s="18"/>
      <c r="G152" s="19" t="str">
        <f aca="false">IF(OR($E152="",$F152=""),"",ROUND(IF($F152&lt;1,$F152*24,INT($F152/100)+MOD($F152,100)/60)-IF($E152&lt;1,$E152*24,INT($E152/100)+MOD($E152,100)/60),2))</f>
        <v/>
      </c>
      <c r="H152" s="12"/>
      <c r="I152" s="17" t="str">
        <f aca="false">IF($A152="","",YEAR($A152))</f>
        <v/>
      </c>
      <c r="J152" s="17" t="str">
        <f aca="false">IF($A152="","",MONTH($A152))</f>
        <v/>
      </c>
      <c r="K152" s="17" t="str">
        <f aca="false">IF($A152="","",IF(AND($A152&gt;=사용안내!$C$18,$A152&lt;=사용안내!$C$19),"1학기",IF(AND($A152&gt;=사용안내!$C$20,$A152&lt;=사용안내!$C$21),"2학기","기간외")))</f>
        <v/>
      </c>
    </row>
    <row r="153" customFormat="false" ht="15" hidden="false" customHeight="true" outlineLevel="0" collapsed="false">
      <c r="A153" s="16"/>
      <c r="B153" s="12"/>
      <c r="C153" s="17" t="str">
        <f aca="false">IF($B153="","",IFERROR(INDEX(학생명부!$B$3:$B$83,MATCH($B153,학생명부!$A$3:$A$83,0)),"학번없음"))</f>
        <v/>
      </c>
      <c r="D153" s="12"/>
      <c r="E153" s="18"/>
      <c r="F153" s="18"/>
      <c r="G153" s="19" t="str">
        <f aca="false">IF(OR($E153="",$F153=""),"",ROUND(IF($F153&lt;1,$F153*24,INT($F153/100)+MOD($F153,100)/60)-IF($E153&lt;1,$E153*24,INT($E153/100)+MOD($E153,100)/60),2))</f>
        <v/>
      </c>
      <c r="H153" s="12"/>
      <c r="I153" s="17" t="str">
        <f aca="false">IF($A153="","",YEAR($A153))</f>
        <v/>
      </c>
      <c r="J153" s="17" t="str">
        <f aca="false">IF($A153="","",MONTH($A153))</f>
        <v/>
      </c>
      <c r="K153" s="17" t="str">
        <f aca="false">IF($A153="","",IF(AND($A153&gt;=사용안내!$C$18,$A153&lt;=사용안내!$C$19),"1학기",IF(AND($A153&gt;=사용안내!$C$20,$A153&lt;=사용안내!$C$21),"2학기","기간외")))</f>
        <v/>
      </c>
    </row>
    <row r="154" customFormat="false" ht="15" hidden="false" customHeight="true" outlineLevel="0" collapsed="false">
      <c r="A154" s="16"/>
      <c r="B154" s="12"/>
      <c r="C154" s="17" t="str">
        <f aca="false">IF($B154="","",IFERROR(INDEX(학생명부!$B$3:$B$83,MATCH($B154,학생명부!$A$3:$A$83,0)),"학번없음"))</f>
        <v/>
      </c>
      <c r="D154" s="12"/>
      <c r="E154" s="18"/>
      <c r="F154" s="18"/>
      <c r="G154" s="19" t="str">
        <f aca="false">IF(OR($E154="",$F154=""),"",ROUND(IF($F154&lt;1,$F154*24,INT($F154/100)+MOD($F154,100)/60)-IF($E154&lt;1,$E154*24,INT($E154/100)+MOD($E154,100)/60),2))</f>
        <v/>
      </c>
      <c r="H154" s="12"/>
      <c r="I154" s="17" t="str">
        <f aca="false">IF($A154="","",YEAR($A154))</f>
        <v/>
      </c>
      <c r="J154" s="17" t="str">
        <f aca="false">IF($A154="","",MONTH($A154))</f>
        <v/>
      </c>
      <c r="K154" s="17" t="str">
        <f aca="false">IF($A154="","",IF(AND($A154&gt;=사용안내!$C$18,$A154&lt;=사용안내!$C$19),"1학기",IF(AND($A154&gt;=사용안내!$C$20,$A154&lt;=사용안내!$C$21),"2학기","기간외")))</f>
        <v/>
      </c>
    </row>
    <row r="155" customFormat="false" ht="15" hidden="false" customHeight="true" outlineLevel="0" collapsed="false">
      <c r="A155" s="16"/>
      <c r="B155" s="12"/>
      <c r="C155" s="17" t="str">
        <f aca="false">IF($B155="","",IFERROR(INDEX(학생명부!$B$3:$B$83,MATCH($B155,학생명부!$A$3:$A$83,0)),"학번없음"))</f>
        <v/>
      </c>
      <c r="D155" s="12"/>
      <c r="E155" s="18"/>
      <c r="F155" s="18"/>
      <c r="G155" s="19" t="str">
        <f aca="false">IF(OR($E155="",$F155=""),"",ROUND(IF($F155&lt;1,$F155*24,INT($F155/100)+MOD($F155,100)/60)-IF($E155&lt;1,$E155*24,INT($E155/100)+MOD($E155,100)/60),2))</f>
        <v/>
      </c>
      <c r="H155" s="12"/>
      <c r="I155" s="17" t="str">
        <f aca="false">IF($A155="","",YEAR($A155))</f>
        <v/>
      </c>
      <c r="J155" s="17" t="str">
        <f aca="false">IF($A155="","",MONTH($A155))</f>
        <v/>
      </c>
      <c r="K155" s="17" t="str">
        <f aca="false">IF($A155="","",IF(AND($A155&gt;=사용안내!$C$18,$A155&lt;=사용안내!$C$19),"1학기",IF(AND($A155&gt;=사용안내!$C$20,$A155&lt;=사용안내!$C$21),"2학기","기간외")))</f>
        <v/>
      </c>
    </row>
    <row r="156" customFormat="false" ht="15" hidden="false" customHeight="true" outlineLevel="0" collapsed="false">
      <c r="A156" s="16"/>
      <c r="B156" s="12"/>
      <c r="C156" s="17" t="str">
        <f aca="false">IF($B156="","",IFERROR(INDEX(학생명부!$B$3:$B$83,MATCH($B156,학생명부!$A$3:$A$83,0)),"학번없음"))</f>
        <v/>
      </c>
      <c r="D156" s="12"/>
      <c r="E156" s="18"/>
      <c r="F156" s="18"/>
      <c r="G156" s="19" t="str">
        <f aca="false">IF(OR($E156="",$F156=""),"",ROUND(IF($F156&lt;1,$F156*24,INT($F156/100)+MOD($F156,100)/60)-IF($E156&lt;1,$E156*24,INT($E156/100)+MOD($E156,100)/60),2))</f>
        <v/>
      </c>
      <c r="H156" s="12"/>
      <c r="I156" s="17" t="str">
        <f aca="false">IF($A156="","",YEAR($A156))</f>
        <v/>
      </c>
      <c r="J156" s="17" t="str">
        <f aca="false">IF($A156="","",MONTH($A156))</f>
        <v/>
      </c>
      <c r="K156" s="17" t="str">
        <f aca="false">IF($A156="","",IF(AND($A156&gt;=사용안내!$C$18,$A156&lt;=사용안내!$C$19),"1학기",IF(AND($A156&gt;=사용안내!$C$20,$A156&lt;=사용안내!$C$21),"2학기","기간외")))</f>
        <v/>
      </c>
    </row>
    <row r="157" customFormat="false" ht="15" hidden="false" customHeight="true" outlineLevel="0" collapsed="false">
      <c r="A157" s="16"/>
      <c r="B157" s="12"/>
      <c r="C157" s="17" t="str">
        <f aca="false">IF($B157="","",IFERROR(INDEX(학생명부!$B$3:$B$83,MATCH($B157,학생명부!$A$3:$A$83,0)),"학번없음"))</f>
        <v/>
      </c>
      <c r="D157" s="12"/>
      <c r="E157" s="18"/>
      <c r="F157" s="18"/>
      <c r="G157" s="19" t="str">
        <f aca="false">IF(OR($E157="",$F157=""),"",ROUND(IF($F157&lt;1,$F157*24,INT($F157/100)+MOD($F157,100)/60)-IF($E157&lt;1,$E157*24,INT($E157/100)+MOD($E157,100)/60),2))</f>
        <v/>
      </c>
      <c r="H157" s="12"/>
      <c r="I157" s="17" t="str">
        <f aca="false">IF($A157="","",YEAR($A157))</f>
        <v/>
      </c>
      <c r="J157" s="17" t="str">
        <f aca="false">IF($A157="","",MONTH($A157))</f>
        <v/>
      </c>
      <c r="K157" s="17" t="str">
        <f aca="false">IF($A157="","",IF(AND($A157&gt;=사용안내!$C$18,$A157&lt;=사용안내!$C$19),"1학기",IF(AND($A157&gt;=사용안내!$C$20,$A157&lt;=사용안내!$C$21),"2학기","기간외")))</f>
        <v/>
      </c>
    </row>
    <row r="158" customFormat="false" ht="15" hidden="false" customHeight="true" outlineLevel="0" collapsed="false">
      <c r="A158" s="16"/>
      <c r="B158" s="12"/>
      <c r="C158" s="17" t="str">
        <f aca="false">IF($B158="","",IFERROR(INDEX(학생명부!$B$3:$B$83,MATCH($B158,학생명부!$A$3:$A$83,0)),"학번없음"))</f>
        <v/>
      </c>
      <c r="D158" s="12"/>
      <c r="E158" s="18"/>
      <c r="F158" s="18"/>
      <c r="G158" s="19" t="str">
        <f aca="false">IF(OR($E158="",$F158=""),"",ROUND(IF($F158&lt;1,$F158*24,INT($F158/100)+MOD($F158,100)/60)-IF($E158&lt;1,$E158*24,INT($E158/100)+MOD($E158,100)/60),2))</f>
        <v/>
      </c>
      <c r="H158" s="12"/>
      <c r="I158" s="17" t="str">
        <f aca="false">IF($A158="","",YEAR($A158))</f>
        <v/>
      </c>
      <c r="J158" s="17" t="str">
        <f aca="false">IF($A158="","",MONTH($A158))</f>
        <v/>
      </c>
      <c r="K158" s="17" t="str">
        <f aca="false">IF($A158="","",IF(AND($A158&gt;=사용안내!$C$18,$A158&lt;=사용안내!$C$19),"1학기",IF(AND($A158&gt;=사용안내!$C$20,$A158&lt;=사용안내!$C$21),"2학기","기간외")))</f>
        <v/>
      </c>
    </row>
    <row r="159" customFormat="false" ht="15" hidden="false" customHeight="true" outlineLevel="0" collapsed="false">
      <c r="A159" s="16"/>
      <c r="B159" s="12"/>
      <c r="C159" s="17" t="str">
        <f aca="false">IF($B159="","",IFERROR(INDEX(학생명부!$B$3:$B$83,MATCH($B159,학생명부!$A$3:$A$83,0)),"학번없음"))</f>
        <v/>
      </c>
      <c r="D159" s="12"/>
      <c r="E159" s="18"/>
      <c r="F159" s="18"/>
      <c r="G159" s="19" t="str">
        <f aca="false">IF(OR($E159="",$F159=""),"",ROUND(IF($F159&lt;1,$F159*24,INT($F159/100)+MOD($F159,100)/60)-IF($E159&lt;1,$E159*24,INT($E159/100)+MOD($E159,100)/60),2))</f>
        <v/>
      </c>
      <c r="H159" s="12"/>
      <c r="I159" s="17" t="str">
        <f aca="false">IF($A159="","",YEAR($A159))</f>
        <v/>
      </c>
      <c r="J159" s="17" t="str">
        <f aca="false">IF($A159="","",MONTH($A159))</f>
        <v/>
      </c>
      <c r="K159" s="17" t="str">
        <f aca="false">IF($A159="","",IF(AND($A159&gt;=사용안내!$C$18,$A159&lt;=사용안내!$C$19),"1학기",IF(AND($A159&gt;=사용안내!$C$20,$A159&lt;=사용안내!$C$21),"2학기","기간외")))</f>
        <v/>
      </c>
    </row>
    <row r="160" customFormat="false" ht="15" hidden="false" customHeight="true" outlineLevel="0" collapsed="false">
      <c r="A160" s="16"/>
      <c r="B160" s="12"/>
      <c r="C160" s="17" t="str">
        <f aca="false">IF($B160="","",IFERROR(INDEX(학생명부!$B$3:$B$83,MATCH($B160,학생명부!$A$3:$A$83,0)),"학번없음"))</f>
        <v/>
      </c>
      <c r="D160" s="12"/>
      <c r="E160" s="18"/>
      <c r="F160" s="18"/>
      <c r="G160" s="19" t="str">
        <f aca="false">IF(OR($E160="",$F160=""),"",ROUND(IF($F160&lt;1,$F160*24,INT($F160/100)+MOD($F160,100)/60)-IF($E160&lt;1,$E160*24,INT($E160/100)+MOD($E160,100)/60),2))</f>
        <v/>
      </c>
      <c r="H160" s="12"/>
      <c r="I160" s="17" t="str">
        <f aca="false">IF($A160="","",YEAR($A160))</f>
        <v/>
      </c>
      <c r="J160" s="17" t="str">
        <f aca="false">IF($A160="","",MONTH($A160))</f>
        <v/>
      </c>
      <c r="K160" s="17" t="str">
        <f aca="false">IF($A160="","",IF(AND($A160&gt;=사용안내!$C$18,$A160&lt;=사용안내!$C$19),"1학기",IF(AND($A160&gt;=사용안내!$C$20,$A160&lt;=사용안내!$C$21),"2학기","기간외")))</f>
        <v/>
      </c>
    </row>
    <row r="161" customFormat="false" ht="15" hidden="false" customHeight="true" outlineLevel="0" collapsed="false">
      <c r="A161" s="16"/>
      <c r="B161" s="12"/>
      <c r="C161" s="17" t="str">
        <f aca="false">IF($B161="","",IFERROR(INDEX(학생명부!$B$3:$B$83,MATCH($B161,학생명부!$A$3:$A$83,0)),"학번없음"))</f>
        <v/>
      </c>
      <c r="D161" s="12"/>
      <c r="E161" s="18"/>
      <c r="F161" s="18"/>
      <c r="G161" s="19" t="str">
        <f aca="false">IF(OR($E161="",$F161=""),"",ROUND(IF($F161&lt;1,$F161*24,INT($F161/100)+MOD($F161,100)/60)-IF($E161&lt;1,$E161*24,INT($E161/100)+MOD($E161,100)/60),2))</f>
        <v/>
      </c>
      <c r="H161" s="12"/>
      <c r="I161" s="17" t="str">
        <f aca="false">IF($A161="","",YEAR($A161))</f>
        <v/>
      </c>
      <c r="J161" s="17" t="str">
        <f aca="false">IF($A161="","",MONTH($A161))</f>
        <v/>
      </c>
      <c r="K161" s="17" t="str">
        <f aca="false">IF($A161="","",IF(AND($A161&gt;=사용안내!$C$18,$A161&lt;=사용안내!$C$19),"1학기",IF(AND($A161&gt;=사용안내!$C$20,$A161&lt;=사용안내!$C$21),"2학기","기간외")))</f>
        <v/>
      </c>
    </row>
    <row r="162" customFormat="false" ht="15" hidden="false" customHeight="true" outlineLevel="0" collapsed="false">
      <c r="A162" s="16"/>
      <c r="B162" s="12"/>
      <c r="C162" s="17" t="str">
        <f aca="false">IF($B162="","",IFERROR(INDEX(학생명부!$B$3:$B$83,MATCH($B162,학생명부!$A$3:$A$83,0)),"학번없음"))</f>
        <v/>
      </c>
      <c r="D162" s="12"/>
      <c r="E162" s="18"/>
      <c r="F162" s="18"/>
      <c r="G162" s="19" t="str">
        <f aca="false">IF(OR($E162="",$F162=""),"",ROUND(IF($F162&lt;1,$F162*24,INT($F162/100)+MOD($F162,100)/60)-IF($E162&lt;1,$E162*24,INT($E162/100)+MOD($E162,100)/60),2))</f>
        <v/>
      </c>
      <c r="H162" s="12"/>
      <c r="I162" s="17" t="str">
        <f aca="false">IF($A162="","",YEAR($A162))</f>
        <v/>
      </c>
      <c r="J162" s="17" t="str">
        <f aca="false">IF($A162="","",MONTH($A162))</f>
        <v/>
      </c>
      <c r="K162" s="17" t="str">
        <f aca="false">IF($A162="","",IF(AND($A162&gt;=사용안내!$C$18,$A162&lt;=사용안내!$C$19),"1학기",IF(AND($A162&gt;=사용안내!$C$20,$A162&lt;=사용안내!$C$21),"2학기","기간외")))</f>
        <v/>
      </c>
    </row>
    <row r="163" customFormat="false" ht="15" hidden="false" customHeight="true" outlineLevel="0" collapsed="false">
      <c r="A163" s="16"/>
      <c r="B163" s="12"/>
      <c r="C163" s="17" t="str">
        <f aca="false">IF($B163="","",IFERROR(INDEX(학생명부!$B$3:$B$83,MATCH($B163,학생명부!$A$3:$A$83,0)),"학번없음"))</f>
        <v/>
      </c>
      <c r="D163" s="12"/>
      <c r="E163" s="18"/>
      <c r="F163" s="18"/>
      <c r="G163" s="19" t="str">
        <f aca="false">IF(OR($E163="",$F163=""),"",ROUND(IF($F163&lt;1,$F163*24,INT($F163/100)+MOD($F163,100)/60)-IF($E163&lt;1,$E163*24,INT($E163/100)+MOD($E163,100)/60),2))</f>
        <v/>
      </c>
      <c r="H163" s="12"/>
      <c r="I163" s="17" t="str">
        <f aca="false">IF($A163="","",YEAR($A163))</f>
        <v/>
      </c>
      <c r="J163" s="17" t="str">
        <f aca="false">IF($A163="","",MONTH($A163))</f>
        <v/>
      </c>
      <c r="K163" s="17" t="str">
        <f aca="false">IF($A163="","",IF(AND($A163&gt;=사용안내!$C$18,$A163&lt;=사용안내!$C$19),"1학기",IF(AND($A163&gt;=사용안내!$C$20,$A163&lt;=사용안내!$C$21),"2학기","기간외")))</f>
        <v/>
      </c>
    </row>
    <row r="164" customFormat="false" ht="15" hidden="false" customHeight="true" outlineLevel="0" collapsed="false">
      <c r="A164" s="16"/>
      <c r="B164" s="12"/>
      <c r="C164" s="17" t="str">
        <f aca="false">IF($B164="","",IFERROR(INDEX(학생명부!$B$3:$B$83,MATCH($B164,학생명부!$A$3:$A$83,0)),"학번없음"))</f>
        <v/>
      </c>
      <c r="D164" s="12"/>
      <c r="E164" s="18"/>
      <c r="F164" s="18"/>
      <c r="G164" s="19" t="str">
        <f aca="false">IF(OR($E164="",$F164=""),"",ROUND(IF($F164&lt;1,$F164*24,INT($F164/100)+MOD($F164,100)/60)-IF($E164&lt;1,$E164*24,INT($E164/100)+MOD($E164,100)/60),2))</f>
        <v/>
      </c>
      <c r="H164" s="12"/>
      <c r="I164" s="17" t="str">
        <f aca="false">IF($A164="","",YEAR($A164))</f>
        <v/>
      </c>
      <c r="J164" s="17" t="str">
        <f aca="false">IF($A164="","",MONTH($A164))</f>
        <v/>
      </c>
      <c r="K164" s="17" t="str">
        <f aca="false">IF($A164="","",IF(AND($A164&gt;=사용안내!$C$18,$A164&lt;=사용안내!$C$19),"1학기",IF(AND($A164&gt;=사용안내!$C$20,$A164&lt;=사용안내!$C$21),"2학기","기간외")))</f>
        <v/>
      </c>
    </row>
    <row r="165" customFormat="false" ht="15" hidden="false" customHeight="true" outlineLevel="0" collapsed="false">
      <c r="A165" s="16"/>
      <c r="B165" s="12"/>
      <c r="C165" s="17" t="str">
        <f aca="false">IF($B165="","",IFERROR(INDEX(학생명부!$B$3:$B$83,MATCH($B165,학생명부!$A$3:$A$83,0)),"학번없음"))</f>
        <v/>
      </c>
      <c r="D165" s="12"/>
      <c r="E165" s="18"/>
      <c r="F165" s="18"/>
      <c r="G165" s="19" t="str">
        <f aca="false">IF(OR($E165="",$F165=""),"",ROUND(IF($F165&lt;1,$F165*24,INT($F165/100)+MOD($F165,100)/60)-IF($E165&lt;1,$E165*24,INT($E165/100)+MOD($E165,100)/60),2))</f>
        <v/>
      </c>
      <c r="H165" s="12"/>
      <c r="I165" s="17" t="str">
        <f aca="false">IF($A165="","",YEAR($A165))</f>
        <v/>
      </c>
      <c r="J165" s="17" t="str">
        <f aca="false">IF($A165="","",MONTH($A165))</f>
        <v/>
      </c>
      <c r="K165" s="17" t="str">
        <f aca="false">IF($A165="","",IF(AND($A165&gt;=사용안내!$C$18,$A165&lt;=사용안내!$C$19),"1학기",IF(AND($A165&gt;=사용안내!$C$20,$A165&lt;=사용안내!$C$21),"2학기","기간외")))</f>
        <v/>
      </c>
    </row>
    <row r="166" customFormat="false" ht="15" hidden="false" customHeight="true" outlineLevel="0" collapsed="false">
      <c r="A166" s="16"/>
      <c r="B166" s="12"/>
      <c r="C166" s="17" t="str">
        <f aca="false">IF($B166="","",IFERROR(INDEX(학생명부!$B$3:$B$83,MATCH($B166,학생명부!$A$3:$A$83,0)),"학번없음"))</f>
        <v/>
      </c>
      <c r="D166" s="12"/>
      <c r="E166" s="18"/>
      <c r="F166" s="18"/>
      <c r="G166" s="19" t="str">
        <f aca="false">IF(OR($E166="",$F166=""),"",ROUND(IF($F166&lt;1,$F166*24,INT($F166/100)+MOD($F166,100)/60)-IF($E166&lt;1,$E166*24,INT($E166/100)+MOD($E166,100)/60),2))</f>
        <v/>
      </c>
      <c r="H166" s="12"/>
      <c r="I166" s="17" t="str">
        <f aca="false">IF($A166="","",YEAR($A166))</f>
        <v/>
      </c>
      <c r="J166" s="17" t="str">
        <f aca="false">IF($A166="","",MONTH($A166))</f>
        <v/>
      </c>
      <c r="K166" s="17" t="str">
        <f aca="false">IF($A166="","",IF(AND($A166&gt;=사용안내!$C$18,$A166&lt;=사용안내!$C$19),"1학기",IF(AND($A166&gt;=사용안내!$C$20,$A166&lt;=사용안내!$C$21),"2학기","기간외")))</f>
        <v/>
      </c>
    </row>
    <row r="167" customFormat="false" ht="15" hidden="false" customHeight="true" outlineLevel="0" collapsed="false">
      <c r="A167" s="16"/>
      <c r="B167" s="12"/>
      <c r="C167" s="17" t="str">
        <f aca="false">IF($B167="","",IFERROR(INDEX(학생명부!$B$3:$B$83,MATCH($B167,학생명부!$A$3:$A$83,0)),"학번없음"))</f>
        <v/>
      </c>
      <c r="D167" s="12"/>
      <c r="E167" s="18"/>
      <c r="F167" s="18"/>
      <c r="G167" s="19" t="str">
        <f aca="false">IF(OR($E167="",$F167=""),"",ROUND(IF($F167&lt;1,$F167*24,INT($F167/100)+MOD($F167,100)/60)-IF($E167&lt;1,$E167*24,INT($E167/100)+MOD($E167,100)/60),2))</f>
        <v/>
      </c>
      <c r="H167" s="12"/>
      <c r="I167" s="17" t="str">
        <f aca="false">IF($A167="","",YEAR($A167))</f>
        <v/>
      </c>
      <c r="J167" s="17" t="str">
        <f aca="false">IF($A167="","",MONTH($A167))</f>
        <v/>
      </c>
      <c r="K167" s="17" t="str">
        <f aca="false">IF($A167="","",IF(AND($A167&gt;=사용안내!$C$18,$A167&lt;=사용안내!$C$19),"1학기",IF(AND($A167&gt;=사용안내!$C$20,$A167&lt;=사용안내!$C$21),"2학기","기간외")))</f>
        <v/>
      </c>
    </row>
    <row r="168" customFormat="false" ht="15" hidden="false" customHeight="true" outlineLevel="0" collapsed="false">
      <c r="A168" s="16"/>
      <c r="B168" s="12"/>
      <c r="C168" s="17" t="str">
        <f aca="false">IF($B168="","",IFERROR(INDEX(학생명부!$B$3:$B$83,MATCH($B168,학생명부!$A$3:$A$83,0)),"학번없음"))</f>
        <v/>
      </c>
      <c r="D168" s="12"/>
      <c r="E168" s="18"/>
      <c r="F168" s="18"/>
      <c r="G168" s="19" t="str">
        <f aca="false">IF(OR($E168="",$F168=""),"",ROUND(IF($F168&lt;1,$F168*24,INT($F168/100)+MOD($F168,100)/60)-IF($E168&lt;1,$E168*24,INT($E168/100)+MOD($E168,100)/60),2))</f>
        <v/>
      </c>
      <c r="H168" s="12"/>
      <c r="I168" s="17" t="str">
        <f aca="false">IF($A168="","",YEAR($A168))</f>
        <v/>
      </c>
      <c r="J168" s="17" t="str">
        <f aca="false">IF($A168="","",MONTH($A168))</f>
        <v/>
      </c>
      <c r="K168" s="17" t="str">
        <f aca="false">IF($A168="","",IF(AND($A168&gt;=사용안내!$C$18,$A168&lt;=사용안내!$C$19),"1학기",IF(AND($A168&gt;=사용안내!$C$20,$A168&lt;=사용안내!$C$21),"2학기","기간외")))</f>
        <v/>
      </c>
    </row>
    <row r="169" customFormat="false" ht="15" hidden="false" customHeight="true" outlineLevel="0" collapsed="false">
      <c r="A169" s="16"/>
      <c r="B169" s="12"/>
      <c r="C169" s="17" t="str">
        <f aca="false">IF($B169="","",IFERROR(INDEX(학생명부!$B$3:$B$83,MATCH($B169,학생명부!$A$3:$A$83,0)),"학번없음"))</f>
        <v/>
      </c>
      <c r="D169" s="12"/>
      <c r="E169" s="18"/>
      <c r="F169" s="18"/>
      <c r="G169" s="19" t="str">
        <f aca="false">IF(OR($E169="",$F169=""),"",ROUND(IF($F169&lt;1,$F169*24,INT($F169/100)+MOD($F169,100)/60)-IF($E169&lt;1,$E169*24,INT($E169/100)+MOD($E169,100)/60),2))</f>
        <v/>
      </c>
      <c r="H169" s="12"/>
      <c r="I169" s="17" t="str">
        <f aca="false">IF($A169="","",YEAR($A169))</f>
        <v/>
      </c>
      <c r="J169" s="17" t="str">
        <f aca="false">IF($A169="","",MONTH($A169))</f>
        <v/>
      </c>
      <c r="K169" s="17" t="str">
        <f aca="false">IF($A169="","",IF(AND($A169&gt;=사용안내!$C$18,$A169&lt;=사용안내!$C$19),"1학기",IF(AND($A169&gt;=사용안내!$C$20,$A169&lt;=사용안내!$C$21),"2학기","기간외")))</f>
        <v/>
      </c>
    </row>
    <row r="170" customFormat="false" ht="15" hidden="false" customHeight="true" outlineLevel="0" collapsed="false">
      <c r="A170" s="16"/>
      <c r="B170" s="12"/>
      <c r="C170" s="17" t="str">
        <f aca="false">IF($B170="","",IFERROR(INDEX(학생명부!$B$3:$B$83,MATCH($B170,학생명부!$A$3:$A$83,0)),"학번없음"))</f>
        <v/>
      </c>
      <c r="D170" s="12"/>
      <c r="E170" s="18"/>
      <c r="F170" s="18"/>
      <c r="G170" s="19" t="str">
        <f aca="false">IF(OR($E170="",$F170=""),"",ROUND(IF($F170&lt;1,$F170*24,INT($F170/100)+MOD($F170,100)/60)-IF($E170&lt;1,$E170*24,INT($E170/100)+MOD($E170,100)/60),2))</f>
        <v/>
      </c>
      <c r="H170" s="12"/>
      <c r="I170" s="17" t="str">
        <f aca="false">IF($A170="","",YEAR($A170))</f>
        <v/>
      </c>
      <c r="J170" s="17" t="str">
        <f aca="false">IF($A170="","",MONTH($A170))</f>
        <v/>
      </c>
      <c r="K170" s="17" t="str">
        <f aca="false">IF($A170="","",IF(AND($A170&gt;=사용안내!$C$18,$A170&lt;=사용안내!$C$19),"1학기",IF(AND($A170&gt;=사용안내!$C$20,$A170&lt;=사용안내!$C$21),"2학기","기간외")))</f>
        <v/>
      </c>
    </row>
    <row r="171" customFormat="false" ht="15" hidden="false" customHeight="true" outlineLevel="0" collapsed="false">
      <c r="A171" s="16"/>
      <c r="B171" s="12"/>
      <c r="C171" s="17" t="str">
        <f aca="false">IF($B171="","",IFERROR(INDEX(학생명부!$B$3:$B$83,MATCH($B171,학생명부!$A$3:$A$83,0)),"학번없음"))</f>
        <v/>
      </c>
      <c r="D171" s="12"/>
      <c r="E171" s="18"/>
      <c r="F171" s="18"/>
      <c r="G171" s="19" t="str">
        <f aca="false">IF(OR($E171="",$F171=""),"",ROUND(IF($F171&lt;1,$F171*24,INT($F171/100)+MOD($F171,100)/60)-IF($E171&lt;1,$E171*24,INT($E171/100)+MOD($E171,100)/60),2))</f>
        <v/>
      </c>
      <c r="H171" s="12"/>
      <c r="I171" s="17" t="str">
        <f aca="false">IF($A171="","",YEAR($A171))</f>
        <v/>
      </c>
      <c r="J171" s="17" t="str">
        <f aca="false">IF($A171="","",MONTH($A171))</f>
        <v/>
      </c>
      <c r="K171" s="17" t="str">
        <f aca="false">IF($A171="","",IF(AND($A171&gt;=사용안내!$C$18,$A171&lt;=사용안내!$C$19),"1학기",IF(AND($A171&gt;=사용안내!$C$20,$A171&lt;=사용안내!$C$21),"2학기","기간외")))</f>
        <v/>
      </c>
    </row>
    <row r="172" customFormat="false" ht="15" hidden="false" customHeight="true" outlineLevel="0" collapsed="false">
      <c r="A172" s="16"/>
      <c r="B172" s="12"/>
      <c r="C172" s="17" t="str">
        <f aca="false">IF($B172="","",IFERROR(INDEX(학생명부!$B$3:$B$83,MATCH($B172,학생명부!$A$3:$A$83,0)),"학번없음"))</f>
        <v/>
      </c>
      <c r="D172" s="12"/>
      <c r="E172" s="18"/>
      <c r="F172" s="18"/>
      <c r="G172" s="19" t="str">
        <f aca="false">IF(OR($E172="",$F172=""),"",ROUND(IF($F172&lt;1,$F172*24,INT($F172/100)+MOD($F172,100)/60)-IF($E172&lt;1,$E172*24,INT($E172/100)+MOD($E172,100)/60),2))</f>
        <v/>
      </c>
      <c r="H172" s="12"/>
      <c r="I172" s="17" t="str">
        <f aca="false">IF($A172="","",YEAR($A172))</f>
        <v/>
      </c>
      <c r="J172" s="17" t="str">
        <f aca="false">IF($A172="","",MONTH($A172))</f>
        <v/>
      </c>
      <c r="K172" s="17" t="str">
        <f aca="false">IF($A172="","",IF(AND($A172&gt;=사용안내!$C$18,$A172&lt;=사용안내!$C$19),"1학기",IF(AND($A172&gt;=사용안내!$C$20,$A172&lt;=사용안내!$C$21),"2학기","기간외")))</f>
        <v/>
      </c>
    </row>
    <row r="173" customFormat="false" ht="15" hidden="false" customHeight="true" outlineLevel="0" collapsed="false">
      <c r="A173" s="16"/>
      <c r="B173" s="12"/>
      <c r="C173" s="17" t="str">
        <f aca="false">IF($B173="","",IFERROR(INDEX(학생명부!$B$3:$B$83,MATCH($B173,학생명부!$A$3:$A$83,0)),"학번없음"))</f>
        <v/>
      </c>
      <c r="D173" s="12"/>
      <c r="E173" s="18"/>
      <c r="F173" s="18"/>
      <c r="G173" s="19" t="str">
        <f aca="false">IF(OR($E173="",$F173=""),"",ROUND(IF($F173&lt;1,$F173*24,INT($F173/100)+MOD($F173,100)/60)-IF($E173&lt;1,$E173*24,INT($E173/100)+MOD($E173,100)/60),2))</f>
        <v/>
      </c>
      <c r="H173" s="12"/>
      <c r="I173" s="17" t="str">
        <f aca="false">IF($A173="","",YEAR($A173))</f>
        <v/>
      </c>
      <c r="J173" s="17" t="str">
        <f aca="false">IF($A173="","",MONTH($A173))</f>
        <v/>
      </c>
      <c r="K173" s="17" t="str">
        <f aca="false">IF($A173="","",IF(AND($A173&gt;=사용안내!$C$18,$A173&lt;=사용안내!$C$19),"1학기",IF(AND($A173&gt;=사용안내!$C$20,$A173&lt;=사용안내!$C$21),"2학기","기간외")))</f>
        <v/>
      </c>
    </row>
    <row r="174" customFormat="false" ht="15" hidden="false" customHeight="true" outlineLevel="0" collapsed="false">
      <c r="A174" s="16"/>
      <c r="B174" s="12"/>
      <c r="C174" s="17" t="str">
        <f aca="false">IF($B174="","",IFERROR(INDEX(학생명부!$B$3:$B$83,MATCH($B174,학생명부!$A$3:$A$83,0)),"학번없음"))</f>
        <v/>
      </c>
      <c r="D174" s="12"/>
      <c r="E174" s="18"/>
      <c r="F174" s="18"/>
      <c r="G174" s="19" t="str">
        <f aca="false">IF(OR($E174="",$F174=""),"",ROUND(IF($F174&lt;1,$F174*24,INT($F174/100)+MOD($F174,100)/60)-IF($E174&lt;1,$E174*24,INT($E174/100)+MOD($E174,100)/60),2))</f>
        <v/>
      </c>
      <c r="H174" s="12"/>
      <c r="I174" s="17" t="str">
        <f aca="false">IF($A174="","",YEAR($A174))</f>
        <v/>
      </c>
      <c r="J174" s="17" t="str">
        <f aca="false">IF($A174="","",MONTH($A174))</f>
        <v/>
      </c>
      <c r="K174" s="17" t="str">
        <f aca="false">IF($A174="","",IF(AND($A174&gt;=사용안내!$C$18,$A174&lt;=사용안내!$C$19),"1학기",IF(AND($A174&gt;=사용안내!$C$20,$A174&lt;=사용안내!$C$21),"2학기","기간외")))</f>
        <v/>
      </c>
    </row>
    <row r="175" customFormat="false" ht="15" hidden="false" customHeight="true" outlineLevel="0" collapsed="false">
      <c r="A175" s="16"/>
      <c r="B175" s="12"/>
      <c r="C175" s="17" t="str">
        <f aca="false">IF($B175="","",IFERROR(INDEX(학생명부!$B$3:$B$83,MATCH($B175,학생명부!$A$3:$A$83,0)),"학번없음"))</f>
        <v/>
      </c>
      <c r="D175" s="12"/>
      <c r="E175" s="18"/>
      <c r="F175" s="18"/>
      <c r="G175" s="19" t="str">
        <f aca="false">IF(OR($E175="",$F175=""),"",ROUND(IF($F175&lt;1,$F175*24,INT($F175/100)+MOD($F175,100)/60)-IF($E175&lt;1,$E175*24,INT($E175/100)+MOD($E175,100)/60),2))</f>
        <v/>
      </c>
      <c r="H175" s="12"/>
      <c r="I175" s="17" t="str">
        <f aca="false">IF($A175="","",YEAR($A175))</f>
        <v/>
      </c>
      <c r="J175" s="17" t="str">
        <f aca="false">IF($A175="","",MONTH($A175))</f>
        <v/>
      </c>
      <c r="K175" s="17" t="str">
        <f aca="false">IF($A175="","",IF(AND($A175&gt;=사용안내!$C$18,$A175&lt;=사용안내!$C$19),"1학기",IF(AND($A175&gt;=사용안내!$C$20,$A175&lt;=사용안내!$C$21),"2학기","기간외")))</f>
        <v/>
      </c>
    </row>
    <row r="176" customFormat="false" ht="15" hidden="false" customHeight="true" outlineLevel="0" collapsed="false">
      <c r="A176" s="16"/>
      <c r="B176" s="12"/>
      <c r="C176" s="17" t="str">
        <f aca="false">IF($B176="","",IFERROR(INDEX(학생명부!$B$3:$B$83,MATCH($B176,학생명부!$A$3:$A$83,0)),"학번없음"))</f>
        <v/>
      </c>
      <c r="D176" s="12"/>
      <c r="E176" s="18"/>
      <c r="F176" s="18"/>
      <c r="G176" s="19" t="str">
        <f aca="false">IF(OR($E176="",$F176=""),"",ROUND(IF($F176&lt;1,$F176*24,INT($F176/100)+MOD($F176,100)/60)-IF($E176&lt;1,$E176*24,INT($E176/100)+MOD($E176,100)/60),2))</f>
        <v/>
      </c>
      <c r="H176" s="12"/>
      <c r="I176" s="17" t="str">
        <f aca="false">IF($A176="","",YEAR($A176))</f>
        <v/>
      </c>
      <c r="J176" s="17" t="str">
        <f aca="false">IF($A176="","",MONTH($A176))</f>
        <v/>
      </c>
      <c r="K176" s="17" t="str">
        <f aca="false">IF($A176="","",IF(AND($A176&gt;=사용안내!$C$18,$A176&lt;=사용안내!$C$19),"1학기",IF(AND($A176&gt;=사용안내!$C$20,$A176&lt;=사용안내!$C$21),"2학기","기간외")))</f>
        <v/>
      </c>
    </row>
    <row r="177" customFormat="false" ht="15" hidden="false" customHeight="true" outlineLevel="0" collapsed="false">
      <c r="A177" s="16"/>
      <c r="B177" s="12"/>
      <c r="C177" s="17" t="str">
        <f aca="false">IF($B177="","",IFERROR(INDEX(학생명부!$B$3:$B$83,MATCH($B177,학생명부!$A$3:$A$83,0)),"학번없음"))</f>
        <v/>
      </c>
      <c r="D177" s="12"/>
      <c r="E177" s="18"/>
      <c r="F177" s="18"/>
      <c r="G177" s="19" t="str">
        <f aca="false">IF(OR($E177="",$F177=""),"",ROUND(IF($F177&lt;1,$F177*24,INT($F177/100)+MOD($F177,100)/60)-IF($E177&lt;1,$E177*24,INT($E177/100)+MOD($E177,100)/60),2))</f>
        <v/>
      </c>
      <c r="H177" s="12"/>
      <c r="I177" s="17" t="str">
        <f aca="false">IF($A177="","",YEAR($A177))</f>
        <v/>
      </c>
      <c r="J177" s="17" t="str">
        <f aca="false">IF($A177="","",MONTH($A177))</f>
        <v/>
      </c>
      <c r="K177" s="17" t="str">
        <f aca="false">IF($A177="","",IF(AND($A177&gt;=사용안내!$C$18,$A177&lt;=사용안내!$C$19),"1학기",IF(AND($A177&gt;=사용안내!$C$20,$A177&lt;=사용안내!$C$21),"2학기","기간외")))</f>
        <v/>
      </c>
    </row>
    <row r="178" customFormat="false" ht="15" hidden="false" customHeight="true" outlineLevel="0" collapsed="false">
      <c r="A178" s="16"/>
      <c r="B178" s="12"/>
      <c r="C178" s="17" t="str">
        <f aca="false">IF($B178="","",IFERROR(INDEX(학생명부!$B$3:$B$83,MATCH($B178,학생명부!$A$3:$A$83,0)),"학번없음"))</f>
        <v/>
      </c>
      <c r="D178" s="12"/>
      <c r="E178" s="18"/>
      <c r="F178" s="18"/>
      <c r="G178" s="19" t="str">
        <f aca="false">IF(OR($E178="",$F178=""),"",ROUND(IF($F178&lt;1,$F178*24,INT($F178/100)+MOD($F178,100)/60)-IF($E178&lt;1,$E178*24,INT($E178/100)+MOD($E178,100)/60),2))</f>
        <v/>
      </c>
      <c r="H178" s="12"/>
      <c r="I178" s="17" t="str">
        <f aca="false">IF($A178="","",YEAR($A178))</f>
        <v/>
      </c>
      <c r="J178" s="17" t="str">
        <f aca="false">IF($A178="","",MONTH($A178))</f>
        <v/>
      </c>
      <c r="K178" s="17" t="str">
        <f aca="false">IF($A178="","",IF(AND($A178&gt;=사용안내!$C$18,$A178&lt;=사용안내!$C$19),"1학기",IF(AND($A178&gt;=사용안내!$C$20,$A178&lt;=사용안내!$C$21),"2학기","기간외")))</f>
        <v/>
      </c>
    </row>
    <row r="179" customFormat="false" ht="15" hidden="false" customHeight="true" outlineLevel="0" collapsed="false">
      <c r="A179" s="16"/>
      <c r="B179" s="12"/>
      <c r="C179" s="17" t="str">
        <f aca="false">IF($B179="","",IFERROR(INDEX(학생명부!$B$3:$B$83,MATCH($B179,학생명부!$A$3:$A$83,0)),"학번없음"))</f>
        <v/>
      </c>
      <c r="D179" s="12"/>
      <c r="E179" s="18"/>
      <c r="F179" s="18"/>
      <c r="G179" s="19" t="str">
        <f aca="false">IF(OR($E179="",$F179=""),"",ROUND(IF($F179&lt;1,$F179*24,INT($F179/100)+MOD($F179,100)/60)-IF($E179&lt;1,$E179*24,INT($E179/100)+MOD($E179,100)/60),2))</f>
        <v/>
      </c>
      <c r="H179" s="12"/>
      <c r="I179" s="17" t="str">
        <f aca="false">IF($A179="","",YEAR($A179))</f>
        <v/>
      </c>
      <c r="J179" s="17" t="str">
        <f aca="false">IF($A179="","",MONTH($A179))</f>
        <v/>
      </c>
      <c r="K179" s="17" t="str">
        <f aca="false">IF($A179="","",IF(AND($A179&gt;=사용안내!$C$18,$A179&lt;=사용안내!$C$19),"1학기",IF(AND($A179&gt;=사용안내!$C$20,$A179&lt;=사용안내!$C$21),"2학기","기간외")))</f>
        <v/>
      </c>
    </row>
    <row r="180" customFormat="false" ht="15" hidden="false" customHeight="true" outlineLevel="0" collapsed="false">
      <c r="A180" s="16"/>
      <c r="B180" s="12"/>
      <c r="C180" s="17" t="str">
        <f aca="false">IF($B180="","",IFERROR(INDEX(학생명부!$B$3:$B$83,MATCH($B180,학생명부!$A$3:$A$83,0)),"학번없음"))</f>
        <v/>
      </c>
      <c r="D180" s="12"/>
      <c r="E180" s="18"/>
      <c r="F180" s="18"/>
      <c r="G180" s="19" t="str">
        <f aca="false">IF(OR($E180="",$F180=""),"",ROUND(IF($F180&lt;1,$F180*24,INT($F180/100)+MOD($F180,100)/60)-IF($E180&lt;1,$E180*24,INT($E180/100)+MOD($E180,100)/60),2))</f>
        <v/>
      </c>
      <c r="H180" s="12"/>
      <c r="I180" s="17" t="str">
        <f aca="false">IF($A180="","",YEAR($A180))</f>
        <v/>
      </c>
      <c r="J180" s="17" t="str">
        <f aca="false">IF($A180="","",MONTH($A180))</f>
        <v/>
      </c>
      <c r="K180" s="17" t="str">
        <f aca="false">IF($A180="","",IF(AND($A180&gt;=사용안내!$C$18,$A180&lt;=사용안내!$C$19),"1학기",IF(AND($A180&gt;=사용안내!$C$20,$A180&lt;=사용안내!$C$21),"2학기","기간외")))</f>
        <v/>
      </c>
    </row>
    <row r="181" customFormat="false" ht="15" hidden="false" customHeight="true" outlineLevel="0" collapsed="false">
      <c r="A181" s="16"/>
      <c r="B181" s="12"/>
      <c r="C181" s="17" t="str">
        <f aca="false">IF($B181="","",IFERROR(INDEX(학생명부!$B$3:$B$83,MATCH($B181,학생명부!$A$3:$A$83,0)),"학번없음"))</f>
        <v/>
      </c>
      <c r="D181" s="12"/>
      <c r="E181" s="18"/>
      <c r="F181" s="18"/>
      <c r="G181" s="19" t="str">
        <f aca="false">IF(OR($E181="",$F181=""),"",ROUND(IF($F181&lt;1,$F181*24,INT($F181/100)+MOD($F181,100)/60)-IF($E181&lt;1,$E181*24,INT($E181/100)+MOD($E181,100)/60),2))</f>
        <v/>
      </c>
      <c r="H181" s="12"/>
      <c r="I181" s="17" t="str">
        <f aca="false">IF($A181="","",YEAR($A181))</f>
        <v/>
      </c>
      <c r="J181" s="17" t="str">
        <f aca="false">IF($A181="","",MONTH($A181))</f>
        <v/>
      </c>
      <c r="K181" s="17" t="str">
        <f aca="false">IF($A181="","",IF(AND($A181&gt;=사용안내!$C$18,$A181&lt;=사용안내!$C$19),"1학기",IF(AND($A181&gt;=사용안내!$C$20,$A181&lt;=사용안내!$C$21),"2학기","기간외")))</f>
        <v/>
      </c>
    </row>
    <row r="182" customFormat="false" ht="15" hidden="false" customHeight="true" outlineLevel="0" collapsed="false">
      <c r="A182" s="16"/>
      <c r="B182" s="12"/>
      <c r="C182" s="17" t="str">
        <f aca="false">IF($B182="","",IFERROR(INDEX(학생명부!$B$3:$B$83,MATCH($B182,학생명부!$A$3:$A$83,0)),"학번없음"))</f>
        <v/>
      </c>
      <c r="D182" s="12"/>
      <c r="E182" s="18"/>
      <c r="F182" s="18"/>
      <c r="G182" s="19" t="str">
        <f aca="false">IF(OR($E182="",$F182=""),"",ROUND(IF($F182&lt;1,$F182*24,INT($F182/100)+MOD($F182,100)/60)-IF($E182&lt;1,$E182*24,INT($E182/100)+MOD($E182,100)/60),2))</f>
        <v/>
      </c>
      <c r="H182" s="12"/>
      <c r="I182" s="17" t="str">
        <f aca="false">IF($A182="","",YEAR($A182))</f>
        <v/>
      </c>
      <c r="J182" s="17" t="str">
        <f aca="false">IF($A182="","",MONTH($A182))</f>
        <v/>
      </c>
      <c r="K182" s="17" t="str">
        <f aca="false">IF($A182="","",IF(AND($A182&gt;=사용안내!$C$18,$A182&lt;=사용안내!$C$19),"1학기",IF(AND($A182&gt;=사용안내!$C$20,$A182&lt;=사용안내!$C$21),"2학기","기간외")))</f>
        <v/>
      </c>
    </row>
    <row r="183" customFormat="false" ht="15" hidden="false" customHeight="true" outlineLevel="0" collapsed="false">
      <c r="A183" s="16"/>
      <c r="B183" s="12"/>
      <c r="C183" s="17" t="str">
        <f aca="false">IF($B183="","",IFERROR(INDEX(학생명부!$B$3:$B$83,MATCH($B183,학생명부!$A$3:$A$83,0)),"학번없음"))</f>
        <v/>
      </c>
      <c r="D183" s="12"/>
      <c r="E183" s="18"/>
      <c r="F183" s="18"/>
      <c r="G183" s="19" t="str">
        <f aca="false">IF(OR($E183="",$F183=""),"",ROUND(IF($F183&lt;1,$F183*24,INT($F183/100)+MOD($F183,100)/60)-IF($E183&lt;1,$E183*24,INT($E183/100)+MOD($E183,100)/60),2))</f>
        <v/>
      </c>
      <c r="H183" s="12"/>
      <c r="I183" s="17" t="str">
        <f aca="false">IF($A183="","",YEAR($A183))</f>
        <v/>
      </c>
      <c r="J183" s="17" t="str">
        <f aca="false">IF($A183="","",MONTH($A183))</f>
        <v/>
      </c>
      <c r="K183" s="17" t="str">
        <f aca="false">IF($A183="","",IF(AND($A183&gt;=사용안내!$C$18,$A183&lt;=사용안내!$C$19),"1학기",IF(AND($A183&gt;=사용안내!$C$20,$A183&lt;=사용안내!$C$21),"2학기","기간외")))</f>
        <v/>
      </c>
    </row>
    <row r="184" customFormat="false" ht="15" hidden="false" customHeight="true" outlineLevel="0" collapsed="false">
      <c r="A184" s="16"/>
      <c r="B184" s="12"/>
      <c r="C184" s="17" t="str">
        <f aca="false">IF($B184="","",IFERROR(INDEX(학생명부!$B$3:$B$83,MATCH($B184,학생명부!$A$3:$A$83,0)),"학번없음"))</f>
        <v/>
      </c>
      <c r="D184" s="12"/>
      <c r="E184" s="18"/>
      <c r="F184" s="18"/>
      <c r="G184" s="19" t="str">
        <f aca="false">IF(OR($E184="",$F184=""),"",ROUND(IF($F184&lt;1,$F184*24,INT($F184/100)+MOD($F184,100)/60)-IF($E184&lt;1,$E184*24,INT($E184/100)+MOD($E184,100)/60),2))</f>
        <v/>
      </c>
      <c r="H184" s="12"/>
      <c r="I184" s="17" t="str">
        <f aca="false">IF($A184="","",YEAR($A184))</f>
        <v/>
      </c>
      <c r="J184" s="17" t="str">
        <f aca="false">IF($A184="","",MONTH($A184))</f>
        <v/>
      </c>
      <c r="K184" s="17" t="str">
        <f aca="false">IF($A184="","",IF(AND($A184&gt;=사용안내!$C$18,$A184&lt;=사용안내!$C$19),"1학기",IF(AND($A184&gt;=사용안내!$C$20,$A184&lt;=사용안내!$C$21),"2학기","기간외")))</f>
        <v/>
      </c>
    </row>
    <row r="185" customFormat="false" ht="15" hidden="false" customHeight="true" outlineLevel="0" collapsed="false">
      <c r="A185" s="16"/>
      <c r="B185" s="12"/>
      <c r="C185" s="17" t="str">
        <f aca="false">IF($B185="","",IFERROR(INDEX(학생명부!$B$3:$B$83,MATCH($B185,학생명부!$A$3:$A$83,0)),"학번없음"))</f>
        <v/>
      </c>
      <c r="D185" s="12"/>
      <c r="E185" s="18"/>
      <c r="F185" s="18"/>
      <c r="G185" s="19" t="str">
        <f aca="false">IF(OR($E185="",$F185=""),"",ROUND(IF($F185&lt;1,$F185*24,INT($F185/100)+MOD($F185,100)/60)-IF($E185&lt;1,$E185*24,INT($E185/100)+MOD($E185,100)/60),2))</f>
        <v/>
      </c>
      <c r="H185" s="12"/>
      <c r="I185" s="17" t="str">
        <f aca="false">IF($A185="","",YEAR($A185))</f>
        <v/>
      </c>
      <c r="J185" s="17" t="str">
        <f aca="false">IF($A185="","",MONTH($A185))</f>
        <v/>
      </c>
      <c r="K185" s="17" t="str">
        <f aca="false">IF($A185="","",IF(AND($A185&gt;=사용안내!$C$18,$A185&lt;=사용안내!$C$19),"1학기",IF(AND($A185&gt;=사용안내!$C$20,$A185&lt;=사용안내!$C$21),"2학기","기간외")))</f>
        <v/>
      </c>
    </row>
    <row r="186" customFormat="false" ht="15" hidden="false" customHeight="true" outlineLevel="0" collapsed="false">
      <c r="A186" s="16"/>
      <c r="B186" s="12"/>
      <c r="C186" s="17" t="str">
        <f aca="false">IF($B186="","",IFERROR(INDEX(학생명부!$B$3:$B$83,MATCH($B186,학생명부!$A$3:$A$83,0)),"학번없음"))</f>
        <v/>
      </c>
      <c r="D186" s="12"/>
      <c r="E186" s="18"/>
      <c r="F186" s="18"/>
      <c r="G186" s="19" t="str">
        <f aca="false">IF(OR($E186="",$F186=""),"",ROUND(IF($F186&lt;1,$F186*24,INT($F186/100)+MOD($F186,100)/60)-IF($E186&lt;1,$E186*24,INT($E186/100)+MOD($E186,100)/60),2))</f>
        <v/>
      </c>
      <c r="H186" s="12"/>
      <c r="I186" s="17" t="str">
        <f aca="false">IF($A186="","",YEAR($A186))</f>
        <v/>
      </c>
      <c r="J186" s="17" t="str">
        <f aca="false">IF($A186="","",MONTH($A186))</f>
        <v/>
      </c>
      <c r="K186" s="17" t="str">
        <f aca="false">IF($A186="","",IF(AND($A186&gt;=사용안내!$C$18,$A186&lt;=사용안내!$C$19),"1학기",IF(AND($A186&gt;=사용안내!$C$20,$A186&lt;=사용안내!$C$21),"2학기","기간외")))</f>
        <v/>
      </c>
    </row>
    <row r="187" customFormat="false" ht="15" hidden="false" customHeight="true" outlineLevel="0" collapsed="false">
      <c r="A187" s="16"/>
      <c r="B187" s="12"/>
      <c r="C187" s="17" t="str">
        <f aca="false">IF($B187="","",IFERROR(INDEX(학생명부!$B$3:$B$83,MATCH($B187,학생명부!$A$3:$A$83,0)),"학번없음"))</f>
        <v/>
      </c>
      <c r="D187" s="12"/>
      <c r="E187" s="18"/>
      <c r="F187" s="18"/>
      <c r="G187" s="19" t="str">
        <f aca="false">IF(OR($E187="",$F187=""),"",ROUND(IF($F187&lt;1,$F187*24,INT($F187/100)+MOD($F187,100)/60)-IF($E187&lt;1,$E187*24,INT($E187/100)+MOD($E187,100)/60),2))</f>
        <v/>
      </c>
      <c r="H187" s="12"/>
      <c r="I187" s="17" t="str">
        <f aca="false">IF($A187="","",YEAR($A187))</f>
        <v/>
      </c>
      <c r="J187" s="17" t="str">
        <f aca="false">IF($A187="","",MONTH($A187))</f>
        <v/>
      </c>
      <c r="K187" s="17" t="str">
        <f aca="false">IF($A187="","",IF(AND($A187&gt;=사용안내!$C$18,$A187&lt;=사용안내!$C$19),"1학기",IF(AND($A187&gt;=사용안내!$C$20,$A187&lt;=사용안내!$C$21),"2학기","기간외")))</f>
        <v/>
      </c>
    </row>
    <row r="188" customFormat="false" ht="15" hidden="false" customHeight="true" outlineLevel="0" collapsed="false">
      <c r="A188" s="16"/>
      <c r="B188" s="12"/>
      <c r="C188" s="17" t="str">
        <f aca="false">IF($B188="","",IFERROR(INDEX(학생명부!$B$3:$B$83,MATCH($B188,학생명부!$A$3:$A$83,0)),"학번없음"))</f>
        <v/>
      </c>
      <c r="D188" s="12"/>
      <c r="E188" s="18"/>
      <c r="F188" s="18"/>
      <c r="G188" s="19" t="str">
        <f aca="false">IF(OR($E188="",$F188=""),"",ROUND(IF($F188&lt;1,$F188*24,INT($F188/100)+MOD($F188,100)/60)-IF($E188&lt;1,$E188*24,INT($E188/100)+MOD($E188,100)/60),2))</f>
        <v/>
      </c>
      <c r="H188" s="12"/>
      <c r="I188" s="17" t="str">
        <f aca="false">IF($A188="","",YEAR($A188))</f>
        <v/>
      </c>
      <c r="J188" s="17" t="str">
        <f aca="false">IF($A188="","",MONTH($A188))</f>
        <v/>
      </c>
      <c r="K188" s="17" t="str">
        <f aca="false">IF($A188="","",IF(AND($A188&gt;=사용안내!$C$18,$A188&lt;=사용안내!$C$19),"1학기",IF(AND($A188&gt;=사용안내!$C$20,$A188&lt;=사용안내!$C$21),"2학기","기간외")))</f>
        <v/>
      </c>
    </row>
    <row r="189" customFormat="false" ht="15" hidden="false" customHeight="true" outlineLevel="0" collapsed="false">
      <c r="A189" s="16"/>
      <c r="B189" s="12"/>
      <c r="C189" s="17" t="str">
        <f aca="false">IF($B189="","",IFERROR(INDEX(학생명부!$B$3:$B$83,MATCH($B189,학생명부!$A$3:$A$83,0)),"학번없음"))</f>
        <v/>
      </c>
      <c r="D189" s="12"/>
      <c r="E189" s="18"/>
      <c r="F189" s="18"/>
      <c r="G189" s="19" t="str">
        <f aca="false">IF(OR($E189="",$F189=""),"",ROUND(IF($F189&lt;1,$F189*24,INT($F189/100)+MOD($F189,100)/60)-IF($E189&lt;1,$E189*24,INT($E189/100)+MOD($E189,100)/60),2))</f>
        <v/>
      </c>
      <c r="H189" s="12"/>
      <c r="I189" s="17" t="str">
        <f aca="false">IF($A189="","",YEAR($A189))</f>
        <v/>
      </c>
      <c r="J189" s="17" t="str">
        <f aca="false">IF($A189="","",MONTH($A189))</f>
        <v/>
      </c>
      <c r="K189" s="17" t="str">
        <f aca="false">IF($A189="","",IF(AND($A189&gt;=사용안내!$C$18,$A189&lt;=사용안내!$C$19),"1학기",IF(AND($A189&gt;=사용안내!$C$20,$A189&lt;=사용안내!$C$21),"2학기","기간외")))</f>
        <v/>
      </c>
    </row>
    <row r="190" customFormat="false" ht="15" hidden="false" customHeight="true" outlineLevel="0" collapsed="false">
      <c r="A190" s="16"/>
      <c r="B190" s="12"/>
      <c r="C190" s="17" t="str">
        <f aca="false">IF($B190="","",IFERROR(INDEX(학생명부!$B$3:$B$83,MATCH($B190,학생명부!$A$3:$A$83,0)),"학번없음"))</f>
        <v/>
      </c>
      <c r="D190" s="12"/>
      <c r="E190" s="18"/>
      <c r="F190" s="18"/>
      <c r="G190" s="19" t="str">
        <f aca="false">IF(OR($E190="",$F190=""),"",ROUND(IF($F190&lt;1,$F190*24,INT($F190/100)+MOD($F190,100)/60)-IF($E190&lt;1,$E190*24,INT($E190/100)+MOD($E190,100)/60),2))</f>
        <v/>
      </c>
      <c r="H190" s="12"/>
      <c r="I190" s="17" t="str">
        <f aca="false">IF($A190="","",YEAR($A190))</f>
        <v/>
      </c>
      <c r="J190" s="17" t="str">
        <f aca="false">IF($A190="","",MONTH($A190))</f>
        <v/>
      </c>
      <c r="K190" s="17" t="str">
        <f aca="false">IF($A190="","",IF(AND($A190&gt;=사용안내!$C$18,$A190&lt;=사용안내!$C$19),"1학기",IF(AND($A190&gt;=사용안내!$C$20,$A190&lt;=사용안내!$C$21),"2학기","기간외")))</f>
        <v/>
      </c>
    </row>
    <row r="191" customFormat="false" ht="15" hidden="false" customHeight="true" outlineLevel="0" collapsed="false">
      <c r="A191" s="16"/>
      <c r="B191" s="12"/>
      <c r="C191" s="17" t="str">
        <f aca="false">IF($B191="","",IFERROR(INDEX(학생명부!$B$3:$B$83,MATCH($B191,학생명부!$A$3:$A$83,0)),"학번없음"))</f>
        <v/>
      </c>
      <c r="D191" s="12"/>
      <c r="E191" s="18"/>
      <c r="F191" s="18"/>
      <c r="G191" s="19" t="str">
        <f aca="false">IF(OR($E191="",$F191=""),"",ROUND(IF($F191&lt;1,$F191*24,INT($F191/100)+MOD($F191,100)/60)-IF($E191&lt;1,$E191*24,INT($E191/100)+MOD($E191,100)/60),2))</f>
        <v/>
      </c>
      <c r="H191" s="12"/>
      <c r="I191" s="17" t="str">
        <f aca="false">IF($A191="","",YEAR($A191))</f>
        <v/>
      </c>
      <c r="J191" s="17" t="str">
        <f aca="false">IF($A191="","",MONTH($A191))</f>
        <v/>
      </c>
      <c r="K191" s="17" t="str">
        <f aca="false">IF($A191="","",IF(AND($A191&gt;=사용안내!$C$18,$A191&lt;=사용안내!$C$19),"1학기",IF(AND($A191&gt;=사용안내!$C$20,$A191&lt;=사용안내!$C$21),"2학기","기간외")))</f>
        <v/>
      </c>
    </row>
    <row r="192" customFormat="false" ht="15" hidden="false" customHeight="true" outlineLevel="0" collapsed="false">
      <c r="A192" s="16"/>
      <c r="B192" s="12"/>
      <c r="C192" s="17" t="str">
        <f aca="false">IF($B192="","",IFERROR(INDEX(학생명부!$B$3:$B$83,MATCH($B192,학생명부!$A$3:$A$83,0)),"학번없음"))</f>
        <v/>
      </c>
      <c r="D192" s="12"/>
      <c r="E192" s="18"/>
      <c r="F192" s="18"/>
      <c r="G192" s="19" t="str">
        <f aca="false">IF(OR($E192="",$F192=""),"",ROUND(IF($F192&lt;1,$F192*24,INT($F192/100)+MOD($F192,100)/60)-IF($E192&lt;1,$E192*24,INT($E192/100)+MOD($E192,100)/60),2))</f>
        <v/>
      </c>
      <c r="H192" s="12"/>
      <c r="I192" s="17" t="str">
        <f aca="false">IF($A192="","",YEAR($A192))</f>
        <v/>
      </c>
      <c r="J192" s="17" t="str">
        <f aca="false">IF($A192="","",MONTH($A192))</f>
        <v/>
      </c>
      <c r="K192" s="17" t="str">
        <f aca="false">IF($A192="","",IF(AND($A192&gt;=사용안내!$C$18,$A192&lt;=사용안내!$C$19),"1학기",IF(AND($A192&gt;=사용안내!$C$20,$A192&lt;=사용안내!$C$21),"2학기","기간외")))</f>
        <v/>
      </c>
    </row>
    <row r="193" customFormat="false" ht="15" hidden="false" customHeight="true" outlineLevel="0" collapsed="false">
      <c r="A193" s="16"/>
      <c r="B193" s="12"/>
      <c r="C193" s="17" t="str">
        <f aca="false">IF($B193="","",IFERROR(INDEX(학생명부!$B$3:$B$83,MATCH($B193,학생명부!$A$3:$A$83,0)),"학번없음"))</f>
        <v/>
      </c>
      <c r="D193" s="12"/>
      <c r="E193" s="18"/>
      <c r="F193" s="18"/>
      <c r="G193" s="19" t="str">
        <f aca="false">IF(OR($E193="",$F193=""),"",ROUND(IF($F193&lt;1,$F193*24,INT($F193/100)+MOD($F193,100)/60)-IF($E193&lt;1,$E193*24,INT($E193/100)+MOD($E193,100)/60),2))</f>
        <v/>
      </c>
      <c r="H193" s="12"/>
      <c r="I193" s="17" t="str">
        <f aca="false">IF($A193="","",YEAR($A193))</f>
        <v/>
      </c>
      <c r="J193" s="17" t="str">
        <f aca="false">IF($A193="","",MONTH($A193))</f>
        <v/>
      </c>
      <c r="K193" s="17" t="str">
        <f aca="false">IF($A193="","",IF(AND($A193&gt;=사용안내!$C$18,$A193&lt;=사용안내!$C$19),"1학기",IF(AND($A193&gt;=사용안내!$C$20,$A193&lt;=사용안내!$C$21),"2학기","기간외")))</f>
        <v/>
      </c>
    </row>
    <row r="194" customFormat="false" ht="15" hidden="false" customHeight="true" outlineLevel="0" collapsed="false">
      <c r="A194" s="16"/>
      <c r="B194" s="12"/>
      <c r="C194" s="17" t="str">
        <f aca="false">IF($B194="","",IFERROR(INDEX(학생명부!$B$3:$B$83,MATCH($B194,학생명부!$A$3:$A$83,0)),"학번없음"))</f>
        <v/>
      </c>
      <c r="D194" s="12"/>
      <c r="E194" s="18"/>
      <c r="F194" s="18"/>
      <c r="G194" s="19" t="str">
        <f aca="false">IF(OR($E194="",$F194=""),"",ROUND(IF($F194&lt;1,$F194*24,INT($F194/100)+MOD($F194,100)/60)-IF($E194&lt;1,$E194*24,INT($E194/100)+MOD($E194,100)/60),2))</f>
        <v/>
      </c>
      <c r="H194" s="12"/>
      <c r="I194" s="17" t="str">
        <f aca="false">IF($A194="","",YEAR($A194))</f>
        <v/>
      </c>
      <c r="J194" s="17" t="str">
        <f aca="false">IF($A194="","",MONTH($A194))</f>
        <v/>
      </c>
      <c r="K194" s="17" t="str">
        <f aca="false">IF($A194="","",IF(AND($A194&gt;=사용안내!$C$18,$A194&lt;=사용안내!$C$19),"1학기",IF(AND($A194&gt;=사용안내!$C$20,$A194&lt;=사용안내!$C$21),"2학기","기간외")))</f>
        <v/>
      </c>
    </row>
    <row r="195" customFormat="false" ht="15" hidden="false" customHeight="true" outlineLevel="0" collapsed="false">
      <c r="A195" s="16"/>
      <c r="B195" s="12"/>
      <c r="C195" s="17" t="str">
        <f aca="false">IF($B195="","",IFERROR(INDEX(학생명부!$B$3:$B$83,MATCH($B195,학생명부!$A$3:$A$83,0)),"학번없음"))</f>
        <v/>
      </c>
      <c r="D195" s="12"/>
      <c r="E195" s="18"/>
      <c r="F195" s="18"/>
      <c r="G195" s="19" t="str">
        <f aca="false">IF(OR($E195="",$F195=""),"",ROUND(IF($F195&lt;1,$F195*24,INT($F195/100)+MOD($F195,100)/60)-IF($E195&lt;1,$E195*24,INT($E195/100)+MOD($E195,100)/60),2))</f>
        <v/>
      </c>
      <c r="H195" s="12"/>
      <c r="I195" s="17" t="str">
        <f aca="false">IF($A195="","",YEAR($A195))</f>
        <v/>
      </c>
      <c r="J195" s="17" t="str">
        <f aca="false">IF($A195="","",MONTH($A195))</f>
        <v/>
      </c>
      <c r="K195" s="17" t="str">
        <f aca="false">IF($A195="","",IF(AND($A195&gt;=사용안내!$C$18,$A195&lt;=사용안내!$C$19),"1학기",IF(AND($A195&gt;=사용안내!$C$20,$A195&lt;=사용안내!$C$21),"2학기","기간외")))</f>
        <v/>
      </c>
    </row>
    <row r="196" customFormat="false" ht="15" hidden="false" customHeight="true" outlineLevel="0" collapsed="false">
      <c r="A196" s="16"/>
      <c r="B196" s="12"/>
      <c r="C196" s="17" t="str">
        <f aca="false">IF($B196="","",IFERROR(INDEX(학생명부!$B$3:$B$83,MATCH($B196,학생명부!$A$3:$A$83,0)),"학번없음"))</f>
        <v/>
      </c>
      <c r="D196" s="12"/>
      <c r="E196" s="18"/>
      <c r="F196" s="18"/>
      <c r="G196" s="19" t="str">
        <f aca="false">IF(OR($E196="",$F196=""),"",ROUND(IF($F196&lt;1,$F196*24,INT($F196/100)+MOD($F196,100)/60)-IF($E196&lt;1,$E196*24,INT($E196/100)+MOD($E196,100)/60),2))</f>
        <v/>
      </c>
      <c r="H196" s="12"/>
      <c r="I196" s="17" t="str">
        <f aca="false">IF($A196="","",YEAR($A196))</f>
        <v/>
      </c>
      <c r="J196" s="17" t="str">
        <f aca="false">IF($A196="","",MONTH($A196))</f>
        <v/>
      </c>
      <c r="K196" s="17" t="str">
        <f aca="false">IF($A196="","",IF(AND($A196&gt;=사용안내!$C$18,$A196&lt;=사용안내!$C$19),"1학기",IF(AND($A196&gt;=사용안내!$C$20,$A196&lt;=사용안내!$C$21),"2학기","기간외")))</f>
        <v/>
      </c>
    </row>
    <row r="197" customFormat="false" ht="15" hidden="false" customHeight="true" outlineLevel="0" collapsed="false">
      <c r="A197" s="16"/>
      <c r="B197" s="12"/>
      <c r="C197" s="17" t="str">
        <f aca="false">IF($B197="","",IFERROR(INDEX(학생명부!$B$3:$B$83,MATCH($B197,학생명부!$A$3:$A$83,0)),"학번없음"))</f>
        <v/>
      </c>
      <c r="D197" s="12"/>
      <c r="E197" s="18"/>
      <c r="F197" s="18"/>
      <c r="G197" s="19" t="str">
        <f aca="false">IF(OR($E197="",$F197=""),"",ROUND(IF($F197&lt;1,$F197*24,INT($F197/100)+MOD($F197,100)/60)-IF($E197&lt;1,$E197*24,INT($E197/100)+MOD($E197,100)/60),2))</f>
        <v/>
      </c>
      <c r="H197" s="12"/>
      <c r="I197" s="17" t="str">
        <f aca="false">IF($A197="","",YEAR($A197))</f>
        <v/>
      </c>
      <c r="J197" s="17" t="str">
        <f aca="false">IF($A197="","",MONTH($A197))</f>
        <v/>
      </c>
      <c r="K197" s="17" t="str">
        <f aca="false">IF($A197="","",IF(AND($A197&gt;=사용안내!$C$18,$A197&lt;=사용안내!$C$19),"1학기",IF(AND($A197&gt;=사용안내!$C$20,$A197&lt;=사용안내!$C$21),"2학기","기간외")))</f>
        <v/>
      </c>
    </row>
    <row r="198" customFormat="false" ht="15" hidden="false" customHeight="true" outlineLevel="0" collapsed="false">
      <c r="A198" s="16"/>
      <c r="B198" s="12"/>
      <c r="C198" s="17" t="str">
        <f aca="false">IF($B198="","",IFERROR(INDEX(학생명부!$B$3:$B$83,MATCH($B198,학생명부!$A$3:$A$83,0)),"학번없음"))</f>
        <v/>
      </c>
      <c r="D198" s="12"/>
      <c r="E198" s="18"/>
      <c r="F198" s="18"/>
      <c r="G198" s="19" t="str">
        <f aca="false">IF(OR($E198="",$F198=""),"",ROUND(IF($F198&lt;1,$F198*24,INT($F198/100)+MOD($F198,100)/60)-IF($E198&lt;1,$E198*24,INT($E198/100)+MOD($E198,100)/60),2))</f>
        <v/>
      </c>
      <c r="H198" s="12"/>
      <c r="I198" s="17" t="str">
        <f aca="false">IF($A198="","",YEAR($A198))</f>
        <v/>
      </c>
      <c r="J198" s="17" t="str">
        <f aca="false">IF($A198="","",MONTH($A198))</f>
        <v/>
      </c>
      <c r="K198" s="17" t="str">
        <f aca="false">IF($A198="","",IF(AND($A198&gt;=사용안내!$C$18,$A198&lt;=사용안내!$C$19),"1학기",IF(AND($A198&gt;=사용안내!$C$20,$A198&lt;=사용안내!$C$21),"2학기","기간외")))</f>
        <v/>
      </c>
    </row>
    <row r="199" customFormat="false" ht="15" hidden="false" customHeight="true" outlineLevel="0" collapsed="false">
      <c r="A199" s="16"/>
      <c r="B199" s="12"/>
      <c r="C199" s="17" t="str">
        <f aca="false">IF($B199="","",IFERROR(INDEX(학생명부!$B$3:$B$83,MATCH($B199,학생명부!$A$3:$A$83,0)),"학번없음"))</f>
        <v/>
      </c>
      <c r="D199" s="12"/>
      <c r="E199" s="18"/>
      <c r="F199" s="18"/>
      <c r="G199" s="19" t="str">
        <f aca="false">IF(OR($E199="",$F199=""),"",ROUND(IF($F199&lt;1,$F199*24,INT($F199/100)+MOD($F199,100)/60)-IF($E199&lt;1,$E199*24,INT($E199/100)+MOD($E199,100)/60),2))</f>
        <v/>
      </c>
      <c r="H199" s="12"/>
      <c r="I199" s="17" t="str">
        <f aca="false">IF($A199="","",YEAR($A199))</f>
        <v/>
      </c>
      <c r="J199" s="17" t="str">
        <f aca="false">IF($A199="","",MONTH($A199))</f>
        <v/>
      </c>
      <c r="K199" s="17" t="str">
        <f aca="false">IF($A199="","",IF(AND($A199&gt;=사용안내!$C$18,$A199&lt;=사용안내!$C$19),"1학기",IF(AND($A199&gt;=사용안내!$C$20,$A199&lt;=사용안내!$C$21),"2학기","기간외")))</f>
        <v/>
      </c>
    </row>
    <row r="200" customFormat="false" ht="15" hidden="false" customHeight="true" outlineLevel="0" collapsed="false">
      <c r="A200" s="16"/>
      <c r="B200" s="12"/>
      <c r="C200" s="17" t="str">
        <f aca="false">IF($B200="","",IFERROR(INDEX(학생명부!$B$3:$B$83,MATCH($B200,학생명부!$A$3:$A$83,0)),"학번없음"))</f>
        <v/>
      </c>
      <c r="D200" s="12"/>
      <c r="E200" s="18"/>
      <c r="F200" s="18"/>
      <c r="G200" s="19" t="str">
        <f aca="false">IF(OR($E200="",$F200=""),"",ROUND(IF($F200&lt;1,$F200*24,INT($F200/100)+MOD($F200,100)/60)-IF($E200&lt;1,$E200*24,INT($E200/100)+MOD($E200,100)/60),2))</f>
        <v/>
      </c>
      <c r="H200" s="12"/>
      <c r="I200" s="17" t="str">
        <f aca="false">IF($A200="","",YEAR($A200))</f>
        <v/>
      </c>
      <c r="J200" s="17" t="str">
        <f aca="false">IF($A200="","",MONTH($A200))</f>
        <v/>
      </c>
      <c r="K200" s="17" t="str">
        <f aca="false">IF($A200="","",IF(AND($A200&gt;=사용안내!$C$18,$A200&lt;=사용안내!$C$19),"1학기",IF(AND($A200&gt;=사용안내!$C$20,$A200&lt;=사용안내!$C$21),"2학기","기간외")))</f>
        <v/>
      </c>
    </row>
    <row r="201" customFormat="false" ht="15" hidden="false" customHeight="true" outlineLevel="0" collapsed="false">
      <c r="A201" s="16"/>
      <c r="B201" s="12"/>
      <c r="C201" s="17" t="str">
        <f aca="false">IF($B201="","",IFERROR(INDEX(학생명부!$B$3:$B$83,MATCH($B201,학생명부!$A$3:$A$83,0)),"학번없음"))</f>
        <v/>
      </c>
      <c r="D201" s="12"/>
      <c r="E201" s="18"/>
      <c r="F201" s="18"/>
      <c r="G201" s="19" t="str">
        <f aca="false">IF(OR($E201="",$F201=""),"",ROUND(IF($F201&lt;1,$F201*24,INT($F201/100)+MOD($F201,100)/60)-IF($E201&lt;1,$E201*24,INT($E201/100)+MOD($E201,100)/60),2))</f>
        <v/>
      </c>
      <c r="H201" s="12"/>
      <c r="I201" s="17" t="str">
        <f aca="false">IF($A201="","",YEAR($A201))</f>
        <v/>
      </c>
      <c r="J201" s="17" t="str">
        <f aca="false">IF($A201="","",MONTH($A201))</f>
        <v/>
      </c>
      <c r="K201" s="17" t="str">
        <f aca="false">IF($A201="","",IF(AND($A201&gt;=사용안내!$C$18,$A201&lt;=사용안내!$C$19),"1학기",IF(AND($A201&gt;=사용안내!$C$20,$A201&lt;=사용안내!$C$21),"2학기","기간외")))</f>
        <v/>
      </c>
    </row>
    <row r="202" customFormat="false" ht="15" hidden="false" customHeight="true" outlineLevel="0" collapsed="false">
      <c r="A202" s="16"/>
      <c r="B202" s="12"/>
      <c r="C202" s="17" t="str">
        <f aca="false">IF($B202="","",IFERROR(INDEX(학생명부!$B$3:$B$83,MATCH($B202,학생명부!$A$3:$A$83,0)),"학번없음"))</f>
        <v/>
      </c>
      <c r="D202" s="12"/>
      <c r="E202" s="18"/>
      <c r="F202" s="18"/>
      <c r="G202" s="19" t="str">
        <f aca="false">IF(OR($E202="",$F202=""),"",ROUND(IF($F202&lt;1,$F202*24,INT($F202/100)+MOD($F202,100)/60)-IF($E202&lt;1,$E202*24,INT($E202/100)+MOD($E202,100)/60),2))</f>
        <v/>
      </c>
      <c r="H202" s="12"/>
      <c r="I202" s="17" t="str">
        <f aca="false">IF($A202="","",YEAR($A202))</f>
        <v/>
      </c>
      <c r="J202" s="17" t="str">
        <f aca="false">IF($A202="","",MONTH($A202))</f>
        <v/>
      </c>
      <c r="K202" s="17" t="str">
        <f aca="false">IF($A202="","",IF(AND($A202&gt;=사용안내!$C$18,$A202&lt;=사용안내!$C$19),"1학기",IF(AND($A202&gt;=사용안내!$C$20,$A202&lt;=사용안내!$C$21),"2학기","기간외")))</f>
        <v/>
      </c>
    </row>
    <row r="203" customFormat="false" ht="15" hidden="false" customHeight="true" outlineLevel="0" collapsed="false">
      <c r="A203" s="16"/>
      <c r="B203" s="12"/>
      <c r="C203" s="17" t="str">
        <f aca="false">IF($B203="","",IFERROR(INDEX(학생명부!$B$3:$B$83,MATCH($B203,학생명부!$A$3:$A$83,0)),"학번없음"))</f>
        <v/>
      </c>
      <c r="D203" s="12"/>
      <c r="E203" s="18"/>
      <c r="F203" s="18"/>
      <c r="G203" s="19" t="str">
        <f aca="false">IF(OR($E203="",$F203=""),"",ROUND(IF($F203&lt;1,$F203*24,INT($F203/100)+MOD($F203,100)/60)-IF($E203&lt;1,$E203*24,INT($E203/100)+MOD($E203,100)/60),2))</f>
        <v/>
      </c>
      <c r="H203" s="12"/>
      <c r="I203" s="17" t="str">
        <f aca="false">IF($A203="","",YEAR($A203))</f>
        <v/>
      </c>
      <c r="J203" s="17" t="str">
        <f aca="false">IF($A203="","",MONTH($A203))</f>
        <v/>
      </c>
      <c r="K203" s="17" t="str">
        <f aca="false">IF($A203="","",IF(AND($A203&gt;=사용안내!$C$18,$A203&lt;=사용안내!$C$19),"1학기",IF(AND($A203&gt;=사용안내!$C$20,$A203&lt;=사용안내!$C$21),"2학기","기간외")))</f>
        <v/>
      </c>
    </row>
    <row r="204" customFormat="false" ht="15" hidden="false" customHeight="true" outlineLevel="0" collapsed="false">
      <c r="A204" s="16"/>
      <c r="B204" s="12"/>
      <c r="C204" s="17" t="str">
        <f aca="false">IF($B204="","",IFERROR(INDEX(학생명부!$B$3:$B$83,MATCH($B204,학생명부!$A$3:$A$83,0)),"학번없음"))</f>
        <v/>
      </c>
      <c r="D204" s="12"/>
      <c r="E204" s="18"/>
      <c r="F204" s="18"/>
      <c r="G204" s="19" t="str">
        <f aca="false">IF(OR($E204="",$F204=""),"",ROUND(IF($F204&lt;1,$F204*24,INT($F204/100)+MOD($F204,100)/60)-IF($E204&lt;1,$E204*24,INT($E204/100)+MOD($E204,100)/60),2))</f>
        <v/>
      </c>
      <c r="H204" s="12"/>
      <c r="I204" s="17" t="str">
        <f aca="false">IF($A204="","",YEAR($A204))</f>
        <v/>
      </c>
      <c r="J204" s="17" t="str">
        <f aca="false">IF($A204="","",MONTH($A204))</f>
        <v/>
      </c>
      <c r="K204" s="17" t="str">
        <f aca="false">IF($A204="","",IF(AND($A204&gt;=사용안내!$C$18,$A204&lt;=사용안내!$C$19),"1학기",IF(AND($A204&gt;=사용안내!$C$20,$A204&lt;=사용안내!$C$21),"2학기","기간외")))</f>
        <v/>
      </c>
    </row>
    <row r="205" customFormat="false" ht="15" hidden="false" customHeight="true" outlineLevel="0" collapsed="false">
      <c r="A205" s="16"/>
      <c r="B205" s="12"/>
      <c r="C205" s="17" t="str">
        <f aca="false">IF($B205="","",IFERROR(INDEX(학생명부!$B$3:$B$83,MATCH($B205,학생명부!$A$3:$A$83,0)),"학번없음"))</f>
        <v/>
      </c>
      <c r="D205" s="12"/>
      <c r="E205" s="18"/>
      <c r="F205" s="18"/>
      <c r="G205" s="19" t="str">
        <f aca="false">IF(OR($E205="",$F205=""),"",ROUND(IF($F205&lt;1,$F205*24,INT($F205/100)+MOD($F205,100)/60)-IF($E205&lt;1,$E205*24,INT($E205/100)+MOD($E205,100)/60),2))</f>
        <v/>
      </c>
      <c r="H205" s="12"/>
      <c r="I205" s="17" t="str">
        <f aca="false">IF($A205="","",YEAR($A205))</f>
        <v/>
      </c>
      <c r="J205" s="17" t="str">
        <f aca="false">IF($A205="","",MONTH($A205))</f>
        <v/>
      </c>
      <c r="K205" s="17" t="str">
        <f aca="false">IF($A205="","",IF(AND($A205&gt;=사용안내!$C$18,$A205&lt;=사용안내!$C$19),"1학기",IF(AND($A205&gt;=사용안내!$C$20,$A205&lt;=사용안내!$C$21),"2학기","기간외")))</f>
        <v/>
      </c>
    </row>
    <row r="206" customFormat="false" ht="15" hidden="false" customHeight="true" outlineLevel="0" collapsed="false">
      <c r="A206" s="16"/>
      <c r="B206" s="12"/>
      <c r="C206" s="17" t="str">
        <f aca="false">IF($B206="","",IFERROR(INDEX(학생명부!$B$3:$B$83,MATCH($B206,학생명부!$A$3:$A$83,0)),"학번없음"))</f>
        <v/>
      </c>
      <c r="D206" s="12"/>
      <c r="E206" s="18"/>
      <c r="F206" s="18"/>
      <c r="G206" s="19" t="str">
        <f aca="false">IF(OR($E206="",$F206=""),"",ROUND(IF($F206&lt;1,$F206*24,INT($F206/100)+MOD($F206,100)/60)-IF($E206&lt;1,$E206*24,INT($E206/100)+MOD($E206,100)/60),2))</f>
        <v/>
      </c>
      <c r="H206" s="12"/>
      <c r="I206" s="17" t="str">
        <f aca="false">IF($A206="","",YEAR($A206))</f>
        <v/>
      </c>
      <c r="J206" s="17" t="str">
        <f aca="false">IF($A206="","",MONTH($A206))</f>
        <v/>
      </c>
      <c r="K206" s="17" t="str">
        <f aca="false">IF($A206="","",IF(AND($A206&gt;=사용안내!$C$18,$A206&lt;=사용안내!$C$19),"1학기",IF(AND($A206&gt;=사용안내!$C$20,$A206&lt;=사용안내!$C$21),"2학기","기간외")))</f>
        <v/>
      </c>
    </row>
    <row r="207" customFormat="false" ht="15" hidden="false" customHeight="true" outlineLevel="0" collapsed="false">
      <c r="A207" s="16"/>
      <c r="B207" s="12"/>
      <c r="C207" s="17" t="str">
        <f aca="false">IF($B207="","",IFERROR(INDEX(학생명부!$B$3:$B$83,MATCH($B207,학생명부!$A$3:$A$83,0)),"학번없음"))</f>
        <v/>
      </c>
      <c r="D207" s="12"/>
      <c r="E207" s="18"/>
      <c r="F207" s="18"/>
      <c r="G207" s="19" t="str">
        <f aca="false">IF(OR($E207="",$F207=""),"",ROUND(IF($F207&lt;1,$F207*24,INT($F207/100)+MOD($F207,100)/60)-IF($E207&lt;1,$E207*24,INT($E207/100)+MOD($E207,100)/60),2))</f>
        <v/>
      </c>
      <c r="H207" s="12"/>
      <c r="I207" s="17" t="str">
        <f aca="false">IF($A207="","",YEAR($A207))</f>
        <v/>
      </c>
      <c r="J207" s="17" t="str">
        <f aca="false">IF($A207="","",MONTH($A207))</f>
        <v/>
      </c>
      <c r="K207" s="17" t="str">
        <f aca="false">IF($A207="","",IF(AND($A207&gt;=사용안내!$C$18,$A207&lt;=사용안내!$C$19),"1학기",IF(AND($A207&gt;=사용안내!$C$20,$A207&lt;=사용안내!$C$21),"2학기","기간외")))</f>
        <v/>
      </c>
    </row>
    <row r="208" customFormat="false" ht="15" hidden="false" customHeight="true" outlineLevel="0" collapsed="false">
      <c r="A208" s="16"/>
      <c r="B208" s="12"/>
      <c r="C208" s="17" t="str">
        <f aca="false">IF($B208="","",IFERROR(INDEX(학생명부!$B$3:$B$83,MATCH($B208,학생명부!$A$3:$A$83,0)),"학번없음"))</f>
        <v/>
      </c>
      <c r="D208" s="12"/>
      <c r="E208" s="18"/>
      <c r="F208" s="18"/>
      <c r="G208" s="19" t="str">
        <f aca="false">IF(OR($E208="",$F208=""),"",ROUND(IF($F208&lt;1,$F208*24,INT($F208/100)+MOD($F208,100)/60)-IF($E208&lt;1,$E208*24,INT($E208/100)+MOD($E208,100)/60),2))</f>
        <v/>
      </c>
      <c r="H208" s="12"/>
      <c r="I208" s="17" t="str">
        <f aca="false">IF($A208="","",YEAR($A208))</f>
        <v/>
      </c>
      <c r="J208" s="17" t="str">
        <f aca="false">IF($A208="","",MONTH($A208))</f>
        <v/>
      </c>
      <c r="K208" s="17" t="str">
        <f aca="false">IF($A208="","",IF(AND($A208&gt;=사용안내!$C$18,$A208&lt;=사용안내!$C$19),"1학기",IF(AND($A208&gt;=사용안내!$C$20,$A208&lt;=사용안내!$C$21),"2학기","기간외")))</f>
        <v/>
      </c>
    </row>
    <row r="209" customFormat="false" ht="15" hidden="false" customHeight="true" outlineLevel="0" collapsed="false">
      <c r="A209" s="16"/>
      <c r="B209" s="12"/>
      <c r="C209" s="17" t="str">
        <f aca="false">IF($B209="","",IFERROR(INDEX(학생명부!$B$3:$B$83,MATCH($B209,학생명부!$A$3:$A$83,0)),"학번없음"))</f>
        <v/>
      </c>
      <c r="D209" s="12"/>
      <c r="E209" s="18"/>
      <c r="F209" s="18"/>
      <c r="G209" s="19" t="str">
        <f aca="false">IF(OR($E209="",$F209=""),"",ROUND(IF($F209&lt;1,$F209*24,INT($F209/100)+MOD($F209,100)/60)-IF($E209&lt;1,$E209*24,INT($E209/100)+MOD($E209,100)/60),2))</f>
        <v/>
      </c>
      <c r="H209" s="12"/>
      <c r="I209" s="17" t="str">
        <f aca="false">IF($A209="","",YEAR($A209))</f>
        <v/>
      </c>
      <c r="J209" s="17" t="str">
        <f aca="false">IF($A209="","",MONTH($A209))</f>
        <v/>
      </c>
      <c r="K209" s="17" t="str">
        <f aca="false">IF($A209="","",IF(AND($A209&gt;=사용안내!$C$18,$A209&lt;=사용안내!$C$19),"1학기",IF(AND($A209&gt;=사용안내!$C$20,$A209&lt;=사용안내!$C$21),"2학기","기간외")))</f>
        <v/>
      </c>
    </row>
    <row r="210" customFormat="false" ht="15" hidden="false" customHeight="true" outlineLevel="0" collapsed="false">
      <c r="A210" s="16"/>
      <c r="B210" s="12"/>
      <c r="C210" s="17" t="str">
        <f aca="false">IF($B210="","",IFERROR(INDEX(학생명부!$B$3:$B$83,MATCH($B210,학생명부!$A$3:$A$83,0)),"학번없음"))</f>
        <v/>
      </c>
      <c r="D210" s="12"/>
      <c r="E210" s="18"/>
      <c r="F210" s="18"/>
      <c r="G210" s="19" t="str">
        <f aca="false">IF(OR($E210="",$F210=""),"",ROUND(IF($F210&lt;1,$F210*24,INT($F210/100)+MOD($F210,100)/60)-IF($E210&lt;1,$E210*24,INT($E210/100)+MOD($E210,100)/60),2))</f>
        <v/>
      </c>
      <c r="H210" s="12"/>
      <c r="I210" s="17" t="str">
        <f aca="false">IF($A210="","",YEAR($A210))</f>
        <v/>
      </c>
      <c r="J210" s="17" t="str">
        <f aca="false">IF($A210="","",MONTH($A210))</f>
        <v/>
      </c>
      <c r="K210" s="17" t="str">
        <f aca="false">IF($A210="","",IF(AND($A210&gt;=사용안내!$C$18,$A210&lt;=사용안내!$C$19),"1학기",IF(AND($A210&gt;=사용안내!$C$20,$A210&lt;=사용안내!$C$21),"2학기","기간외")))</f>
        <v/>
      </c>
    </row>
    <row r="211" customFormat="false" ht="15" hidden="false" customHeight="true" outlineLevel="0" collapsed="false">
      <c r="A211" s="16"/>
      <c r="B211" s="12"/>
      <c r="C211" s="17" t="str">
        <f aca="false">IF($B211="","",IFERROR(INDEX(학생명부!$B$3:$B$83,MATCH($B211,학생명부!$A$3:$A$83,0)),"학번없음"))</f>
        <v/>
      </c>
      <c r="D211" s="12"/>
      <c r="E211" s="18"/>
      <c r="F211" s="18"/>
      <c r="G211" s="19" t="str">
        <f aca="false">IF(OR($E211="",$F211=""),"",ROUND(IF($F211&lt;1,$F211*24,INT($F211/100)+MOD($F211,100)/60)-IF($E211&lt;1,$E211*24,INT($E211/100)+MOD($E211,100)/60),2))</f>
        <v/>
      </c>
      <c r="H211" s="12"/>
      <c r="I211" s="17" t="str">
        <f aca="false">IF($A211="","",YEAR($A211))</f>
        <v/>
      </c>
      <c r="J211" s="17" t="str">
        <f aca="false">IF($A211="","",MONTH($A211))</f>
        <v/>
      </c>
      <c r="K211" s="17" t="str">
        <f aca="false">IF($A211="","",IF(AND($A211&gt;=사용안내!$C$18,$A211&lt;=사용안내!$C$19),"1학기",IF(AND($A211&gt;=사용안내!$C$20,$A211&lt;=사용안내!$C$21),"2학기","기간외")))</f>
        <v/>
      </c>
    </row>
    <row r="212" customFormat="false" ht="15" hidden="false" customHeight="true" outlineLevel="0" collapsed="false">
      <c r="A212" s="16"/>
      <c r="B212" s="12"/>
      <c r="C212" s="17" t="str">
        <f aca="false">IF($B212="","",IFERROR(INDEX(학생명부!$B$3:$B$83,MATCH($B212,학생명부!$A$3:$A$83,0)),"학번없음"))</f>
        <v/>
      </c>
      <c r="D212" s="12"/>
      <c r="E212" s="18"/>
      <c r="F212" s="18"/>
      <c r="G212" s="19" t="str">
        <f aca="false">IF(OR($E212="",$F212=""),"",ROUND(IF($F212&lt;1,$F212*24,INT($F212/100)+MOD($F212,100)/60)-IF($E212&lt;1,$E212*24,INT($E212/100)+MOD($E212,100)/60),2))</f>
        <v/>
      </c>
      <c r="H212" s="12"/>
      <c r="I212" s="17" t="str">
        <f aca="false">IF($A212="","",YEAR($A212))</f>
        <v/>
      </c>
      <c r="J212" s="17" t="str">
        <f aca="false">IF($A212="","",MONTH($A212))</f>
        <v/>
      </c>
      <c r="K212" s="17" t="str">
        <f aca="false">IF($A212="","",IF(AND($A212&gt;=사용안내!$C$18,$A212&lt;=사용안내!$C$19),"1학기",IF(AND($A212&gt;=사용안내!$C$20,$A212&lt;=사용안내!$C$21),"2학기","기간외")))</f>
        <v/>
      </c>
    </row>
    <row r="213" customFormat="false" ht="15" hidden="false" customHeight="true" outlineLevel="0" collapsed="false">
      <c r="A213" s="16"/>
      <c r="B213" s="12"/>
      <c r="C213" s="17" t="str">
        <f aca="false">IF($B213="","",IFERROR(INDEX(학생명부!$B$3:$B$83,MATCH($B213,학생명부!$A$3:$A$83,0)),"학번없음"))</f>
        <v/>
      </c>
      <c r="D213" s="12"/>
      <c r="E213" s="18"/>
      <c r="F213" s="18"/>
      <c r="G213" s="19" t="str">
        <f aca="false">IF(OR($E213="",$F213=""),"",ROUND(IF($F213&lt;1,$F213*24,INT($F213/100)+MOD($F213,100)/60)-IF($E213&lt;1,$E213*24,INT($E213/100)+MOD($E213,100)/60),2))</f>
        <v/>
      </c>
      <c r="H213" s="12"/>
      <c r="I213" s="17" t="str">
        <f aca="false">IF($A213="","",YEAR($A213))</f>
        <v/>
      </c>
      <c r="J213" s="17" t="str">
        <f aca="false">IF($A213="","",MONTH($A213))</f>
        <v/>
      </c>
      <c r="K213" s="17" t="str">
        <f aca="false">IF($A213="","",IF(AND($A213&gt;=사용안내!$C$18,$A213&lt;=사용안내!$C$19),"1학기",IF(AND($A213&gt;=사용안내!$C$20,$A213&lt;=사용안내!$C$21),"2학기","기간외")))</f>
        <v/>
      </c>
    </row>
    <row r="214" customFormat="false" ht="15" hidden="false" customHeight="true" outlineLevel="0" collapsed="false">
      <c r="A214" s="16"/>
      <c r="B214" s="12"/>
      <c r="C214" s="17" t="str">
        <f aca="false">IF($B214="","",IFERROR(INDEX(학생명부!$B$3:$B$83,MATCH($B214,학생명부!$A$3:$A$83,0)),"학번없음"))</f>
        <v/>
      </c>
      <c r="D214" s="12"/>
      <c r="E214" s="18"/>
      <c r="F214" s="18"/>
      <c r="G214" s="19" t="str">
        <f aca="false">IF(OR($E214="",$F214=""),"",ROUND(IF($F214&lt;1,$F214*24,INT($F214/100)+MOD($F214,100)/60)-IF($E214&lt;1,$E214*24,INT($E214/100)+MOD($E214,100)/60),2))</f>
        <v/>
      </c>
      <c r="H214" s="12"/>
      <c r="I214" s="17" t="str">
        <f aca="false">IF($A214="","",YEAR($A214))</f>
        <v/>
      </c>
      <c r="J214" s="17" t="str">
        <f aca="false">IF($A214="","",MONTH($A214))</f>
        <v/>
      </c>
      <c r="K214" s="17" t="str">
        <f aca="false">IF($A214="","",IF(AND($A214&gt;=사용안내!$C$18,$A214&lt;=사용안내!$C$19),"1학기",IF(AND($A214&gt;=사용안내!$C$20,$A214&lt;=사용안내!$C$21),"2학기","기간외")))</f>
        <v/>
      </c>
    </row>
    <row r="215" customFormat="false" ht="15" hidden="false" customHeight="true" outlineLevel="0" collapsed="false">
      <c r="A215" s="16"/>
      <c r="B215" s="12"/>
      <c r="C215" s="17" t="str">
        <f aca="false">IF($B215="","",IFERROR(INDEX(학생명부!$B$3:$B$83,MATCH($B215,학생명부!$A$3:$A$83,0)),"학번없음"))</f>
        <v/>
      </c>
      <c r="D215" s="12"/>
      <c r="E215" s="18"/>
      <c r="F215" s="18"/>
      <c r="G215" s="19" t="str">
        <f aca="false">IF(OR($E215="",$F215=""),"",ROUND(IF($F215&lt;1,$F215*24,INT($F215/100)+MOD($F215,100)/60)-IF($E215&lt;1,$E215*24,INT($E215/100)+MOD($E215,100)/60),2))</f>
        <v/>
      </c>
      <c r="H215" s="12"/>
      <c r="I215" s="17" t="str">
        <f aca="false">IF($A215="","",YEAR($A215))</f>
        <v/>
      </c>
      <c r="J215" s="17" t="str">
        <f aca="false">IF($A215="","",MONTH($A215))</f>
        <v/>
      </c>
      <c r="K215" s="17" t="str">
        <f aca="false">IF($A215="","",IF(AND($A215&gt;=사용안내!$C$18,$A215&lt;=사용안내!$C$19),"1학기",IF(AND($A215&gt;=사용안내!$C$20,$A215&lt;=사용안내!$C$21),"2학기","기간외")))</f>
        <v/>
      </c>
    </row>
    <row r="216" customFormat="false" ht="15" hidden="false" customHeight="true" outlineLevel="0" collapsed="false">
      <c r="A216" s="16"/>
      <c r="B216" s="12"/>
      <c r="C216" s="17" t="str">
        <f aca="false">IF($B216="","",IFERROR(INDEX(학생명부!$B$3:$B$83,MATCH($B216,학생명부!$A$3:$A$83,0)),"학번없음"))</f>
        <v/>
      </c>
      <c r="D216" s="12"/>
      <c r="E216" s="18"/>
      <c r="F216" s="18"/>
      <c r="G216" s="19" t="str">
        <f aca="false">IF(OR($E216="",$F216=""),"",ROUND(IF($F216&lt;1,$F216*24,INT($F216/100)+MOD($F216,100)/60)-IF($E216&lt;1,$E216*24,INT($E216/100)+MOD($E216,100)/60),2))</f>
        <v/>
      </c>
      <c r="H216" s="12"/>
      <c r="I216" s="17" t="str">
        <f aca="false">IF($A216="","",YEAR($A216))</f>
        <v/>
      </c>
      <c r="J216" s="17" t="str">
        <f aca="false">IF($A216="","",MONTH($A216))</f>
        <v/>
      </c>
      <c r="K216" s="17" t="str">
        <f aca="false">IF($A216="","",IF(AND($A216&gt;=사용안내!$C$18,$A216&lt;=사용안내!$C$19),"1학기",IF(AND($A216&gt;=사용안내!$C$20,$A216&lt;=사용안내!$C$21),"2학기","기간외")))</f>
        <v/>
      </c>
    </row>
    <row r="217" customFormat="false" ht="15" hidden="false" customHeight="true" outlineLevel="0" collapsed="false">
      <c r="A217" s="16"/>
      <c r="B217" s="12"/>
      <c r="C217" s="17" t="str">
        <f aca="false">IF($B217="","",IFERROR(INDEX(학생명부!$B$3:$B$83,MATCH($B217,학생명부!$A$3:$A$83,0)),"학번없음"))</f>
        <v/>
      </c>
      <c r="D217" s="12"/>
      <c r="E217" s="18"/>
      <c r="F217" s="18"/>
      <c r="G217" s="19" t="str">
        <f aca="false">IF(OR($E217="",$F217=""),"",ROUND(IF($F217&lt;1,$F217*24,INT($F217/100)+MOD($F217,100)/60)-IF($E217&lt;1,$E217*24,INT($E217/100)+MOD($E217,100)/60),2))</f>
        <v/>
      </c>
      <c r="H217" s="12"/>
      <c r="I217" s="17" t="str">
        <f aca="false">IF($A217="","",YEAR($A217))</f>
        <v/>
      </c>
      <c r="J217" s="17" t="str">
        <f aca="false">IF($A217="","",MONTH($A217))</f>
        <v/>
      </c>
      <c r="K217" s="17" t="str">
        <f aca="false">IF($A217="","",IF(AND($A217&gt;=사용안내!$C$18,$A217&lt;=사용안내!$C$19),"1학기",IF(AND($A217&gt;=사용안내!$C$20,$A217&lt;=사용안내!$C$21),"2학기","기간외")))</f>
        <v/>
      </c>
    </row>
    <row r="218" customFormat="false" ht="15" hidden="false" customHeight="true" outlineLevel="0" collapsed="false">
      <c r="A218" s="16"/>
      <c r="B218" s="12"/>
      <c r="C218" s="17" t="str">
        <f aca="false">IF($B218="","",IFERROR(INDEX(학생명부!$B$3:$B$83,MATCH($B218,학생명부!$A$3:$A$83,0)),"학번없음"))</f>
        <v/>
      </c>
      <c r="D218" s="12"/>
      <c r="E218" s="18"/>
      <c r="F218" s="18"/>
      <c r="G218" s="19" t="str">
        <f aca="false">IF(OR($E218="",$F218=""),"",ROUND(IF($F218&lt;1,$F218*24,INT($F218/100)+MOD($F218,100)/60)-IF($E218&lt;1,$E218*24,INT($E218/100)+MOD($E218,100)/60),2))</f>
        <v/>
      </c>
      <c r="H218" s="12"/>
      <c r="I218" s="17" t="str">
        <f aca="false">IF($A218="","",YEAR($A218))</f>
        <v/>
      </c>
      <c r="J218" s="17" t="str">
        <f aca="false">IF($A218="","",MONTH($A218))</f>
        <v/>
      </c>
      <c r="K218" s="17" t="str">
        <f aca="false">IF($A218="","",IF(AND($A218&gt;=사용안내!$C$18,$A218&lt;=사용안내!$C$19),"1학기",IF(AND($A218&gt;=사용안내!$C$20,$A218&lt;=사용안내!$C$21),"2학기","기간외")))</f>
        <v/>
      </c>
    </row>
    <row r="219" customFormat="false" ht="15" hidden="false" customHeight="true" outlineLevel="0" collapsed="false">
      <c r="A219" s="16"/>
      <c r="B219" s="12"/>
      <c r="C219" s="17" t="str">
        <f aca="false">IF($B219="","",IFERROR(INDEX(학생명부!$B$3:$B$83,MATCH($B219,학생명부!$A$3:$A$83,0)),"학번없음"))</f>
        <v/>
      </c>
      <c r="D219" s="12"/>
      <c r="E219" s="18"/>
      <c r="F219" s="18"/>
      <c r="G219" s="19" t="str">
        <f aca="false">IF(OR($E219="",$F219=""),"",ROUND(IF($F219&lt;1,$F219*24,INT($F219/100)+MOD($F219,100)/60)-IF($E219&lt;1,$E219*24,INT($E219/100)+MOD($E219,100)/60),2))</f>
        <v/>
      </c>
      <c r="H219" s="12"/>
      <c r="I219" s="17" t="str">
        <f aca="false">IF($A219="","",YEAR($A219))</f>
        <v/>
      </c>
      <c r="J219" s="17" t="str">
        <f aca="false">IF($A219="","",MONTH($A219))</f>
        <v/>
      </c>
      <c r="K219" s="17" t="str">
        <f aca="false">IF($A219="","",IF(AND($A219&gt;=사용안내!$C$18,$A219&lt;=사용안내!$C$19),"1학기",IF(AND($A219&gt;=사용안내!$C$20,$A219&lt;=사용안내!$C$21),"2학기","기간외")))</f>
        <v/>
      </c>
    </row>
    <row r="220" customFormat="false" ht="15" hidden="false" customHeight="true" outlineLevel="0" collapsed="false">
      <c r="A220" s="16"/>
      <c r="B220" s="12"/>
      <c r="C220" s="17" t="str">
        <f aca="false">IF($B220="","",IFERROR(INDEX(학생명부!$B$3:$B$83,MATCH($B220,학생명부!$A$3:$A$83,0)),"학번없음"))</f>
        <v/>
      </c>
      <c r="D220" s="12"/>
      <c r="E220" s="18"/>
      <c r="F220" s="18"/>
      <c r="G220" s="19" t="str">
        <f aca="false">IF(OR($E220="",$F220=""),"",ROUND(IF($F220&lt;1,$F220*24,INT($F220/100)+MOD($F220,100)/60)-IF($E220&lt;1,$E220*24,INT($E220/100)+MOD($E220,100)/60),2))</f>
        <v/>
      </c>
      <c r="H220" s="12"/>
      <c r="I220" s="17" t="str">
        <f aca="false">IF($A220="","",YEAR($A220))</f>
        <v/>
      </c>
      <c r="J220" s="17" t="str">
        <f aca="false">IF($A220="","",MONTH($A220))</f>
        <v/>
      </c>
      <c r="K220" s="17" t="str">
        <f aca="false">IF($A220="","",IF(AND($A220&gt;=사용안내!$C$18,$A220&lt;=사용안내!$C$19),"1학기",IF(AND($A220&gt;=사용안내!$C$20,$A220&lt;=사용안내!$C$21),"2학기","기간외")))</f>
        <v/>
      </c>
    </row>
    <row r="221" customFormat="false" ht="15" hidden="false" customHeight="true" outlineLevel="0" collapsed="false">
      <c r="A221" s="16"/>
      <c r="B221" s="12"/>
      <c r="C221" s="17" t="str">
        <f aca="false">IF($B221="","",IFERROR(INDEX(학생명부!$B$3:$B$83,MATCH($B221,학생명부!$A$3:$A$83,0)),"학번없음"))</f>
        <v/>
      </c>
      <c r="D221" s="12"/>
      <c r="E221" s="18"/>
      <c r="F221" s="18"/>
      <c r="G221" s="19" t="str">
        <f aca="false">IF(OR($E221="",$F221=""),"",ROUND(IF($F221&lt;1,$F221*24,INT($F221/100)+MOD($F221,100)/60)-IF($E221&lt;1,$E221*24,INT($E221/100)+MOD($E221,100)/60),2))</f>
        <v/>
      </c>
      <c r="H221" s="12"/>
      <c r="I221" s="17" t="str">
        <f aca="false">IF($A221="","",YEAR($A221))</f>
        <v/>
      </c>
      <c r="J221" s="17" t="str">
        <f aca="false">IF($A221="","",MONTH($A221))</f>
        <v/>
      </c>
      <c r="K221" s="17" t="str">
        <f aca="false">IF($A221="","",IF(AND($A221&gt;=사용안내!$C$18,$A221&lt;=사용안내!$C$19),"1학기",IF(AND($A221&gt;=사용안내!$C$20,$A221&lt;=사용안내!$C$21),"2학기","기간외")))</f>
        <v/>
      </c>
    </row>
    <row r="222" customFormat="false" ht="15" hidden="false" customHeight="true" outlineLevel="0" collapsed="false">
      <c r="A222" s="16"/>
      <c r="B222" s="12"/>
      <c r="C222" s="17" t="str">
        <f aca="false">IF($B222="","",IFERROR(INDEX(학생명부!$B$3:$B$83,MATCH($B222,학생명부!$A$3:$A$83,0)),"학번없음"))</f>
        <v/>
      </c>
      <c r="D222" s="12"/>
      <c r="E222" s="18"/>
      <c r="F222" s="18"/>
      <c r="G222" s="19" t="str">
        <f aca="false">IF(OR($E222="",$F222=""),"",ROUND(IF($F222&lt;1,$F222*24,INT($F222/100)+MOD($F222,100)/60)-IF($E222&lt;1,$E222*24,INT($E222/100)+MOD($E222,100)/60),2))</f>
        <v/>
      </c>
      <c r="H222" s="12"/>
      <c r="I222" s="17" t="str">
        <f aca="false">IF($A222="","",YEAR($A222))</f>
        <v/>
      </c>
      <c r="J222" s="17" t="str">
        <f aca="false">IF($A222="","",MONTH($A222))</f>
        <v/>
      </c>
      <c r="K222" s="17" t="str">
        <f aca="false">IF($A222="","",IF(AND($A222&gt;=사용안내!$C$18,$A222&lt;=사용안내!$C$19),"1학기",IF(AND($A222&gt;=사용안내!$C$20,$A222&lt;=사용안내!$C$21),"2학기","기간외")))</f>
        <v/>
      </c>
    </row>
    <row r="223" customFormat="false" ht="15" hidden="false" customHeight="true" outlineLevel="0" collapsed="false">
      <c r="A223" s="16"/>
      <c r="B223" s="12"/>
      <c r="C223" s="17" t="str">
        <f aca="false">IF($B223="","",IFERROR(INDEX(학생명부!$B$3:$B$83,MATCH($B223,학생명부!$A$3:$A$83,0)),"학번없음"))</f>
        <v/>
      </c>
      <c r="D223" s="12"/>
      <c r="E223" s="18"/>
      <c r="F223" s="18"/>
      <c r="G223" s="19" t="str">
        <f aca="false">IF(OR($E223="",$F223=""),"",ROUND(IF($F223&lt;1,$F223*24,INT($F223/100)+MOD($F223,100)/60)-IF($E223&lt;1,$E223*24,INT($E223/100)+MOD($E223,100)/60),2))</f>
        <v/>
      </c>
      <c r="H223" s="12"/>
      <c r="I223" s="17" t="str">
        <f aca="false">IF($A223="","",YEAR($A223))</f>
        <v/>
      </c>
      <c r="J223" s="17" t="str">
        <f aca="false">IF($A223="","",MONTH($A223))</f>
        <v/>
      </c>
      <c r="K223" s="17" t="str">
        <f aca="false">IF($A223="","",IF(AND($A223&gt;=사용안내!$C$18,$A223&lt;=사용안내!$C$19),"1학기",IF(AND($A223&gt;=사용안내!$C$20,$A223&lt;=사용안내!$C$21),"2학기","기간외")))</f>
        <v/>
      </c>
    </row>
    <row r="224" customFormat="false" ht="15" hidden="false" customHeight="true" outlineLevel="0" collapsed="false">
      <c r="A224" s="16"/>
      <c r="B224" s="12"/>
      <c r="C224" s="17" t="str">
        <f aca="false">IF($B224="","",IFERROR(INDEX(학생명부!$B$3:$B$83,MATCH($B224,학생명부!$A$3:$A$83,0)),"학번없음"))</f>
        <v/>
      </c>
      <c r="D224" s="12"/>
      <c r="E224" s="18"/>
      <c r="F224" s="18"/>
      <c r="G224" s="19" t="str">
        <f aca="false">IF(OR($E224="",$F224=""),"",ROUND(IF($F224&lt;1,$F224*24,INT($F224/100)+MOD($F224,100)/60)-IF($E224&lt;1,$E224*24,INT($E224/100)+MOD($E224,100)/60),2))</f>
        <v/>
      </c>
      <c r="H224" s="12"/>
      <c r="I224" s="17" t="str">
        <f aca="false">IF($A224="","",YEAR($A224))</f>
        <v/>
      </c>
      <c r="J224" s="17" t="str">
        <f aca="false">IF($A224="","",MONTH($A224))</f>
        <v/>
      </c>
      <c r="K224" s="17" t="str">
        <f aca="false">IF($A224="","",IF(AND($A224&gt;=사용안내!$C$18,$A224&lt;=사용안내!$C$19),"1학기",IF(AND($A224&gt;=사용안내!$C$20,$A224&lt;=사용안내!$C$21),"2학기","기간외")))</f>
        <v/>
      </c>
    </row>
    <row r="225" customFormat="false" ht="15" hidden="false" customHeight="true" outlineLevel="0" collapsed="false">
      <c r="A225" s="16"/>
      <c r="B225" s="12"/>
      <c r="C225" s="17" t="str">
        <f aca="false">IF($B225="","",IFERROR(INDEX(학생명부!$B$3:$B$83,MATCH($B225,학생명부!$A$3:$A$83,0)),"학번없음"))</f>
        <v/>
      </c>
      <c r="D225" s="12"/>
      <c r="E225" s="18"/>
      <c r="F225" s="18"/>
      <c r="G225" s="19" t="str">
        <f aca="false">IF(OR($E225="",$F225=""),"",ROUND(IF($F225&lt;1,$F225*24,INT($F225/100)+MOD($F225,100)/60)-IF($E225&lt;1,$E225*24,INT($E225/100)+MOD($E225,100)/60),2))</f>
        <v/>
      </c>
      <c r="H225" s="12"/>
      <c r="I225" s="17" t="str">
        <f aca="false">IF($A225="","",YEAR($A225))</f>
        <v/>
      </c>
      <c r="J225" s="17" t="str">
        <f aca="false">IF($A225="","",MONTH($A225))</f>
        <v/>
      </c>
      <c r="K225" s="17" t="str">
        <f aca="false">IF($A225="","",IF(AND($A225&gt;=사용안내!$C$18,$A225&lt;=사용안내!$C$19),"1학기",IF(AND($A225&gt;=사용안내!$C$20,$A225&lt;=사용안내!$C$21),"2학기","기간외")))</f>
        <v/>
      </c>
    </row>
    <row r="226" customFormat="false" ht="15" hidden="false" customHeight="true" outlineLevel="0" collapsed="false">
      <c r="A226" s="16"/>
      <c r="B226" s="12"/>
      <c r="C226" s="17" t="str">
        <f aca="false">IF($B226="","",IFERROR(INDEX(학생명부!$B$3:$B$83,MATCH($B226,학생명부!$A$3:$A$83,0)),"학번없음"))</f>
        <v/>
      </c>
      <c r="D226" s="12"/>
      <c r="E226" s="18"/>
      <c r="F226" s="18"/>
      <c r="G226" s="19" t="str">
        <f aca="false">IF(OR($E226="",$F226=""),"",ROUND(IF($F226&lt;1,$F226*24,INT($F226/100)+MOD($F226,100)/60)-IF($E226&lt;1,$E226*24,INT($E226/100)+MOD($E226,100)/60),2))</f>
        <v/>
      </c>
      <c r="H226" s="12"/>
      <c r="I226" s="17" t="str">
        <f aca="false">IF($A226="","",YEAR($A226))</f>
        <v/>
      </c>
      <c r="J226" s="17" t="str">
        <f aca="false">IF($A226="","",MONTH($A226))</f>
        <v/>
      </c>
      <c r="K226" s="17" t="str">
        <f aca="false">IF($A226="","",IF(AND($A226&gt;=사용안내!$C$18,$A226&lt;=사용안내!$C$19),"1학기",IF(AND($A226&gt;=사용안내!$C$20,$A226&lt;=사용안내!$C$21),"2학기","기간외")))</f>
        <v/>
      </c>
    </row>
    <row r="227" customFormat="false" ht="15" hidden="false" customHeight="true" outlineLevel="0" collapsed="false">
      <c r="A227" s="16"/>
      <c r="B227" s="12"/>
      <c r="C227" s="17" t="str">
        <f aca="false">IF($B227="","",IFERROR(INDEX(학생명부!$B$3:$B$83,MATCH($B227,학생명부!$A$3:$A$83,0)),"학번없음"))</f>
        <v/>
      </c>
      <c r="D227" s="12"/>
      <c r="E227" s="18"/>
      <c r="F227" s="18"/>
      <c r="G227" s="19" t="str">
        <f aca="false">IF(OR($E227="",$F227=""),"",ROUND(IF($F227&lt;1,$F227*24,INT($F227/100)+MOD($F227,100)/60)-IF($E227&lt;1,$E227*24,INT($E227/100)+MOD($E227,100)/60),2))</f>
        <v/>
      </c>
      <c r="H227" s="12"/>
      <c r="I227" s="17" t="str">
        <f aca="false">IF($A227="","",YEAR($A227))</f>
        <v/>
      </c>
      <c r="J227" s="17" t="str">
        <f aca="false">IF($A227="","",MONTH($A227))</f>
        <v/>
      </c>
      <c r="K227" s="17" t="str">
        <f aca="false">IF($A227="","",IF(AND($A227&gt;=사용안내!$C$18,$A227&lt;=사용안내!$C$19),"1학기",IF(AND($A227&gt;=사용안내!$C$20,$A227&lt;=사용안내!$C$21),"2학기","기간외")))</f>
        <v/>
      </c>
    </row>
    <row r="228" customFormat="false" ht="15" hidden="false" customHeight="true" outlineLevel="0" collapsed="false">
      <c r="A228" s="16"/>
      <c r="B228" s="12"/>
      <c r="C228" s="17" t="str">
        <f aca="false">IF($B228="","",IFERROR(INDEX(학생명부!$B$3:$B$83,MATCH($B228,학생명부!$A$3:$A$83,0)),"학번없음"))</f>
        <v/>
      </c>
      <c r="D228" s="12"/>
      <c r="E228" s="18"/>
      <c r="F228" s="18"/>
      <c r="G228" s="19" t="str">
        <f aca="false">IF(OR($E228="",$F228=""),"",ROUND(IF($F228&lt;1,$F228*24,INT($F228/100)+MOD($F228,100)/60)-IF($E228&lt;1,$E228*24,INT($E228/100)+MOD($E228,100)/60),2))</f>
        <v/>
      </c>
      <c r="H228" s="12"/>
      <c r="I228" s="17" t="str">
        <f aca="false">IF($A228="","",YEAR($A228))</f>
        <v/>
      </c>
      <c r="J228" s="17" t="str">
        <f aca="false">IF($A228="","",MONTH($A228))</f>
        <v/>
      </c>
      <c r="K228" s="17" t="str">
        <f aca="false">IF($A228="","",IF(AND($A228&gt;=사용안내!$C$18,$A228&lt;=사용안내!$C$19),"1학기",IF(AND($A228&gt;=사용안내!$C$20,$A228&lt;=사용안내!$C$21),"2학기","기간외")))</f>
        <v/>
      </c>
    </row>
    <row r="229" customFormat="false" ht="15" hidden="false" customHeight="true" outlineLevel="0" collapsed="false">
      <c r="A229" s="16"/>
      <c r="B229" s="12"/>
      <c r="C229" s="17" t="str">
        <f aca="false">IF($B229="","",IFERROR(INDEX(학생명부!$B$3:$B$83,MATCH($B229,학생명부!$A$3:$A$83,0)),"학번없음"))</f>
        <v/>
      </c>
      <c r="D229" s="12"/>
      <c r="E229" s="18"/>
      <c r="F229" s="18"/>
      <c r="G229" s="19" t="str">
        <f aca="false">IF(OR($E229="",$F229=""),"",ROUND(IF($F229&lt;1,$F229*24,INT($F229/100)+MOD($F229,100)/60)-IF($E229&lt;1,$E229*24,INT($E229/100)+MOD($E229,100)/60),2))</f>
        <v/>
      </c>
      <c r="H229" s="12"/>
      <c r="I229" s="17" t="str">
        <f aca="false">IF($A229="","",YEAR($A229))</f>
        <v/>
      </c>
      <c r="J229" s="17" t="str">
        <f aca="false">IF($A229="","",MONTH($A229))</f>
        <v/>
      </c>
      <c r="K229" s="17" t="str">
        <f aca="false">IF($A229="","",IF(AND($A229&gt;=사용안내!$C$18,$A229&lt;=사용안내!$C$19),"1학기",IF(AND($A229&gt;=사용안내!$C$20,$A229&lt;=사용안내!$C$21),"2학기","기간외")))</f>
        <v/>
      </c>
    </row>
    <row r="230" customFormat="false" ht="15" hidden="false" customHeight="true" outlineLevel="0" collapsed="false">
      <c r="A230" s="16"/>
      <c r="B230" s="12"/>
      <c r="C230" s="17" t="str">
        <f aca="false">IF($B230="","",IFERROR(INDEX(학생명부!$B$3:$B$83,MATCH($B230,학생명부!$A$3:$A$83,0)),"학번없음"))</f>
        <v/>
      </c>
      <c r="D230" s="12"/>
      <c r="E230" s="18"/>
      <c r="F230" s="18"/>
      <c r="G230" s="19" t="str">
        <f aca="false">IF(OR($E230="",$F230=""),"",ROUND(IF($F230&lt;1,$F230*24,INT($F230/100)+MOD($F230,100)/60)-IF($E230&lt;1,$E230*24,INT($E230/100)+MOD($E230,100)/60),2))</f>
        <v/>
      </c>
      <c r="H230" s="12"/>
      <c r="I230" s="17" t="str">
        <f aca="false">IF($A230="","",YEAR($A230))</f>
        <v/>
      </c>
      <c r="J230" s="17" t="str">
        <f aca="false">IF($A230="","",MONTH($A230))</f>
        <v/>
      </c>
      <c r="K230" s="17" t="str">
        <f aca="false">IF($A230="","",IF(AND($A230&gt;=사용안내!$C$18,$A230&lt;=사용안내!$C$19),"1학기",IF(AND($A230&gt;=사용안내!$C$20,$A230&lt;=사용안내!$C$21),"2학기","기간외")))</f>
        <v/>
      </c>
    </row>
    <row r="231" customFormat="false" ht="15" hidden="false" customHeight="true" outlineLevel="0" collapsed="false">
      <c r="A231" s="16"/>
      <c r="B231" s="12"/>
      <c r="C231" s="17" t="str">
        <f aca="false">IF($B231="","",IFERROR(INDEX(학생명부!$B$3:$B$83,MATCH($B231,학생명부!$A$3:$A$83,0)),"학번없음"))</f>
        <v/>
      </c>
      <c r="D231" s="12"/>
      <c r="E231" s="18"/>
      <c r="F231" s="18"/>
      <c r="G231" s="19" t="str">
        <f aca="false">IF(OR($E231="",$F231=""),"",ROUND(IF($F231&lt;1,$F231*24,INT($F231/100)+MOD($F231,100)/60)-IF($E231&lt;1,$E231*24,INT($E231/100)+MOD($E231,100)/60),2))</f>
        <v/>
      </c>
      <c r="H231" s="12"/>
      <c r="I231" s="17" t="str">
        <f aca="false">IF($A231="","",YEAR($A231))</f>
        <v/>
      </c>
      <c r="J231" s="17" t="str">
        <f aca="false">IF($A231="","",MONTH($A231))</f>
        <v/>
      </c>
      <c r="K231" s="17" t="str">
        <f aca="false">IF($A231="","",IF(AND($A231&gt;=사용안내!$C$18,$A231&lt;=사용안내!$C$19),"1학기",IF(AND($A231&gt;=사용안내!$C$20,$A231&lt;=사용안내!$C$21),"2학기","기간외")))</f>
        <v/>
      </c>
    </row>
    <row r="232" customFormat="false" ht="15" hidden="false" customHeight="true" outlineLevel="0" collapsed="false">
      <c r="A232" s="16"/>
      <c r="B232" s="12"/>
      <c r="C232" s="17" t="str">
        <f aca="false">IF($B232="","",IFERROR(INDEX(학생명부!$B$3:$B$83,MATCH($B232,학생명부!$A$3:$A$83,0)),"학번없음"))</f>
        <v/>
      </c>
      <c r="D232" s="12"/>
      <c r="E232" s="18"/>
      <c r="F232" s="18"/>
      <c r="G232" s="19" t="str">
        <f aca="false">IF(OR($E232="",$F232=""),"",ROUND(IF($F232&lt;1,$F232*24,INT($F232/100)+MOD($F232,100)/60)-IF($E232&lt;1,$E232*24,INT($E232/100)+MOD($E232,100)/60),2))</f>
        <v/>
      </c>
      <c r="H232" s="12"/>
      <c r="I232" s="17" t="str">
        <f aca="false">IF($A232="","",YEAR($A232))</f>
        <v/>
      </c>
      <c r="J232" s="17" t="str">
        <f aca="false">IF($A232="","",MONTH($A232))</f>
        <v/>
      </c>
      <c r="K232" s="17" t="str">
        <f aca="false">IF($A232="","",IF(AND($A232&gt;=사용안내!$C$18,$A232&lt;=사용안내!$C$19),"1학기",IF(AND($A232&gt;=사용안내!$C$20,$A232&lt;=사용안내!$C$21),"2학기","기간외")))</f>
        <v/>
      </c>
    </row>
    <row r="233" customFormat="false" ht="15" hidden="false" customHeight="true" outlineLevel="0" collapsed="false">
      <c r="A233" s="16"/>
      <c r="B233" s="12"/>
      <c r="C233" s="17" t="str">
        <f aca="false">IF($B233="","",IFERROR(INDEX(학생명부!$B$3:$B$83,MATCH($B233,학생명부!$A$3:$A$83,0)),"학번없음"))</f>
        <v/>
      </c>
      <c r="D233" s="12"/>
      <c r="E233" s="18"/>
      <c r="F233" s="18"/>
      <c r="G233" s="19" t="str">
        <f aca="false">IF(OR($E233="",$F233=""),"",ROUND(IF($F233&lt;1,$F233*24,INT($F233/100)+MOD($F233,100)/60)-IF($E233&lt;1,$E233*24,INT($E233/100)+MOD($E233,100)/60),2))</f>
        <v/>
      </c>
      <c r="H233" s="12"/>
      <c r="I233" s="17" t="str">
        <f aca="false">IF($A233="","",YEAR($A233))</f>
        <v/>
      </c>
      <c r="J233" s="17" t="str">
        <f aca="false">IF($A233="","",MONTH($A233))</f>
        <v/>
      </c>
      <c r="K233" s="17" t="str">
        <f aca="false">IF($A233="","",IF(AND($A233&gt;=사용안내!$C$18,$A233&lt;=사용안내!$C$19),"1학기",IF(AND($A233&gt;=사용안내!$C$20,$A233&lt;=사용안내!$C$21),"2학기","기간외")))</f>
        <v/>
      </c>
    </row>
    <row r="234" customFormat="false" ht="15" hidden="false" customHeight="true" outlineLevel="0" collapsed="false">
      <c r="A234" s="16"/>
      <c r="B234" s="12"/>
      <c r="C234" s="17" t="str">
        <f aca="false">IF($B234="","",IFERROR(INDEX(학생명부!$B$3:$B$83,MATCH($B234,학생명부!$A$3:$A$83,0)),"학번없음"))</f>
        <v/>
      </c>
      <c r="D234" s="12"/>
      <c r="E234" s="18"/>
      <c r="F234" s="18"/>
      <c r="G234" s="19" t="str">
        <f aca="false">IF(OR($E234="",$F234=""),"",ROUND(IF($F234&lt;1,$F234*24,INT($F234/100)+MOD($F234,100)/60)-IF($E234&lt;1,$E234*24,INT($E234/100)+MOD($E234,100)/60),2))</f>
        <v/>
      </c>
      <c r="H234" s="12"/>
      <c r="I234" s="17" t="str">
        <f aca="false">IF($A234="","",YEAR($A234))</f>
        <v/>
      </c>
      <c r="J234" s="17" t="str">
        <f aca="false">IF($A234="","",MONTH($A234))</f>
        <v/>
      </c>
      <c r="K234" s="17" t="str">
        <f aca="false">IF($A234="","",IF(AND($A234&gt;=사용안내!$C$18,$A234&lt;=사용안내!$C$19),"1학기",IF(AND($A234&gt;=사용안내!$C$20,$A234&lt;=사용안내!$C$21),"2학기","기간외")))</f>
        <v/>
      </c>
    </row>
    <row r="235" customFormat="false" ht="15" hidden="false" customHeight="true" outlineLevel="0" collapsed="false">
      <c r="A235" s="16"/>
      <c r="B235" s="12"/>
      <c r="C235" s="17" t="str">
        <f aca="false">IF($B235="","",IFERROR(INDEX(학생명부!$B$3:$B$83,MATCH($B235,학생명부!$A$3:$A$83,0)),"학번없음"))</f>
        <v/>
      </c>
      <c r="D235" s="12"/>
      <c r="E235" s="18"/>
      <c r="F235" s="18"/>
      <c r="G235" s="19" t="str">
        <f aca="false">IF(OR($E235="",$F235=""),"",ROUND(IF($F235&lt;1,$F235*24,INT($F235/100)+MOD($F235,100)/60)-IF($E235&lt;1,$E235*24,INT($E235/100)+MOD($E235,100)/60),2))</f>
        <v/>
      </c>
      <c r="H235" s="12"/>
      <c r="I235" s="17" t="str">
        <f aca="false">IF($A235="","",YEAR($A235))</f>
        <v/>
      </c>
      <c r="J235" s="17" t="str">
        <f aca="false">IF($A235="","",MONTH($A235))</f>
        <v/>
      </c>
      <c r="K235" s="17" t="str">
        <f aca="false">IF($A235="","",IF(AND($A235&gt;=사용안내!$C$18,$A235&lt;=사용안내!$C$19),"1학기",IF(AND($A235&gt;=사용안내!$C$20,$A235&lt;=사용안내!$C$21),"2학기","기간외")))</f>
        <v/>
      </c>
    </row>
    <row r="236" customFormat="false" ht="15" hidden="false" customHeight="true" outlineLevel="0" collapsed="false">
      <c r="A236" s="16"/>
      <c r="B236" s="12"/>
      <c r="C236" s="17" t="str">
        <f aca="false">IF($B236="","",IFERROR(INDEX(학생명부!$B$3:$B$83,MATCH($B236,학생명부!$A$3:$A$83,0)),"학번없음"))</f>
        <v/>
      </c>
      <c r="D236" s="12"/>
      <c r="E236" s="18"/>
      <c r="F236" s="18"/>
      <c r="G236" s="19" t="str">
        <f aca="false">IF(OR($E236="",$F236=""),"",ROUND(IF($F236&lt;1,$F236*24,INT($F236/100)+MOD($F236,100)/60)-IF($E236&lt;1,$E236*24,INT($E236/100)+MOD($E236,100)/60),2))</f>
        <v/>
      </c>
      <c r="H236" s="12"/>
      <c r="I236" s="17" t="str">
        <f aca="false">IF($A236="","",YEAR($A236))</f>
        <v/>
      </c>
      <c r="J236" s="17" t="str">
        <f aca="false">IF($A236="","",MONTH($A236))</f>
        <v/>
      </c>
      <c r="K236" s="17" t="str">
        <f aca="false">IF($A236="","",IF(AND($A236&gt;=사용안내!$C$18,$A236&lt;=사용안내!$C$19),"1학기",IF(AND($A236&gt;=사용안내!$C$20,$A236&lt;=사용안내!$C$21),"2학기","기간외")))</f>
        <v/>
      </c>
    </row>
    <row r="237" customFormat="false" ht="15" hidden="false" customHeight="true" outlineLevel="0" collapsed="false">
      <c r="A237" s="16"/>
      <c r="B237" s="12"/>
      <c r="C237" s="17" t="str">
        <f aca="false">IF($B237="","",IFERROR(INDEX(학생명부!$B$3:$B$83,MATCH($B237,학생명부!$A$3:$A$83,0)),"학번없음"))</f>
        <v/>
      </c>
      <c r="D237" s="12"/>
      <c r="E237" s="18"/>
      <c r="F237" s="18"/>
      <c r="G237" s="19" t="str">
        <f aca="false">IF(OR($E237="",$F237=""),"",ROUND(IF($F237&lt;1,$F237*24,INT($F237/100)+MOD($F237,100)/60)-IF($E237&lt;1,$E237*24,INT($E237/100)+MOD($E237,100)/60),2))</f>
        <v/>
      </c>
      <c r="H237" s="12"/>
      <c r="I237" s="17" t="str">
        <f aca="false">IF($A237="","",YEAR($A237))</f>
        <v/>
      </c>
      <c r="J237" s="17" t="str">
        <f aca="false">IF($A237="","",MONTH($A237))</f>
        <v/>
      </c>
      <c r="K237" s="17" t="str">
        <f aca="false">IF($A237="","",IF(AND($A237&gt;=사용안내!$C$18,$A237&lt;=사용안내!$C$19),"1학기",IF(AND($A237&gt;=사용안내!$C$20,$A237&lt;=사용안내!$C$21),"2학기","기간외")))</f>
        <v/>
      </c>
    </row>
    <row r="238" customFormat="false" ht="15" hidden="false" customHeight="true" outlineLevel="0" collapsed="false">
      <c r="A238" s="16"/>
      <c r="B238" s="12"/>
      <c r="C238" s="17" t="str">
        <f aca="false">IF($B238="","",IFERROR(INDEX(학생명부!$B$3:$B$83,MATCH($B238,학생명부!$A$3:$A$83,0)),"학번없음"))</f>
        <v/>
      </c>
      <c r="D238" s="12"/>
      <c r="E238" s="18"/>
      <c r="F238" s="18"/>
      <c r="G238" s="19" t="str">
        <f aca="false">IF(OR($E238="",$F238=""),"",ROUND(IF($F238&lt;1,$F238*24,INT($F238/100)+MOD($F238,100)/60)-IF($E238&lt;1,$E238*24,INT($E238/100)+MOD($E238,100)/60),2))</f>
        <v/>
      </c>
      <c r="H238" s="12"/>
      <c r="I238" s="17" t="str">
        <f aca="false">IF($A238="","",YEAR($A238))</f>
        <v/>
      </c>
      <c r="J238" s="17" t="str">
        <f aca="false">IF($A238="","",MONTH($A238))</f>
        <v/>
      </c>
      <c r="K238" s="17" t="str">
        <f aca="false">IF($A238="","",IF(AND($A238&gt;=사용안내!$C$18,$A238&lt;=사용안내!$C$19),"1학기",IF(AND($A238&gt;=사용안내!$C$20,$A238&lt;=사용안내!$C$21),"2학기","기간외")))</f>
        <v/>
      </c>
    </row>
    <row r="239" customFormat="false" ht="15" hidden="false" customHeight="true" outlineLevel="0" collapsed="false">
      <c r="A239" s="16"/>
      <c r="B239" s="12"/>
      <c r="C239" s="17" t="str">
        <f aca="false">IF($B239="","",IFERROR(INDEX(학생명부!$B$3:$B$83,MATCH($B239,학생명부!$A$3:$A$83,0)),"학번없음"))</f>
        <v/>
      </c>
      <c r="D239" s="12"/>
      <c r="E239" s="18"/>
      <c r="F239" s="18"/>
      <c r="G239" s="19" t="str">
        <f aca="false">IF(OR($E239="",$F239=""),"",ROUND(IF($F239&lt;1,$F239*24,INT($F239/100)+MOD($F239,100)/60)-IF($E239&lt;1,$E239*24,INT($E239/100)+MOD($E239,100)/60),2))</f>
        <v/>
      </c>
      <c r="H239" s="12"/>
      <c r="I239" s="17" t="str">
        <f aca="false">IF($A239="","",YEAR($A239))</f>
        <v/>
      </c>
      <c r="J239" s="17" t="str">
        <f aca="false">IF($A239="","",MONTH($A239))</f>
        <v/>
      </c>
      <c r="K239" s="17" t="str">
        <f aca="false">IF($A239="","",IF(AND($A239&gt;=사용안내!$C$18,$A239&lt;=사용안내!$C$19),"1학기",IF(AND($A239&gt;=사용안내!$C$20,$A239&lt;=사용안내!$C$21),"2학기","기간외")))</f>
        <v/>
      </c>
    </row>
    <row r="240" customFormat="false" ht="15" hidden="false" customHeight="true" outlineLevel="0" collapsed="false">
      <c r="A240" s="16"/>
      <c r="B240" s="12"/>
      <c r="C240" s="17" t="str">
        <f aca="false">IF($B240="","",IFERROR(INDEX(학생명부!$B$3:$B$83,MATCH($B240,학생명부!$A$3:$A$83,0)),"학번없음"))</f>
        <v/>
      </c>
      <c r="D240" s="12"/>
      <c r="E240" s="18"/>
      <c r="F240" s="18"/>
      <c r="G240" s="19" t="str">
        <f aca="false">IF(OR($E240="",$F240=""),"",ROUND(IF($F240&lt;1,$F240*24,INT($F240/100)+MOD($F240,100)/60)-IF($E240&lt;1,$E240*24,INT($E240/100)+MOD($E240,100)/60),2))</f>
        <v/>
      </c>
      <c r="H240" s="12"/>
      <c r="I240" s="17" t="str">
        <f aca="false">IF($A240="","",YEAR($A240))</f>
        <v/>
      </c>
      <c r="J240" s="17" t="str">
        <f aca="false">IF($A240="","",MONTH($A240))</f>
        <v/>
      </c>
      <c r="K240" s="17" t="str">
        <f aca="false">IF($A240="","",IF(AND($A240&gt;=사용안내!$C$18,$A240&lt;=사용안내!$C$19),"1학기",IF(AND($A240&gt;=사용안내!$C$20,$A240&lt;=사용안내!$C$21),"2학기","기간외")))</f>
        <v/>
      </c>
    </row>
    <row r="241" customFormat="false" ht="15" hidden="false" customHeight="true" outlineLevel="0" collapsed="false">
      <c r="A241" s="16"/>
      <c r="B241" s="12"/>
      <c r="C241" s="17" t="str">
        <f aca="false">IF($B241="","",IFERROR(INDEX(학생명부!$B$3:$B$83,MATCH($B241,학생명부!$A$3:$A$83,0)),"학번없음"))</f>
        <v/>
      </c>
      <c r="D241" s="12"/>
      <c r="E241" s="18"/>
      <c r="F241" s="18"/>
      <c r="G241" s="19" t="str">
        <f aca="false">IF(OR($E241="",$F241=""),"",ROUND(IF($F241&lt;1,$F241*24,INT($F241/100)+MOD($F241,100)/60)-IF($E241&lt;1,$E241*24,INT($E241/100)+MOD($E241,100)/60),2))</f>
        <v/>
      </c>
      <c r="H241" s="12"/>
      <c r="I241" s="17" t="str">
        <f aca="false">IF($A241="","",YEAR($A241))</f>
        <v/>
      </c>
      <c r="J241" s="17" t="str">
        <f aca="false">IF($A241="","",MONTH($A241))</f>
        <v/>
      </c>
      <c r="K241" s="17" t="str">
        <f aca="false">IF($A241="","",IF(AND($A241&gt;=사용안내!$C$18,$A241&lt;=사용안내!$C$19),"1학기",IF(AND($A241&gt;=사용안내!$C$20,$A241&lt;=사용안내!$C$21),"2학기","기간외")))</f>
        <v/>
      </c>
    </row>
    <row r="242" customFormat="false" ht="15" hidden="false" customHeight="true" outlineLevel="0" collapsed="false">
      <c r="A242" s="16"/>
      <c r="B242" s="12"/>
      <c r="C242" s="17" t="str">
        <f aca="false">IF($B242="","",IFERROR(INDEX(학생명부!$B$3:$B$83,MATCH($B242,학생명부!$A$3:$A$83,0)),"학번없음"))</f>
        <v/>
      </c>
      <c r="D242" s="12"/>
      <c r="E242" s="18"/>
      <c r="F242" s="18"/>
      <c r="G242" s="19" t="str">
        <f aca="false">IF(OR($E242="",$F242=""),"",ROUND(IF($F242&lt;1,$F242*24,INT($F242/100)+MOD($F242,100)/60)-IF($E242&lt;1,$E242*24,INT($E242/100)+MOD($E242,100)/60),2))</f>
        <v/>
      </c>
      <c r="H242" s="12"/>
      <c r="I242" s="17" t="str">
        <f aca="false">IF($A242="","",YEAR($A242))</f>
        <v/>
      </c>
      <c r="J242" s="17" t="str">
        <f aca="false">IF($A242="","",MONTH($A242))</f>
        <v/>
      </c>
      <c r="K242" s="17" t="str">
        <f aca="false">IF($A242="","",IF(AND($A242&gt;=사용안내!$C$18,$A242&lt;=사용안내!$C$19),"1학기",IF(AND($A242&gt;=사용안내!$C$20,$A242&lt;=사용안내!$C$21),"2학기","기간외")))</f>
        <v/>
      </c>
    </row>
    <row r="243" customFormat="false" ht="15" hidden="false" customHeight="true" outlineLevel="0" collapsed="false">
      <c r="A243" s="16"/>
      <c r="B243" s="12"/>
      <c r="C243" s="17" t="str">
        <f aca="false">IF($B243="","",IFERROR(INDEX(학생명부!$B$3:$B$83,MATCH($B243,학생명부!$A$3:$A$83,0)),"학번없음"))</f>
        <v/>
      </c>
      <c r="D243" s="12"/>
      <c r="E243" s="18"/>
      <c r="F243" s="18"/>
      <c r="G243" s="19" t="str">
        <f aca="false">IF(OR($E243="",$F243=""),"",ROUND(IF($F243&lt;1,$F243*24,INT($F243/100)+MOD($F243,100)/60)-IF($E243&lt;1,$E243*24,INT($E243/100)+MOD($E243,100)/60),2))</f>
        <v/>
      </c>
      <c r="H243" s="12"/>
      <c r="I243" s="17" t="str">
        <f aca="false">IF($A243="","",YEAR($A243))</f>
        <v/>
      </c>
      <c r="J243" s="17" t="str">
        <f aca="false">IF($A243="","",MONTH($A243))</f>
        <v/>
      </c>
      <c r="K243" s="17" t="str">
        <f aca="false">IF($A243="","",IF(AND($A243&gt;=사용안내!$C$18,$A243&lt;=사용안내!$C$19),"1학기",IF(AND($A243&gt;=사용안내!$C$20,$A243&lt;=사용안내!$C$21),"2학기","기간외")))</f>
        <v/>
      </c>
    </row>
    <row r="244" customFormat="false" ht="15" hidden="false" customHeight="true" outlineLevel="0" collapsed="false">
      <c r="A244" s="16"/>
      <c r="B244" s="12"/>
      <c r="C244" s="17" t="str">
        <f aca="false">IF($B244="","",IFERROR(INDEX(학생명부!$B$3:$B$83,MATCH($B244,학생명부!$A$3:$A$83,0)),"학번없음"))</f>
        <v/>
      </c>
      <c r="D244" s="12"/>
      <c r="E244" s="18"/>
      <c r="F244" s="18"/>
      <c r="G244" s="19" t="str">
        <f aca="false">IF(OR($E244="",$F244=""),"",ROUND(IF($F244&lt;1,$F244*24,INT($F244/100)+MOD($F244,100)/60)-IF($E244&lt;1,$E244*24,INT($E244/100)+MOD($E244,100)/60),2))</f>
        <v/>
      </c>
      <c r="H244" s="12"/>
      <c r="I244" s="17" t="str">
        <f aca="false">IF($A244="","",YEAR($A244))</f>
        <v/>
      </c>
      <c r="J244" s="17" t="str">
        <f aca="false">IF($A244="","",MONTH($A244))</f>
        <v/>
      </c>
      <c r="K244" s="17" t="str">
        <f aca="false">IF($A244="","",IF(AND($A244&gt;=사용안내!$C$18,$A244&lt;=사용안내!$C$19),"1학기",IF(AND($A244&gt;=사용안내!$C$20,$A244&lt;=사용안내!$C$21),"2학기","기간외")))</f>
        <v/>
      </c>
    </row>
    <row r="245" customFormat="false" ht="15" hidden="false" customHeight="true" outlineLevel="0" collapsed="false">
      <c r="A245" s="16"/>
      <c r="B245" s="12"/>
      <c r="C245" s="17" t="str">
        <f aca="false">IF($B245="","",IFERROR(INDEX(학생명부!$B$3:$B$83,MATCH($B245,학생명부!$A$3:$A$83,0)),"학번없음"))</f>
        <v/>
      </c>
      <c r="D245" s="12"/>
      <c r="E245" s="18"/>
      <c r="F245" s="18"/>
      <c r="G245" s="19" t="str">
        <f aca="false">IF(OR($E245="",$F245=""),"",ROUND(IF($F245&lt;1,$F245*24,INT($F245/100)+MOD($F245,100)/60)-IF($E245&lt;1,$E245*24,INT($E245/100)+MOD($E245,100)/60),2))</f>
        <v/>
      </c>
      <c r="H245" s="12"/>
      <c r="I245" s="17" t="str">
        <f aca="false">IF($A245="","",YEAR($A245))</f>
        <v/>
      </c>
      <c r="J245" s="17" t="str">
        <f aca="false">IF($A245="","",MONTH($A245))</f>
        <v/>
      </c>
      <c r="K245" s="17" t="str">
        <f aca="false">IF($A245="","",IF(AND($A245&gt;=사용안내!$C$18,$A245&lt;=사용안내!$C$19),"1학기",IF(AND($A245&gt;=사용안내!$C$20,$A245&lt;=사용안내!$C$21),"2학기","기간외")))</f>
        <v/>
      </c>
    </row>
    <row r="246" customFormat="false" ht="15" hidden="false" customHeight="true" outlineLevel="0" collapsed="false">
      <c r="A246" s="16"/>
      <c r="B246" s="12"/>
      <c r="C246" s="17" t="str">
        <f aca="false">IF($B246="","",IFERROR(INDEX(학생명부!$B$3:$B$83,MATCH($B246,학생명부!$A$3:$A$83,0)),"학번없음"))</f>
        <v/>
      </c>
      <c r="D246" s="12"/>
      <c r="E246" s="18"/>
      <c r="F246" s="18"/>
      <c r="G246" s="19" t="str">
        <f aca="false">IF(OR($E246="",$F246=""),"",ROUND(IF($F246&lt;1,$F246*24,INT($F246/100)+MOD($F246,100)/60)-IF($E246&lt;1,$E246*24,INT($E246/100)+MOD($E246,100)/60),2))</f>
        <v/>
      </c>
      <c r="H246" s="12"/>
      <c r="I246" s="17" t="str">
        <f aca="false">IF($A246="","",YEAR($A246))</f>
        <v/>
      </c>
      <c r="J246" s="17" t="str">
        <f aca="false">IF($A246="","",MONTH($A246))</f>
        <v/>
      </c>
      <c r="K246" s="17" t="str">
        <f aca="false">IF($A246="","",IF(AND($A246&gt;=사용안내!$C$18,$A246&lt;=사용안내!$C$19),"1학기",IF(AND($A246&gt;=사용안내!$C$20,$A246&lt;=사용안내!$C$21),"2학기","기간외")))</f>
        <v/>
      </c>
    </row>
    <row r="247" customFormat="false" ht="15" hidden="false" customHeight="true" outlineLevel="0" collapsed="false">
      <c r="A247" s="16"/>
      <c r="B247" s="12"/>
      <c r="C247" s="17" t="str">
        <f aca="false">IF($B247="","",IFERROR(INDEX(학생명부!$B$3:$B$83,MATCH($B247,학생명부!$A$3:$A$83,0)),"학번없음"))</f>
        <v/>
      </c>
      <c r="D247" s="12"/>
      <c r="E247" s="18"/>
      <c r="F247" s="18"/>
      <c r="G247" s="19" t="str">
        <f aca="false">IF(OR($E247="",$F247=""),"",ROUND(IF($F247&lt;1,$F247*24,INT($F247/100)+MOD($F247,100)/60)-IF($E247&lt;1,$E247*24,INT($E247/100)+MOD($E247,100)/60),2))</f>
        <v/>
      </c>
      <c r="H247" s="12"/>
      <c r="I247" s="17" t="str">
        <f aca="false">IF($A247="","",YEAR($A247))</f>
        <v/>
      </c>
      <c r="J247" s="17" t="str">
        <f aca="false">IF($A247="","",MONTH($A247))</f>
        <v/>
      </c>
      <c r="K247" s="17" t="str">
        <f aca="false">IF($A247="","",IF(AND($A247&gt;=사용안내!$C$18,$A247&lt;=사용안내!$C$19),"1학기",IF(AND($A247&gt;=사용안내!$C$20,$A247&lt;=사용안내!$C$21),"2학기","기간외")))</f>
        <v/>
      </c>
    </row>
    <row r="248" customFormat="false" ht="15" hidden="false" customHeight="true" outlineLevel="0" collapsed="false">
      <c r="A248" s="16"/>
      <c r="B248" s="12"/>
      <c r="C248" s="17" t="str">
        <f aca="false">IF($B248="","",IFERROR(INDEX(학생명부!$B$3:$B$83,MATCH($B248,학생명부!$A$3:$A$83,0)),"학번없음"))</f>
        <v/>
      </c>
      <c r="D248" s="12"/>
      <c r="E248" s="18"/>
      <c r="F248" s="18"/>
      <c r="G248" s="19" t="str">
        <f aca="false">IF(OR($E248="",$F248=""),"",ROUND(IF($F248&lt;1,$F248*24,INT($F248/100)+MOD($F248,100)/60)-IF($E248&lt;1,$E248*24,INT($E248/100)+MOD($E248,100)/60),2))</f>
        <v/>
      </c>
      <c r="H248" s="12"/>
      <c r="I248" s="17" t="str">
        <f aca="false">IF($A248="","",YEAR($A248))</f>
        <v/>
      </c>
      <c r="J248" s="17" t="str">
        <f aca="false">IF($A248="","",MONTH($A248))</f>
        <v/>
      </c>
      <c r="K248" s="17" t="str">
        <f aca="false">IF($A248="","",IF(AND($A248&gt;=사용안내!$C$18,$A248&lt;=사용안내!$C$19),"1학기",IF(AND($A248&gt;=사용안내!$C$20,$A248&lt;=사용안내!$C$21),"2학기","기간외")))</f>
        <v/>
      </c>
    </row>
    <row r="249" customFormat="false" ht="15" hidden="false" customHeight="true" outlineLevel="0" collapsed="false">
      <c r="A249" s="16"/>
      <c r="B249" s="12"/>
      <c r="C249" s="17" t="str">
        <f aca="false">IF($B249="","",IFERROR(INDEX(학생명부!$B$3:$B$83,MATCH($B249,학생명부!$A$3:$A$83,0)),"학번없음"))</f>
        <v/>
      </c>
      <c r="D249" s="12"/>
      <c r="E249" s="18"/>
      <c r="F249" s="18"/>
      <c r="G249" s="19" t="str">
        <f aca="false">IF(OR($E249="",$F249=""),"",ROUND(IF($F249&lt;1,$F249*24,INT($F249/100)+MOD($F249,100)/60)-IF($E249&lt;1,$E249*24,INT($E249/100)+MOD($E249,100)/60),2))</f>
        <v/>
      </c>
      <c r="H249" s="12"/>
      <c r="I249" s="17" t="str">
        <f aca="false">IF($A249="","",YEAR($A249))</f>
        <v/>
      </c>
      <c r="J249" s="17" t="str">
        <f aca="false">IF($A249="","",MONTH($A249))</f>
        <v/>
      </c>
      <c r="K249" s="17" t="str">
        <f aca="false">IF($A249="","",IF(AND($A249&gt;=사용안내!$C$18,$A249&lt;=사용안내!$C$19),"1학기",IF(AND($A249&gt;=사용안내!$C$20,$A249&lt;=사용안내!$C$21),"2학기","기간외")))</f>
        <v/>
      </c>
    </row>
    <row r="250" customFormat="false" ht="15" hidden="false" customHeight="true" outlineLevel="0" collapsed="false">
      <c r="A250" s="16"/>
      <c r="B250" s="12"/>
      <c r="C250" s="17" t="str">
        <f aca="false">IF($B250="","",IFERROR(INDEX(학생명부!$B$3:$B$83,MATCH($B250,학생명부!$A$3:$A$83,0)),"학번없음"))</f>
        <v/>
      </c>
      <c r="D250" s="12"/>
      <c r="E250" s="18"/>
      <c r="F250" s="18"/>
      <c r="G250" s="19" t="str">
        <f aca="false">IF(OR($E250="",$F250=""),"",ROUND(IF($F250&lt;1,$F250*24,INT($F250/100)+MOD($F250,100)/60)-IF($E250&lt;1,$E250*24,INT($E250/100)+MOD($E250,100)/60),2))</f>
        <v/>
      </c>
      <c r="H250" s="12"/>
      <c r="I250" s="17" t="str">
        <f aca="false">IF($A250="","",YEAR($A250))</f>
        <v/>
      </c>
      <c r="J250" s="17" t="str">
        <f aca="false">IF($A250="","",MONTH($A250))</f>
        <v/>
      </c>
      <c r="K250" s="17" t="str">
        <f aca="false">IF($A250="","",IF(AND($A250&gt;=사용안내!$C$18,$A250&lt;=사용안내!$C$19),"1학기",IF(AND($A250&gt;=사용안내!$C$20,$A250&lt;=사용안내!$C$21),"2학기","기간외")))</f>
        <v/>
      </c>
    </row>
    <row r="251" customFormat="false" ht="15" hidden="false" customHeight="true" outlineLevel="0" collapsed="false">
      <c r="A251" s="16"/>
      <c r="B251" s="12"/>
      <c r="C251" s="17" t="str">
        <f aca="false">IF($B251="","",IFERROR(INDEX(학생명부!$B$3:$B$83,MATCH($B251,학생명부!$A$3:$A$83,0)),"학번없음"))</f>
        <v/>
      </c>
      <c r="D251" s="12"/>
      <c r="E251" s="18"/>
      <c r="F251" s="18"/>
      <c r="G251" s="19" t="str">
        <f aca="false">IF(OR($E251="",$F251=""),"",ROUND(IF($F251&lt;1,$F251*24,INT($F251/100)+MOD($F251,100)/60)-IF($E251&lt;1,$E251*24,INT($E251/100)+MOD($E251,100)/60),2))</f>
        <v/>
      </c>
      <c r="H251" s="12"/>
      <c r="I251" s="17" t="str">
        <f aca="false">IF($A251="","",YEAR($A251))</f>
        <v/>
      </c>
      <c r="J251" s="17" t="str">
        <f aca="false">IF($A251="","",MONTH($A251))</f>
        <v/>
      </c>
      <c r="K251" s="17" t="str">
        <f aca="false">IF($A251="","",IF(AND($A251&gt;=사용안내!$C$18,$A251&lt;=사용안내!$C$19),"1학기",IF(AND($A251&gt;=사용안내!$C$20,$A251&lt;=사용안내!$C$21),"2학기","기간외")))</f>
        <v/>
      </c>
    </row>
    <row r="252" customFormat="false" ht="15" hidden="false" customHeight="true" outlineLevel="0" collapsed="false">
      <c r="A252" s="16"/>
      <c r="B252" s="12"/>
      <c r="C252" s="17" t="str">
        <f aca="false">IF($B252="","",IFERROR(INDEX(학생명부!$B$3:$B$83,MATCH($B252,학생명부!$A$3:$A$83,0)),"학번없음"))</f>
        <v/>
      </c>
      <c r="D252" s="12"/>
      <c r="E252" s="18"/>
      <c r="F252" s="18"/>
      <c r="G252" s="19" t="str">
        <f aca="false">IF(OR($E252="",$F252=""),"",ROUND(IF($F252&lt;1,$F252*24,INT($F252/100)+MOD($F252,100)/60)-IF($E252&lt;1,$E252*24,INT($E252/100)+MOD($E252,100)/60),2))</f>
        <v/>
      </c>
      <c r="H252" s="12"/>
      <c r="I252" s="17" t="str">
        <f aca="false">IF($A252="","",YEAR($A252))</f>
        <v/>
      </c>
      <c r="J252" s="17" t="str">
        <f aca="false">IF($A252="","",MONTH($A252))</f>
        <v/>
      </c>
      <c r="K252" s="17" t="str">
        <f aca="false">IF($A252="","",IF(AND($A252&gt;=사용안내!$C$18,$A252&lt;=사용안내!$C$19),"1학기",IF(AND($A252&gt;=사용안내!$C$20,$A252&lt;=사용안내!$C$21),"2학기","기간외")))</f>
        <v/>
      </c>
    </row>
    <row r="253" customFormat="false" ht="15" hidden="false" customHeight="true" outlineLevel="0" collapsed="false">
      <c r="A253" s="16"/>
      <c r="B253" s="12"/>
      <c r="C253" s="17" t="str">
        <f aca="false">IF($B253="","",IFERROR(INDEX(학생명부!$B$3:$B$83,MATCH($B253,학생명부!$A$3:$A$83,0)),"학번없음"))</f>
        <v/>
      </c>
      <c r="D253" s="12"/>
      <c r="E253" s="18"/>
      <c r="F253" s="18"/>
      <c r="G253" s="19" t="str">
        <f aca="false">IF(OR($E253="",$F253=""),"",ROUND(IF($F253&lt;1,$F253*24,INT($F253/100)+MOD($F253,100)/60)-IF($E253&lt;1,$E253*24,INT($E253/100)+MOD($E253,100)/60),2))</f>
        <v/>
      </c>
      <c r="H253" s="12"/>
      <c r="I253" s="17" t="str">
        <f aca="false">IF($A253="","",YEAR($A253))</f>
        <v/>
      </c>
      <c r="J253" s="17" t="str">
        <f aca="false">IF($A253="","",MONTH($A253))</f>
        <v/>
      </c>
      <c r="K253" s="17" t="str">
        <f aca="false">IF($A253="","",IF(AND($A253&gt;=사용안내!$C$18,$A253&lt;=사용안내!$C$19),"1학기",IF(AND($A253&gt;=사용안내!$C$20,$A253&lt;=사용안내!$C$21),"2학기","기간외")))</f>
        <v/>
      </c>
    </row>
    <row r="254" customFormat="false" ht="15" hidden="false" customHeight="true" outlineLevel="0" collapsed="false">
      <c r="A254" s="16"/>
      <c r="B254" s="12"/>
      <c r="C254" s="17" t="str">
        <f aca="false">IF($B254="","",IFERROR(INDEX(학생명부!$B$3:$B$83,MATCH($B254,학생명부!$A$3:$A$83,0)),"학번없음"))</f>
        <v/>
      </c>
      <c r="D254" s="12"/>
      <c r="E254" s="18"/>
      <c r="F254" s="18"/>
      <c r="G254" s="19" t="str">
        <f aca="false">IF(OR($E254="",$F254=""),"",ROUND(IF($F254&lt;1,$F254*24,INT($F254/100)+MOD($F254,100)/60)-IF($E254&lt;1,$E254*24,INT($E254/100)+MOD($E254,100)/60),2))</f>
        <v/>
      </c>
      <c r="H254" s="12"/>
      <c r="I254" s="17" t="str">
        <f aca="false">IF($A254="","",YEAR($A254))</f>
        <v/>
      </c>
      <c r="J254" s="17" t="str">
        <f aca="false">IF($A254="","",MONTH($A254))</f>
        <v/>
      </c>
      <c r="K254" s="17" t="str">
        <f aca="false">IF($A254="","",IF(AND($A254&gt;=사용안내!$C$18,$A254&lt;=사용안내!$C$19),"1학기",IF(AND($A254&gt;=사용안내!$C$20,$A254&lt;=사용안내!$C$21),"2학기","기간외")))</f>
        <v/>
      </c>
    </row>
    <row r="255" customFormat="false" ht="15" hidden="false" customHeight="true" outlineLevel="0" collapsed="false">
      <c r="A255" s="16"/>
      <c r="B255" s="12"/>
      <c r="C255" s="17" t="str">
        <f aca="false">IF($B255="","",IFERROR(INDEX(학생명부!$B$3:$B$83,MATCH($B255,학생명부!$A$3:$A$83,0)),"학번없음"))</f>
        <v/>
      </c>
      <c r="D255" s="12"/>
      <c r="E255" s="18"/>
      <c r="F255" s="18"/>
      <c r="G255" s="19" t="str">
        <f aca="false">IF(OR($E255="",$F255=""),"",ROUND(IF($F255&lt;1,$F255*24,INT($F255/100)+MOD($F255,100)/60)-IF($E255&lt;1,$E255*24,INT($E255/100)+MOD($E255,100)/60),2))</f>
        <v/>
      </c>
      <c r="H255" s="12"/>
      <c r="I255" s="17" t="str">
        <f aca="false">IF($A255="","",YEAR($A255))</f>
        <v/>
      </c>
      <c r="J255" s="17" t="str">
        <f aca="false">IF($A255="","",MONTH($A255))</f>
        <v/>
      </c>
      <c r="K255" s="17" t="str">
        <f aca="false">IF($A255="","",IF(AND($A255&gt;=사용안내!$C$18,$A255&lt;=사용안내!$C$19),"1학기",IF(AND($A255&gt;=사용안내!$C$20,$A255&lt;=사용안내!$C$21),"2학기","기간외")))</f>
        <v/>
      </c>
    </row>
    <row r="256" customFormat="false" ht="15" hidden="false" customHeight="true" outlineLevel="0" collapsed="false">
      <c r="A256" s="16"/>
      <c r="B256" s="12"/>
      <c r="C256" s="17" t="str">
        <f aca="false">IF($B256="","",IFERROR(INDEX(학생명부!$B$3:$B$83,MATCH($B256,학생명부!$A$3:$A$83,0)),"학번없음"))</f>
        <v/>
      </c>
      <c r="D256" s="12"/>
      <c r="E256" s="18"/>
      <c r="F256" s="18"/>
      <c r="G256" s="19" t="str">
        <f aca="false">IF(OR($E256="",$F256=""),"",ROUND(IF($F256&lt;1,$F256*24,INT($F256/100)+MOD($F256,100)/60)-IF($E256&lt;1,$E256*24,INT($E256/100)+MOD($E256,100)/60),2))</f>
        <v/>
      </c>
      <c r="H256" s="12"/>
      <c r="I256" s="17" t="str">
        <f aca="false">IF($A256="","",YEAR($A256))</f>
        <v/>
      </c>
      <c r="J256" s="17" t="str">
        <f aca="false">IF($A256="","",MONTH($A256))</f>
        <v/>
      </c>
      <c r="K256" s="17" t="str">
        <f aca="false">IF($A256="","",IF(AND($A256&gt;=사용안내!$C$18,$A256&lt;=사용안내!$C$19),"1학기",IF(AND($A256&gt;=사용안내!$C$20,$A256&lt;=사용안내!$C$21),"2학기","기간외")))</f>
        <v/>
      </c>
    </row>
    <row r="257" customFormat="false" ht="15" hidden="false" customHeight="true" outlineLevel="0" collapsed="false">
      <c r="A257" s="16"/>
      <c r="B257" s="12"/>
      <c r="C257" s="17" t="str">
        <f aca="false">IF($B257="","",IFERROR(INDEX(학생명부!$B$3:$B$83,MATCH($B257,학생명부!$A$3:$A$83,0)),"학번없음"))</f>
        <v/>
      </c>
      <c r="D257" s="12"/>
      <c r="E257" s="18"/>
      <c r="F257" s="18"/>
      <c r="G257" s="19" t="str">
        <f aca="false">IF(OR($E257="",$F257=""),"",ROUND(IF($F257&lt;1,$F257*24,INT($F257/100)+MOD($F257,100)/60)-IF($E257&lt;1,$E257*24,INT($E257/100)+MOD($E257,100)/60),2))</f>
        <v/>
      </c>
      <c r="H257" s="12"/>
      <c r="I257" s="17" t="str">
        <f aca="false">IF($A257="","",YEAR($A257))</f>
        <v/>
      </c>
      <c r="J257" s="17" t="str">
        <f aca="false">IF($A257="","",MONTH($A257))</f>
        <v/>
      </c>
      <c r="K257" s="17" t="str">
        <f aca="false">IF($A257="","",IF(AND($A257&gt;=사용안내!$C$18,$A257&lt;=사용안내!$C$19),"1학기",IF(AND($A257&gt;=사용안내!$C$20,$A257&lt;=사용안내!$C$21),"2학기","기간외")))</f>
        <v/>
      </c>
    </row>
    <row r="258" customFormat="false" ht="15" hidden="false" customHeight="true" outlineLevel="0" collapsed="false">
      <c r="A258" s="16"/>
      <c r="B258" s="12"/>
      <c r="C258" s="17" t="str">
        <f aca="false">IF($B258="","",IFERROR(INDEX(학생명부!$B$3:$B$83,MATCH($B258,학생명부!$A$3:$A$83,0)),"학번없음"))</f>
        <v/>
      </c>
      <c r="D258" s="12"/>
      <c r="E258" s="18"/>
      <c r="F258" s="18"/>
      <c r="G258" s="19" t="str">
        <f aca="false">IF(OR($E258="",$F258=""),"",ROUND(IF($F258&lt;1,$F258*24,INT($F258/100)+MOD($F258,100)/60)-IF($E258&lt;1,$E258*24,INT($E258/100)+MOD($E258,100)/60),2))</f>
        <v/>
      </c>
      <c r="H258" s="12"/>
      <c r="I258" s="17" t="str">
        <f aca="false">IF($A258="","",YEAR($A258))</f>
        <v/>
      </c>
      <c r="J258" s="17" t="str">
        <f aca="false">IF($A258="","",MONTH($A258))</f>
        <v/>
      </c>
      <c r="K258" s="17" t="str">
        <f aca="false">IF($A258="","",IF(AND($A258&gt;=사용안내!$C$18,$A258&lt;=사용안내!$C$19),"1학기",IF(AND($A258&gt;=사용안내!$C$20,$A258&lt;=사용안내!$C$21),"2학기","기간외")))</f>
        <v/>
      </c>
    </row>
    <row r="259" customFormat="false" ht="15" hidden="false" customHeight="true" outlineLevel="0" collapsed="false">
      <c r="A259" s="16"/>
      <c r="B259" s="12"/>
      <c r="C259" s="17" t="str">
        <f aca="false">IF($B259="","",IFERROR(INDEX(학생명부!$B$3:$B$83,MATCH($B259,학생명부!$A$3:$A$83,0)),"학번없음"))</f>
        <v/>
      </c>
      <c r="D259" s="12"/>
      <c r="E259" s="18"/>
      <c r="F259" s="18"/>
      <c r="G259" s="19" t="str">
        <f aca="false">IF(OR($E259="",$F259=""),"",ROUND(IF($F259&lt;1,$F259*24,INT($F259/100)+MOD($F259,100)/60)-IF($E259&lt;1,$E259*24,INT($E259/100)+MOD($E259,100)/60),2))</f>
        <v/>
      </c>
      <c r="H259" s="12"/>
      <c r="I259" s="17" t="str">
        <f aca="false">IF($A259="","",YEAR($A259))</f>
        <v/>
      </c>
      <c r="J259" s="17" t="str">
        <f aca="false">IF($A259="","",MONTH($A259))</f>
        <v/>
      </c>
      <c r="K259" s="17" t="str">
        <f aca="false">IF($A259="","",IF(AND($A259&gt;=사용안내!$C$18,$A259&lt;=사용안내!$C$19),"1학기",IF(AND($A259&gt;=사용안내!$C$20,$A259&lt;=사용안내!$C$21),"2학기","기간외")))</f>
        <v/>
      </c>
    </row>
    <row r="260" customFormat="false" ht="15" hidden="false" customHeight="true" outlineLevel="0" collapsed="false">
      <c r="A260" s="16"/>
      <c r="B260" s="12"/>
      <c r="C260" s="17" t="str">
        <f aca="false">IF($B260="","",IFERROR(INDEX(학생명부!$B$3:$B$83,MATCH($B260,학생명부!$A$3:$A$83,0)),"학번없음"))</f>
        <v/>
      </c>
      <c r="D260" s="12"/>
      <c r="E260" s="18"/>
      <c r="F260" s="18"/>
      <c r="G260" s="19" t="str">
        <f aca="false">IF(OR($E260="",$F260=""),"",ROUND(IF($F260&lt;1,$F260*24,INT($F260/100)+MOD($F260,100)/60)-IF($E260&lt;1,$E260*24,INT($E260/100)+MOD($E260,100)/60),2))</f>
        <v/>
      </c>
      <c r="H260" s="12"/>
      <c r="I260" s="17" t="str">
        <f aca="false">IF($A260="","",YEAR($A260))</f>
        <v/>
      </c>
      <c r="J260" s="17" t="str">
        <f aca="false">IF($A260="","",MONTH($A260))</f>
        <v/>
      </c>
      <c r="K260" s="17" t="str">
        <f aca="false">IF($A260="","",IF(AND($A260&gt;=사용안내!$C$18,$A260&lt;=사용안내!$C$19),"1학기",IF(AND($A260&gt;=사용안내!$C$20,$A260&lt;=사용안내!$C$21),"2학기","기간외")))</f>
        <v/>
      </c>
    </row>
    <row r="261" customFormat="false" ht="15" hidden="false" customHeight="true" outlineLevel="0" collapsed="false">
      <c r="A261" s="16"/>
      <c r="B261" s="12"/>
      <c r="C261" s="17" t="str">
        <f aca="false">IF($B261="","",IFERROR(INDEX(학생명부!$B$3:$B$83,MATCH($B261,학생명부!$A$3:$A$83,0)),"학번없음"))</f>
        <v/>
      </c>
      <c r="D261" s="12"/>
      <c r="E261" s="18"/>
      <c r="F261" s="18"/>
      <c r="G261" s="19" t="str">
        <f aca="false">IF(OR($E261="",$F261=""),"",ROUND(IF($F261&lt;1,$F261*24,INT($F261/100)+MOD($F261,100)/60)-IF($E261&lt;1,$E261*24,INT($E261/100)+MOD($E261,100)/60),2))</f>
        <v/>
      </c>
      <c r="H261" s="12"/>
      <c r="I261" s="17" t="str">
        <f aca="false">IF($A261="","",YEAR($A261))</f>
        <v/>
      </c>
      <c r="J261" s="17" t="str">
        <f aca="false">IF($A261="","",MONTH($A261))</f>
        <v/>
      </c>
      <c r="K261" s="17" t="str">
        <f aca="false">IF($A261="","",IF(AND($A261&gt;=사용안내!$C$18,$A261&lt;=사용안내!$C$19),"1학기",IF(AND($A261&gt;=사용안내!$C$20,$A261&lt;=사용안내!$C$21),"2학기","기간외")))</f>
        <v/>
      </c>
    </row>
    <row r="262" customFormat="false" ht="15" hidden="false" customHeight="true" outlineLevel="0" collapsed="false">
      <c r="A262" s="16"/>
      <c r="B262" s="12"/>
      <c r="C262" s="17" t="str">
        <f aca="false">IF($B262="","",IFERROR(INDEX(학생명부!$B$3:$B$83,MATCH($B262,학생명부!$A$3:$A$83,0)),"학번없음"))</f>
        <v/>
      </c>
      <c r="D262" s="12"/>
      <c r="E262" s="18"/>
      <c r="F262" s="18"/>
      <c r="G262" s="19" t="str">
        <f aca="false">IF(OR($E262="",$F262=""),"",ROUND(IF($F262&lt;1,$F262*24,INT($F262/100)+MOD($F262,100)/60)-IF($E262&lt;1,$E262*24,INT($E262/100)+MOD($E262,100)/60),2))</f>
        <v/>
      </c>
      <c r="H262" s="12"/>
      <c r="I262" s="17" t="str">
        <f aca="false">IF($A262="","",YEAR($A262))</f>
        <v/>
      </c>
      <c r="J262" s="17" t="str">
        <f aca="false">IF($A262="","",MONTH($A262))</f>
        <v/>
      </c>
      <c r="K262" s="17" t="str">
        <f aca="false">IF($A262="","",IF(AND($A262&gt;=사용안내!$C$18,$A262&lt;=사용안내!$C$19),"1학기",IF(AND($A262&gt;=사용안내!$C$20,$A262&lt;=사용안내!$C$21),"2학기","기간외")))</f>
        <v/>
      </c>
    </row>
    <row r="263" customFormat="false" ht="15" hidden="false" customHeight="true" outlineLevel="0" collapsed="false">
      <c r="A263" s="16"/>
      <c r="B263" s="12"/>
      <c r="C263" s="17" t="str">
        <f aca="false">IF($B263="","",IFERROR(INDEX(학생명부!$B$3:$B$83,MATCH($B263,학생명부!$A$3:$A$83,0)),"학번없음"))</f>
        <v/>
      </c>
      <c r="D263" s="12"/>
      <c r="E263" s="18"/>
      <c r="F263" s="18"/>
      <c r="G263" s="19" t="str">
        <f aca="false">IF(OR($E263="",$F263=""),"",ROUND(IF($F263&lt;1,$F263*24,INT($F263/100)+MOD($F263,100)/60)-IF($E263&lt;1,$E263*24,INT($E263/100)+MOD($E263,100)/60),2))</f>
        <v/>
      </c>
      <c r="H263" s="12"/>
      <c r="I263" s="17" t="str">
        <f aca="false">IF($A263="","",YEAR($A263))</f>
        <v/>
      </c>
      <c r="J263" s="17" t="str">
        <f aca="false">IF($A263="","",MONTH($A263))</f>
        <v/>
      </c>
      <c r="K263" s="17" t="str">
        <f aca="false">IF($A263="","",IF(AND($A263&gt;=사용안내!$C$18,$A263&lt;=사용안내!$C$19),"1학기",IF(AND($A263&gt;=사용안내!$C$20,$A263&lt;=사용안내!$C$21),"2학기","기간외")))</f>
        <v/>
      </c>
    </row>
    <row r="264" customFormat="false" ht="15" hidden="false" customHeight="true" outlineLevel="0" collapsed="false">
      <c r="A264" s="16"/>
      <c r="B264" s="12"/>
      <c r="C264" s="17" t="str">
        <f aca="false">IF($B264="","",IFERROR(INDEX(학생명부!$B$3:$B$83,MATCH($B264,학생명부!$A$3:$A$83,0)),"학번없음"))</f>
        <v/>
      </c>
      <c r="D264" s="12"/>
      <c r="E264" s="18"/>
      <c r="F264" s="18"/>
      <c r="G264" s="19" t="str">
        <f aca="false">IF(OR($E264="",$F264=""),"",ROUND(IF($F264&lt;1,$F264*24,INT($F264/100)+MOD($F264,100)/60)-IF($E264&lt;1,$E264*24,INT($E264/100)+MOD($E264,100)/60),2))</f>
        <v/>
      </c>
      <c r="H264" s="12"/>
      <c r="I264" s="17" t="str">
        <f aca="false">IF($A264="","",YEAR($A264))</f>
        <v/>
      </c>
      <c r="J264" s="17" t="str">
        <f aca="false">IF($A264="","",MONTH($A264))</f>
        <v/>
      </c>
      <c r="K264" s="17" t="str">
        <f aca="false">IF($A264="","",IF(AND($A264&gt;=사용안내!$C$18,$A264&lt;=사용안내!$C$19),"1학기",IF(AND($A264&gt;=사용안내!$C$20,$A264&lt;=사용안내!$C$21),"2학기","기간외")))</f>
        <v/>
      </c>
    </row>
    <row r="265" customFormat="false" ht="15" hidden="false" customHeight="true" outlineLevel="0" collapsed="false">
      <c r="A265" s="16"/>
      <c r="B265" s="12"/>
      <c r="C265" s="17" t="str">
        <f aca="false">IF($B265="","",IFERROR(INDEX(학생명부!$B$3:$B$83,MATCH($B265,학생명부!$A$3:$A$83,0)),"학번없음"))</f>
        <v/>
      </c>
      <c r="D265" s="12"/>
      <c r="E265" s="18"/>
      <c r="F265" s="18"/>
      <c r="G265" s="19" t="str">
        <f aca="false">IF(OR($E265="",$F265=""),"",ROUND(IF($F265&lt;1,$F265*24,INT($F265/100)+MOD($F265,100)/60)-IF($E265&lt;1,$E265*24,INT($E265/100)+MOD($E265,100)/60),2))</f>
        <v/>
      </c>
      <c r="H265" s="12"/>
      <c r="I265" s="17" t="str">
        <f aca="false">IF($A265="","",YEAR($A265))</f>
        <v/>
      </c>
      <c r="J265" s="17" t="str">
        <f aca="false">IF($A265="","",MONTH($A265))</f>
        <v/>
      </c>
      <c r="K265" s="17" t="str">
        <f aca="false">IF($A265="","",IF(AND($A265&gt;=사용안내!$C$18,$A265&lt;=사용안내!$C$19),"1학기",IF(AND($A265&gt;=사용안내!$C$20,$A265&lt;=사용안내!$C$21),"2학기","기간외")))</f>
        <v/>
      </c>
    </row>
    <row r="266" customFormat="false" ht="15" hidden="false" customHeight="true" outlineLevel="0" collapsed="false">
      <c r="A266" s="16"/>
      <c r="B266" s="12"/>
      <c r="C266" s="17" t="str">
        <f aca="false">IF($B266="","",IFERROR(INDEX(학생명부!$B$3:$B$83,MATCH($B266,학생명부!$A$3:$A$83,0)),"학번없음"))</f>
        <v/>
      </c>
      <c r="D266" s="12"/>
      <c r="E266" s="18"/>
      <c r="F266" s="18"/>
      <c r="G266" s="19" t="str">
        <f aca="false">IF(OR($E266="",$F266=""),"",ROUND(IF($F266&lt;1,$F266*24,INT($F266/100)+MOD($F266,100)/60)-IF($E266&lt;1,$E266*24,INT($E266/100)+MOD($E266,100)/60),2))</f>
        <v/>
      </c>
      <c r="H266" s="12"/>
      <c r="I266" s="17" t="str">
        <f aca="false">IF($A266="","",YEAR($A266))</f>
        <v/>
      </c>
      <c r="J266" s="17" t="str">
        <f aca="false">IF($A266="","",MONTH($A266))</f>
        <v/>
      </c>
      <c r="K266" s="17" t="str">
        <f aca="false">IF($A266="","",IF(AND($A266&gt;=사용안내!$C$18,$A266&lt;=사용안내!$C$19),"1학기",IF(AND($A266&gt;=사용안내!$C$20,$A266&lt;=사용안내!$C$21),"2학기","기간외")))</f>
        <v/>
      </c>
    </row>
    <row r="267" customFormat="false" ht="15" hidden="false" customHeight="true" outlineLevel="0" collapsed="false">
      <c r="A267" s="16"/>
      <c r="B267" s="12"/>
      <c r="C267" s="17" t="str">
        <f aca="false">IF($B267="","",IFERROR(INDEX(학생명부!$B$3:$B$83,MATCH($B267,학생명부!$A$3:$A$83,0)),"학번없음"))</f>
        <v/>
      </c>
      <c r="D267" s="12"/>
      <c r="E267" s="18"/>
      <c r="F267" s="18"/>
      <c r="G267" s="19" t="str">
        <f aca="false">IF(OR($E267="",$F267=""),"",ROUND(IF($F267&lt;1,$F267*24,INT($F267/100)+MOD($F267,100)/60)-IF($E267&lt;1,$E267*24,INT($E267/100)+MOD($E267,100)/60),2))</f>
        <v/>
      </c>
      <c r="H267" s="12"/>
      <c r="I267" s="17" t="str">
        <f aca="false">IF($A267="","",YEAR($A267))</f>
        <v/>
      </c>
      <c r="J267" s="17" t="str">
        <f aca="false">IF($A267="","",MONTH($A267))</f>
        <v/>
      </c>
      <c r="K267" s="17" t="str">
        <f aca="false">IF($A267="","",IF(AND($A267&gt;=사용안내!$C$18,$A267&lt;=사용안내!$C$19),"1학기",IF(AND($A267&gt;=사용안내!$C$20,$A267&lt;=사용안내!$C$21),"2학기","기간외")))</f>
        <v/>
      </c>
    </row>
    <row r="268" customFormat="false" ht="15" hidden="false" customHeight="true" outlineLevel="0" collapsed="false">
      <c r="A268" s="16"/>
      <c r="B268" s="12"/>
      <c r="C268" s="17" t="str">
        <f aca="false">IF($B268="","",IFERROR(INDEX(학생명부!$B$3:$B$83,MATCH($B268,학생명부!$A$3:$A$83,0)),"학번없음"))</f>
        <v/>
      </c>
      <c r="D268" s="12"/>
      <c r="E268" s="18"/>
      <c r="F268" s="18"/>
      <c r="G268" s="19" t="str">
        <f aca="false">IF(OR($E268="",$F268=""),"",ROUND(IF($F268&lt;1,$F268*24,INT($F268/100)+MOD($F268,100)/60)-IF($E268&lt;1,$E268*24,INT($E268/100)+MOD($E268,100)/60),2))</f>
        <v/>
      </c>
      <c r="H268" s="12"/>
      <c r="I268" s="17" t="str">
        <f aca="false">IF($A268="","",YEAR($A268))</f>
        <v/>
      </c>
      <c r="J268" s="17" t="str">
        <f aca="false">IF($A268="","",MONTH($A268))</f>
        <v/>
      </c>
      <c r="K268" s="17" t="str">
        <f aca="false">IF($A268="","",IF(AND($A268&gt;=사용안내!$C$18,$A268&lt;=사용안내!$C$19),"1학기",IF(AND($A268&gt;=사용안내!$C$20,$A268&lt;=사용안내!$C$21),"2학기","기간외")))</f>
        <v/>
      </c>
    </row>
    <row r="269" customFormat="false" ht="15" hidden="false" customHeight="true" outlineLevel="0" collapsed="false">
      <c r="A269" s="16"/>
      <c r="B269" s="12"/>
      <c r="C269" s="17" t="str">
        <f aca="false">IF($B269="","",IFERROR(INDEX(학생명부!$B$3:$B$83,MATCH($B269,학생명부!$A$3:$A$83,0)),"학번없음"))</f>
        <v/>
      </c>
      <c r="D269" s="12"/>
      <c r="E269" s="18"/>
      <c r="F269" s="18"/>
      <c r="G269" s="19" t="str">
        <f aca="false">IF(OR($E269="",$F269=""),"",ROUND(IF($F269&lt;1,$F269*24,INT($F269/100)+MOD($F269,100)/60)-IF($E269&lt;1,$E269*24,INT($E269/100)+MOD($E269,100)/60),2))</f>
        <v/>
      </c>
      <c r="H269" s="12"/>
      <c r="I269" s="17" t="str">
        <f aca="false">IF($A269="","",YEAR($A269))</f>
        <v/>
      </c>
      <c r="J269" s="17" t="str">
        <f aca="false">IF($A269="","",MONTH($A269))</f>
        <v/>
      </c>
      <c r="K269" s="17" t="str">
        <f aca="false">IF($A269="","",IF(AND($A269&gt;=사용안내!$C$18,$A269&lt;=사용안내!$C$19),"1학기",IF(AND($A269&gt;=사용안내!$C$20,$A269&lt;=사용안내!$C$21),"2학기","기간외")))</f>
        <v/>
      </c>
    </row>
    <row r="270" customFormat="false" ht="15" hidden="false" customHeight="true" outlineLevel="0" collapsed="false">
      <c r="A270" s="16"/>
      <c r="B270" s="12"/>
      <c r="C270" s="17" t="str">
        <f aca="false">IF($B270="","",IFERROR(INDEX(학생명부!$B$3:$B$83,MATCH($B270,학생명부!$A$3:$A$83,0)),"학번없음"))</f>
        <v/>
      </c>
      <c r="D270" s="12"/>
      <c r="E270" s="18"/>
      <c r="F270" s="18"/>
      <c r="G270" s="19" t="str">
        <f aca="false">IF(OR($E270="",$F270=""),"",ROUND(IF($F270&lt;1,$F270*24,INT($F270/100)+MOD($F270,100)/60)-IF($E270&lt;1,$E270*24,INT($E270/100)+MOD($E270,100)/60),2))</f>
        <v/>
      </c>
      <c r="H270" s="12"/>
      <c r="I270" s="17" t="str">
        <f aca="false">IF($A270="","",YEAR($A270))</f>
        <v/>
      </c>
      <c r="J270" s="17" t="str">
        <f aca="false">IF($A270="","",MONTH($A270))</f>
        <v/>
      </c>
      <c r="K270" s="17" t="str">
        <f aca="false">IF($A270="","",IF(AND($A270&gt;=사용안내!$C$18,$A270&lt;=사용안내!$C$19),"1학기",IF(AND($A270&gt;=사용안내!$C$20,$A270&lt;=사용안내!$C$21),"2학기","기간외")))</f>
        <v/>
      </c>
    </row>
    <row r="271" customFormat="false" ht="15" hidden="false" customHeight="true" outlineLevel="0" collapsed="false">
      <c r="A271" s="16"/>
      <c r="B271" s="12"/>
      <c r="C271" s="17" t="str">
        <f aca="false">IF($B271="","",IFERROR(INDEX(학생명부!$B$3:$B$83,MATCH($B271,학생명부!$A$3:$A$83,0)),"학번없음"))</f>
        <v/>
      </c>
      <c r="D271" s="12"/>
      <c r="E271" s="18"/>
      <c r="F271" s="18"/>
      <c r="G271" s="19" t="str">
        <f aca="false">IF(OR($E271="",$F271=""),"",ROUND(IF($F271&lt;1,$F271*24,INT($F271/100)+MOD($F271,100)/60)-IF($E271&lt;1,$E271*24,INT($E271/100)+MOD($E271,100)/60),2))</f>
        <v/>
      </c>
      <c r="H271" s="12"/>
      <c r="I271" s="17" t="str">
        <f aca="false">IF($A271="","",YEAR($A271))</f>
        <v/>
      </c>
      <c r="J271" s="17" t="str">
        <f aca="false">IF($A271="","",MONTH($A271))</f>
        <v/>
      </c>
      <c r="K271" s="17" t="str">
        <f aca="false">IF($A271="","",IF(AND($A271&gt;=사용안내!$C$18,$A271&lt;=사용안내!$C$19),"1학기",IF(AND($A271&gt;=사용안내!$C$20,$A271&lt;=사용안내!$C$21),"2학기","기간외")))</f>
        <v/>
      </c>
    </row>
    <row r="272" customFormat="false" ht="15" hidden="false" customHeight="true" outlineLevel="0" collapsed="false">
      <c r="A272" s="16"/>
      <c r="B272" s="12"/>
      <c r="C272" s="17" t="str">
        <f aca="false">IF($B272="","",IFERROR(INDEX(학생명부!$B$3:$B$83,MATCH($B272,학생명부!$A$3:$A$83,0)),"학번없음"))</f>
        <v/>
      </c>
      <c r="D272" s="12"/>
      <c r="E272" s="18"/>
      <c r="F272" s="18"/>
      <c r="G272" s="19" t="str">
        <f aca="false">IF(OR($E272="",$F272=""),"",ROUND(IF($F272&lt;1,$F272*24,INT($F272/100)+MOD($F272,100)/60)-IF($E272&lt;1,$E272*24,INT($E272/100)+MOD($E272,100)/60),2))</f>
        <v/>
      </c>
      <c r="H272" s="12"/>
      <c r="I272" s="17" t="str">
        <f aca="false">IF($A272="","",YEAR($A272))</f>
        <v/>
      </c>
      <c r="J272" s="17" t="str">
        <f aca="false">IF($A272="","",MONTH($A272))</f>
        <v/>
      </c>
      <c r="K272" s="17" t="str">
        <f aca="false">IF($A272="","",IF(AND($A272&gt;=사용안내!$C$18,$A272&lt;=사용안내!$C$19),"1학기",IF(AND($A272&gt;=사용안내!$C$20,$A272&lt;=사용안내!$C$21),"2학기","기간외")))</f>
        <v/>
      </c>
    </row>
    <row r="273" customFormat="false" ht="15" hidden="false" customHeight="true" outlineLevel="0" collapsed="false">
      <c r="A273" s="16"/>
      <c r="B273" s="12"/>
      <c r="C273" s="17" t="str">
        <f aca="false">IF($B273="","",IFERROR(INDEX(학생명부!$B$3:$B$83,MATCH($B273,학생명부!$A$3:$A$83,0)),"학번없음"))</f>
        <v/>
      </c>
      <c r="D273" s="12"/>
      <c r="E273" s="18"/>
      <c r="F273" s="18"/>
      <c r="G273" s="19" t="str">
        <f aca="false">IF(OR($E273="",$F273=""),"",ROUND(IF($F273&lt;1,$F273*24,INT($F273/100)+MOD($F273,100)/60)-IF($E273&lt;1,$E273*24,INT($E273/100)+MOD($E273,100)/60),2))</f>
        <v/>
      </c>
      <c r="H273" s="12"/>
      <c r="I273" s="17" t="str">
        <f aca="false">IF($A273="","",YEAR($A273))</f>
        <v/>
      </c>
      <c r="J273" s="17" t="str">
        <f aca="false">IF($A273="","",MONTH($A273))</f>
        <v/>
      </c>
      <c r="K273" s="17" t="str">
        <f aca="false">IF($A273="","",IF(AND($A273&gt;=사용안내!$C$18,$A273&lt;=사용안내!$C$19),"1학기",IF(AND($A273&gt;=사용안내!$C$20,$A273&lt;=사용안내!$C$21),"2학기","기간외")))</f>
        <v/>
      </c>
    </row>
    <row r="274" customFormat="false" ht="15" hidden="false" customHeight="true" outlineLevel="0" collapsed="false">
      <c r="A274" s="16"/>
      <c r="B274" s="12"/>
      <c r="C274" s="17" t="str">
        <f aca="false">IF($B274="","",IFERROR(INDEX(학생명부!$B$3:$B$83,MATCH($B274,학생명부!$A$3:$A$83,0)),"학번없음"))</f>
        <v/>
      </c>
      <c r="D274" s="12"/>
      <c r="E274" s="18"/>
      <c r="F274" s="18"/>
      <c r="G274" s="19" t="str">
        <f aca="false">IF(OR($E274="",$F274=""),"",ROUND(IF($F274&lt;1,$F274*24,INT($F274/100)+MOD($F274,100)/60)-IF($E274&lt;1,$E274*24,INT($E274/100)+MOD($E274,100)/60),2))</f>
        <v/>
      </c>
      <c r="H274" s="12"/>
      <c r="I274" s="17" t="str">
        <f aca="false">IF($A274="","",YEAR($A274))</f>
        <v/>
      </c>
      <c r="J274" s="17" t="str">
        <f aca="false">IF($A274="","",MONTH($A274))</f>
        <v/>
      </c>
      <c r="K274" s="17" t="str">
        <f aca="false">IF($A274="","",IF(AND($A274&gt;=사용안내!$C$18,$A274&lt;=사용안내!$C$19),"1학기",IF(AND($A274&gt;=사용안내!$C$20,$A274&lt;=사용안내!$C$21),"2학기","기간외")))</f>
        <v/>
      </c>
    </row>
    <row r="275" customFormat="false" ht="15" hidden="false" customHeight="true" outlineLevel="0" collapsed="false">
      <c r="A275" s="16"/>
      <c r="B275" s="12"/>
      <c r="C275" s="17" t="str">
        <f aca="false">IF($B275="","",IFERROR(INDEX(학생명부!$B$3:$B$83,MATCH($B275,학생명부!$A$3:$A$83,0)),"학번없음"))</f>
        <v/>
      </c>
      <c r="D275" s="12"/>
      <c r="E275" s="18"/>
      <c r="F275" s="18"/>
      <c r="G275" s="19" t="str">
        <f aca="false">IF(OR($E275="",$F275=""),"",ROUND(IF($F275&lt;1,$F275*24,INT($F275/100)+MOD($F275,100)/60)-IF($E275&lt;1,$E275*24,INT($E275/100)+MOD($E275,100)/60),2))</f>
        <v/>
      </c>
      <c r="H275" s="12"/>
      <c r="I275" s="17" t="str">
        <f aca="false">IF($A275="","",YEAR($A275))</f>
        <v/>
      </c>
      <c r="J275" s="17" t="str">
        <f aca="false">IF($A275="","",MONTH($A275))</f>
        <v/>
      </c>
      <c r="K275" s="17" t="str">
        <f aca="false">IF($A275="","",IF(AND($A275&gt;=사용안내!$C$18,$A275&lt;=사용안내!$C$19),"1학기",IF(AND($A275&gt;=사용안내!$C$20,$A275&lt;=사용안내!$C$21),"2학기","기간외")))</f>
        <v/>
      </c>
    </row>
    <row r="276" customFormat="false" ht="15" hidden="false" customHeight="true" outlineLevel="0" collapsed="false">
      <c r="A276" s="16"/>
      <c r="B276" s="12"/>
      <c r="C276" s="17" t="str">
        <f aca="false">IF($B276="","",IFERROR(INDEX(학생명부!$B$3:$B$83,MATCH($B276,학생명부!$A$3:$A$83,0)),"학번없음"))</f>
        <v/>
      </c>
      <c r="D276" s="12"/>
      <c r="E276" s="18"/>
      <c r="F276" s="18"/>
      <c r="G276" s="19" t="str">
        <f aca="false">IF(OR($E276="",$F276=""),"",ROUND(IF($F276&lt;1,$F276*24,INT($F276/100)+MOD($F276,100)/60)-IF($E276&lt;1,$E276*24,INT($E276/100)+MOD($E276,100)/60),2))</f>
        <v/>
      </c>
      <c r="H276" s="12"/>
      <c r="I276" s="17" t="str">
        <f aca="false">IF($A276="","",YEAR($A276))</f>
        <v/>
      </c>
      <c r="J276" s="17" t="str">
        <f aca="false">IF($A276="","",MONTH($A276))</f>
        <v/>
      </c>
      <c r="K276" s="17" t="str">
        <f aca="false">IF($A276="","",IF(AND($A276&gt;=사용안내!$C$18,$A276&lt;=사용안내!$C$19),"1학기",IF(AND($A276&gt;=사용안내!$C$20,$A276&lt;=사용안내!$C$21),"2학기","기간외")))</f>
        <v/>
      </c>
    </row>
    <row r="277" customFormat="false" ht="15" hidden="false" customHeight="true" outlineLevel="0" collapsed="false">
      <c r="A277" s="16"/>
      <c r="B277" s="12"/>
      <c r="C277" s="17" t="str">
        <f aca="false">IF($B277="","",IFERROR(INDEX(학생명부!$B$3:$B$83,MATCH($B277,학생명부!$A$3:$A$83,0)),"학번없음"))</f>
        <v/>
      </c>
      <c r="D277" s="12"/>
      <c r="E277" s="18"/>
      <c r="F277" s="18"/>
      <c r="G277" s="19" t="str">
        <f aca="false">IF(OR($E277="",$F277=""),"",ROUND(IF($F277&lt;1,$F277*24,INT($F277/100)+MOD($F277,100)/60)-IF($E277&lt;1,$E277*24,INT($E277/100)+MOD($E277,100)/60),2))</f>
        <v/>
      </c>
      <c r="H277" s="12"/>
      <c r="I277" s="17" t="str">
        <f aca="false">IF($A277="","",YEAR($A277))</f>
        <v/>
      </c>
      <c r="J277" s="17" t="str">
        <f aca="false">IF($A277="","",MONTH($A277))</f>
        <v/>
      </c>
      <c r="K277" s="17" t="str">
        <f aca="false">IF($A277="","",IF(AND($A277&gt;=사용안내!$C$18,$A277&lt;=사용안내!$C$19),"1학기",IF(AND($A277&gt;=사용안내!$C$20,$A277&lt;=사용안내!$C$21),"2학기","기간외")))</f>
        <v/>
      </c>
    </row>
    <row r="278" customFormat="false" ht="15" hidden="false" customHeight="true" outlineLevel="0" collapsed="false">
      <c r="A278" s="16"/>
      <c r="B278" s="12"/>
      <c r="C278" s="17" t="str">
        <f aca="false">IF($B278="","",IFERROR(INDEX(학생명부!$B$3:$B$83,MATCH($B278,학생명부!$A$3:$A$83,0)),"학번없음"))</f>
        <v/>
      </c>
      <c r="D278" s="12"/>
      <c r="E278" s="18"/>
      <c r="F278" s="18"/>
      <c r="G278" s="19" t="str">
        <f aca="false">IF(OR($E278="",$F278=""),"",ROUND(IF($F278&lt;1,$F278*24,INT($F278/100)+MOD($F278,100)/60)-IF($E278&lt;1,$E278*24,INT($E278/100)+MOD($E278,100)/60),2))</f>
        <v/>
      </c>
      <c r="H278" s="12"/>
      <c r="I278" s="17" t="str">
        <f aca="false">IF($A278="","",YEAR($A278))</f>
        <v/>
      </c>
      <c r="J278" s="17" t="str">
        <f aca="false">IF($A278="","",MONTH($A278))</f>
        <v/>
      </c>
      <c r="K278" s="17" t="str">
        <f aca="false">IF($A278="","",IF(AND($A278&gt;=사용안내!$C$18,$A278&lt;=사용안내!$C$19),"1학기",IF(AND($A278&gt;=사용안내!$C$20,$A278&lt;=사용안내!$C$21),"2학기","기간외")))</f>
        <v/>
      </c>
    </row>
    <row r="279" customFormat="false" ht="15" hidden="false" customHeight="true" outlineLevel="0" collapsed="false">
      <c r="A279" s="16"/>
      <c r="B279" s="12"/>
      <c r="C279" s="17" t="str">
        <f aca="false">IF($B279="","",IFERROR(INDEX(학생명부!$B$3:$B$83,MATCH($B279,학생명부!$A$3:$A$83,0)),"학번없음"))</f>
        <v/>
      </c>
      <c r="D279" s="12"/>
      <c r="E279" s="18"/>
      <c r="F279" s="18"/>
      <c r="G279" s="19" t="str">
        <f aca="false">IF(OR($E279="",$F279=""),"",ROUND(IF($F279&lt;1,$F279*24,INT($F279/100)+MOD($F279,100)/60)-IF($E279&lt;1,$E279*24,INT($E279/100)+MOD($E279,100)/60),2))</f>
        <v/>
      </c>
      <c r="H279" s="12"/>
      <c r="I279" s="17" t="str">
        <f aca="false">IF($A279="","",YEAR($A279))</f>
        <v/>
      </c>
      <c r="J279" s="17" t="str">
        <f aca="false">IF($A279="","",MONTH($A279))</f>
        <v/>
      </c>
      <c r="K279" s="17" t="str">
        <f aca="false">IF($A279="","",IF(AND($A279&gt;=사용안내!$C$18,$A279&lt;=사용안내!$C$19),"1학기",IF(AND($A279&gt;=사용안내!$C$20,$A279&lt;=사용안내!$C$21),"2학기","기간외")))</f>
        <v/>
      </c>
    </row>
    <row r="280" customFormat="false" ht="15" hidden="false" customHeight="true" outlineLevel="0" collapsed="false">
      <c r="A280" s="16"/>
      <c r="B280" s="12"/>
      <c r="C280" s="17" t="str">
        <f aca="false">IF($B280="","",IFERROR(INDEX(학생명부!$B$3:$B$83,MATCH($B280,학생명부!$A$3:$A$83,0)),"학번없음"))</f>
        <v/>
      </c>
      <c r="D280" s="12"/>
      <c r="E280" s="18"/>
      <c r="F280" s="18"/>
      <c r="G280" s="19" t="str">
        <f aca="false">IF(OR($E280="",$F280=""),"",ROUND(IF($F280&lt;1,$F280*24,INT($F280/100)+MOD($F280,100)/60)-IF($E280&lt;1,$E280*24,INT($E280/100)+MOD($E280,100)/60),2))</f>
        <v/>
      </c>
      <c r="H280" s="12"/>
      <c r="I280" s="17" t="str">
        <f aca="false">IF($A280="","",YEAR($A280))</f>
        <v/>
      </c>
      <c r="J280" s="17" t="str">
        <f aca="false">IF($A280="","",MONTH($A280))</f>
        <v/>
      </c>
      <c r="K280" s="17" t="str">
        <f aca="false">IF($A280="","",IF(AND($A280&gt;=사용안내!$C$18,$A280&lt;=사용안내!$C$19),"1학기",IF(AND($A280&gt;=사용안내!$C$20,$A280&lt;=사용안내!$C$21),"2학기","기간외")))</f>
        <v/>
      </c>
    </row>
    <row r="281" customFormat="false" ht="15" hidden="false" customHeight="true" outlineLevel="0" collapsed="false">
      <c r="A281" s="16"/>
      <c r="B281" s="12"/>
      <c r="C281" s="17" t="str">
        <f aca="false">IF($B281="","",IFERROR(INDEX(학생명부!$B$3:$B$83,MATCH($B281,학생명부!$A$3:$A$83,0)),"학번없음"))</f>
        <v/>
      </c>
      <c r="D281" s="12"/>
      <c r="E281" s="18"/>
      <c r="F281" s="18"/>
      <c r="G281" s="19" t="str">
        <f aca="false">IF(OR($E281="",$F281=""),"",ROUND(IF($F281&lt;1,$F281*24,INT($F281/100)+MOD($F281,100)/60)-IF($E281&lt;1,$E281*24,INT($E281/100)+MOD($E281,100)/60),2))</f>
        <v/>
      </c>
      <c r="H281" s="12"/>
      <c r="I281" s="17" t="str">
        <f aca="false">IF($A281="","",YEAR($A281))</f>
        <v/>
      </c>
      <c r="J281" s="17" t="str">
        <f aca="false">IF($A281="","",MONTH($A281))</f>
        <v/>
      </c>
      <c r="K281" s="17" t="str">
        <f aca="false">IF($A281="","",IF(AND($A281&gt;=사용안내!$C$18,$A281&lt;=사용안내!$C$19),"1학기",IF(AND($A281&gt;=사용안내!$C$20,$A281&lt;=사용안내!$C$21),"2학기","기간외")))</f>
        <v/>
      </c>
    </row>
    <row r="282" customFormat="false" ht="15" hidden="false" customHeight="true" outlineLevel="0" collapsed="false">
      <c r="A282" s="16"/>
      <c r="B282" s="12"/>
      <c r="C282" s="17" t="str">
        <f aca="false">IF($B282="","",IFERROR(INDEX(학생명부!$B$3:$B$83,MATCH($B282,학생명부!$A$3:$A$83,0)),"학번없음"))</f>
        <v/>
      </c>
      <c r="D282" s="12"/>
      <c r="E282" s="18"/>
      <c r="F282" s="18"/>
      <c r="G282" s="19" t="str">
        <f aca="false">IF(OR($E282="",$F282=""),"",ROUND(IF($F282&lt;1,$F282*24,INT($F282/100)+MOD($F282,100)/60)-IF($E282&lt;1,$E282*24,INT($E282/100)+MOD($E282,100)/60),2))</f>
        <v/>
      </c>
      <c r="H282" s="12"/>
      <c r="I282" s="17" t="str">
        <f aca="false">IF($A282="","",YEAR($A282))</f>
        <v/>
      </c>
      <c r="J282" s="17" t="str">
        <f aca="false">IF($A282="","",MONTH($A282))</f>
        <v/>
      </c>
      <c r="K282" s="17" t="str">
        <f aca="false">IF($A282="","",IF(AND($A282&gt;=사용안내!$C$18,$A282&lt;=사용안내!$C$19),"1학기",IF(AND($A282&gt;=사용안내!$C$20,$A282&lt;=사용안내!$C$21),"2학기","기간외")))</f>
        <v/>
      </c>
    </row>
    <row r="283" customFormat="false" ht="15" hidden="false" customHeight="true" outlineLevel="0" collapsed="false">
      <c r="A283" s="16"/>
      <c r="B283" s="12"/>
      <c r="C283" s="17" t="str">
        <f aca="false">IF($B283="","",IFERROR(INDEX(학생명부!$B$3:$B$83,MATCH($B283,학생명부!$A$3:$A$83,0)),"학번없음"))</f>
        <v/>
      </c>
      <c r="D283" s="12"/>
      <c r="E283" s="18"/>
      <c r="F283" s="18"/>
      <c r="G283" s="19" t="str">
        <f aca="false">IF(OR($E283="",$F283=""),"",ROUND(IF($F283&lt;1,$F283*24,INT($F283/100)+MOD($F283,100)/60)-IF($E283&lt;1,$E283*24,INT($E283/100)+MOD($E283,100)/60),2))</f>
        <v/>
      </c>
      <c r="H283" s="12"/>
      <c r="I283" s="17" t="str">
        <f aca="false">IF($A283="","",YEAR($A283))</f>
        <v/>
      </c>
      <c r="J283" s="17" t="str">
        <f aca="false">IF($A283="","",MONTH($A283))</f>
        <v/>
      </c>
      <c r="K283" s="17" t="str">
        <f aca="false">IF($A283="","",IF(AND($A283&gt;=사용안내!$C$18,$A283&lt;=사용안내!$C$19),"1학기",IF(AND($A283&gt;=사용안내!$C$20,$A283&lt;=사용안내!$C$21),"2학기","기간외")))</f>
        <v/>
      </c>
    </row>
    <row r="284" customFormat="false" ht="15" hidden="false" customHeight="true" outlineLevel="0" collapsed="false">
      <c r="A284" s="16"/>
      <c r="B284" s="12"/>
      <c r="C284" s="17" t="str">
        <f aca="false">IF($B284="","",IFERROR(INDEX(학생명부!$B$3:$B$83,MATCH($B284,학생명부!$A$3:$A$83,0)),"학번없음"))</f>
        <v/>
      </c>
      <c r="D284" s="12"/>
      <c r="E284" s="18"/>
      <c r="F284" s="18"/>
      <c r="G284" s="19" t="str">
        <f aca="false">IF(OR($E284="",$F284=""),"",ROUND(IF($F284&lt;1,$F284*24,INT($F284/100)+MOD($F284,100)/60)-IF($E284&lt;1,$E284*24,INT($E284/100)+MOD($E284,100)/60),2))</f>
        <v/>
      </c>
      <c r="H284" s="12"/>
      <c r="I284" s="17" t="str">
        <f aca="false">IF($A284="","",YEAR($A284))</f>
        <v/>
      </c>
      <c r="J284" s="17" t="str">
        <f aca="false">IF($A284="","",MONTH($A284))</f>
        <v/>
      </c>
      <c r="K284" s="17" t="str">
        <f aca="false">IF($A284="","",IF(AND($A284&gt;=사용안내!$C$18,$A284&lt;=사용안내!$C$19),"1학기",IF(AND($A284&gt;=사용안내!$C$20,$A284&lt;=사용안내!$C$21),"2학기","기간외")))</f>
        <v/>
      </c>
    </row>
    <row r="285" customFormat="false" ht="15" hidden="false" customHeight="true" outlineLevel="0" collapsed="false">
      <c r="A285" s="16"/>
      <c r="B285" s="12"/>
      <c r="C285" s="17" t="str">
        <f aca="false">IF($B285="","",IFERROR(INDEX(학생명부!$B$3:$B$83,MATCH($B285,학생명부!$A$3:$A$83,0)),"학번없음"))</f>
        <v/>
      </c>
      <c r="D285" s="12"/>
      <c r="E285" s="18"/>
      <c r="F285" s="18"/>
      <c r="G285" s="19" t="str">
        <f aca="false">IF(OR($E285="",$F285=""),"",ROUND(IF($F285&lt;1,$F285*24,INT($F285/100)+MOD($F285,100)/60)-IF($E285&lt;1,$E285*24,INT($E285/100)+MOD($E285,100)/60),2))</f>
        <v/>
      </c>
      <c r="H285" s="12"/>
      <c r="I285" s="17" t="str">
        <f aca="false">IF($A285="","",YEAR($A285))</f>
        <v/>
      </c>
      <c r="J285" s="17" t="str">
        <f aca="false">IF($A285="","",MONTH($A285))</f>
        <v/>
      </c>
      <c r="K285" s="17" t="str">
        <f aca="false">IF($A285="","",IF(AND($A285&gt;=사용안내!$C$18,$A285&lt;=사용안내!$C$19),"1학기",IF(AND($A285&gt;=사용안내!$C$20,$A285&lt;=사용안내!$C$21),"2학기","기간외")))</f>
        <v/>
      </c>
    </row>
    <row r="286" customFormat="false" ht="15" hidden="false" customHeight="true" outlineLevel="0" collapsed="false">
      <c r="A286" s="16"/>
      <c r="B286" s="12"/>
      <c r="C286" s="17" t="str">
        <f aca="false">IF($B286="","",IFERROR(INDEX(학생명부!$B$3:$B$83,MATCH($B286,학생명부!$A$3:$A$83,0)),"학번없음"))</f>
        <v/>
      </c>
      <c r="D286" s="12"/>
      <c r="E286" s="18"/>
      <c r="F286" s="18"/>
      <c r="G286" s="19" t="str">
        <f aca="false">IF(OR($E286="",$F286=""),"",ROUND(IF($F286&lt;1,$F286*24,INT($F286/100)+MOD($F286,100)/60)-IF($E286&lt;1,$E286*24,INT($E286/100)+MOD($E286,100)/60),2))</f>
        <v/>
      </c>
      <c r="H286" s="12"/>
      <c r="I286" s="17" t="str">
        <f aca="false">IF($A286="","",YEAR($A286))</f>
        <v/>
      </c>
      <c r="J286" s="17" t="str">
        <f aca="false">IF($A286="","",MONTH($A286))</f>
        <v/>
      </c>
      <c r="K286" s="17" t="str">
        <f aca="false">IF($A286="","",IF(AND($A286&gt;=사용안내!$C$18,$A286&lt;=사용안내!$C$19),"1학기",IF(AND($A286&gt;=사용안내!$C$20,$A286&lt;=사용안내!$C$21),"2학기","기간외")))</f>
        <v/>
      </c>
    </row>
    <row r="287" customFormat="false" ht="15" hidden="false" customHeight="true" outlineLevel="0" collapsed="false">
      <c r="A287" s="16"/>
      <c r="B287" s="12"/>
      <c r="C287" s="17" t="str">
        <f aca="false">IF($B287="","",IFERROR(INDEX(학생명부!$B$3:$B$83,MATCH($B287,학생명부!$A$3:$A$83,0)),"학번없음"))</f>
        <v/>
      </c>
      <c r="D287" s="12"/>
      <c r="E287" s="18"/>
      <c r="F287" s="18"/>
      <c r="G287" s="19" t="str">
        <f aca="false">IF(OR($E287="",$F287=""),"",ROUND(IF($F287&lt;1,$F287*24,INT($F287/100)+MOD($F287,100)/60)-IF($E287&lt;1,$E287*24,INT($E287/100)+MOD($E287,100)/60),2))</f>
        <v/>
      </c>
      <c r="H287" s="12"/>
      <c r="I287" s="17" t="str">
        <f aca="false">IF($A287="","",YEAR($A287))</f>
        <v/>
      </c>
      <c r="J287" s="17" t="str">
        <f aca="false">IF($A287="","",MONTH($A287))</f>
        <v/>
      </c>
      <c r="K287" s="17" t="str">
        <f aca="false">IF($A287="","",IF(AND($A287&gt;=사용안내!$C$18,$A287&lt;=사용안내!$C$19),"1학기",IF(AND($A287&gt;=사용안내!$C$20,$A287&lt;=사용안내!$C$21),"2학기","기간외")))</f>
        <v/>
      </c>
    </row>
    <row r="288" customFormat="false" ht="15" hidden="false" customHeight="true" outlineLevel="0" collapsed="false">
      <c r="A288" s="16"/>
      <c r="B288" s="12"/>
      <c r="C288" s="17" t="str">
        <f aca="false">IF($B288="","",IFERROR(INDEX(학생명부!$B$3:$B$83,MATCH($B288,학생명부!$A$3:$A$83,0)),"학번없음"))</f>
        <v/>
      </c>
      <c r="D288" s="12"/>
      <c r="E288" s="18"/>
      <c r="F288" s="18"/>
      <c r="G288" s="19" t="str">
        <f aca="false">IF(OR($E288="",$F288=""),"",ROUND(IF($F288&lt;1,$F288*24,INT($F288/100)+MOD($F288,100)/60)-IF($E288&lt;1,$E288*24,INT($E288/100)+MOD($E288,100)/60),2))</f>
        <v/>
      </c>
      <c r="H288" s="12"/>
      <c r="I288" s="17" t="str">
        <f aca="false">IF($A288="","",YEAR($A288))</f>
        <v/>
      </c>
      <c r="J288" s="17" t="str">
        <f aca="false">IF($A288="","",MONTH($A288))</f>
        <v/>
      </c>
      <c r="K288" s="17" t="str">
        <f aca="false">IF($A288="","",IF(AND($A288&gt;=사용안내!$C$18,$A288&lt;=사용안내!$C$19),"1학기",IF(AND($A288&gt;=사용안내!$C$20,$A288&lt;=사용안내!$C$21),"2학기","기간외")))</f>
        <v/>
      </c>
    </row>
    <row r="289" customFormat="false" ht="15" hidden="false" customHeight="true" outlineLevel="0" collapsed="false">
      <c r="A289" s="16"/>
      <c r="B289" s="12"/>
      <c r="C289" s="17" t="str">
        <f aca="false">IF($B289="","",IFERROR(INDEX(학생명부!$B$3:$B$83,MATCH($B289,학생명부!$A$3:$A$83,0)),"학번없음"))</f>
        <v/>
      </c>
      <c r="D289" s="12"/>
      <c r="E289" s="18"/>
      <c r="F289" s="18"/>
      <c r="G289" s="19" t="str">
        <f aca="false">IF(OR($E289="",$F289=""),"",ROUND(IF($F289&lt;1,$F289*24,INT($F289/100)+MOD($F289,100)/60)-IF($E289&lt;1,$E289*24,INT($E289/100)+MOD($E289,100)/60),2))</f>
        <v/>
      </c>
      <c r="H289" s="12"/>
      <c r="I289" s="17" t="str">
        <f aca="false">IF($A289="","",YEAR($A289))</f>
        <v/>
      </c>
      <c r="J289" s="17" t="str">
        <f aca="false">IF($A289="","",MONTH($A289))</f>
        <v/>
      </c>
      <c r="K289" s="17" t="str">
        <f aca="false">IF($A289="","",IF(AND($A289&gt;=사용안내!$C$18,$A289&lt;=사용안내!$C$19),"1학기",IF(AND($A289&gt;=사용안내!$C$20,$A289&lt;=사용안내!$C$21),"2학기","기간외")))</f>
        <v/>
      </c>
    </row>
    <row r="290" customFormat="false" ht="15" hidden="false" customHeight="true" outlineLevel="0" collapsed="false">
      <c r="A290" s="16"/>
      <c r="B290" s="12"/>
      <c r="C290" s="17" t="str">
        <f aca="false">IF($B290="","",IFERROR(INDEX(학생명부!$B$3:$B$83,MATCH($B290,학생명부!$A$3:$A$83,0)),"학번없음"))</f>
        <v/>
      </c>
      <c r="D290" s="12"/>
      <c r="E290" s="18"/>
      <c r="F290" s="18"/>
      <c r="G290" s="19" t="str">
        <f aca="false">IF(OR($E290="",$F290=""),"",ROUND(IF($F290&lt;1,$F290*24,INT($F290/100)+MOD($F290,100)/60)-IF($E290&lt;1,$E290*24,INT($E290/100)+MOD($E290,100)/60),2))</f>
        <v/>
      </c>
      <c r="H290" s="12"/>
      <c r="I290" s="17" t="str">
        <f aca="false">IF($A290="","",YEAR($A290))</f>
        <v/>
      </c>
      <c r="J290" s="17" t="str">
        <f aca="false">IF($A290="","",MONTH($A290))</f>
        <v/>
      </c>
      <c r="K290" s="17" t="str">
        <f aca="false">IF($A290="","",IF(AND($A290&gt;=사용안내!$C$18,$A290&lt;=사용안내!$C$19),"1학기",IF(AND($A290&gt;=사용안내!$C$20,$A290&lt;=사용안내!$C$21),"2학기","기간외")))</f>
        <v/>
      </c>
    </row>
    <row r="291" customFormat="false" ht="15" hidden="false" customHeight="true" outlineLevel="0" collapsed="false">
      <c r="A291" s="16"/>
      <c r="B291" s="12"/>
      <c r="C291" s="17" t="str">
        <f aca="false">IF($B291="","",IFERROR(INDEX(학생명부!$B$3:$B$83,MATCH($B291,학생명부!$A$3:$A$83,0)),"학번없음"))</f>
        <v/>
      </c>
      <c r="D291" s="12"/>
      <c r="E291" s="18"/>
      <c r="F291" s="18"/>
      <c r="G291" s="19" t="str">
        <f aca="false">IF(OR($E291="",$F291=""),"",ROUND(IF($F291&lt;1,$F291*24,INT($F291/100)+MOD($F291,100)/60)-IF($E291&lt;1,$E291*24,INT($E291/100)+MOD($E291,100)/60),2))</f>
        <v/>
      </c>
      <c r="H291" s="12"/>
      <c r="I291" s="17" t="str">
        <f aca="false">IF($A291="","",YEAR($A291))</f>
        <v/>
      </c>
      <c r="J291" s="17" t="str">
        <f aca="false">IF($A291="","",MONTH($A291))</f>
        <v/>
      </c>
      <c r="K291" s="17" t="str">
        <f aca="false">IF($A291="","",IF(AND($A291&gt;=사용안내!$C$18,$A291&lt;=사용안내!$C$19),"1학기",IF(AND($A291&gt;=사용안내!$C$20,$A291&lt;=사용안내!$C$21),"2학기","기간외")))</f>
        <v/>
      </c>
    </row>
    <row r="292" customFormat="false" ht="15" hidden="false" customHeight="true" outlineLevel="0" collapsed="false">
      <c r="A292" s="16"/>
      <c r="B292" s="12"/>
      <c r="C292" s="17" t="str">
        <f aca="false">IF($B292="","",IFERROR(INDEX(학생명부!$B$3:$B$83,MATCH($B292,학생명부!$A$3:$A$83,0)),"학번없음"))</f>
        <v/>
      </c>
      <c r="D292" s="12"/>
      <c r="E292" s="18"/>
      <c r="F292" s="18"/>
      <c r="G292" s="19" t="str">
        <f aca="false">IF(OR($E292="",$F292=""),"",ROUND(IF($F292&lt;1,$F292*24,INT($F292/100)+MOD($F292,100)/60)-IF($E292&lt;1,$E292*24,INT($E292/100)+MOD($E292,100)/60),2))</f>
        <v/>
      </c>
      <c r="H292" s="12"/>
      <c r="I292" s="17" t="str">
        <f aca="false">IF($A292="","",YEAR($A292))</f>
        <v/>
      </c>
      <c r="J292" s="17" t="str">
        <f aca="false">IF($A292="","",MONTH($A292))</f>
        <v/>
      </c>
      <c r="K292" s="17" t="str">
        <f aca="false">IF($A292="","",IF(AND($A292&gt;=사용안내!$C$18,$A292&lt;=사용안내!$C$19),"1학기",IF(AND($A292&gt;=사용안내!$C$20,$A292&lt;=사용안내!$C$21),"2학기","기간외")))</f>
        <v/>
      </c>
    </row>
    <row r="293" customFormat="false" ht="15" hidden="false" customHeight="true" outlineLevel="0" collapsed="false">
      <c r="A293" s="16"/>
      <c r="B293" s="12"/>
      <c r="C293" s="17" t="str">
        <f aca="false">IF($B293="","",IFERROR(INDEX(학생명부!$B$3:$B$83,MATCH($B293,학생명부!$A$3:$A$83,0)),"학번없음"))</f>
        <v/>
      </c>
      <c r="D293" s="12"/>
      <c r="E293" s="18"/>
      <c r="F293" s="18"/>
      <c r="G293" s="19" t="str">
        <f aca="false">IF(OR($E293="",$F293=""),"",ROUND(IF($F293&lt;1,$F293*24,INT($F293/100)+MOD($F293,100)/60)-IF($E293&lt;1,$E293*24,INT($E293/100)+MOD($E293,100)/60),2))</f>
        <v/>
      </c>
      <c r="H293" s="12"/>
      <c r="I293" s="17" t="str">
        <f aca="false">IF($A293="","",YEAR($A293))</f>
        <v/>
      </c>
      <c r="J293" s="17" t="str">
        <f aca="false">IF($A293="","",MONTH($A293))</f>
        <v/>
      </c>
      <c r="K293" s="17" t="str">
        <f aca="false">IF($A293="","",IF(AND($A293&gt;=사용안내!$C$18,$A293&lt;=사용안내!$C$19),"1학기",IF(AND($A293&gt;=사용안내!$C$20,$A293&lt;=사용안내!$C$21),"2학기","기간외")))</f>
        <v/>
      </c>
    </row>
    <row r="294" customFormat="false" ht="15" hidden="false" customHeight="true" outlineLevel="0" collapsed="false">
      <c r="A294" s="16"/>
      <c r="B294" s="12"/>
      <c r="C294" s="17" t="str">
        <f aca="false">IF($B294="","",IFERROR(INDEX(학생명부!$B$3:$B$83,MATCH($B294,학생명부!$A$3:$A$83,0)),"학번없음"))</f>
        <v/>
      </c>
      <c r="D294" s="12"/>
      <c r="E294" s="18"/>
      <c r="F294" s="18"/>
      <c r="G294" s="19" t="str">
        <f aca="false">IF(OR($E294="",$F294=""),"",ROUND(IF($F294&lt;1,$F294*24,INT($F294/100)+MOD($F294,100)/60)-IF($E294&lt;1,$E294*24,INT($E294/100)+MOD($E294,100)/60),2))</f>
        <v/>
      </c>
      <c r="H294" s="12"/>
      <c r="I294" s="17" t="str">
        <f aca="false">IF($A294="","",YEAR($A294))</f>
        <v/>
      </c>
      <c r="J294" s="17" t="str">
        <f aca="false">IF($A294="","",MONTH($A294))</f>
        <v/>
      </c>
      <c r="K294" s="17" t="str">
        <f aca="false">IF($A294="","",IF(AND($A294&gt;=사용안내!$C$18,$A294&lt;=사용안내!$C$19),"1학기",IF(AND($A294&gt;=사용안내!$C$20,$A294&lt;=사용안내!$C$21),"2학기","기간외")))</f>
        <v/>
      </c>
    </row>
    <row r="295" customFormat="false" ht="15" hidden="false" customHeight="true" outlineLevel="0" collapsed="false">
      <c r="A295" s="16"/>
      <c r="B295" s="12"/>
      <c r="C295" s="17" t="str">
        <f aca="false">IF($B295="","",IFERROR(INDEX(학생명부!$B$3:$B$83,MATCH($B295,학생명부!$A$3:$A$83,0)),"학번없음"))</f>
        <v/>
      </c>
      <c r="D295" s="12"/>
      <c r="E295" s="18"/>
      <c r="F295" s="18"/>
      <c r="G295" s="19" t="str">
        <f aca="false">IF(OR($E295="",$F295=""),"",ROUND(IF($F295&lt;1,$F295*24,INT($F295/100)+MOD($F295,100)/60)-IF($E295&lt;1,$E295*24,INT($E295/100)+MOD($E295,100)/60),2))</f>
        <v/>
      </c>
      <c r="H295" s="12"/>
      <c r="I295" s="17" t="str">
        <f aca="false">IF($A295="","",YEAR($A295))</f>
        <v/>
      </c>
      <c r="J295" s="17" t="str">
        <f aca="false">IF($A295="","",MONTH($A295))</f>
        <v/>
      </c>
      <c r="K295" s="17" t="str">
        <f aca="false">IF($A295="","",IF(AND($A295&gt;=사용안내!$C$18,$A295&lt;=사용안내!$C$19),"1학기",IF(AND($A295&gt;=사용안내!$C$20,$A295&lt;=사용안내!$C$21),"2학기","기간외")))</f>
        <v/>
      </c>
    </row>
    <row r="296" customFormat="false" ht="15" hidden="false" customHeight="true" outlineLevel="0" collapsed="false">
      <c r="A296" s="16"/>
      <c r="B296" s="12"/>
      <c r="C296" s="17" t="str">
        <f aca="false">IF($B296="","",IFERROR(INDEX(학생명부!$B$3:$B$83,MATCH($B296,학생명부!$A$3:$A$83,0)),"학번없음"))</f>
        <v/>
      </c>
      <c r="D296" s="12"/>
      <c r="E296" s="18"/>
      <c r="F296" s="18"/>
      <c r="G296" s="19" t="str">
        <f aca="false">IF(OR($E296="",$F296=""),"",ROUND(IF($F296&lt;1,$F296*24,INT($F296/100)+MOD($F296,100)/60)-IF($E296&lt;1,$E296*24,INT($E296/100)+MOD($E296,100)/60),2))</f>
        <v/>
      </c>
      <c r="H296" s="12"/>
      <c r="I296" s="17" t="str">
        <f aca="false">IF($A296="","",YEAR($A296))</f>
        <v/>
      </c>
      <c r="J296" s="17" t="str">
        <f aca="false">IF($A296="","",MONTH($A296))</f>
        <v/>
      </c>
      <c r="K296" s="17" t="str">
        <f aca="false">IF($A296="","",IF(AND($A296&gt;=사용안내!$C$18,$A296&lt;=사용안내!$C$19),"1학기",IF(AND($A296&gt;=사용안내!$C$20,$A296&lt;=사용안내!$C$21),"2학기","기간외")))</f>
        <v/>
      </c>
    </row>
    <row r="297" customFormat="false" ht="15" hidden="false" customHeight="true" outlineLevel="0" collapsed="false">
      <c r="A297" s="16"/>
      <c r="B297" s="12"/>
      <c r="C297" s="17" t="str">
        <f aca="false">IF($B297="","",IFERROR(INDEX(학생명부!$B$3:$B$83,MATCH($B297,학생명부!$A$3:$A$83,0)),"학번없음"))</f>
        <v/>
      </c>
      <c r="D297" s="12"/>
      <c r="E297" s="18"/>
      <c r="F297" s="18"/>
      <c r="G297" s="19" t="str">
        <f aca="false">IF(OR($E297="",$F297=""),"",ROUND(IF($F297&lt;1,$F297*24,INT($F297/100)+MOD($F297,100)/60)-IF($E297&lt;1,$E297*24,INT($E297/100)+MOD($E297,100)/60),2))</f>
        <v/>
      </c>
      <c r="H297" s="12"/>
      <c r="I297" s="17" t="str">
        <f aca="false">IF($A297="","",YEAR($A297))</f>
        <v/>
      </c>
      <c r="J297" s="17" t="str">
        <f aca="false">IF($A297="","",MONTH($A297))</f>
        <v/>
      </c>
      <c r="K297" s="17" t="str">
        <f aca="false">IF($A297="","",IF(AND($A297&gt;=사용안내!$C$18,$A297&lt;=사용안내!$C$19),"1학기",IF(AND($A297&gt;=사용안내!$C$20,$A297&lt;=사용안내!$C$21),"2학기","기간외")))</f>
        <v/>
      </c>
    </row>
    <row r="298" customFormat="false" ht="15" hidden="false" customHeight="true" outlineLevel="0" collapsed="false">
      <c r="A298" s="16"/>
      <c r="B298" s="12"/>
      <c r="C298" s="17" t="str">
        <f aca="false">IF($B298="","",IFERROR(INDEX(학생명부!$B$3:$B$83,MATCH($B298,학생명부!$A$3:$A$83,0)),"학번없음"))</f>
        <v/>
      </c>
      <c r="D298" s="12"/>
      <c r="E298" s="18"/>
      <c r="F298" s="18"/>
      <c r="G298" s="19" t="str">
        <f aca="false">IF(OR($E298="",$F298=""),"",ROUND(IF($F298&lt;1,$F298*24,INT($F298/100)+MOD($F298,100)/60)-IF($E298&lt;1,$E298*24,INT($E298/100)+MOD($E298,100)/60),2))</f>
        <v/>
      </c>
      <c r="H298" s="12"/>
      <c r="I298" s="17" t="str">
        <f aca="false">IF($A298="","",YEAR($A298))</f>
        <v/>
      </c>
      <c r="J298" s="17" t="str">
        <f aca="false">IF($A298="","",MONTH($A298))</f>
        <v/>
      </c>
      <c r="K298" s="17" t="str">
        <f aca="false">IF($A298="","",IF(AND($A298&gt;=사용안내!$C$18,$A298&lt;=사용안내!$C$19),"1학기",IF(AND($A298&gt;=사용안내!$C$20,$A298&lt;=사용안내!$C$21),"2학기","기간외")))</f>
        <v/>
      </c>
    </row>
    <row r="299" customFormat="false" ht="15" hidden="false" customHeight="true" outlineLevel="0" collapsed="false">
      <c r="A299" s="16"/>
      <c r="B299" s="12"/>
      <c r="C299" s="17" t="str">
        <f aca="false">IF($B299="","",IFERROR(INDEX(학생명부!$B$3:$B$83,MATCH($B299,학생명부!$A$3:$A$83,0)),"학번없음"))</f>
        <v/>
      </c>
      <c r="D299" s="12"/>
      <c r="E299" s="18"/>
      <c r="F299" s="18"/>
      <c r="G299" s="19" t="str">
        <f aca="false">IF(OR($E299="",$F299=""),"",ROUND(IF($F299&lt;1,$F299*24,INT($F299/100)+MOD($F299,100)/60)-IF($E299&lt;1,$E299*24,INT($E299/100)+MOD($E299,100)/60),2))</f>
        <v/>
      </c>
      <c r="H299" s="12"/>
      <c r="I299" s="17" t="str">
        <f aca="false">IF($A299="","",YEAR($A299))</f>
        <v/>
      </c>
      <c r="J299" s="17" t="str">
        <f aca="false">IF($A299="","",MONTH($A299))</f>
        <v/>
      </c>
      <c r="K299" s="17" t="str">
        <f aca="false">IF($A299="","",IF(AND($A299&gt;=사용안내!$C$18,$A299&lt;=사용안내!$C$19),"1학기",IF(AND($A299&gt;=사용안내!$C$20,$A299&lt;=사용안내!$C$21),"2학기","기간외")))</f>
        <v/>
      </c>
    </row>
    <row r="300" customFormat="false" ht="15" hidden="false" customHeight="true" outlineLevel="0" collapsed="false">
      <c r="A300" s="16"/>
      <c r="B300" s="12"/>
      <c r="C300" s="17" t="str">
        <f aca="false">IF($B300="","",IFERROR(INDEX(학생명부!$B$3:$B$83,MATCH($B300,학생명부!$A$3:$A$83,0)),"학번없음"))</f>
        <v/>
      </c>
      <c r="D300" s="12"/>
      <c r="E300" s="18"/>
      <c r="F300" s="18"/>
      <c r="G300" s="19" t="str">
        <f aca="false">IF(OR($E300="",$F300=""),"",ROUND(IF($F300&lt;1,$F300*24,INT($F300/100)+MOD($F300,100)/60)-IF($E300&lt;1,$E300*24,INT($E300/100)+MOD($E300,100)/60),2))</f>
        <v/>
      </c>
      <c r="H300" s="12"/>
      <c r="I300" s="17" t="str">
        <f aca="false">IF($A300="","",YEAR($A300))</f>
        <v/>
      </c>
      <c r="J300" s="17" t="str">
        <f aca="false">IF($A300="","",MONTH($A300))</f>
        <v/>
      </c>
      <c r="K300" s="17" t="str">
        <f aca="false">IF($A300="","",IF(AND($A300&gt;=사용안내!$C$18,$A300&lt;=사용안내!$C$19),"1학기",IF(AND($A300&gt;=사용안내!$C$20,$A300&lt;=사용안내!$C$21),"2학기","기간외")))</f>
        <v/>
      </c>
    </row>
    <row r="301" customFormat="false" ht="15" hidden="false" customHeight="true" outlineLevel="0" collapsed="false">
      <c r="A301" s="16"/>
      <c r="B301" s="12"/>
      <c r="C301" s="17" t="str">
        <f aca="false">IF($B301="","",IFERROR(INDEX(학생명부!$B$3:$B$83,MATCH($B301,학생명부!$A$3:$A$83,0)),"학번없음"))</f>
        <v/>
      </c>
      <c r="D301" s="12"/>
      <c r="E301" s="18"/>
      <c r="F301" s="18"/>
      <c r="G301" s="19" t="str">
        <f aca="false">IF(OR($E301="",$F301=""),"",ROUND(IF($F301&lt;1,$F301*24,INT($F301/100)+MOD($F301,100)/60)-IF($E301&lt;1,$E301*24,INT($E301/100)+MOD($E301,100)/60),2))</f>
        <v/>
      </c>
      <c r="H301" s="12"/>
      <c r="I301" s="17" t="str">
        <f aca="false">IF($A301="","",YEAR($A301))</f>
        <v/>
      </c>
      <c r="J301" s="17" t="str">
        <f aca="false">IF($A301="","",MONTH($A301))</f>
        <v/>
      </c>
      <c r="K301" s="17" t="str">
        <f aca="false">IF($A301="","",IF(AND($A301&gt;=사용안내!$C$18,$A301&lt;=사용안내!$C$19),"1학기",IF(AND($A301&gt;=사용안내!$C$20,$A301&lt;=사용안내!$C$21),"2학기","기간외")))</f>
        <v/>
      </c>
    </row>
    <row r="302" customFormat="false" ht="15" hidden="false" customHeight="true" outlineLevel="0" collapsed="false">
      <c r="A302" s="16"/>
      <c r="B302" s="12"/>
      <c r="C302" s="17" t="str">
        <f aca="false">IF($B302="","",IFERROR(INDEX(학생명부!$B$3:$B$83,MATCH($B302,학생명부!$A$3:$A$83,0)),"학번없음"))</f>
        <v/>
      </c>
      <c r="D302" s="12"/>
      <c r="E302" s="18"/>
      <c r="F302" s="18"/>
      <c r="G302" s="19" t="str">
        <f aca="false">IF(OR($E302="",$F302=""),"",ROUND(IF($F302&lt;1,$F302*24,INT($F302/100)+MOD($F302,100)/60)-IF($E302&lt;1,$E302*24,INT($E302/100)+MOD($E302,100)/60),2))</f>
        <v/>
      </c>
      <c r="H302" s="12"/>
      <c r="I302" s="17" t="str">
        <f aca="false">IF($A302="","",YEAR($A302))</f>
        <v/>
      </c>
      <c r="J302" s="17" t="str">
        <f aca="false">IF($A302="","",MONTH($A302))</f>
        <v/>
      </c>
      <c r="K302" s="17" t="str">
        <f aca="false">IF($A302="","",IF(AND($A302&gt;=사용안내!$C$18,$A302&lt;=사용안내!$C$19),"1학기",IF(AND($A302&gt;=사용안내!$C$20,$A302&lt;=사용안내!$C$21),"2학기","기간외")))</f>
        <v/>
      </c>
    </row>
    <row r="303" customFormat="false" ht="15" hidden="false" customHeight="true" outlineLevel="0" collapsed="false">
      <c r="A303" s="16"/>
      <c r="B303" s="12"/>
      <c r="C303" s="17" t="str">
        <f aca="false">IF($B303="","",IFERROR(INDEX(학생명부!$B$3:$B$83,MATCH($B303,학생명부!$A$3:$A$83,0)),"학번없음"))</f>
        <v/>
      </c>
      <c r="D303" s="12"/>
      <c r="E303" s="18"/>
      <c r="F303" s="18"/>
      <c r="G303" s="19" t="str">
        <f aca="false">IF(OR($E303="",$F303=""),"",ROUND(IF($F303&lt;1,$F303*24,INT($F303/100)+MOD($F303,100)/60)-IF($E303&lt;1,$E303*24,INT($E303/100)+MOD($E303,100)/60),2))</f>
        <v/>
      </c>
      <c r="H303" s="12"/>
      <c r="I303" s="17" t="str">
        <f aca="false">IF($A303="","",YEAR($A303))</f>
        <v/>
      </c>
      <c r="J303" s="17" t="str">
        <f aca="false">IF($A303="","",MONTH($A303))</f>
        <v/>
      </c>
      <c r="K303" s="17" t="str">
        <f aca="false">IF($A303="","",IF(AND($A303&gt;=사용안내!$C$18,$A303&lt;=사용안내!$C$19),"1학기",IF(AND($A303&gt;=사용안내!$C$20,$A303&lt;=사용안내!$C$21),"2학기","기간외")))</f>
        <v/>
      </c>
    </row>
    <row r="304" customFormat="false" ht="15" hidden="false" customHeight="true" outlineLevel="0" collapsed="false">
      <c r="A304" s="16"/>
      <c r="B304" s="12"/>
      <c r="C304" s="17" t="str">
        <f aca="false">IF($B304="","",IFERROR(INDEX(학생명부!$B$3:$B$83,MATCH($B304,학생명부!$A$3:$A$83,0)),"학번없음"))</f>
        <v/>
      </c>
      <c r="D304" s="12"/>
      <c r="E304" s="18"/>
      <c r="F304" s="18"/>
      <c r="G304" s="19" t="str">
        <f aca="false">IF(OR($E304="",$F304=""),"",ROUND(IF($F304&lt;1,$F304*24,INT($F304/100)+MOD($F304,100)/60)-IF($E304&lt;1,$E304*24,INT($E304/100)+MOD($E304,100)/60),2))</f>
        <v/>
      </c>
      <c r="H304" s="12"/>
      <c r="I304" s="17" t="str">
        <f aca="false">IF($A304="","",YEAR($A304))</f>
        <v/>
      </c>
      <c r="J304" s="17" t="str">
        <f aca="false">IF($A304="","",MONTH($A304))</f>
        <v/>
      </c>
      <c r="K304" s="17" t="str">
        <f aca="false">IF($A304="","",IF(AND($A304&gt;=사용안내!$C$18,$A304&lt;=사용안내!$C$19),"1학기",IF(AND($A304&gt;=사용안내!$C$20,$A304&lt;=사용안내!$C$21),"2학기","기간외")))</f>
        <v/>
      </c>
    </row>
    <row r="305" customFormat="false" ht="15" hidden="false" customHeight="true" outlineLevel="0" collapsed="false">
      <c r="A305" s="16"/>
      <c r="B305" s="12"/>
      <c r="C305" s="17" t="str">
        <f aca="false">IF($B305="","",IFERROR(INDEX(학생명부!$B$3:$B$83,MATCH($B305,학생명부!$A$3:$A$83,0)),"학번없음"))</f>
        <v/>
      </c>
      <c r="D305" s="12"/>
      <c r="E305" s="18"/>
      <c r="F305" s="18"/>
      <c r="G305" s="19" t="str">
        <f aca="false">IF(OR($E305="",$F305=""),"",ROUND(IF($F305&lt;1,$F305*24,INT($F305/100)+MOD($F305,100)/60)-IF($E305&lt;1,$E305*24,INT($E305/100)+MOD($E305,100)/60),2))</f>
        <v/>
      </c>
      <c r="H305" s="12"/>
      <c r="I305" s="17" t="str">
        <f aca="false">IF($A305="","",YEAR($A305))</f>
        <v/>
      </c>
      <c r="J305" s="17" t="str">
        <f aca="false">IF($A305="","",MONTH($A305))</f>
        <v/>
      </c>
      <c r="K305" s="17" t="str">
        <f aca="false">IF($A305="","",IF(AND($A305&gt;=사용안내!$C$18,$A305&lt;=사용안내!$C$19),"1학기",IF(AND($A305&gt;=사용안내!$C$20,$A305&lt;=사용안내!$C$21),"2학기","기간외")))</f>
        <v/>
      </c>
    </row>
    <row r="306" customFormat="false" ht="15" hidden="false" customHeight="true" outlineLevel="0" collapsed="false">
      <c r="A306" s="16"/>
      <c r="B306" s="12"/>
      <c r="C306" s="17" t="str">
        <f aca="false">IF($B306="","",IFERROR(INDEX(학생명부!$B$3:$B$83,MATCH($B306,학생명부!$A$3:$A$83,0)),"학번없음"))</f>
        <v/>
      </c>
      <c r="D306" s="12"/>
      <c r="E306" s="18"/>
      <c r="F306" s="18"/>
      <c r="G306" s="19" t="str">
        <f aca="false">IF(OR($E306="",$F306=""),"",ROUND(IF($F306&lt;1,$F306*24,INT($F306/100)+MOD($F306,100)/60)-IF($E306&lt;1,$E306*24,INT($E306/100)+MOD($E306,100)/60),2))</f>
        <v/>
      </c>
      <c r="H306" s="12"/>
      <c r="I306" s="17" t="str">
        <f aca="false">IF($A306="","",YEAR($A306))</f>
        <v/>
      </c>
      <c r="J306" s="17" t="str">
        <f aca="false">IF($A306="","",MONTH($A306))</f>
        <v/>
      </c>
      <c r="K306" s="17" t="str">
        <f aca="false">IF($A306="","",IF(AND($A306&gt;=사용안내!$C$18,$A306&lt;=사용안내!$C$19),"1학기",IF(AND($A306&gt;=사용안내!$C$20,$A306&lt;=사용안내!$C$21),"2학기","기간외")))</f>
        <v/>
      </c>
    </row>
    <row r="307" customFormat="false" ht="15" hidden="false" customHeight="true" outlineLevel="0" collapsed="false">
      <c r="A307" s="16"/>
      <c r="B307" s="12"/>
      <c r="C307" s="17" t="str">
        <f aca="false">IF($B307="","",IFERROR(INDEX(학생명부!$B$3:$B$83,MATCH($B307,학생명부!$A$3:$A$83,0)),"학번없음"))</f>
        <v/>
      </c>
      <c r="D307" s="12"/>
      <c r="E307" s="18"/>
      <c r="F307" s="18"/>
      <c r="G307" s="19" t="str">
        <f aca="false">IF(OR($E307="",$F307=""),"",ROUND(IF($F307&lt;1,$F307*24,INT($F307/100)+MOD($F307,100)/60)-IF($E307&lt;1,$E307*24,INT($E307/100)+MOD($E307,100)/60),2))</f>
        <v/>
      </c>
      <c r="H307" s="12"/>
      <c r="I307" s="17" t="str">
        <f aca="false">IF($A307="","",YEAR($A307))</f>
        <v/>
      </c>
      <c r="J307" s="17" t="str">
        <f aca="false">IF($A307="","",MONTH($A307))</f>
        <v/>
      </c>
      <c r="K307" s="17" t="str">
        <f aca="false">IF($A307="","",IF(AND($A307&gt;=사용안내!$C$18,$A307&lt;=사용안내!$C$19),"1학기",IF(AND($A307&gt;=사용안내!$C$20,$A307&lt;=사용안내!$C$21),"2학기","기간외")))</f>
        <v/>
      </c>
    </row>
    <row r="308" customFormat="false" ht="15" hidden="false" customHeight="true" outlineLevel="0" collapsed="false">
      <c r="A308" s="16"/>
      <c r="B308" s="12"/>
      <c r="C308" s="17" t="str">
        <f aca="false">IF($B308="","",IFERROR(INDEX(학생명부!$B$3:$B$83,MATCH($B308,학생명부!$A$3:$A$83,0)),"학번없음"))</f>
        <v/>
      </c>
      <c r="D308" s="12"/>
      <c r="E308" s="18"/>
      <c r="F308" s="18"/>
      <c r="G308" s="19" t="str">
        <f aca="false">IF(OR($E308="",$F308=""),"",ROUND(IF($F308&lt;1,$F308*24,INT($F308/100)+MOD($F308,100)/60)-IF($E308&lt;1,$E308*24,INT($E308/100)+MOD($E308,100)/60),2))</f>
        <v/>
      </c>
      <c r="H308" s="12"/>
      <c r="I308" s="17" t="str">
        <f aca="false">IF($A308="","",YEAR($A308))</f>
        <v/>
      </c>
      <c r="J308" s="17" t="str">
        <f aca="false">IF($A308="","",MONTH($A308))</f>
        <v/>
      </c>
      <c r="K308" s="17" t="str">
        <f aca="false">IF($A308="","",IF(AND($A308&gt;=사용안내!$C$18,$A308&lt;=사용안내!$C$19),"1학기",IF(AND($A308&gt;=사용안내!$C$20,$A308&lt;=사용안내!$C$21),"2학기","기간외")))</f>
        <v/>
      </c>
    </row>
    <row r="309" customFormat="false" ht="15" hidden="false" customHeight="true" outlineLevel="0" collapsed="false">
      <c r="A309" s="16"/>
      <c r="B309" s="12"/>
      <c r="C309" s="17" t="str">
        <f aca="false">IF($B309="","",IFERROR(INDEX(학생명부!$B$3:$B$83,MATCH($B309,학생명부!$A$3:$A$83,0)),"학번없음"))</f>
        <v/>
      </c>
      <c r="D309" s="12"/>
      <c r="E309" s="18"/>
      <c r="F309" s="18"/>
      <c r="G309" s="19" t="str">
        <f aca="false">IF(OR($E309="",$F309=""),"",ROUND(IF($F309&lt;1,$F309*24,INT($F309/100)+MOD($F309,100)/60)-IF($E309&lt;1,$E309*24,INT($E309/100)+MOD($E309,100)/60),2))</f>
        <v/>
      </c>
      <c r="H309" s="12"/>
      <c r="I309" s="17" t="str">
        <f aca="false">IF($A309="","",YEAR($A309))</f>
        <v/>
      </c>
      <c r="J309" s="17" t="str">
        <f aca="false">IF($A309="","",MONTH($A309))</f>
        <v/>
      </c>
      <c r="K309" s="17" t="str">
        <f aca="false">IF($A309="","",IF(AND($A309&gt;=사용안내!$C$18,$A309&lt;=사용안내!$C$19),"1학기",IF(AND($A309&gt;=사용안내!$C$20,$A309&lt;=사용안내!$C$21),"2학기","기간외")))</f>
        <v/>
      </c>
    </row>
    <row r="310" customFormat="false" ht="15" hidden="false" customHeight="true" outlineLevel="0" collapsed="false">
      <c r="A310" s="16"/>
      <c r="B310" s="12"/>
      <c r="C310" s="17" t="str">
        <f aca="false">IF($B310="","",IFERROR(INDEX(학생명부!$B$3:$B$83,MATCH($B310,학생명부!$A$3:$A$83,0)),"학번없음"))</f>
        <v/>
      </c>
      <c r="D310" s="12"/>
      <c r="E310" s="18"/>
      <c r="F310" s="18"/>
      <c r="G310" s="19" t="str">
        <f aca="false">IF(OR($E310="",$F310=""),"",ROUND(IF($F310&lt;1,$F310*24,INT($F310/100)+MOD($F310,100)/60)-IF($E310&lt;1,$E310*24,INT($E310/100)+MOD($E310,100)/60),2))</f>
        <v/>
      </c>
      <c r="H310" s="12"/>
      <c r="I310" s="17" t="str">
        <f aca="false">IF($A310="","",YEAR($A310))</f>
        <v/>
      </c>
      <c r="J310" s="17" t="str">
        <f aca="false">IF($A310="","",MONTH($A310))</f>
        <v/>
      </c>
      <c r="K310" s="17" t="str">
        <f aca="false">IF($A310="","",IF(AND($A310&gt;=사용안내!$C$18,$A310&lt;=사용안내!$C$19),"1학기",IF(AND($A310&gt;=사용안내!$C$20,$A310&lt;=사용안내!$C$21),"2학기","기간외")))</f>
        <v/>
      </c>
    </row>
    <row r="311" customFormat="false" ht="15" hidden="false" customHeight="true" outlineLevel="0" collapsed="false">
      <c r="A311" s="16"/>
      <c r="B311" s="12"/>
      <c r="C311" s="17" t="str">
        <f aca="false">IF($B311="","",IFERROR(INDEX(학생명부!$B$3:$B$83,MATCH($B311,학생명부!$A$3:$A$83,0)),"학번없음"))</f>
        <v/>
      </c>
      <c r="D311" s="12"/>
      <c r="E311" s="18"/>
      <c r="F311" s="18"/>
      <c r="G311" s="19" t="str">
        <f aca="false">IF(OR($E311="",$F311=""),"",ROUND(IF($F311&lt;1,$F311*24,INT($F311/100)+MOD($F311,100)/60)-IF($E311&lt;1,$E311*24,INT($E311/100)+MOD($E311,100)/60),2))</f>
        <v/>
      </c>
      <c r="H311" s="12"/>
      <c r="I311" s="17" t="str">
        <f aca="false">IF($A311="","",YEAR($A311))</f>
        <v/>
      </c>
      <c r="J311" s="17" t="str">
        <f aca="false">IF($A311="","",MONTH($A311))</f>
        <v/>
      </c>
      <c r="K311" s="17" t="str">
        <f aca="false">IF($A311="","",IF(AND($A311&gt;=사용안내!$C$18,$A311&lt;=사용안내!$C$19),"1학기",IF(AND($A311&gt;=사용안내!$C$20,$A311&lt;=사용안내!$C$21),"2학기","기간외")))</f>
        <v/>
      </c>
    </row>
    <row r="312" customFormat="false" ht="15" hidden="false" customHeight="true" outlineLevel="0" collapsed="false">
      <c r="A312" s="16"/>
      <c r="B312" s="12"/>
      <c r="C312" s="17" t="str">
        <f aca="false">IF($B312="","",IFERROR(INDEX(학생명부!$B$3:$B$83,MATCH($B312,학생명부!$A$3:$A$83,0)),"학번없음"))</f>
        <v/>
      </c>
      <c r="D312" s="12"/>
      <c r="E312" s="18"/>
      <c r="F312" s="18"/>
      <c r="G312" s="19" t="str">
        <f aca="false">IF(OR($E312="",$F312=""),"",ROUND(IF($F312&lt;1,$F312*24,INT($F312/100)+MOD($F312,100)/60)-IF($E312&lt;1,$E312*24,INT($E312/100)+MOD($E312,100)/60),2))</f>
        <v/>
      </c>
      <c r="H312" s="12"/>
      <c r="I312" s="17" t="str">
        <f aca="false">IF($A312="","",YEAR($A312))</f>
        <v/>
      </c>
      <c r="J312" s="17" t="str">
        <f aca="false">IF($A312="","",MONTH($A312))</f>
        <v/>
      </c>
      <c r="K312" s="17" t="str">
        <f aca="false">IF($A312="","",IF(AND($A312&gt;=사용안내!$C$18,$A312&lt;=사용안내!$C$19),"1학기",IF(AND($A312&gt;=사용안내!$C$20,$A312&lt;=사용안내!$C$21),"2학기","기간외")))</f>
        <v/>
      </c>
    </row>
    <row r="313" customFormat="false" ht="15" hidden="false" customHeight="true" outlineLevel="0" collapsed="false">
      <c r="A313" s="16"/>
      <c r="B313" s="12"/>
      <c r="C313" s="17" t="str">
        <f aca="false">IF($B313="","",IFERROR(INDEX(학생명부!$B$3:$B$83,MATCH($B313,학생명부!$A$3:$A$83,0)),"학번없음"))</f>
        <v/>
      </c>
      <c r="D313" s="12"/>
      <c r="E313" s="18"/>
      <c r="F313" s="18"/>
      <c r="G313" s="19" t="str">
        <f aca="false">IF(OR($E313="",$F313=""),"",ROUND(IF($F313&lt;1,$F313*24,INT($F313/100)+MOD($F313,100)/60)-IF($E313&lt;1,$E313*24,INT($E313/100)+MOD($E313,100)/60),2))</f>
        <v/>
      </c>
      <c r="H313" s="12"/>
      <c r="I313" s="17" t="str">
        <f aca="false">IF($A313="","",YEAR($A313))</f>
        <v/>
      </c>
      <c r="J313" s="17" t="str">
        <f aca="false">IF($A313="","",MONTH($A313))</f>
        <v/>
      </c>
      <c r="K313" s="17" t="str">
        <f aca="false">IF($A313="","",IF(AND($A313&gt;=사용안내!$C$18,$A313&lt;=사용안내!$C$19),"1학기",IF(AND($A313&gt;=사용안내!$C$20,$A313&lt;=사용안내!$C$21),"2학기","기간외")))</f>
        <v/>
      </c>
    </row>
    <row r="314" customFormat="false" ht="15" hidden="false" customHeight="true" outlineLevel="0" collapsed="false">
      <c r="A314" s="16"/>
      <c r="B314" s="12"/>
      <c r="C314" s="17" t="str">
        <f aca="false">IF($B314="","",IFERROR(INDEX(학생명부!$B$3:$B$83,MATCH($B314,학생명부!$A$3:$A$83,0)),"학번없음"))</f>
        <v/>
      </c>
      <c r="D314" s="12"/>
      <c r="E314" s="18"/>
      <c r="F314" s="18"/>
      <c r="G314" s="19" t="str">
        <f aca="false">IF(OR($E314="",$F314=""),"",ROUND(IF($F314&lt;1,$F314*24,INT($F314/100)+MOD($F314,100)/60)-IF($E314&lt;1,$E314*24,INT($E314/100)+MOD($E314,100)/60),2))</f>
        <v/>
      </c>
      <c r="H314" s="12"/>
      <c r="I314" s="17" t="str">
        <f aca="false">IF($A314="","",YEAR($A314))</f>
        <v/>
      </c>
      <c r="J314" s="17" t="str">
        <f aca="false">IF($A314="","",MONTH($A314))</f>
        <v/>
      </c>
      <c r="K314" s="17" t="str">
        <f aca="false">IF($A314="","",IF(AND($A314&gt;=사용안내!$C$18,$A314&lt;=사용안내!$C$19),"1학기",IF(AND($A314&gt;=사용안내!$C$20,$A314&lt;=사용안내!$C$21),"2학기","기간외")))</f>
        <v/>
      </c>
    </row>
    <row r="315" customFormat="false" ht="15" hidden="false" customHeight="true" outlineLevel="0" collapsed="false">
      <c r="A315" s="16"/>
      <c r="B315" s="12"/>
      <c r="C315" s="17" t="str">
        <f aca="false">IF($B315="","",IFERROR(INDEX(학생명부!$B$3:$B$83,MATCH($B315,학생명부!$A$3:$A$83,0)),"학번없음"))</f>
        <v/>
      </c>
      <c r="D315" s="12"/>
      <c r="E315" s="18"/>
      <c r="F315" s="18"/>
      <c r="G315" s="19" t="str">
        <f aca="false">IF(OR($E315="",$F315=""),"",ROUND(IF($F315&lt;1,$F315*24,INT($F315/100)+MOD($F315,100)/60)-IF($E315&lt;1,$E315*24,INT($E315/100)+MOD($E315,100)/60),2))</f>
        <v/>
      </c>
      <c r="H315" s="12"/>
      <c r="I315" s="17" t="str">
        <f aca="false">IF($A315="","",YEAR($A315))</f>
        <v/>
      </c>
      <c r="J315" s="17" t="str">
        <f aca="false">IF($A315="","",MONTH($A315))</f>
        <v/>
      </c>
      <c r="K315" s="17" t="str">
        <f aca="false">IF($A315="","",IF(AND($A315&gt;=사용안내!$C$18,$A315&lt;=사용안내!$C$19),"1학기",IF(AND($A315&gt;=사용안내!$C$20,$A315&lt;=사용안내!$C$21),"2학기","기간외")))</f>
        <v/>
      </c>
    </row>
    <row r="316" customFormat="false" ht="15" hidden="false" customHeight="true" outlineLevel="0" collapsed="false">
      <c r="A316" s="16"/>
      <c r="B316" s="12"/>
      <c r="C316" s="17" t="str">
        <f aca="false">IF($B316="","",IFERROR(INDEX(학생명부!$B$3:$B$83,MATCH($B316,학생명부!$A$3:$A$83,0)),"학번없음"))</f>
        <v/>
      </c>
      <c r="D316" s="12"/>
      <c r="E316" s="18"/>
      <c r="F316" s="18"/>
      <c r="G316" s="19" t="str">
        <f aca="false">IF(OR($E316="",$F316=""),"",ROUND(IF($F316&lt;1,$F316*24,INT($F316/100)+MOD($F316,100)/60)-IF($E316&lt;1,$E316*24,INT($E316/100)+MOD($E316,100)/60),2))</f>
        <v/>
      </c>
      <c r="H316" s="12"/>
      <c r="I316" s="17" t="str">
        <f aca="false">IF($A316="","",YEAR($A316))</f>
        <v/>
      </c>
      <c r="J316" s="17" t="str">
        <f aca="false">IF($A316="","",MONTH($A316))</f>
        <v/>
      </c>
      <c r="K316" s="17" t="str">
        <f aca="false">IF($A316="","",IF(AND($A316&gt;=사용안내!$C$18,$A316&lt;=사용안내!$C$19),"1학기",IF(AND($A316&gt;=사용안내!$C$20,$A316&lt;=사용안내!$C$21),"2학기","기간외")))</f>
        <v/>
      </c>
    </row>
    <row r="317" customFormat="false" ht="15" hidden="false" customHeight="true" outlineLevel="0" collapsed="false">
      <c r="A317" s="16"/>
      <c r="B317" s="12"/>
      <c r="C317" s="17" t="str">
        <f aca="false">IF($B317="","",IFERROR(INDEX(학생명부!$B$3:$B$83,MATCH($B317,학생명부!$A$3:$A$83,0)),"학번없음"))</f>
        <v/>
      </c>
      <c r="D317" s="12"/>
      <c r="E317" s="18"/>
      <c r="F317" s="18"/>
      <c r="G317" s="19" t="str">
        <f aca="false">IF(OR($E317="",$F317=""),"",ROUND(IF($F317&lt;1,$F317*24,INT($F317/100)+MOD($F317,100)/60)-IF($E317&lt;1,$E317*24,INT($E317/100)+MOD($E317,100)/60),2))</f>
        <v/>
      </c>
      <c r="H317" s="12"/>
      <c r="I317" s="17" t="str">
        <f aca="false">IF($A317="","",YEAR($A317))</f>
        <v/>
      </c>
      <c r="J317" s="17" t="str">
        <f aca="false">IF($A317="","",MONTH($A317))</f>
        <v/>
      </c>
      <c r="K317" s="17" t="str">
        <f aca="false">IF($A317="","",IF(AND($A317&gt;=사용안내!$C$18,$A317&lt;=사용안내!$C$19),"1학기",IF(AND($A317&gt;=사용안내!$C$20,$A317&lt;=사용안내!$C$21),"2학기","기간외")))</f>
        <v/>
      </c>
    </row>
    <row r="318" customFormat="false" ht="15" hidden="false" customHeight="true" outlineLevel="0" collapsed="false">
      <c r="A318" s="16"/>
      <c r="B318" s="12"/>
      <c r="C318" s="17" t="str">
        <f aca="false">IF($B318="","",IFERROR(INDEX(학생명부!$B$3:$B$83,MATCH($B318,학생명부!$A$3:$A$83,0)),"학번없음"))</f>
        <v/>
      </c>
      <c r="D318" s="12"/>
      <c r="E318" s="18"/>
      <c r="F318" s="18"/>
      <c r="G318" s="19" t="str">
        <f aca="false">IF(OR($E318="",$F318=""),"",ROUND(IF($F318&lt;1,$F318*24,INT($F318/100)+MOD($F318,100)/60)-IF($E318&lt;1,$E318*24,INT($E318/100)+MOD($E318,100)/60),2))</f>
        <v/>
      </c>
      <c r="H318" s="12"/>
      <c r="I318" s="17" t="str">
        <f aca="false">IF($A318="","",YEAR($A318))</f>
        <v/>
      </c>
      <c r="J318" s="17" t="str">
        <f aca="false">IF($A318="","",MONTH($A318))</f>
        <v/>
      </c>
      <c r="K318" s="17" t="str">
        <f aca="false">IF($A318="","",IF(AND($A318&gt;=사용안내!$C$18,$A318&lt;=사용안내!$C$19),"1학기",IF(AND($A318&gt;=사용안내!$C$20,$A318&lt;=사용안내!$C$21),"2학기","기간외")))</f>
        <v/>
      </c>
    </row>
    <row r="319" customFormat="false" ht="15" hidden="false" customHeight="true" outlineLevel="0" collapsed="false">
      <c r="A319" s="16"/>
      <c r="B319" s="12"/>
      <c r="C319" s="17" t="str">
        <f aca="false">IF($B319="","",IFERROR(INDEX(학생명부!$B$3:$B$83,MATCH($B319,학생명부!$A$3:$A$83,0)),"학번없음"))</f>
        <v/>
      </c>
      <c r="D319" s="12"/>
      <c r="E319" s="18"/>
      <c r="F319" s="18"/>
      <c r="G319" s="19" t="str">
        <f aca="false">IF(OR($E319="",$F319=""),"",ROUND(IF($F319&lt;1,$F319*24,INT($F319/100)+MOD($F319,100)/60)-IF($E319&lt;1,$E319*24,INT($E319/100)+MOD($E319,100)/60),2))</f>
        <v/>
      </c>
      <c r="H319" s="12"/>
      <c r="I319" s="17" t="str">
        <f aca="false">IF($A319="","",YEAR($A319))</f>
        <v/>
      </c>
      <c r="J319" s="17" t="str">
        <f aca="false">IF($A319="","",MONTH($A319))</f>
        <v/>
      </c>
      <c r="K319" s="17" t="str">
        <f aca="false">IF($A319="","",IF(AND($A319&gt;=사용안내!$C$18,$A319&lt;=사용안내!$C$19),"1학기",IF(AND($A319&gt;=사용안내!$C$20,$A319&lt;=사용안내!$C$21),"2학기","기간외")))</f>
        <v/>
      </c>
    </row>
    <row r="320" customFormat="false" ht="15" hidden="false" customHeight="true" outlineLevel="0" collapsed="false">
      <c r="A320" s="16"/>
      <c r="B320" s="12"/>
      <c r="C320" s="17" t="str">
        <f aca="false">IF($B320="","",IFERROR(INDEX(학생명부!$B$3:$B$83,MATCH($B320,학생명부!$A$3:$A$83,0)),"학번없음"))</f>
        <v/>
      </c>
      <c r="D320" s="12"/>
      <c r="E320" s="18"/>
      <c r="F320" s="18"/>
      <c r="G320" s="19" t="str">
        <f aca="false">IF(OR($E320="",$F320=""),"",ROUND(IF($F320&lt;1,$F320*24,INT($F320/100)+MOD($F320,100)/60)-IF($E320&lt;1,$E320*24,INT($E320/100)+MOD($E320,100)/60),2))</f>
        <v/>
      </c>
      <c r="H320" s="12"/>
      <c r="I320" s="17" t="str">
        <f aca="false">IF($A320="","",YEAR($A320))</f>
        <v/>
      </c>
      <c r="J320" s="17" t="str">
        <f aca="false">IF($A320="","",MONTH($A320))</f>
        <v/>
      </c>
      <c r="K320" s="17" t="str">
        <f aca="false">IF($A320="","",IF(AND($A320&gt;=사용안내!$C$18,$A320&lt;=사용안내!$C$19),"1학기",IF(AND($A320&gt;=사용안내!$C$20,$A320&lt;=사용안내!$C$21),"2학기","기간외")))</f>
        <v/>
      </c>
    </row>
    <row r="321" customFormat="false" ht="15" hidden="false" customHeight="true" outlineLevel="0" collapsed="false">
      <c r="A321" s="16"/>
      <c r="B321" s="12"/>
      <c r="C321" s="17" t="str">
        <f aca="false">IF($B321="","",IFERROR(INDEX(학생명부!$B$3:$B$83,MATCH($B321,학생명부!$A$3:$A$83,0)),"학번없음"))</f>
        <v/>
      </c>
      <c r="D321" s="12"/>
      <c r="E321" s="18"/>
      <c r="F321" s="18"/>
      <c r="G321" s="19" t="str">
        <f aca="false">IF(OR($E321="",$F321=""),"",ROUND(IF($F321&lt;1,$F321*24,INT($F321/100)+MOD($F321,100)/60)-IF($E321&lt;1,$E321*24,INT($E321/100)+MOD($E321,100)/60),2))</f>
        <v/>
      </c>
      <c r="H321" s="12"/>
      <c r="I321" s="17" t="str">
        <f aca="false">IF($A321="","",YEAR($A321))</f>
        <v/>
      </c>
      <c r="J321" s="17" t="str">
        <f aca="false">IF($A321="","",MONTH($A321))</f>
        <v/>
      </c>
      <c r="K321" s="17" t="str">
        <f aca="false">IF($A321="","",IF(AND($A321&gt;=사용안내!$C$18,$A321&lt;=사용안내!$C$19),"1학기",IF(AND($A321&gt;=사용안내!$C$20,$A321&lt;=사용안내!$C$21),"2학기","기간외")))</f>
        <v/>
      </c>
    </row>
    <row r="322" customFormat="false" ht="15" hidden="false" customHeight="true" outlineLevel="0" collapsed="false">
      <c r="A322" s="16"/>
      <c r="B322" s="12"/>
      <c r="C322" s="17" t="str">
        <f aca="false">IF($B322="","",IFERROR(INDEX(학생명부!$B$3:$B$83,MATCH($B322,학생명부!$A$3:$A$83,0)),"학번없음"))</f>
        <v/>
      </c>
      <c r="D322" s="12"/>
      <c r="E322" s="18"/>
      <c r="F322" s="18"/>
      <c r="G322" s="19" t="str">
        <f aca="false">IF(OR($E322="",$F322=""),"",ROUND(IF($F322&lt;1,$F322*24,INT($F322/100)+MOD($F322,100)/60)-IF($E322&lt;1,$E322*24,INT($E322/100)+MOD($E322,100)/60),2))</f>
        <v/>
      </c>
      <c r="H322" s="12"/>
      <c r="I322" s="17" t="str">
        <f aca="false">IF($A322="","",YEAR($A322))</f>
        <v/>
      </c>
      <c r="J322" s="17" t="str">
        <f aca="false">IF($A322="","",MONTH($A322))</f>
        <v/>
      </c>
      <c r="K322" s="17" t="str">
        <f aca="false">IF($A322="","",IF(AND($A322&gt;=사용안내!$C$18,$A322&lt;=사용안내!$C$19),"1학기",IF(AND($A322&gt;=사용안내!$C$20,$A322&lt;=사용안내!$C$21),"2학기","기간외")))</f>
        <v/>
      </c>
    </row>
    <row r="323" customFormat="false" ht="15" hidden="false" customHeight="true" outlineLevel="0" collapsed="false">
      <c r="A323" s="16"/>
      <c r="B323" s="12"/>
      <c r="C323" s="17" t="str">
        <f aca="false">IF($B323="","",IFERROR(INDEX(학생명부!$B$3:$B$83,MATCH($B323,학생명부!$A$3:$A$83,0)),"학번없음"))</f>
        <v/>
      </c>
      <c r="D323" s="12"/>
      <c r="E323" s="18"/>
      <c r="F323" s="18"/>
      <c r="G323" s="19" t="str">
        <f aca="false">IF(OR($E323="",$F323=""),"",ROUND(IF($F323&lt;1,$F323*24,INT($F323/100)+MOD($F323,100)/60)-IF($E323&lt;1,$E323*24,INT($E323/100)+MOD($E323,100)/60),2))</f>
        <v/>
      </c>
      <c r="H323" s="12"/>
      <c r="I323" s="17" t="str">
        <f aca="false">IF($A323="","",YEAR($A323))</f>
        <v/>
      </c>
      <c r="J323" s="17" t="str">
        <f aca="false">IF($A323="","",MONTH($A323))</f>
        <v/>
      </c>
      <c r="K323" s="17" t="str">
        <f aca="false">IF($A323="","",IF(AND($A323&gt;=사용안내!$C$18,$A323&lt;=사용안내!$C$19),"1학기",IF(AND($A323&gt;=사용안내!$C$20,$A323&lt;=사용안내!$C$21),"2학기","기간외")))</f>
        <v/>
      </c>
    </row>
    <row r="324" customFormat="false" ht="15" hidden="false" customHeight="true" outlineLevel="0" collapsed="false">
      <c r="A324" s="16"/>
      <c r="B324" s="12"/>
      <c r="C324" s="17" t="str">
        <f aca="false">IF($B324="","",IFERROR(INDEX(학생명부!$B$3:$B$83,MATCH($B324,학생명부!$A$3:$A$83,0)),"학번없음"))</f>
        <v/>
      </c>
      <c r="D324" s="12"/>
      <c r="E324" s="18"/>
      <c r="F324" s="18"/>
      <c r="G324" s="19" t="str">
        <f aca="false">IF(OR($E324="",$F324=""),"",ROUND(IF($F324&lt;1,$F324*24,INT($F324/100)+MOD($F324,100)/60)-IF($E324&lt;1,$E324*24,INT($E324/100)+MOD($E324,100)/60),2))</f>
        <v/>
      </c>
      <c r="H324" s="12"/>
      <c r="I324" s="17" t="str">
        <f aca="false">IF($A324="","",YEAR($A324))</f>
        <v/>
      </c>
      <c r="J324" s="17" t="str">
        <f aca="false">IF($A324="","",MONTH($A324))</f>
        <v/>
      </c>
      <c r="K324" s="17" t="str">
        <f aca="false">IF($A324="","",IF(AND($A324&gt;=사용안내!$C$18,$A324&lt;=사용안내!$C$19),"1학기",IF(AND($A324&gt;=사용안내!$C$20,$A324&lt;=사용안내!$C$21),"2학기","기간외")))</f>
        <v/>
      </c>
    </row>
    <row r="325" customFormat="false" ht="15" hidden="false" customHeight="true" outlineLevel="0" collapsed="false">
      <c r="A325" s="16"/>
      <c r="B325" s="12"/>
      <c r="C325" s="17" t="str">
        <f aca="false">IF($B325="","",IFERROR(INDEX(학생명부!$B$3:$B$83,MATCH($B325,학생명부!$A$3:$A$83,0)),"학번없음"))</f>
        <v/>
      </c>
      <c r="D325" s="12"/>
      <c r="E325" s="18"/>
      <c r="F325" s="18"/>
      <c r="G325" s="19" t="str">
        <f aca="false">IF(OR($E325="",$F325=""),"",ROUND(IF($F325&lt;1,$F325*24,INT($F325/100)+MOD($F325,100)/60)-IF($E325&lt;1,$E325*24,INT($E325/100)+MOD($E325,100)/60),2))</f>
        <v/>
      </c>
      <c r="H325" s="12"/>
      <c r="I325" s="17" t="str">
        <f aca="false">IF($A325="","",YEAR($A325))</f>
        <v/>
      </c>
      <c r="J325" s="17" t="str">
        <f aca="false">IF($A325="","",MONTH($A325))</f>
        <v/>
      </c>
      <c r="K325" s="17" t="str">
        <f aca="false">IF($A325="","",IF(AND($A325&gt;=사용안내!$C$18,$A325&lt;=사용안내!$C$19),"1학기",IF(AND($A325&gt;=사용안내!$C$20,$A325&lt;=사용안내!$C$21),"2학기","기간외")))</f>
        <v/>
      </c>
    </row>
    <row r="326" customFormat="false" ht="15" hidden="false" customHeight="true" outlineLevel="0" collapsed="false">
      <c r="A326" s="16"/>
      <c r="B326" s="12"/>
      <c r="C326" s="17" t="str">
        <f aca="false">IF($B326="","",IFERROR(INDEX(학생명부!$B$3:$B$83,MATCH($B326,학생명부!$A$3:$A$83,0)),"학번없음"))</f>
        <v/>
      </c>
      <c r="D326" s="12"/>
      <c r="E326" s="18"/>
      <c r="F326" s="18"/>
      <c r="G326" s="19" t="str">
        <f aca="false">IF(OR($E326="",$F326=""),"",ROUND(IF($F326&lt;1,$F326*24,INT($F326/100)+MOD($F326,100)/60)-IF($E326&lt;1,$E326*24,INT($E326/100)+MOD($E326,100)/60),2))</f>
        <v/>
      </c>
      <c r="H326" s="12"/>
      <c r="I326" s="17" t="str">
        <f aca="false">IF($A326="","",YEAR($A326))</f>
        <v/>
      </c>
      <c r="J326" s="17" t="str">
        <f aca="false">IF($A326="","",MONTH($A326))</f>
        <v/>
      </c>
      <c r="K326" s="17" t="str">
        <f aca="false">IF($A326="","",IF(AND($A326&gt;=사용안내!$C$18,$A326&lt;=사용안내!$C$19),"1학기",IF(AND($A326&gt;=사용안내!$C$20,$A326&lt;=사용안내!$C$21),"2학기","기간외")))</f>
        <v/>
      </c>
    </row>
    <row r="327" customFormat="false" ht="15" hidden="false" customHeight="true" outlineLevel="0" collapsed="false">
      <c r="A327" s="16"/>
      <c r="B327" s="12"/>
      <c r="C327" s="17" t="str">
        <f aca="false">IF($B327="","",IFERROR(INDEX(학생명부!$B$3:$B$83,MATCH($B327,학생명부!$A$3:$A$83,0)),"학번없음"))</f>
        <v/>
      </c>
      <c r="D327" s="12"/>
      <c r="E327" s="18"/>
      <c r="F327" s="18"/>
      <c r="G327" s="19" t="str">
        <f aca="false">IF(OR($E327="",$F327=""),"",ROUND(IF($F327&lt;1,$F327*24,INT($F327/100)+MOD($F327,100)/60)-IF($E327&lt;1,$E327*24,INT($E327/100)+MOD($E327,100)/60),2))</f>
        <v/>
      </c>
      <c r="H327" s="12"/>
      <c r="I327" s="17" t="str">
        <f aca="false">IF($A327="","",YEAR($A327))</f>
        <v/>
      </c>
      <c r="J327" s="17" t="str">
        <f aca="false">IF($A327="","",MONTH($A327))</f>
        <v/>
      </c>
      <c r="K327" s="17" t="str">
        <f aca="false">IF($A327="","",IF(AND($A327&gt;=사용안내!$C$18,$A327&lt;=사용안내!$C$19),"1학기",IF(AND($A327&gt;=사용안내!$C$20,$A327&lt;=사용안내!$C$21),"2학기","기간외")))</f>
        <v/>
      </c>
    </row>
    <row r="328" customFormat="false" ht="15" hidden="false" customHeight="true" outlineLevel="0" collapsed="false">
      <c r="A328" s="16"/>
      <c r="B328" s="12"/>
      <c r="C328" s="17" t="str">
        <f aca="false">IF($B328="","",IFERROR(INDEX(학생명부!$B$3:$B$83,MATCH($B328,학생명부!$A$3:$A$83,0)),"학번없음"))</f>
        <v/>
      </c>
      <c r="D328" s="12"/>
      <c r="E328" s="18"/>
      <c r="F328" s="18"/>
      <c r="G328" s="19" t="str">
        <f aca="false">IF(OR($E328="",$F328=""),"",ROUND(IF($F328&lt;1,$F328*24,INT($F328/100)+MOD($F328,100)/60)-IF($E328&lt;1,$E328*24,INT($E328/100)+MOD($E328,100)/60),2))</f>
        <v/>
      </c>
      <c r="H328" s="12"/>
      <c r="I328" s="17" t="str">
        <f aca="false">IF($A328="","",YEAR($A328))</f>
        <v/>
      </c>
      <c r="J328" s="17" t="str">
        <f aca="false">IF($A328="","",MONTH($A328))</f>
        <v/>
      </c>
      <c r="K328" s="17" t="str">
        <f aca="false">IF($A328="","",IF(AND($A328&gt;=사용안내!$C$18,$A328&lt;=사용안내!$C$19),"1학기",IF(AND($A328&gt;=사용안내!$C$20,$A328&lt;=사용안내!$C$21),"2학기","기간외")))</f>
        <v/>
      </c>
    </row>
    <row r="329" customFormat="false" ht="15" hidden="false" customHeight="true" outlineLevel="0" collapsed="false">
      <c r="A329" s="16"/>
      <c r="B329" s="12"/>
      <c r="C329" s="17" t="str">
        <f aca="false">IF($B329="","",IFERROR(INDEX(학생명부!$B$3:$B$83,MATCH($B329,학생명부!$A$3:$A$83,0)),"학번없음"))</f>
        <v/>
      </c>
      <c r="D329" s="12"/>
      <c r="E329" s="18"/>
      <c r="F329" s="18"/>
      <c r="G329" s="19" t="str">
        <f aca="false">IF(OR($E329="",$F329=""),"",ROUND(IF($F329&lt;1,$F329*24,INT($F329/100)+MOD($F329,100)/60)-IF($E329&lt;1,$E329*24,INT($E329/100)+MOD($E329,100)/60),2))</f>
        <v/>
      </c>
      <c r="H329" s="12"/>
      <c r="I329" s="17" t="str">
        <f aca="false">IF($A329="","",YEAR($A329))</f>
        <v/>
      </c>
      <c r="J329" s="17" t="str">
        <f aca="false">IF($A329="","",MONTH($A329))</f>
        <v/>
      </c>
      <c r="K329" s="17" t="str">
        <f aca="false">IF($A329="","",IF(AND($A329&gt;=사용안내!$C$18,$A329&lt;=사용안내!$C$19),"1학기",IF(AND($A329&gt;=사용안내!$C$20,$A329&lt;=사용안내!$C$21),"2학기","기간외")))</f>
        <v/>
      </c>
    </row>
    <row r="330" customFormat="false" ht="15" hidden="false" customHeight="true" outlineLevel="0" collapsed="false">
      <c r="A330" s="16"/>
      <c r="B330" s="12"/>
      <c r="C330" s="17" t="str">
        <f aca="false">IF($B330="","",IFERROR(INDEX(학생명부!$B$3:$B$83,MATCH($B330,학생명부!$A$3:$A$83,0)),"학번없음"))</f>
        <v/>
      </c>
      <c r="D330" s="12"/>
      <c r="E330" s="18"/>
      <c r="F330" s="18"/>
      <c r="G330" s="19" t="str">
        <f aca="false">IF(OR($E330="",$F330=""),"",ROUND(IF($F330&lt;1,$F330*24,INT($F330/100)+MOD($F330,100)/60)-IF($E330&lt;1,$E330*24,INT($E330/100)+MOD($E330,100)/60),2))</f>
        <v/>
      </c>
      <c r="H330" s="12"/>
      <c r="I330" s="17" t="str">
        <f aca="false">IF($A330="","",YEAR($A330))</f>
        <v/>
      </c>
      <c r="J330" s="17" t="str">
        <f aca="false">IF($A330="","",MONTH($A330))</f>
        <v/>
      </c>
      <c r="K330" s="17" t="str">
        <f aca="false">IF($A330="","",IF(AND($A330&gt;=사용안내!$C$18,$A330&lt;=사용안내!$C$19),"1학기",IF(AND($A330&gt;=사용안내!$C$20,$A330&lt;=사용안내!$C$21),"2학기","기간외")))</f>
        <v/>
      </c>
    </row>
    <row r="331" customFormat="false" ht="15" hidden="false" customHeight="true" outlineLevel="0" collapsed="false">
      <c r="A331" s="16"/>
      <c r="B331" s="12"/>
      <c r="C331" s="17" t="str">
        <f aca="false">IF($B331="","",IFERROR(INDEX(학생명부!$B$3:$B$83,MATCH($B331,학생명부!$A$3:$A$83,0)),"학번없음"))</f>
        <v/>
      </c>
      <c r="D331" s="12"/>
      <c r="E331" s="18"/>
      <c r="F331" s="18"/>
      <c r="G331" s="19" t="str">
        <f aca="false">IF(OR($E331="",$F331=""),"",ROUND(IF($F331&lt;1,$F331*24,INT($F331/100)+MOD($F331,100)/60)-IF($E331&lt;1,$E331*24,INT($E331/100)+MOD($E331,100)/60),2))</f>
        <v/>
      </c>
      <c r="H331" s="12"/>
      <c r="I331" s="17" t="str">
        <f aca="false">IF($A331="","",YEAR($A331))</f>
        <v/>
      </c>
      <c r="J331" s="17" t="str">
        <f aca="false">IF($A331="","",MONTH($A331))</f>
        <v/>
      </c>
      <c r="K331" s="17" t="str">
        <f aca="false">IF($A331="","",IF(AND($A331&gt;=사용안내!$C$18,$A331&lt;=사용안내!$C$19),"1학기",IF(AND($A331&gt;=사용안내!$C$20,$A331&lt;=사용안내!$C$21),"2학기","기간외")))</f>
        <v/>
      </c>
    </row>
    <row r="332" customFormat="false" ht="15" hidden="false" customHeight="true" outlineLevel="0" collapsed="false">
      <c r="A332" s="16"/>
      <c r="B332" s="12"/>
      <c r="C332" s="17" t="str">
        <f aca="false">IF($B332="","",IFERROR(INDEX(학생명부!$B$3:$B$83,MATCH($B332,학생명부!$A$3:$A$83,0)),"학번없음"))</f>
        <v/>
      </c>
      <c r="D332" s="12"/>
      <c r="E332" s="18"/>
      <c r="F332" s="18"/>
      <c r="G332" s="19" t="str">
        <f aca="false">IF(OR($E332="",$F332=""),"",ROUND(IF($F332&lt;1,$F332*24,INT($F332/100)+MOD($F332,100)/60)-IF($E332&lt;1,$E332*24,INT($E332/100)+MOD($E332,100)/60),2))</f>
        <v/>
      </c>
      <c r="H332" s="12"/>
      <c r="I332" s="17" t="str">
        <f aca="false">IF($A332="","",YEAR($A332))</f>
        <v/>
      </c>
      <c r="J332" s="17" t="str">
        <f aca="false">IF($A332="","",MONTH($A332))</f>
        <v/>
      </c>
      <c r="K332" s="17" t="str">
        <f aca="false">IF($A332="","",IF(AND($A332&gt;=사용안내!$C$18,$A332&lt;=사용안내!$C$19),"1학기",IF(AND($A332&gt;=사용안내!$C$20,$A332&lt;=사용안내!$C$21),"2학기","기간외")))</f>
        <v/>
      </c>
    </row>
    <row r="333" customFormat="false" ht="15" hidden="false" customHeight="true" outlineLevel="0" collapsed="false">
      <c r="A333" s="16"/>
      <c r="B333" s="12"/>
      <c r="C333" s="17" t="str">
        <f aca="false">IF($B333="","",IFERROR(INDEX(학생명부!$B$3:$B$83,MATCH($B333,학생명부!$A$3:$A$83,0)),"학번없음"))</f>
        <v/>
      </c>
      <c r="D333" s="12"/>
      <c r="E333" s="18"/>
      <c r="F333" s="18"/>
      <c r="G333" s="19" t="str">
        <f aca="false">IF(OR($E333="",$F333=""),"",ROUND(IF($F333&lt;1,$F333*24,INT($F333/100)+MOD($F333,100)/60)-IF($E333&lt;1,$E333*24,INT($E333/100)+MOD($E333,100)/60),2))</f>
        <v/>
      </c>
      <c r="H333" s="12"/>
      <c r="I333" s="17" t="str">
        <f aca="false">IF($A333="","",YEAR($A333))</f>
        <v/>
      </c>
      <c r="J333" s="17" t="str">
        <f aca="false">IF($A333="","",MONTH($A333))</f>
        <v/>
      </c>
      <c r="K333" s="17" t="str">
        <f aca="false">IF($A333="","",IF(AND($A333&gt;=사용안내!$C$18,$A333&lt;=사용안내!$C$19),"1학기",IF(AND($A333&gt;=사용안내!$C$20,$A333&lt;=사용안내!$C$21),"2학기","기간외")))</f>
        <v/>
      </c>
    </row>
    <row r="334" customFormat="false" ht="15" hidden="false" customHeight="true" outlineLevel="0" collapsed="false">
      <c r="A334" s="16"/>
      <c r="B334" s="12"/>
      <c r="C334" s="17" t="str">
        <f aca="false">IF($B334="","",IFERROR(INDEX(학생명부!$B$3:$B$83,MATCH($B334,학생명부!$A$3:$A$83,0)),"학번없음"))</f>
        <v/>
      </c>
      <c r="D334" s="12"/>
      <c r="E334" s="18"/>
      <c r="F334" s="18"/>
      <c r="G334" s="19" t="str">
        <f aca="false">IF(OR($E334="",$F334=""),"",ROUND(IF($F334&lt;1,$F334*24,INT($F334/100)+MOD($F334,100)/60)-IF($E334&lt;1,$E334*24,INT($E334/100)+MOD($E334,100)/60),2))</f>
        <v/>
      </c>
      <c r="H334" s="12"/>
      <c r="I334" s="17" t="str">
        <f aca="false">IF($A334="","",YEAR($A334))</f>
        <v/>
      </c>
      <c r="J334" s="17" t="str">
        <f aca="false">IF($A334="","",MONTH($A334))</f>
        <v/>
      </c>
      <c r="K334" s="17" t="str">
        <f aca="false">IF($A334="","",IF(AND($A334&gt;=사용안내!$C$18,$A334&lt;=사용안내!$C$19),"1학기",IF(AND($A334&gt;=사용안내!$C$20,$A334&lt;=사용안내!$C$21),"2학기","기간외")))</f>
        <v/>
      </c>
    </row>
    <row r="335" customFormat="false" ht="15" hidden="false" customHeight="true" outlineLevel="0" collapsed="false">
      <c r="A335" s="16"/>
      <c r="B335" s="12"/>
      <c r="C335" s="17" t="str">
        <f aca="false">IF($B335="","",IFERROR(INDEX(학생명부!$B$3:$B$83,MATCH($B335,학생명부!$A$3:$A$83,0)),"학번없음"))</f>
        <v/>
      </c>
      <c r="D335" s="12"/>
      <c r="E335" s="18"/>
      <c r="F335" s="18"/>
      <c r="G335" s="19" t="str">
        <f aca="false">IF(OR($E335="",$F335=""),"",ROUND(IF($F335&lt;1,$F335*24,INT($F335/100)+MOD($F335,100)/60)-IF($E335&lt;1,$E335*24,INT($E335/100)+MOD($E335,100)/60),2))</f>
        <v/>
      </c>
      <c r="H335" s="12"/>
      <c r="I335" s="17" t="str">
        <f aca="false">IF($A335="","",YEAR($A335))</f>
        <v/>
      </c>
      <c r="J335" s="17" t="str">
        <f aca="false">IF($A335="","",MONTH($A335))</f>
        <v/>
      </c>
      <c r="K335" s="17" t="str">
        <f aca="false">IF($A335="","",IF(AND($A335&gt;=사용안내!$C$18,$A335&lt;=사용안내!$C$19),"1학기",IF(AND($A335&gt;=사용안내!$C$20,$A335&lt;=사용안내!$C$21),"2학기","기간외")))</f>
        <v/>
      </c>
    </row>
    <row r="336" customFormat="false" ht="15" hidden="false" customHeight="true" outlineLevel="0" collapsed="false">
      <c r="A336" s="16"/>
      <c r="B336" s="12"/>
      <c r="C336" s="17" t="str">
        <f aca="false">IF($B336="","",IFERROR(INDEX(학생명부!$B$3:$B$83,MATCH($B336,학생명부!$A$3:$A$83,0)),"학번없음"))</f>
        <v/>
      </c>
      <c r="D336" s="12"/>
      <c r="E336" s="18"/>
      <c r="F336" s="18"/>
      <c r="G336" s="19" t="str">
        <f aca="false">IF(OR($E336="",$F336=""),"",ROUND(IF($F336&lt;1,$F336*24,INT($F336/100)+MOD($F336,100)/60)-IF($E336&lt;1,$E336*24,INT($E336/100)+MOD($E336,100)/60),2))</f>
        <v/>
      </c>
      <c r="H336" s="12"/>
      <c r="I336" s="17" t="str">
        <f aca="false">IF($A336="","",YEAR($A336))</f>
        <v/>
      </c>
      <c r="J336" s="17" t="str">
        <f aca="false">IF($A336="","",MONTH($A336))</f>
        <v/>
      </c>
      <c r="K336" s="17" t="str">
        <f aca="false">IF($A336="","",IF(AND($A336&gt;=사용안내!$C$18,$A336&lt;=사용안내!$C$19),"1학기",IF(AND($A336&gt;=사용안내!$C$20,$A336&lt;=사용안내!$C$21),"2학기","기간외")))</f>
        <v/>
      </c>
    </row>
    <row r="337" customFormat="false" ht="15" hidden="false" customHeight="true" outlineLevel="0" collapsed="false">
      <c r="A337" s="16"/>
      <c r="B337" s="12"/>
      <c r="C337" s="17" t="str">
        <f aca="false">IF($B337="","",IFERROR(INDEX(학생명부!$B$3:$B$83,MATCH($B337,학생명부!$A$3:$A$83,0)),"학번없음"))</f>
        <v/>
      </c>
      <c r="D337" s="12"/>
      <c r="E337" s="18"/>
      <c r="F337" s="18"/>
      <c r="G337" s="19" t="str">
        <f aca="false">IF(OR($E337="",$F337=""),"",ROUND(IF($F337&lt;1,$F337*24,INT($F337/100)+MOD($F337,100)/60)-IF($E337&lt;1,$E337*24,INT($E337/100)+MOD($E337,100)/60),2))</f>
        <v/>
      </c>
      <c r="H337" s="12"/>
      <c r="I337" s="17" t="str">
        <f aca="false">IF($A337="","",YEAR($A337))</f>
        <v/>
      </c>
      <c r="J337" s="17" t="str">
        <f aca="false">IF($A337="","",MONTH($A337))</f>
        <v/>
      </c>
      <c r="K337" s="17" t="str">
        <f aca="false">IF($A337="","",IF(AND($A337&gt;=사용안내!$C$18,$A337&lt;=사용안내!$C$19),"1학기",IF(AND($A337&gt;=사용안내!$C$20,$A337&lt;=사용안내!$C$21),"2학기","기간외")))</f>
        <v/>
      </c>
    </row>
    <row r="338" customFormat="false" ht="15" hidden="false" customHeight="true" outlineLevel="0" collapsed="false">
      <c r="A338" s="16"/>
      <c r="B338" s="12"/>
      <c r="C338" s="17" t="str">
        <f aca="false">IF($B338="","",IFERROR(INDEX(학생명부!$B$3:$B$83,MATCH($B338,학생명부!$A$3:$A$83,0)),"학번없음"))</f>
        <v/>
      </c>
      <c r="D338" s="12"/>
      <c r="E338" s="18"/>
      <c r="F338" s="18"/>
      <c r="G338" s="19" t="str">
        <f aca="false">IF(OR($E338="",$F338=""),"",ROUND(IF($F338&lt;1,$F338*24,INT($F338/100)+MOD($F338,100)/60)-IF($E338&lt;1,$E338*24,INT($E338/100)+MOD($E338,100)/60),2))</f>
        <v/>
      </c>
      <c r="H338" s="12"/>
      <c r="I338" s="17" t="str">
        <f aca="false">IF($A338="","",YEAR($A338))</f>
        <v/>
      </c>
      <c r="J338" s="17" t="str">
        <f aca="false">IF($A338="","",MONTH($A338))</f>
        <v/>
      </c>
      <c r="K338" s="17" t="str">
        <f aca="false">IF($A338="","",IF(AND($A338&gt;=사용안내!$C$18,$A338&lt;=사용안내!$C$19),"1학기",IF(AND($A338&gt;=사용안내!$C$20,$A338&lt;=사용안내!$C$21),"2학기","기간외")))</f>
        <v/>
      </c>
    </row>
    <row r="339" customFormat="false" ht="15" hidden="false" customHeight="true" outlineLevel="0" collapsed="false">
      <c r="A339" s="16"/>
      <c r="B339" s="12"/>
      <c r="C339" s="17" t="str">
        <f aca="false">IF($B339="","",IFERROR(INDEX(학생명부!$B$3:$B$83,MATCH($B339,학생명부!$A$3:$A$83,0)),"학번없음"))</f>
        <v/>
      </c>
      <c r="D339" s="12"/>
      <c r="E339" s="18"/>
      <c r="F339" s="18"/>
      <c r="G339" s="19" t="str">
        <f aca="false">IF(OR($E339="",$F339=""),"",ROUND(IF($F339&lt;1,$F339*24,INT($F339/100)+MOD($F339,100)/60)-IF($E339&lt;1,$E339*24,INT($E339/100)+MOD($E339,100)/60),2))</f>
        <v/>
      </c>
      <c r="H339" s="12"/>
      <c r="I339" s="17" t="str">
        <f aca="false">IF($A339="","",YEAR($A339))</f>
        <v/>
      </c>
      <c r="J339" s="17" t="str">
        <f aca="false">IF($A339="","",MONTH($A339))</f>
        <v/>
      </c>
      <c r="K339" s="17" t="str">
        <f aca="false">IF($A339="","",IF(AND($A339&gt;=사용안내!$C$18,$A339&lt;=사용안내!$C$19),"1학기",IF(AND($A339&gt;=사용안내!$C$20,$A339&lt;=사용안내!$C$21),"2학기","기간외")))</f>
        <v/>
      </c>
    </row>
    <row r="340" customFormat="false" ht="15" hidden="false" customHeight="true" outlineLevel="0" collapsed="false">
      <c r="A340" s="16"/>
      <c r="B340" s="12"/>
      <c r="C340" s="17" t="str">
        <f aca="false">IF($B340="","",IFERROR(INDEX(학생명부!$B$3:$B$83,MATCH($B340,학생명부!$A$3:$A$83,0)),"학번없음"))</f>
        <v/>
      </c>
      <c r="D340" s="12"/>
      <c r="E340" s="18"/>
      <c r="F340" s="18"/>
      <c r="G340" s="19" t="str">
        <f aca="false">IF(OR($E340="",$F340=""),"",ROUND(IF($F340&lt;1,$F340*24,INT($F340/100)+MOD($F340,100)/60)-IF($E340&lt;1,$E340*24,INT($E340/100)+MOD($E340,100)/60),2))</f>
        <v/>
      </c>
      <c r="H340" s="12"/>
      <c r="I340" s="17" t="str">
        <f aca="false">IF($A340="","",YEAR($A340))</f>
        <v/>
      </c>
      <c r="J340" s="17" t="str">
        <f aca="false">IF($A340="","",MONTH($A340))</f>
        <v/>
      </c>
      <c r="K340" s="17" t="str">
        <f aca="false">IF($A340="","",IF(AND($A340&gt;=사용안내!$C$18,$A340&lt;=사용안내!$C$19),"1학기",IF(AND($A340&gt;=사용안내!$C$20,$A340&lt;=사용안내!$C$21),"2학기","기간외")))</f>
        <v/>
      </c>
    </row>
    <row r="341" customFormat="false" ht="15" hidden="false" customHeight="true" outlineLevel="0" collapsed="false">
      <c r="A341" s="16"/>
      <c r="B341" s="12"/>
      <c r="C341" s="17" t="str">
        <f aca="false">IF($B341="","",IFERROR(INDEX(학생명부!$B$3:$B$83,MATCH($B341,학생명부!$A$3:$A$83,0)),"학번없음"))</f>
        <v/>
      </c>
      <c r="D341" s="12"/>
      <c r="E341" s="18"/>
      <c r="F341" s="18"/>
      <c r="G341" s="19" t="str">
        <f aca="false">IF(OR($E341="",$F341=""),"",ROUND(IF($F341&lt;1,$F341*24,INT($F341/100)+MOD($F341,100)/60)-IF($E341&lt;1,$E341*24,INT($E341/100)+MOD($E341,100)/60),2))</f>
        <v/>
      </c>
      <c r="H341" s="12"/>
      <c r="I341" s="17" t="str">
        <f aca="false">IF($A341="","",YEAR($A341))</f>
        <v/>
      </c>
      <c r="J341" s="17" t="str">
        <f aca="false">IF($A341="","",MONTH($A341))</f>
        <v/>
      </c>
      <c r="K341" s="17" t="str">
        <f aca="false">IF($A341="","",IF(AND($A341&gt;=사용안내!$C$18,$A341&lt;=사용안내!$C$19),"1학기",IF(AND($A341&gt;=사용안내!$C$20,$A341&lt;=사용안내!$C$21),"2학기","기간외")))</f>
        <v/>
      </c>
    </row>
    <row r="342" customFormat="false" ht="15" hidden="false" customHeight="true" outlineLevel="0" collapsed="false">
      <c r="A342" s="16"/>
      <c r="B342" s="12"/>
      <c r="C342" s="17" t="str">
        <f aca="false">IF($B342="","",IFERROR(INDEX(학생명부!$B$3:$B$83,MATCH($B342,학생명부!$A$3:$A$83,0)),"학번없음"))</f>
        <v/>
      </c>
      <c r="D342" s="12"/>
      <c r="E342" s="18"/>
      <c r="F342" s="18"/>
      <c r="G342" s="19" t="str">
        <f aca="false">IF(OR($E342="",$F342=""),"",ROUND(IF($F342&lt;1,$F342*24,INT($F342/100)+MOD($F342,100)/60)-IF($E342&lt;1,$E342*24,INT($E342/100)+MOD($E342,100)/60),2))</f>
        <v/>
      </c>
      <c r="H342" s="12"/>
      <c r="I342" s="17" t="str">
        <f aca="false">IF($A342="","",YEAR($A342))</f>
        <v/>
      </c>
      <c r="J342" s="17" t="str">
        <f aca="false">IF($A342="","",MONTH($A342))</f>
        <v/>
      </c>
      <c r="K342" s="17" t="str">
        <f aca="false">IF($A342="","",IF(AND($A342&gt;=사용안내!$C$18,$A342&lt;=사용안내!$C$19),"1학기",IF(AND($A342&gt;=사용안내!$C$20,$A342&lt;=사용안내!$C$21),"2학기","기간외")))</f>
        <v/>
      </c>
    </row>
    <row r="343" customFormat="false" ht="15" hidden="false" customHeight="true" outlineLevel="0" collapsed="false">
      <c r="A343" s="16"/>
      <c r="B343" s="12"/>
      <c r="C343" s="17" t="str">
        <f aca="false">IF($B343="","",IFERROR(INDEX(학생명부!$B$3:$B$83,MATCH($B343,학생명부!$A$3:$A$83,0)),"학번없음"))</f>
        <v/>
      </c>
      <c r="D343" s="12"/>
      <c r="E343" s="18"/>
      <c r="F343" s="18"/>
      <c r="G343" s="19" t="str">
        <f aca="false">IF(OR($E343="",$F343=""),"",ROUND(IF($F343&lt;1,$F343*24,INT($F343/100)+MOD($F343,100)/60)-IF($E343&lt;1,$E343*24,INT($E343/100)+MOD($E343,100)/60),2))</f>
        <v/>
      </c>
      <c r="H343" s="12"/>
      <c r="I343" s="17" t="str">
        <f aca="false">IF($A343="","",YEAR($A343))</f>
        <v/>
      </c>
      <c r="J343" s="17" t="str">
        <f aca="false">IF($A343="","",MONTH($A343))</f>
        <v/>
      </c>
      <c r="K343" s="17" t="str">
        <f aca="false">IF($A343="","",IF(AND($A343&gt;=사용안내!$C$18,$A343&lt;=사용안내!$C$19),"1학기",IF(AND($A343&gt;=사용안내!$C$20,$A343&lt;=사용안내!$C$21),"2학기","기간외")))</f>
        <v/>
      </c>
    </row>
    <row r="344" customFormat="false" ht="15" hidden="false" customHeight="true" outlineLevel="0" collapsed="false">
      <c r="A344" s="16"/>
      <c r="B344" s="12"/>
      <c r="C344" s="17" t="str">
        <f aca="false">IF($B344="","",IFERROR(INDEX(학생명부!$B$3:$B$83,MATCH($B344,학생명부!$A$3:$A$83,0)),"학번없음"))</f>
        <v/>
      </c>
      <c r="D344" s="12"/>
      <c r="E344" s="18"/>
      <c r="F344" s="18"/>
      <c r="G344" s="19" t="str">
        <f aca="false">IF(OR($E344="",$F344=""),"",ROUND(IF($F344&lt;1,$F344*24,INT($F344/100)+MOD($F344,100)/60)-IF($E344&lt;1,$E344*24,INT($E344/100)+MOD($E344,100)/60),2))</f>
        <v/>
      </c>
      <c r="H344" s="12"/>
      <c r="I344" s="17" t="str">
        <f aca="false">IF($A344="","",YEAR($A344))</f>
        <v/>
      </c>
      <c r="J344" s="17" t="str">
        <f aca="false">IF($A344="","",MONTH($A344))</f>
        <v/>
      </c>
      <c r="K344" s="17" t="str">
        <f aca="false">IF($A344="","",IF(AND($A344&gt;=사용안내!$C$18,$A344&lt;=사용안내!$C$19),"1학기",IF(AND($A344&gt;=사용안내!$C$20,$A344&lt;=사용안내!$C$21),"2학기","기간외")))</f>
        <v/>
      </c>
    </row>
    <row r="345" customFormat="false" ht="15" hidden="false" customHeight="true" outlineLevel="0" collapsed="false">
      <c r="A345" s="16"/>
      <c r="B345" s="12"/>
      <c r="C345" s="17" t="str">
        <f aca="false">IF($B345="","",IFERROR(INDEX(학생명부!$B$3:$B$83,MATCH($B345,학생명부!$A$3:$A$83,0)),"학번없음"))</f>
        <v/>
      </c>
      <c r="D345" s="12"/>
      <c r="E345" s="18"/>
      <c r="F345" s="18"/>
      <c r="G345" s="19" t="str">
        <f aca="false">IF(OR($E345="",$F345=""),"",ROUND(IF($F345&lt;1,$F345*24,INT($F345/100)+MOD($F345,100)/60)-IF($E345&lt;1,$E345*24,INT($E345/100)+MOD($E345,100)/60),2))</f>
        <v/>
      </c>
      <c r="H345" s="12"/>
      <c r="I345" s="17" t="str">
        <f aca="false">IF($A345="","",YEAR($A345))</f>
        <v/>
      </c>
      <c r="J345" s="17" t="str">
        <f aca="false">IF($A345="","",MONTH($A345))</f>
        <v/>
      </c>
      <c r="K345" s="17" t="str">
        <f aca="false">IF($A345="","",IF(AND($A345&gt;=사용안내!$C$18,$A345&lt;=사용안내!$C$19),"1학기",IF(AND($A345&gt;=사용안내!$C$20,$A345&lt;=사용안내!$C$21),"2학기","기간외")))</f>
        <v/>
      </c>
    </row>
    <row r="346" customFormat="false" ht="15" hidden="false" customHeight="true" outlineLevel="0" collapsed="false">
      <c r="A346" s="16"/>
      <c r="B346" s="12"/>
      <c r="C346" s="17" t="str">
        <f aca="false">IF($B346="","",IFERROR(INDEX(학생명부!$B$3:$B$83,MATCH($B346,학생명부!$A$3:$A$83,0)),"학번없음"))</f>
        <v/>
      </c>
      <c r="D346" s="12"/>
      <c r="E346" s="18"/>
      <c r="F346" s="18"/>
      <c r="G346" s="19" t="str">
        <f aca="false">IF(OR($E346="",$F346=""),"",ROUND(IF($F346&lt;1,$F346*24,INT($F346/100)+MOD($F346,100)/60)-IF($E346&lt;1,$E346*24,INT($E346/100)+MOD($E346,100)/60),2))</f>
        <v/>
      </c>
      <c r="H346" s="12"/>
      <c r="I346" s="17" t="str">
        <f aca="false">IF($A346="","",YEAR($A346))</f>
        <v/>
      </c>
      <c r="J346" s="17" t="str">
        <f aca="false">IF($A346="","",MONTH($A346))</f>
        <v/>
      </c>
      <c r="K346" s="17" t="str">
        <f aca="false">IF($A346="","",IF(AND($A346&gt;=사용안내!$C$18,$A346&lt;=사용안내!$C$19),"1학기",IF(AND($A346&gt;=사용안내!$C$20,$A346&lt;=사용안내!$C$21),"2학기","기간외")))</f>
        <v/>
      </c>
    </row>
    <row r="347" customFormat="false" ht="15" hidden="false" customHeight="true" outlineLevel="0" collapsed="false">
      <c r="A347" s="16"/>
      <c r="B347" s="12"/>
      <c r="C347" s="17" t="str">
        <f aca="false">IF($B347="","",IFERROR(INDEX(학생명부!$B$3:$B$83,MATCH($B347,학생명부!$A$3:$A$83,0)),"학번없음"))</f>
        <v/>
      </c>
      <c r="D347" s="12"/>
      <c r="E347" s="18"/>
      <c r="F347" s="18"/>
      <c r="G347" s="19" t="str">
        <f aca="false">IF(OR($E347="",$F347=""),"",ROUND(IF($F347&lt;1,$F347*24,INT($F347/100)+MOD($F347,100)/60)-IF($E347&lt;1,$E347*24,INT($E347/100)+MOD($E347,100)/60),2))</f>
        <v/>
      </c>
      <c r="H347" s="12"/>
      <c r="I347" s="17" t="str">
        <f aca="false">IF($A347="","",YEAR($A347))</f>
        <v/>
      </c>
      <c r="J347" s="17" t="str">
        <f aca="false">IF($A347="","",MONTH($A347))</f>
        <v/>
      </c>
      <c r="K347" s="17" t="str">
        <f aca="false">IF($A347="","",IF(AND($A347&gt;=사용안내!$C$18,$A347&lt;=사용안내!$C$19),"1학기",IF(AND($A347&gt;=사용안내!$C$20,$A347&lt;=사용안내!$C$21),"2학기","기간외")))</f>
        <v/>
      </c>
    </row>
    <row r="348" customFormat="false" ht="15" hidden="false" customHeight="true" outlineLevel="0" collapsed="false">
      <c r="A348" s="16"/>
      <c r="B348" s="12"/>
      <c r="C348" s="17" t="str">
        <f aca="false">IF($B348="","",IFERROR(INDEX(학생명부!$B$3:$B$83,MATCH($B348,학생명부!$A$3:$A$83,0)),"학번없음"))</f>
        <v/>
      </c>
      <c r="D348" s="12"/>
      <c r="E348" s="18"/>
      <c r="F348" s="18"/>
      <c r="G348" s="19" t="str">
        <f aca="false">IF(OR($E348="",$F348=""),"",ROUND(IF($F348&lt;1,$F348*24,INT($F348/100)+MOD($F348,100)/60)-IF($E348&lt;1,$E348*24,INT($E348/100)+MOD($E348,100)/60),2))</f>
        <v/>
      </c>
      <c r="H348" s="12"/>
      <c r="I348" s="17" t="str">
        <f aca="false">IF($A348="","",YEAR($A348))</f>
        <v/>
      </c>
      <c r="J348" s="17" t="str">
        <f aca="false">IF($A348="","",MONTH($A348))</f>
        <v/>
      </c>
      <c r="K348" s="17" t="str">
        <f aca="false">IF($A348="","",IF(AND($A348&gt;=사용안내!$C$18,$A348&lt;=사용안내!$C$19),"1학기",IF(AND($A348&gt;=사용안내!$C$20,$A348&lt;=사용안내!$C$21),"2학기","기간외")))</f>
        <v/>
      </c>
    </row>
    <row r="349" customFormat="false" ht="15" hidden="false" customHeight="true" outlineLevel="0" collapsed="false">
      <c r="A349" s="16"/>
      <c r="B349" s="12"/>
      <c r="C349" s="17" t="str">
        <f aca="false">IF($B349="","",IFERROR(INDEX(학생명부!$B$3:$B$83,MATCH($B349,학생명부!$A$3:$A$83,0)),"학번없음"))</f>
        <v/>
      </c>
      <c r="D349" s="12"/>
      <c r="E349" s="18"/>
      <c r="F349" s="18"/>
      <c r="G349" s="19" t="str">
        <f aca="false">IF(OR($E349="",$F349=""),"",ROUND(IF($F349&lt;1,$F349*24,INT($F349/100)+MOD($F349,100)/60)-IF($E349&lt;1,$E349*24,INT($E349/100)+MOD($E349,100)/60),2))</f>
        <v/>
      </c>
      <c r="H349" s="12"/>
      <c r="I349" s="17" t="str">
        <f aca="false">IF($A349="","",YEAR($A349))</f>
        <v/>
      </c>
      <c r="J349" s="17" t="str">
        <f aca="false">IF($A349="","",MONTH($A349))</f>
        <v/>
      </c>
      <c r="K349" s="17" t="str">
        <f aca="false">IF($A349="","",IF(AND($A349&gt;=사용안내!$C$18,$A349&lt;=사용안내!$C$19),"1학기",IF(AND($A349&gt;=사용안내!$C$20,$A349&lt;=사용안내!$C$21),"2학기","기간외")))</f>
        <v/>
      </c>
    </row>
    <row r="350" customFormat="false" ht="15" hidden="false" customHeight="true" outlineLevel="0" collapsed="false">
      <c r="A350" s="16"/>
      <c r="B350" s="12"/>
      <c r="C350" s="17" t="str">
        <f aca="false">IF($B350="","",IFERROR(INDEX(학생명부!$B$3:$B$83,MATCH($B350,학생명부!$A$3:$A$83,0)),"학번없음"))</f>
        <v/>
      </c>
      <c r="D350" s="12"/>
      <c r="E350" s="18"/>
      <c r="F350" s="18"/>
      <c r="G350" s="19" t="str">
        <f aca="false">IF(OR($E350="",$F350=""),"",ROUND(IF($F350&lt;1,$F350*24,INT($F350/100)+MOD($F350,100)/60)-IF($E350&lt;1,$E350*24,INT($E350/100)+MOD($E350,100)/60),2))</f>
        <v/>
      </c>
      <c r="H350" s="12"/>
      <c r="I350" s="17" t="str">
        <f aca="false">IF($A350="","",YEAR($A350))</f>
        <v/>
      </c>
      <c r="J350" s="17" t="str">
        <f aca="false">IF($A350="","",MONTH($A350))</f>
        <v/>
      </c>
      <c r="K350" s="17" t="str">
        <f aca="false">IF($A350="","",IF(AND($A350&gt;=사용안내!$C$18,$A350&lt;=사용안내!$C$19),"1학기",IF(AND($A350&gt;=사용안내!$C$20,$A350&lt;=사용안내!$C$21),"2학기","기간외")))</f>
        <v/>
      </c>
    </row>
    <row r="351" customFormat="false" ht="15" hidden="false" customHeight="true" outlineLevel="0" collapsed="false">
      <c r="A351" s="16"/>
      <c r="B351" s="12"/>
      <c r="C351" s="17" t="str">
        <f aca="false">IF($B351="","",IFERROR(INDEX(학생명부!$B$3:$B$83,MATCH($B351,학생명부!$A$3:$A$83,0)),"학번없음"))</f>
        <v/>
      </c>
      <c r="D351" s="12"/>
      <c r="E351" s="18"/>
      <c r="F351" s="18"/>
      <c r="G351" s="19" t="str">
        <f aca="false">IF(OR($E351="",$F351=""),"",ROUND(IF($F351&lt;1,$F351*24,INT($F351/100)+MOD($F351,100)/60)-IF($E351&lt;1,$E351*24,INT($E351/100)+MOD($E351,100)/60),2))</f>
        <v/>
      </c>
      <c r="H351" s="12"/>
      <c r="I351" s="17" t="str">
        <f aca="false">IF($A351="","",YEAR($A351))</f>
        <v/>
      </c>
      <c r="J351" s="17" t="str">
        <f aca="false">IF($A351="","",MONTH($A351))</f>
        <v/>
      </c>
      <c r="K351" s="17" t="str">
        <f aca="false">IF($A351="","",IF(AND($A351&gt;=사용안내!$C$18,$A351&lt;=사용안내!$C$19),"1학기",IF(AND($A351&gt;=사용안내!$C$20,$A351&lt;=사용안내!$C$21),"2학기","기간외")))</f>
        <v/>
      </c>
    </row>
    <row r="352" customFormat="false" ht="15" hidden="false" customHeight="true" outlineLevel="0" collapsed="false">
      <c r="A352" s="16"/>
      <c r="B352" s="12"/>
      <c r="C352" s="17" t="str">
        <f aca="false">IF($B352="","",IFERROR(INDEX(학생명부!$B$3:$B$83,MATCH($B352,학생명부!$A$3:$A$83,0)),"학번없음"))</f>
        <v/>
      </c>
      <c r="D352" s="12"/>
      <c r="E352" s="18"/>
      <c r="F352" s="18"/>
      <c r="G352" s="19" t="str">
        <f aca="false">IF(OR($E352="",$F352=""),"",ROUND(IF($F352&lt;1,$F352*24,INT($F352/100)+MOD($F352,100)/60)-IF($E352&lt;1,$E352*24,INT($E352/100)+MOD($E352,100)/60),2))</f>
        <v/>
      </c>
      <c r="H352" s="12"/>
      <c r="I352" s="17" t="str">
        <f aca="false">IF($A352="","",YEAR($A352))</f>
        <v/>
      </c>
      <c r="J352" s="17" t="str">
        <f aca="false">IF($A352="","",MONTH($A352))</f>
        <v/>
      </c>
      <c r="K352" s="17" t="str">
        <f aca="false">IF($A352="","",IF(AND($A352&gt;=사용안내!$C$18,$A352&lt;=사용안내!$C$19),"1학기",IF(AND($A352&gt;=사용안내!$C$20,$A352&lt;=사용안내!$C$21),"2학기","기간외")))</f>
        <v/>
      </c>
    </row>
    <row r="353" customFormat="false" ht="15" hidden="false" customHeight="true" outlineLevel="0" collapsed="false">
      <c r="A353" s="16"/>
      <c r="B353" s="12"/>
      <c r="C353" s="17" t="str">
        <f aca="false">IF($B353="","",IFERROR(INDEX(학생명부!$B$3:$B$83,MATCH($B353,학생명부!$A$3:$A$83,0)),"학번없음"))</f>
        <v/>
      </c>
      <c r="D353" s="12"/>
      <c r="E353" s="18"/>
      <c r="F353" s="18"/>
      <c r="G353" s="19" t="str">
        <f aca="false">IF(OR($E353="",$F353=""),"",ROUND(IF($F353&lt;1,$F353*24,INT($F353/100)+MOD($F353,100)/60)-IF($E353&lt;1,$E353*24,INT($E353/100)+MOD($E353,100)/60),2))</f>
        <v/>
      </c>
      <c r="H353" s="12"/>
      <c r="I353" s="17" t="str">
        <f aca="false">IF($A353="","",YEAR($A353))</f>
        <v/>
      </c>
      <c r="J353" s="17" t="str">
        <f aca="false">IF($A353="","",MONTH($A353))</f>
        <v/>
      </c>
      <c r="K353" s="17" t="str">
        <f aca="false">IF($A353="","",IF(AND($A353&gt;=사용안내!$C$18,$A353&lt;=사용안내!$C$19),"1학기",IF(AND($A353&gt;=사용안내!$C$20,$A353&lt;=사용안내!$C$21),"2학기","기간외")))</f>
        <v/>
      </c>
    </row>
    <row r="354" customFormat="false" ht="15" hidden="false" customHeight="true" outlineLevel="0" collapsed="false">
      <c r="A354" s="16"/>
      <c r="B354" s="12"/>
      <c r="C354" s="17" t="str">
        <f aca="false">IF($B354="","",IFERROR(INDEX(학생명부!$B$3:$B$83,MATCH($B354,학생명부!$A$3:$A$83,0)),"학번없음"))</f>
        <v/>
      </c>
      <c r="D354" s="12"/>
      <c r="E354" s="18"/>
      <c r="F354" s="18"/>
      <c r="G354" s="19" t="str">
        <f aca="false">IF(OR($E354="",$F354=""),"",ROUND(IF($F354&lt;1,$F354*24,INT($F354/100)+MOD($F354,100)/60)-IF($E354&lt;1,$E354*24,INT($E354/100)+MOD($E354,100)/60),2))</f>
        <v/>
      </c>
      <c r="H354" s="12"/>
      <c r="I354" s="17" t="str">
        <f aca="false">IF($A354="","",YEAR($A354))</f>
        <v/>
      </c>
      <c r="J354" s="17" t="str">
        <f aca="false">IF($A354="","",MONTH($A354))</f>
        <v/>
      </c>
      <c r="K354" s="17" t="str">
        <f aca="false">IF($A354="","",IF(AND($A354&gt;=사용안내!$C$18,$A354&lt;=사용안내!$C$19),"1학기",IF(AND($A354&gt;=사용안내!$C$20,$A354&lt;=사용안내!$C$21),"2학기","기간외")))</f>
        <v/>
      </c>
    </row>
    <row r="355" customFormat="false" ht="15" hidden="false" customHeight="true" outlineLevel="0" collapsed="false">
      <c r="A355" s="16"/>
      <c r="B355" s="12"/>
      <c r="C355" s="17" t="str">
        <f aca="false">IF($B355="","",IFERROR(INDEX(학생명부!$B$3:$B$83,MATCH($B355,학생명부!$A$3:$A$83,0)),"학번없음"))</f>
        <v/>
      </c>
      <c r="D355" s="12"/>
      <c r="E355" s="18"/>
      <c r="F355" s="18"/>
      <c r="G355" s="19" t="str">
        <f aca="false">IF(OR($E355="",$F355=""),"",ROUND(IF($F355&lt;1,$F355*24,INT($F355/100)+MOD($F355,100)/60)-IF($E355&lt;1,$E355*24,INT($E355/100)+MOD($E355,100)/60),2))</f>
        <v/>
      </c>
      <c r="H355" s="12"/>
      <c r="I355" s="17" t="str">
        <f aca="false">IF($A355="","",YEAR($A355))</f>
        <v/>
      </c>
      <c r="J355" s="17" t="str">
        <f aca="false">IF($A355="","",MONTH($A355))</f>
        <v/>
      </c>
      <c r="K355" s="17" t="str">
        <f aca="false">IF($A355="","",IF(AND($A355&gt;=사용안내!$C$18,$A355&lt;=사용안내!$C$19),"1학기",IF(AND($A355&gt;=사용안내!$C$20,$A355&lt;=사용안내!$C$21),"2학기","기간외")))</f>
        <v/>
      </c>
    </row>
    <row r="356" customFormat="false" ht="15" hidden="false" customHeight="true" outlineLevel="0" collapsed="false">
      <c r="A356" s="16"/>
      <c r="B356" s="12"/>
      <c r="C356" s="17" t="str">
        <f aca="false">IF($B356="","",IFERROR(INDEX(학생명부!$B$3:$B$83,MATCH($B356,학생명부!$A$3:$A$83,0)),"학번없음"))</f>
        <v/>
      </c>
      <c r="D356" s="12"/>
      <c r="E356" s="18"/>
      <c r="F356" s="18"/>
      <c r="G356" s="19" t="str">
        <f aca="false">IF(OR($E356="",$F356=""),"",ROUND(IF($F356&lt;1,$F356*24,INT($F356/100)+MOD($F356,100)/60)-IF($E356&lt;1,$E356*24,INT($E356/100)+MOD($E356,100)/60),2))</f>
        <v/>
      </c>
      <c r="H356" s="12"/>
      <c r="I356" s="17" t="str">
        <f aca="false">IF($A356="","",YEAR($A356))</f>
        <v/>
      </c>
      <c r="J356" s="17" t="str">
        <f aca="false">IF($A356="","",MONTH($A356))</f>
        <v/>
      </c>
      <c r="K356" s="17" t="str">
        <f aca="false">IF($A356="","",IF(AND($A356&gt;=사용안내!$C$18,$A356&lt;=사용안내!$C$19),"1학기",IF(AND($A356&gt;=사용안내!$C$20,$A356&lt;=사용안내!$C$21),"2학기","기간외")))</f>
        <v/>
      </c>
    </row>
    <row r="357" customFormat="false" ht="15" hidden="false" customHeight="true" outlineLevel="0" collapsed="false">
      <c r="A357" s="16"/>
      <c r="B357" s="12"/>
      <c r="C357" s="17" t="str">
        <f aca="false">IF($B357="","",IFERROR(INDEX(학생명부!$B$3:$B$83,MATCH($B357,학생명부!$A$3:$A$83,0)),"학번없음"))</f>
        <v/>
      </c>
      <c r="D357" s="12"/>
      <c r="E357" s="18"/>
      <c r="F357" s="18"/>
      <c r="G357" s="19" t="str">
        <f aca="false">IF(OR($E357="",$F357=""),"",ROUND(IF($F357&lt;1,$F357*24,INT($F357/100)+MOD($F357,100)/60)-IF($E357&lt;1,$E357*24,INT($E357/100)+MOD($E357,100)/60),2))</f>
        <v/>
      </c>
      <c r="H357" s="12"/>
      <c r="I357" s="17" t="str">
        <f aca="false">IF($A357="","",YEAR($A357))</f>
        <v/>
      </c>
      <c r="J357" s="17" t="str">
        <f aca="false">IF($A357="","",MONTH($A357))</f>
        <v/>
      </c>
      <c r="K357" s="17" t="str">
        <f aca="false">IF($A357="","",IF(AND($A357&gt;=사용안내!$C$18,$A357&lt;=사용안내!$C$19),"1학기",IF(AND($A357&gt;=사용안내!$C$20,$A357&lt;=사용안내!$C$21),"2학기","기간외")))</f>
        <v/>
      </c>
    </row>
    <row r="358" customFormat="false" ht="15" hidden="false" customHeight="true" outlineLevel="0" collapsed="false">
      <c r="A358" s="16"/>
      <c r="B358" s="12"/>
      <c r="C358" s="17" t="str">
        <f aca="false">IF($B358="","",IFERROR(INDEX(학생명부!$B$3:$B$83,MATCH($B358,학생명부!$A$3:$A$83,0)),"학번없음"))</f>
        <v/>
      </c>
      <c r="D358" s="12"/>
      <c r="E358" s="18"/>
      <c r="F358" s="18"/>
      <c r="G358" s="19" t="str">
        <f aca="false">IF(OR($E358="",$F358=""),"",ROUND(IF($F358&lt;1,$F358*24,INT($F358/100)+MOD($F358,100)/60)-IF($E358&lt;1,$E358*24,INT($E358/100)+MOD($E358,100)/60),2))</f>
        <v/>
      </c>
      <c r="H358" s="12"/>
      <c r="I358" s="17" t="str">
        <f aca="false">IF($A358="","",YEAR($A358))</f>
        <v/>
      </c>
      <c r="J358" s="17" t="str">
        <f aca="false">IF($A358="","",MONTH($A358))</f>
        <v/>
      </c>
      <c r="K358" s="17" t="str">
        <f aca="false">IF($A358="","",IF(AND($A358&gt;=사용안내!$C$18,$A358&lt;=사용안내!$C$19),"1학기",IF(AND($A358&gt;=사용안내!$C$20,$A358&lt;=사용안내!$C$21),"2학기","기간외")))</f>
        <v/>
      </c>
    </row>
    <row r="359" customFormat="false" ht="15" hidden="false" customHeight="true" outlineLevel="0" collapsed="false">
      <c r="A359" s="16"/>
      <c r="B359" s="12"/>
      <c r="C359" s="17" t="str">
        <f aca="false">IF($B359="","",IFERROR(INDEX(학생명부!$B$3:$B$83,MATCH($B359,학생명부!$A$3:$A$83,0)),"학번없음"))</f>
        <v/>
      </c>
      <c r="D359" s="12"/>
      <c r="E359" s="18"/>
      <c r="F359" s="18"/>
      <c r="G359" s="19" t="str">
        <f aca="false">IF(OR($E359="",$F359=""),"",ROUND(IF($F359&lt;1,$F359*24,INT($F359/100)+MOD($F359,100)/60)-IF($E359&lt;1,$E359*24,INT($E359/100)+MOD($E359,100)/60),2))</f>
        <v/>
      </c>
      <c r="H359" s="12"/>
      <c r="I359" s="17" t="str">
        <f aca="false">IF($A359="","",YEAR($A359))</f>
        <v/>
      </c>
      <c r="J359" s="17" t="str">
        <f aca="false">IF($A359="","",MONTH($A359))</f>
        <v/>
      </c>
      <c r="K359" s="17" t="str">
        <f aca="false">IF($A359="","",IF(AND($A359&gt;=사용안내!$C$18,$A359&lt;=사용안내!$C$19),"1학기",IF(AND($A359&gt;=사용안내!$C$20,$A359&lt;=사용안내!$C$21),"2학기","기간외")))</f>
        <v/>
      </c>
    </row>
    <row r="360" customFormat="false" ht="15" hidden="false" customHeight="true" outlineLevel="0" collapsed="false">
      <c r="A360" s="16"/>
      <c r="B360" s="12"/>
      <c r="C360" s="17" t="str">
        <f aca="false">IF($B360="","",IFERROR(INDEX(학생명부!$B$3:$B$83,MATCH($B360,학생명부!$A$3:$A$83,0)),"학번없음"))</f>
        <v/>
      </c>
      <c r="D360" s="12"/>
      <c r="E360" s="18"/>
      <c r="F360" s="18"/>
      <c r="G360" s="19" t="str">
        <f aca="false">IF(OR($E360="",$F360=""),"",ROUND(IF($F360&lt;1,$F360*24,INT($F360/100)+MOD($F360,100)/60)-IF($E360&lt;1,$E360*24,INT($E360/100)+MOD($E360,100)/60),2))</f>
        <v/>
      </c>
      <c r="H360" s="12"/>
      <c r="I360" s="17" t="str">
        <f aca="false">IF($A360="","",YEAR($A360))</f>
        <v/>
      </c>
      <c r="J360" s="17" t="str">
        <f aca="false">IF($A360="","",MONTH($A360))</f>
        <v/>
      </c>
      <c r="K360" s="17" t="str">
        <f aca="false">IF($A360="","",IF(AND($A360&gt;=사용안내!$C$18,$A360&lt;=사용안내!$C$19),"1학기",IF(AND($A360&gt;=사용안내!$C$20,$A360&lt;=사용안내!$C$21),"2학기","기간외")))</f>
        <v/>
      </c>
    </row>
    <row r="361" customFormat="false" ht="15" hidden="false" customHeight="true" outlineLevel="0" collapsed="false">
      <c r="A361" s="16"/>
      <c r="B361" s="12"/>
      <c r="C361" s="17" t="str">
        <f aca="false">IF($B361="","",IFERROR(INDEX(학생명부!$B$3:$B$83,MATCH($B361,학생명부!$A$3:$A$83,0)),"학번없음"))</f>
        <v/>
      </c>
      <c r="D361" s="12"/>
      <c r="E361" s="18"/>
      <c r="F361" s="18"/>
      <c r="G361" s="19" t="str">
        <f aca="false">IF(OR($E361="",$F361=""),"",ROUND(IF($F361&lt;1,$F361*24,INT($F361/100)+MOD($F361,100)/60)-IF($E361&lt;1,$E361*24,INT($E361/100)+MOD($E361,100)/60),2))</f>
        <v/>
      </c>
      <c r="H361" s="12"/>
      <c r="I361" s="17" t="str">
        <f aca="false">IF($A361="","",YEAR($A361))</f>
        <v/>
      </c>
      <c r="J361" s="17" t="str">
        <f aca="false">IF($A361="","",MONTH($A361))</f>
        <v/>
      </c>
      <c r="K361" s="17" t="str">
        <f aca="false">IF($A361="","",IF(AND($A361&gt;=사용안내!$C$18,$A361&lt;=사용안내!$C$19),"1학기",IF(AND($A361&gt;=사용안내!$C$20,$A361&lt;=사용안내!$C$21),"2학기","기간외")))</f>
        <v/>
      </c>
    </row>
    <row r="362" customFormat="false" ht="15" hidden="false" customHeight="true" outlineLevel="0" collapsed="false">
      <c r="A362" s="16"/>
      <c r="B362" s="12"/>
      <c r="C362" s="17" t="str">
        <f aca="false">IF($B362="","",IFERROR(INDEX(학생명부!$B$3:$B$83,MATCH($B362,학생명부!$A$3:$A$83,0)),"학번없음"))</f>
        <v/>
      </c>
      <c r="D362" s="12"/>
      <c r="E362" s="18"/>
      <c r="F362" s="18"/>
      <c r="G362" s="19" t="str">
        <f aca="false">IF(OR($E362="",$F362=""),"",ROUND(IF($F362&lt;1,$F362*24,INT($F362/100)+MOD($F362,100)/60)-IF($E362&lt;1,$E362*24,INT($E362/100)+MOD($E362,100)/60),2))</f>
        <v/>
      </c>
      <c r="H362" s="12"/>
      <c r="I362" s="17" t="str">
        <f aca="false">IF($A362="","",YEAR($A362))</f>
        <v/>
      </c>
      <c r="J362" s="17" t="str">
        <f aca="false">IF($A362="","",MONTH($A362))</f>
        <v/>
      </c>
      <c r="K362" s="17" t="str">
        <f aca="false">IF($A362="","",IF(AND($A362&gt;=사용안내!$C$18,$A362&lt;=사용안내!$C$19),"1학기",IF(AND($A362&gt;=사용안내!$C$20,$A362&lt;=사용안내!$C$21),"2학기","기간외")))</f>
        <v/>
      </c>
    </row>
    <row r="363" customFormat="false" ht="15" hidden="false" customHeight="true" outlineLevel="0" collapsed="false">
      <c r="A363" s="16"/>
      <c r="B363" s="12"/>
      <c r="C363" s="17" t="str">
        <f aca="false">IF($B363="","",IFERROR(INDEX(학생명부!$B$3:$B$83,MATCH($B363,학생명부!$A$3:$A$83,0)),"학번없음"))</f>
        <v/>
      </c>
      <c r="D363" s="12"/>
      <c r="E363" s="18"/>
      <c r="F363" s="18"/>
      <c r="G363" s="19" t="str">
        <f aca="false">IF(OR($E363="",$F363=""),"",ROUND(IF($F363&lt;1,$F363*24,INT($F363/100)+MOD($F363,100)/60)-IF($E363&lt;1,$E363*24,INT($E363/100)+MOD($E363,100)/60),2))</f>
        <v/>
      </c>
      <c r="H363" s="12"/>
      <c r="I363" s="17" t="str">
        <f aca="false">IF($A363="","",YEAR($A363))</f>
        <v/>
      </c>
      <c r="J363" s="17" t="str">
        <f aca="false">IF($A363="","",MONTH($A363))</f>
        <v/>
      </c>
      <c r="K363" s="17" t="str">
        <f aca="false">IF($A363="","",IF(AND($A363&gt;=사용안내!$C$18,$A363&lt;=사용안내!$C$19),"1학기",IF(AND($A363&gt;=사용안내!$C$20,$A363&lt;=사용안내!$C$21),"2학기","기간외")))</f>
        <v/>
      </c>
    </row>
    <row r="364" customFormat="false" ht="15" hidden="false" customHeight="true" outlineLevel="0" collapsed="false">
      <c r="A364" s="16"/>
      <c r="B364" s="12"/>
      <c r="C364" s="17" t="str">
        <f aca="false">IF($B364="","",IFERROR(INDEX(학생명부!$B$3:$B$83,MATCH($B364,학생명부!$A$3:$A$83,0)),"학번없음"))</f>
        <v/>
      </c>
      <c r="D364" s="12"/>
      <c r="E364" s="18"/>
      <c r="F364" s="18"/>
      <c r="G364" s="19" t="str">
        <f aca="false">IF(OR($E364="",$F364=""),"",ROUND(IF($F364&lt;1,$F364*24,INT($F364/100)+MOD($F364,100)/60)-IF($E364&lt;1,$E364*24,INT($E364/100)+MOD($E364,100)/60),2))</f>
        <v/>
      </c>
      <c r="H364" s="12"/>
      <c r="I364" s="17" t="str">
        <f aca="false">IF($A364="","",YEAR($A364))</f>
        <v/>
      </c>
      <c r="J364" s="17" t="str">
        <f aca="false">IF($A364="","",MONTH($A364))</f>
        <v/>
      </c>
      <c r="K364" s="17" t="str">
        <f aca="false">IF($A364="","",IF(AND($A364&gt;=사용안내!$C$18,$A364&lt;=사용안내!$C$19),"1학기",IF(AND($A364&gt;=사용안내!$C$20,$A364&lt;=사용안내!$C$21),"2학기","기간외")))</f>
        <v/>
      </c>
    </row>
    <row r="365" customFormat="false" ht="15" hidden="false" customHeight="true" outlineLevel="0" collapsed="false">
      <c r="A365" s="16"/>
      <c r="B365" s="12"/>
      <c r="C365" s="17" t="str">
        <f aca="false">IF($B365="","",IFERROR(INDEX(학생명부!$B$3:$B$83,MATCH($B365,학생명부!$A$3:$A$83,0)),"학번없음"))</f>
        <v/>
      </c>
      <c r="D365" s="12"/>
      <c r="E365" s="18"/>
      <c r="F365" s="18"/>
      <c r="G365" s="19" t="str">
        <f aca="false">IF(OR($E365="",$F365=""),"",ROUND(IF($F365&lt;1,$F365*24,INT($F365/100)+MOD($F365,100)/60)-IF($E365&lt;1,$E365*24,INT($E365/100)+MOD($E365,100)/60),2))</f>
        <v/>
      </c>
      <c r="H365" s="12"/>
      <c r="I365" s="17" t="str">
        <f aca="false">IF($A365="","",YEAR($A365))</f>
        <v/>
      </c>
      <c r="J365" s="17" t="str">
        <f aca="false">IF($A365="","",MONTH($A365))</f>
        <v/>
      </c>
      <c r="K365" s="17" t="str">
        <f aca="false">IF($A365="","",IF(AND($A365&gt;=사용안내!$C$18,$A365&lt;=사용안내!$C$19),"1학기",IF(AND($A365&gt;=사용안내!$C$20,$A365&lt;=사용안내!$C$21),"2학기","기간외")))</f>
        <v/>
      </c>
    </row>
    <row r="366" customFormat="false" ht="15" hidden="false" customHeight="true" outlineLevel="0" collapsed="false">
      <c r="A366" s="16"/>
      <c r="B366" s="12"/>
      <c r="C366" s="17" t="str">
        <f aca="false">IF($B366="","",IFERROR(INDEX(학생명부!$B$3:$B$83,MATCH($B366,학생명부!$A$3:$A$83,0)),"학번없음"))</f>
        <v/>
      </c>
      <c r="D366" s="12"/>
      <c r="E366" s="18"/>
      <c r="F366" s="18"/>
      <c r="G366" s="19" t="str">
        <f aca="false">IF(OR($E366="",$F366=""),"",ROUND(IF($F366&lt;1,$F366*24,INT($F366/100)+MOD($F366,100)/60)-IF($E366&lt;1,$E366*24,INT($E366/100)+MOD($E366,100)/60),2))</f>
        <v/>
      </c>
      <c r="H366" s="12"/>
      <c r="I366" s="17" t="str">
        <f aca="false">IF($A366="","",YEAR($A366))</f>
        <v/>
      </c>
      <c r="J366" s="17" t="str">
        <f aca="false">IF($A366="","",MONTH($A366))</f>
        <v/>
      </c>
      <c r="K366" s="17" t="str">
        <f aca="false">IF($A366="","",IF(AND($A366&gt;=사용안내!$C$18,$A366&lt;=사용안내!$C$19),"1학기",IF(AND($A366&gt;=사용안내!$C$20,$A366&lt;=사용안내!$C$21),"2학기","기간외")))</f>
        <v/>
      </c>
    </row>
    <row r="367" customFormat="false" ht="15" hidden="false" customHeight="true" outlineLevel="0" collapsed="false">
      <c r="A367" s="16"/>
      <c r="B367" s="12"/>
      <c r="C367" s="17" t="str">
        <f aca="false">IF($B367="","",IFERROR(INDEX(학생명부!$B$3:$B$83,MATCH($B367,학생명부!$A$3:$A$83,0)),"학번없음"))</f>
        <v/>
      </c>
      <c r="D367" s="12"/>
      <c r="E367" s="18"/>
      <c r="F367" s="18"/>
      <c r="G367" s="19" t="str">
        <f aca="false">IF(OR($E367="",$F367=""),"",ROUND(IF($F367&lt;1,$F367*24,INT($F367/100)+MOD($F367,100)/60)-IF($E367&lt;1,$E367*24,INT($E367/100)+MOD($E367,100)/60),2))</f>
        <v/>
      </c>
      <c r="H367" s="12"/>
      <c r="I367" s="17" t="str">
        <f aca="false">IF($A367="","",YEAR($A367))</f>
        <v/>
      </c>
      <c r="J367" s="17" t="str">
        <f aca="false">IF($A367="","",MONTH($A367))</f>
        <v/>
      </c>
      <c r="K367" s="17" t="str">
        <f aca="false">IF($A367="","",IF(AND($A367&gt;=사용안내!$C$18,$A367&lt;=사용안내!$C$19),"1학기",IF(AND($A367&gt;=사용안내!$C$20,$A367&lt;=사용안내!$C$21),"2학기","기간외")))</f>
        <v/>
      </c>
    </row>
    <row r="368" customFormat="false" ht="15" hidden="false" customHeight="true" outlineLevel="0" collapsed="false">
      <c r="A368" s="16"/>
      <c r="B368" s="12"/>
      <c r="C368" s="17" t="str">
        <f aca="false">IF($B368="","",IFERROR(INDEX(학생명부!$B$3:$B$83,MATCH($B368,학생명부!$A$3:$A$83,0)),"학번없음"))</f>
        <v/>
      </c>
      <c r="D368" s="12"/>
      <c r="E368" s="18"/>
      <c r="F368" s="18"/>
      <c r="G368" s="19" t="str">
        <f aca="false">IF(OR($E368="",$F368=""),"",ROUND(IF($F368&lt;1,$F368*24,INT($F368/100)+MOD($F368,100)/60)-IF($E368&lt;1,$E368*24,INT($E368/100)+MOD($E368,100)/60),2))</f>
        <v/>
      </c>
      <c r="H368" s="12"/>
      <c r="I368" s="17" t="str">
        <f aca="false">IF($A368="","",YEAR($A368))</f>
        <v/>
      </c>
      <c r="J368" s="17" t="str">
        <f aca="false">IF($A368="","",MONTH($A368))</f>
        <v/>
      </c>
      <c r="K368" s="17" t="str">
        <f aca="false">IF($A368="","",IF(AND($A368&gt;=사용안내!$C$18,$A368&lt;=사용안내!$C$19),"1학기",IF(AND($A368&gt;=사용안내!$C$20,$A368&lt;=사용안내!$C$21),"2학기","기간외")))</f>
        <v/>
      </c>
    </row>
    <row r="369" customFormat="false" ht="15" hidden="false" customHeight="true" outlineLevel="0" collapsed="false">
      <c r="A369" s="16"/>
      <c r="B369" s="12"/>
      <c r="C369" s="17" t="str">
        <f aca="false">IF($B369="","",IFERROR(INDEX(학생명부!$B$3:$B$83,MATCH($B369,학생명부!$A$3:$A$83,0)),"학번없음"))</f>
        <v/>
      </c>
      <c r="D369" s="12"/>
      <c r="E369" s="18"/>
      <c r="F369" s="18"/>
      <c r="G369" s="19" t="str">
        <f aca="false">IF(OR($E369="",$F369=""),"",ROUND(IF($F369&lt;1,$F369*24,INT($F369/100)+MOD($F369,100)/60)-IF($E369&lt;1,$E369*24,INT($E369/100)+MOD($E369,100)/60),2))</f>
        <v/>
      </c>
      <c r="H369" s="12"/>
      <c r="I369" s="17" t="str">
        <f aca="false">IF($A369="","",YEAR($A369))</f>
        <v/>
      </c>
      <c r="J369" s="17" t="str">
        <f aca="false">IF($A369="","",MONTH($A369))</f>
        <v/>
      </c>
      <c r="K369" s="17" t="str">
        <f aca="false">IF($A369="","",IF(AND($A369&gt;=사용안내!$C$18,$A369&lt;=사용안내!$C$19),"1학기",IF(AND($A369&gt;=사용안내!$C$20,$A369&lt;=사용안내!$C$21),"2학기","기간외")))</f>
        <v/>
      </c>
    </row>
    <row r="370" customFormat="false" ht="15" hidden="false" customHeight="true" outlineLevel="0" collapsed="false">
      <c r="A370" s="16"/>
      <c r="B370" s="12"/>
      <c r="C370" s="17" t="str">
        <f aca="false">IF($B370="","",IFERROR(INDEX(학생명부!$B$3:$B$83,MATCH($B370,학생명부!$A$3:$A$83,0)),"학번없음"))</f>
        <v/>
      </c>
      <c r="D370" s="12"/>
      <c r="E370" s="18"/>
      <c r="F370" s="18"/>
      <c r="G370" s="19" t="str">
        <f aca="false">IF(OR($E370="",$F370=""),"",ROUND(IF($F370&lt;1,$F370*24,INT($F370/100)+MOD($F370,100)/60)-IF($E370&lt;1,$E370*24,INT($E370/100)+MOD($E370,100)/60),2))</f>
        <v/>
      </c>
      <c r="H370" s="12"/>
      <c r="I370" s="17" t="str">
        <f aca="false">IF($A370="","",YEAR($A370))</f>
        <v/>
      </c>
      <c r="J370" s="17" t="str">
        <f aca="false">IF($A370="","",MONTH($A370))</f>
        <v/>
      </c>
      <c r="K370" s="17" t="str">
        <f aca="false">IF($A370="","",IF(AND($A370&gt;=사용안내!$C$18,$A370&lt;=사용안내!$C$19),"1학기",IF(AND($A370&gt;=사용안내!$C$20,$A370&lt;=사용안내!$C$21),"2학기","기간외")))</f>
        <v/>
      </c>
    </row>
    <row r="371" customFormat="false" ht="15" hidden="false" customHeight="true" outlineLevel="0" collapsed="false">
      <c r="A371" s="16"/>
      <c r="B371" s="12"/>
      <c r="C371" s="17" t="str">
        <f aca="false">IF($B371="","",IFERROR(INDEX(학생명부!$B$3:$B$83,MATCH($B371,학생명부!$A$3:$A$83,0)),"학번없음"))</f>
        <v/>
      </c>
      <c r="D371" s="12"/>
      <c r="E371" s="18"/>
      <c r="F371" s="18"/>
      <c r="G371" s="19" t="str">
        <f aca="false">IF(OR($E371="",$F371=""),"",ROUND(IF($F371&lt;1,$F371*24,INT($F371/100)+MOD($F371,100)/60)-IF($E371&lt;1,$E371*24,INT($E371/100)+MOD($E371,100)/60),2))</f>
        <v/>
      </c>
      <c r="H371" s="12"/>
      <c r="I371" s="17" t="str">
        <f aca="false">IF($A371="","",YEAR($A371))</f>
        <v/>
      </c>
      <c r="J371" s="17" t="str">
        <f aca="false">IF($A371="","",MONTH($A371))</f>
        <v/>
      </c>
      <c r="K371" s="17" t="str">
        <f aca="false">IF($A371="","",IF(AND($A371&gt;=사용안내!$C$18,$A371&lt;=사용안내!$C$19),"1학기",IF(AND($A371&gt;=사용안내!$C$20,$A371&lt;=사용안내!$C$21),"2학기","기간외")))</f>
        <v/>
      </c>
    </row>
    <row r="372" customFormat="false" ht="15" hidden="false" customHeight="true" outlineLevel="0" collapsed="false">
      <c r="A372" s="16"/>
      <c r="B372" s="12"/>
      <c r="C372" s="17" t="str">
        <f aca="false">IF($B372="","",IFERROR(INDEX(학생명부!$B$3:$B$83,MATCH($B372,학생명부!$A$3:$A$83,0)),"학번없음"))</f>
        <v/>
      </c>
      <c r="D372" s="12"/>
      <c r="E372" s="18"/>
      <c r="F372" s="18"/>
      <c r="G372" s="19" t="str">
        <f aca="false">IF(OR($E372="",$F372=""),"",ROUND(IF($F372&lt;1,$F372*24,INT($F372/100)+MOD($F372,100)/60)-IF($E372&lt;1,$E372*24,INT($E372/100)+MOD($E372,100)/60),2))</f>
        <v/>
      </c>
      <c r="H372" s="12"/>
      <c r="I372" s="17" t="str">
        <f aca="false">IF($A372="","",YEAR($A372))</f>
        <v/>
      </c>
      <c r="J372" s="17" t="str">
        <f aca="false">IF($A372="","",MONTH($A372))</f>
        <v/>
      </c>
      <c r="K372" s="17" t="str">
        <f aca="false">IF($A372="","",IF(AND($A372&gt;=사용안내!$C$18,$A372&lt;=사용안내!$C$19),"1학기",IF(AND($A372&gt;=사용안내!$C$20,$A372&lt;=사용안내!$C$21),"2학기","기간외")))</f>
        <v/>
      </c>
    </row>
    <row r="373" customFormat="false" ht="15" hidden="false" customHeight="true" outlineLevel="0" collapsed="false">
      <c r="A373" s="16"/>
      <c r="B373" s="12"/>
      <c r="C373" s="17" t="str">
        <f aca="false">IF($B373="","",IFERROR(INDEX(학생명부!$B$3:$B$83,MATCH($B373,학생명부!$A$3:$A$83,0)),"학번없음"))</f>
        <v/>
      </c>
      <c r="D373" s="12"/>
      <c r="E373" s="18"/>
      <c r="F373" s="18"/>
      <c r="G373" s="19" t="str">
        <f aca="false">IF(OR($E373="",$F373=""),"",ROUND(IF($F373&lt;1,$F373*24,INT($F373/100)+MOD($F373,100)/60)-IF($E373&lt;1,$E373*24,INT($E373/100)+MOD($E373,100)/60),2))</f>
        <v/>
      </c>
      <c r="H373" s="12"/>
      <c r="I373" s="17" t="str">
        <f aca="false">IF($A373="","",YEAR($A373))</f>
        <v/>
      </c>
      <c r="J373" s="17" t="str">
        <f aca="false">IF($A373="","",MONTH($A373))</f>
        <v/>
      </c>
      <c r="K373" s="17" t="str">
        <f aca="false">IF($A373="","",IF(AND($A373&gt;=사용안내!$C$18,$A373&lt;=사용안내!$C$19),"1학기",IF(AND($A373&gt;=사용안내!$C$20,$A373&lt;=사용안내!$C$21),"2학기","기간외")))</f>
        <v/>
      </c>
    </row>
    <row r="374" customFormat="false" ht="15" hidden="false" customHeight="true" outlineLevel="0" collapsed="false">
      <c r="A374" s="16"/>
      <c r="B374" s="12"/>
      <c r="C374" s="17" t="str">
        <f aca="false">IF($B374="","",IFERROR(INDEX(학생명부!$B$3:$B$83,MATCH($B374,학생명부!$A$3:$A$83,0)),"학번없음"))</f>
        <v/>
      </c>
      <c r="D374" s="12"/>
      <c r="E374" s="18"/>
      <c r="F374" s="18"/>
      <c r="G374" s="19" t="str">
        <f aca="false">IF(OR($E374="",$F374=""),"",ROUND(IF($F374&lt;1,$F374*24,INT($F374/100)+MOD($F374,100)/60)-IF($E374&lt;1,$E374*24,INT($E374/100)+MOD($E374,100)/60),2))</f>
        <v/>
      </c>
      <c r="H374" s="12"/>
      <c r="I374" s="17" t="str">
        <f aca="false">IF($A374="","",YEAR($A374))</f>
        <v/>
      </c>
      <c r="J374" s="17" t="str">
        <f aca="false">IF($A374="","",MONTH($A374))</f>
        <v/>
      </c>
      <c r="K374" s="17" t="str">
        <f aca="false">IF($A374="","",IF(AND($A374&gt;=사용안내!$C$18,$A374&lt;=사용안내!$C$19),"1학기",IF(AND($A374&gt;=사용안내!$C$20,$A374&lt;=사용안내!$C$21),"2학기","기간외")))</f>
        <v/>
      </c>
    </row>
    <row r="375" customFormat="false" ht="15" hidden="false" customHeight="true" outlineLevel="0" collapsed="false">
      <c r="A375" s="16"/>
      <c r="B375" s="12"/>
      <c r="C375" s="17" t="str">
        <f aca="false">IF($B375="","",IFERROR(INDEX(학생명부!$B$3:$B$83,MATCH($B375,학생명부!$A$3:$A$83,0)),"학번없음"))</f>
        <v/>
      </c>
      <c r="D375" s="12"/>
      <c r="E375" s="18"/>
      <c r="F375" s="18"/>
      <c r="G375" s="19" t="str">
        <f aca="false">IF(OR($E375="",$F375=""),"",ROUND(IF($F375&lt;1,$F375*24,INT($F375/100)+MOD($F375,100)/60)-IF($E375&lt;1,$E375*24,INT($E375/100)+MOD($E375,100)/60),2))</f>
        <v/>
      </c>
      <c r="H375" s="12"/>
      <c r="I375" s="17" t="str">
        <f aca="false">IF($A375="","",YEAR($A375))</f>
        <v/>
      </c>
      <c r="J375" s="17" t="str">
        <f aca="false">IF($A375="","",MONTH($A375))</f>
        <v/>
      </c>
      <c r="K375" s="17" t="str">
        <f aca="false">IF($A375="","",IF(AND($A375&gt;=사용안내!$C$18,$A375&lt;=사용안내!$C$19),"1학기",IF(AND($A375&gt;=사용안내!$C$20,$A375&lt;=사용안내!$C$21),"2학기","기간외")))</f>
        <v/>
      </c>
    </row>
    <row r="376" customFormat="false" ht="15" hidden="false" customHeight="true" outlineLevel="0" collapsed="false">
      <c r="A376" s="16"/>
      <c r="B376" s="12"/>
      <c r="C376" s="17" t="str">
        <f aca="false">IF($B376="","",IFERROR(INDEX(학생명부!$B$3:$B$83,MATCH($B376,학생명부!$A$3:$A$83,0)),"학번없음"))</f>
        <v/>
      </c>
      <c r="D376" s="12"/>
      <c r="E376" s="18"/>
      <c r="F376" s="18"/>
      <c r="G376" s="19" t="str">
        <f aca="false">IF(OR($E376="",$F376=""),"",ROUND(IF($F376&lt;1,$F376*24,INT($F376/100)+MOD($F376,100)/60)-IF($E376&lt;1,$E376*24,INT($E376/100)+MOD($E376,100)/60),2))</f>
        <v/>
      </c>
      <c r="H376" s="12"/>
      <c r="I376" s="17" t="str">
        <f aca="false">IF($A376="","",YEAR($A376))</f>
        <v/>
      </c>
      <c r="J376" s="17" t="str">
        <f aca="false">IF($A376="","",MONTH($A376))</f>
        <v/>
      </c>
      <c r="K376" s="17" t="str">
        <f aca="false">IF($A376="","",IF(AND($A376&gt;=사용안내!$C$18,$A376&lt;=사용안내!$C$19),"1학기",IF(AND($A376&gt;=사용안내!$C$20,$A376&lt;=사용안내!$C$21),"2학기","기간외")))</f>
        <v/>
      </c>
    </row>
    <row r="377" customFormat="false" ht="15" hidden="false" customHeight="true" outlineLevel="0" collapsed="false">
      <c r="A377" s="16"/>
      <c r="B377" s="12"/>
      <c r="C377" s="17" t="str">
        <f aca="false">IF($B377="","",IFERROR(INDEX(학생명부!$B$3:$B$83,MATCH($B377,학생명부!$A$3:$A$83,0)),"학번없음"))</f>
        <v/>
      </c>
      <c r="D377" s="12"/>
      <c r="E377" s="18"/>
      <c r="F377" s="18"/>
      <c r="G377" s="19" t="str">
        <f aca="false">IF(OR($E377="",$F377=""),"",ROUND(IF($F377&lt;1,$F377*24,INT($F377/100)+MOD($F377,100)/60)-IF($E377&lt;1,$E377*24,INT($E377/100)+MOD($E377,100)/60),2))</f>
        <v/>
      </c>
      <c r="H377" s="12"/>
      <c r="I377" s="17" t="str">
        <f aca="false">IF($A377="","",YEAR($A377))</f>
        <v/>
      </c>
      <c r="J377" s="17" t="str">
        <f aca="false">IF($A377="","",MONTH($A377))</f>
        <v/>
      </c>
      <c r="K377" s="17" t="str">
        <f aca="false">IF($A377="","",IF(AND($A377&gt;=사용안내!$C$18,$A377&lt;=사용안내!$C$19),"1학기",IF(AND($A377&gt;=사용안내!$C$20,$A377&lt;=사용안내!$C$21),"2학기","기간외")))</f>
        <v/>
      </c>
    </row>
    <row r="378" customFormat="false" ht="15" hidden="false" customHeight="true" outlineLevel="0" collapsed="false">
      <c r="A378" s="16"/>
      <c r="B378" s="12"/>
      <c r="C378" s="17" t="str">
        <f aca="false">IF($B378="","",IFERROR(INDEX(학생명부!$B$3:$B$83,MATCH($B378,학생명부!$A$3:$A$83,0)),"학번없음"))</f>
        <v/>
      </c>
      <c r="D378" s="12"/>
      <c r="E378" s="18"/>
      <c r="F378" s="18"/>
      <c r="G378" s="19" t="str">
        <f aca="false">IF(OR($E378="",$F378=""),"",ROUND(IF($F378&lt;1,$F378*24,INT($F378/100)+MOD($F378,100)/60)-IF($E378&lt;1,$E378*24,INT($E378/100)+MOD($E378,100)/60),2))</f>
        <v/>
      </c>
      <c r="H378" s="12"/>
      <c r="I378" s="17" t="str">
        <f aca="false">IF($A378="","",YEAR($A378))</f>
        <v/>
      </c>
      <c r="J378" s="17" t="str">
        <f aca="false">IF($A378="","",MONTH($A378))</f>
        <v/>
      </c>
      <c r="K378" s="17" t="str">
        <f aca="false">IF($A378="","",IF(AND($A378&gt;=사용안내!$C$18,$A378&lt;=사용안내!$C$19),"1학기",IF(AND($A378&gt;=사용안내!$C$20,$A378&lt;=사용안내!$C$21),"2학기","기간외")))</f>
        <v/>
      </c>
    </row>
    <row r="379" customFormat="false" ht="15" hidden="false" customHeight="true" outlineLevel="0" collapsed="false">
      <c r="A379" s="16"/>
      <c r="B379" s="12"/>
      <c r="C379" s="17" t="str">
        <f aca="false">IF($B379="","",IFERROR(INDEX(학생명부!$B$3:$B$83,MATCH($B379,학생명부!$A$3:$A$83,0)),"학번없음"))</f>
        <v/>
      </c>
      <c r="D379" s="12"/>
      <c r="E379" s="18"/>
      <c r="F379" s="18"/>
      <c r="G379" s="19" t="str">
        <f aca="false">IF(OR($E379="",$F379=""),"",ROUND(IF($F379&lt;1,$F379*24,INT($F379/100)+MOD($F379,100)/60)-IF($E379&lt;1,$E379*24,INT($E379/100)+MOD($E379,100)/60),2))</f>
        <v/>
      </c>
      <c r="H379" s="12"/>
      <c r="I379" s="17" t="str">
        <f aca="false">IF($A379="","",YEAR($A379))</f>
        <v/>
      </c>
      <c r="J379" s="17" t="str">
        <f aca="false">IF($A379="","",MONTH($A379))</f>
        <v/>
      </c>
      <c r="K379" s="17" t="str">
        <f aca="false">IF($A379="","",IF(AND($A379&gt;=사용안내!$C$18,$A379&lt;=사용안내!$C$19),"1학기",IF(AND($A379&gt;=사용안내!$C$20,$A379&lt;=사용안내!$C$21),"2학기","기간외")))</f>
        <v/>
      </c>
    </row>
    <row r="380" customFormat="false" ht="15" hidden="false" customHeight="true" outlineLevel="0" collapsed="false">
      <c r="A380" s="16"/>
      <c r="B380" s="12"/>
      <c r="C380" s="17" t="str">
        <f aca="false">IF($B380="","",IFERROR(INDEX(학생명부!$B$3:$B$83,MATCH($B380,학생명부!$A$3:$A$83,0)),"학번없음"))</f>
        <v/>
      </c>
      <c r="D380" s="12"/>
      <c r="E380" s="18"/>
      <c r="F380" s="18"/>
      <c r="G380" s="19" t="str">
        <f aca="false">IF(OR($E380="",$F380=""),"",ROUND(IF($F380&lt;1,$F380*24,INT($F380/100)+MOD($F380,100)/60)-IF($E380&lt;1,$E380*24,INT($E380/100)+MOD($E380,100)/60),2))</f>
        <v/>
      </c>
      <c r="H380" s="12"/>
      <c r="I380" s="17" t="str">
        <f aca="false">IF($A380="","",YEAR($A380))</f>
        <v/>
      </c>
      <c r="J380" s="17" t="str">
        <f aca="false">IF($A380="","",MONTH($A380))</f>
        <v/>
      </c>
      <c r="K380" s="17" t="str">
        <f aca="false">IF($A380="","",IF(AND($A380&gt;=사용안내!$C$18,$A380&lt;=사용안내!$C$19),"1학기",IF(AND($A380&gt;=사용안내!$C$20,$A380&lt;=사용안내!$C$21),"2학기","기간외")))</f>
        <v/>
      </c>
    </row>
    <row r="381" customFormat="false" ht="15" hidden="false" customHeight="true" outlineLevel="0" collapsed="false">
      <c r="A381" s="16"/>
      <c r="B381" s="12"/>
      <c r="C381" s="17" t="str">
        <f aca="false">IF($B381="","",IFERROR(INDEX(학생명부!$B$3:$B$83,MATCH($B381,학생명부!$A$3:$A$83,0)),"학번없음"))</f>
        <v/>
      </c>
      <c r="D381" s="12"/>
      <c r="E381" s="18"/>
      <c r="F381" s="18"/>
      <c r="G381" s="19" t="str">
        <f aca="false">IF(OR($E381="",$F381=""),"",ROUND(IF($F381&lt;1,$F381*24,INT($F381/100)+MOD($F381,100)/60)-IF($E381&lt;1,$E381*24,INT($E381/100)+MOD($E381,100)/60),2))</f>
        <v/>
      </c>
      <c r="H381" s="12"/>
      <c r="I381" s="17" t="str">
        <f aca="false">IF($A381="","",YEAR($A381))</f>
        <v/>
      </c>
      <c r="J381" s="17" t="str">
        <f aca="false">IF($A381="","",MONTH($A381))</f>
        <v/>
      </c>
      <c r="K381" s="17" t="str">
        <f aca="false">IF($A381="","",IF(AND($A381&gt;=사용안내!$C$18,$A381&lt;=사용안내!$C$19),"1학기",IF(AND($A381&gt;=사용안내!$C$20,$A381&lt;=사용안내!$C$21),"2학기","기간외")))</f>
        <v/>
      </c>
    </row>
    <row r="382" customFormat="false" ht="15" hidden="false" customHeight="true" outlineLevel="0" collapsed="false">
      <c r="A382" s="16"/>
      <c r="B382" s="12"/>
      <c r="C382" s="17" t="str">
        <f aca="false">IF($B382="","",IFERROR(INDEX(학생명부!$B$3:$B$83,MATCH($B382,학생명부!$A$3:$A$83,0)),"학번없음"))</f>
        <v/>
      </c>
      <c r="D382" s="12"/>
      <c r="E382" s="18"/>
      <c r="F382" s="18"/>
      <c r="G382" s="19" t="str">
        <f aca="false">IF(OR($E382="",$F382=""),"",ROUND(IF($F382&lt;1,$F382*24,INT($F382/100)+MOD($F382,100)/60)-IF($E382&lt;1,$E382*24,INT($E382/100)+MOD($E382,100)/60),2))</f>
        <v/>
      </c>
      <c r="H382" s="12"/>
      <c r="I382" s="17" t="str">
        <f aca="false">IF($A382="","",YEAR($A382))</f>
        <v/>
      </c>
      <c r="J382" s="17" t="str">
        <f aca="false">IF($A382="","",MONTH($A382))</f>
        <v/>
      </c>
      <c r="K382" s="17" t="str">
        <f aca="false">IF($A382="","",IF(AND($A382&gt;=사용안내!$C$18,$A382&lt;=사용안내!$C$19),"1학기",IF(AND($A382&gt;=사용안내!$C$20,$A382&lt;=사용안내!$C$21),"2학기","기간외")))</f>
        <v/>
      </c>
    </row>
    <row r="383" customFormat="false" ht="15" hidden="false" customHeight="true" outlineLevel="0" collapsed="false">
      <c r="A383" s="16"/>
      <c r="B383" s="12"/>
      <c r="C383" s="17" t="str">
        <f aca="false">IF($B383="","",IFERROR(INDEX(학생명부!$B$3:$B$83,MATCH($B383,학생명부!$A$3:$A$83,0)),"학번없음"))</f>
        <v/>
      </c>
      <c r="D383" s="12"/>
      <c r="E383" s="18"/>
      <c r="F383" s="18"/>
      <c r="G383" s="19" t="str">
        <f aca="false">IF(OR($E383="",$F383=""),"",ROUND(IF($F383&lt;1,$F383*24,INT($F383/100)+MOD($F383,100)/60)-IF($E383&lt;1,$E383*24,INT($E383/100)+MOD($E383,100)/60),2))</f>
        <v/>
      </c>
      <c r="H383" s="12"/>
      <c r="I383" s="17" t="str">
        <f aca="false">IF($A383="","",YEAR($A383))</f>
        <v/>
      </c>
      <c r="J383" s="17" t="str">
        <f aca="false">IF($A383="","",MONTH($A383))</f>
        <v/>
      </c>
      <c r="K383" s="17" t="str">
        <f aca="false">IF($A383="","",IF(AND($A383&gt;=사용안내!$C$18,$A383&lt;=사용안내!$C$19),"1학기",IF(AND($A383&gt;=사용안내!$C$20,$A383&lt;=사용안내!$C$21),"2학기","기간외")))</f>
        <v/>
      </c>
    </row>
    <row r="384" customFormat="false" ht="15" hidden="false" customHeight="true" outlineLevel="0" collapsed="false">
      <c r="A384" s="16"/>
      <c r="B384" s="12"/>
      <c r="C384" s="17" t="str">
        <f aca="false">IF($B384="","",IFERROR(INDEX(학생명부!$B$3:$B$83,MATCH($B384,학생명부!$A$3:$A$83,0)),"학번없음"))</f>
        <v/>
      </c>
      <c r="D384" s="12"/>
      <c r="E384" s="18"/>
      <c r="F384" s="18"/>
      <c r="G384" s="19" t="str">
        <f aca="false">IF(OR($E384="",$F384=""),"",ROUND(IF($F384&lt;1,$F384*24,INT($F384/100)+MOD($F384,100)/60)-IF($E384&lt;1,$E384*24,INT($E384/100)+MOD($E384,100)/60),2))</f>
        <v/>
      </c>
      <c r="H384" s="12"/>
      <c r="I384" s="17" t="str">
        <f aca="false">IF($A384="","",YEAR($A384))</f>
        <v/>
      </c>
      <c r="J384" s="17" t="str">
        <f aca="false">IF($A384="","",MONTH($A384))</f>
        <v/>
      </c>
      <c r="K384" s="17" t="str">
        <f aca="false">IF($A384="","",IF(AND($A384&gt;=사용안내!$C$18,$A384&lt;=사용안내!$C$19),"1학기",IF(AND($A384&gt;=사용안내!$C$20,$A384&lt;=사용안내!$C$21),"2학기","기간외")))</f>
        <v/>
      </c>
    </row>
    <row r="385" customFormat="false" ht="15" hidden="false" customHeight="true" outlineLevel="0" collapsed="false">
      <c r="A385" s="16"/>
      <c r="B385" s="12"/>
      <c r="C385" s="17" t="str">
        <f aca="false">IF($B385="","",IFERROR(INDEX(학생명부!$B$3:$B$83,MATCH($B385,학생명부!$A$3:$A$83,0)),"학번없음"))</f>
        <v/>
      </c>
      <c r="D385" s="12"/>
      <c r="E385" s="18"/>
      <c r="F385" s="18"/>
      <c r="G385" s="19" t="str">
        <f aca="false">IF(OR($E385="",$F385=""),"",ROUND(IF($F385&lt;1,$F385*24,INT($F385/100)+MOD($F385,100)/60)-IF($E385&lt;1,$E385*24,INT($E385/100)+MOD($E385,100)/60),2))</f>
        <v/>
      </c>
      <c r="H385" s="12"/>
      <c r="I385" s="17" t="str">
        <f aca="false">IF($A385="","",YEAR($A385))</f>
        <v/>
      </c>
      <c r="J385" s="17" t="str">
        <f aca="false">IF($A385="","",MONTH($A385))</f>
        <v/>
      </c>
      <c r="K385" s="17" t="str">
        <f aca="false">IF($A385="","",IF(AND($A385&gt;=사용안내!$C$18,$A385&lt;=사용안내!$C$19),"1학기",IF(AND($A385&gt;=사용안내!$C$20,$A385&lt;=사용안내!$C$21),"2학기","기간외")))</f>
        <v/>
      </c>
    </row>
    <row r="386" customFormat="false" ht="15" hidden="false" customHeight="true" outlineLevel="0" collapsed="false">
      <c r="A386" s="16"/>
      <c r="B386" s="12"/>
      <c r="C386" s="17" t="str">
        <f aca="false">IF($B386="","",IFERROR(INDEX(학생명부!$B$3:$B$83,MATCH($B386,학생명부!$A$3:$A$83,0)),"학번없음"))</f>
        <v/>
      </c>
      <c r="D386" s="12"/>
      <c r="E386" s="18"/>
      <c r="F386" s="18"/>
      <c r="G386" s="19" t="str">
        <f aca="false">IF(OR($E386="",$F386=""),"",ROUND(IF($F386&lt;1,$F386*24,INT($F386/100)+MOD($F386,100)/60)-IF($E386&lt;1,$E386*24,INT($E386/100)+MOD($E386,100)/60),2))</f>
        <v/>
      </c>
      <c r="H386" s="12"/>
      <c r="I386" s="17" t="str">
        <f aca="false">IF($A386="","",YEAR($A386))</f>
        <v/>
      </c>
      <c r="J386" s="17" t="str">
        <f aca="false">IF($A386="","",MONTH($A386))</f>
        <v/>
      </c>
      <c r="K386" s="17" t="str">
        <f aca="false">IF($A386="","",IF(AND($A386&gt;=사용안내!$C$18,$A386&lt;=사용안내!$C$19),"1학기",IF(AND($A386&gt;=사용안내!$C$20,$A386&lt;=사용안내!$C$21),"2학기","기간외")))</f>
        <v/>
      </c>
    </row>
    <row r="387" customFormat="false" ht="15" hidden="false" customHeight="true" outlineLevel="0" collapsed="false">
      <c r="A387" s="16"/>
      <c r="B387" s="12"/>
      <c r="C387" s="17" t="str">
        <f aca="false">IF($B387="","",IFERROR(INDEX(학생명부!$B$3:$B$83,MATCH($B387,학생명부!$A$3:$A$83,0)),"학번없음"))</f>
        <v/>
      </c>
      <c r="D387" s="12"/>
      <c r="E387" s="18"/>
      <c r="F387" s="18"/>
      <c r="G387" s="19" t="str">
        <f aca="false">IF(OR($E387="",$F387=""),"",ROUND(IF($F387&lt;1,$F387*24,INT($F387/100)+MOD($F387,100)/60)-IF($E387&lt;1,$E387*24,INT($E387/100)+MOD($E387,100)/60),2))</f>
        <v/>
      </c>
      <c r="H387" s="12"/>
      <c r="I387" s="17" t="str">
        <f aca="false">IF($A387="","",YEAR($A387))</f>
        <v/>
      </c>
      <c r="J387" s="17" t="str">
        <f aca="false">IF($A387="","",MONTH($A387))</f>
        <v/>
      </c>
      <c r="K387" s="17" t="str">
        <f aca="false">IF($A387="","",IF(AND($A387&gt;=사용안내!$C$18,$A387&lt;=사용안내!$C$19),"1학기",IF(AND($A387&gt;=사용안내!$C$20,$A387&lt;=사용안내!$C$21),"2학기","기간외")))</f>
        <v/>
      </c>
    </row>
    <row r="388" customFormat="false" ht="15" hidden="false" customHeight="true" outlineLevel="0" collapsed="false">
      <c r="A388" s="16"/>
      <c r="B388" s="12"/>
      <c r="C388" s="17" t="str">
        <f aca="false">IF($B388="","",IFERROR(INDEX(학생명부!$B$3:$B$83,MATCH($B388,학생명부!$A$3:$A$83,0)),"학번없음"))</f>
        <v/>
      </c>
      <c r="D388" s="12"/>
      <c r="E388" s="18"/>
      <c r="F388" s="18"/>
      <c r="G388" s="19" t="str">
        <f aca="false">IF(OR($E388="",$F388=""),"",ROUND(IF($F388&lt;1,$F388*24,INT($F388/100)+MOD($F388,100)/60)-IF($E388&lt;1,$E388*24,INT($E388/100)+MOD($E388,100)/60),2))</f>
        <v/>
      </c>
      <c r="H388" s="12"/>
      <c r="I388" s="17" t="str">
        <f aca="false">IF($A388="","",YEAR($A388))</f>
        <v/>
      </c>
      <c r="J388" s="17" t="str">
        <f aca="false">IF($A388="","",MONTH($A388))</f>
        <v/>
      </c>
      <c r="K388" s="17" t="str">
        <f aca="false">IF($A388="","",IF(AND($A388&gt;=사용안내!$C$18,$A388&lt;=사용안내!$C$19),"1학기",IF(AND($A388&gt;=사용안내!$C$20,$A388&lt;=사용안내!$C$21),"2학기","기간외")))</f>
        <v/>
      </c>
    </row>
    <row r="389" customFormat="false" ht="15" hidden="false" customHeight="true" outlineLevel="0" collapsed="false">
      <c r="A389" s="16"/>
      <c r="B389" s="12"/>
      <c r="C389" s="17" t="str">
        <f aca="false">IF($B389="","",IFERROR(INDEX(학생명부!$B$3:$B$83,MATCH($B389,학생명부!$A$3:$A$83,0)),"학번없음"))</f>
        <v/>
      </c>
      <c r="D389" s="12"/>
      <c r="E389" s="18"/>
      <c r="F389" s="18"/>
      <c r="G389" s="19" t="str">
        <f aca="false">IF(OR($E389="",$F389=""),"",ROUND(IF($F389&lt;1,$F389*24,INT($F389/100)+MOD($F389,100)/60)-IF($E389&lt;1,$E389*24,INT($E389/100)+MOD($E389,100)/60),2))</f>
        <v/>
      </c>
      <c r="H389" s="12"/>
      <c r="I389" s="17" t="str">
        <f aca="false">IF($A389="","",YEAR($A389))</f>
        <v/>
      </c>
      <c r="J389" s="17" t="str">
        <f aca="false">IF($A389="","",MONTH($A389))</f>
        <v/>
      </c>
      <c r="K389" s="17" t="str">
        <f aca="false">IF($A389="","",IF(AND($A389&gt;=사용안내!$C$18,$A389&lt;=사용안내!$C$19),"1학기",IF(AND($A389&gt;=사용안내!$C$20,$A389&lt;=사용안내!$C$21),"2학기","기간외")))</f>
        <v/>
      </c>
    </row>
    <row r="390" customFormat="false" ht="15" hidden="false" customHeight="true" outlineLevel="0" collapsed="false">
      <c r="A390" s="16"/>
      <c r="B390" s="12"/>
      <c r="C390" s="17" t="str">
        <f aca="false">IF($B390="","",IFERROR(INDEX(학생명부!$B$3:$B$83,MATCH($B390,학생명부!$A$3:$A$83,0)),"학번없음"))</f>
        <v/>
      </c>
      <c r="D390" s="12"/>
      <c r="E390" s="18"/>
      <c r="F390" s="18"/>
      <c r="G390" s="19" t="str">
        <f aca="false">IF(OR($E390="",$F390=""),"",ROUND(IF($F390&lt;1,$F390*24,INT($F390/100)+MOD($F390,100)/60)-IF($E390&lt;1,$E390*24,INT($E390/100)+MOD($E390,100)/60),2))</f>
        <v/>
      </c>
      <c r="H390" s="12"/>
      <c r="I390" s="17" t="str">
        <f aca="false">IF($A390="","",YEAR($A390))</f>
        <v/>
      </c>
      <c r="J390" s="17" t="str">
        <f aca="false">IF($A390="","",MONTH($A390))</f>
        <v/>
      </c>
      <c r="K390" s="17" t="str">
        <f aca="false">IF($A390="","",IF(AND($A390&gt;=사용안내!$C$18,$A390&lt;=사용안내!$C$19),"1학기",IF(AND($A390&gt;=사용안내!$C$20,$A390&lt;=사용안내!$C$21),"2학기","기간외")))</f>
        <v/>
      </c>
    </row>
    <row r="391" customFormat="false" ht="15" hidden="false" customHeight="true" outlineLevel="0" collapsed="false">
      <c r="A391" s="16"/>
      <c r="B391" s="12"/>
      <c r="C391" s="17" t="str">
        <f aca="false">IF($B391="","",IFERROR(INDEX(학생명부!$B$3:$B$83,MATCH($B391,학생명부!$A$3:$A$83,0)),"학번없음"))</f>
        <v/>
      </c>
      <c r="D391" s="12"/>
      <c r="E391" s="18"/>
      <c r="F391" s="18"/>
      <c r="G391" s="19" t="str">
        <f aca="false">IF(OR($E391="",$F391=""),"",ROUND(IF($F391&lt;1,$F391*24,INT($F391/100)+MOD($F391,100)/60)-IF($E391&lt;1,$E391*24,INT($E391/100)+MOD($E391,100)/60),2))</f>
        <v/>
      </c>
      <c r="H391" s="12"/>
      <c r="I391" s="17" t="str">
        <f aca="false">IF($A391="","",YEAR($A391))</f>
        <v/>
      </c>
      <c r="J391" s="17" t="str">
        <f aca="false">IF($A391="","",MONTH($A391))</f>
        <v/>
      </c>
      <c r="K391" s="17" t="str">
        <f aca="false">IF($A391="","",IF(AND($A391&gt;=사용안내!$C$18,$A391&lt;=사용안내!$C$19),"1학기",IF(AND($A391&gt;=사용안내!$C$20,$A391&lt;=사용안내!$C$21),"2학기","기간외")))</f>
        <v/>
      </c>
    </row>
    <row r="392" customFormat="false" ht="15" hidden="false" customHeight="true" outlineLevel="0" collapsed="false">
      <c r="A392" s="16"/>
      <c r="B392" s="12"/>
      <c r="C392" s="17" t="str">
        <f aca="false">IF($B392="","",IFERROR(INDEX(학생명부!$B$3:$B$83,MATCH($B392,학생명부!$A$3:$A$83,0)),"학번없음"))</f>
        <v/>
      </c>
      <c r="D392" s="12"/>
      <c r="E392" s="18"/>
      <c r="F392" s="18"/>
      <c r="G392" s="19" t="str">
        <f aca="false">IF(OR($E392="",$F392=""),"",ROUND(IF($F392&lt;1,$F392*24,INT($F392/100)+MOD($F392,100)/60)-IF($E392&lt;1,$E392*24,INT($E392/100)+MOD($E392,100)/60),2))</f>
        <v/>
      </c>
      <c r="H392" s="12"/>
      <c r="I392" s="17" t="str">
        <f aca="false">IF($A392="","",YEAR($A392))</f>
        <v/>
      </c>
      <c r="J392" s="17" t="str">
        <f aca="false">IF($A392="","",MONTH($A392))</f>
        <v/>
      </c>
      <c r="K392" s="17" t="str">
        <f aca="false">IF($A392="","",IF(AND($A392&gt;=사용안내!$C$18,$A392&lt;=사용안내!$C$19),"1학기",IF(AND($A392&gt;=사용안내!$C$20,$A392&lt;=사용안내!$C$21),"2학기","기간외")))</f>
        <v/>
      </c>
    </row>
    <row r="393" customFormat="false" ht="15" hidden="false" customHeight="true" outlineLevel="0" collapsed="false">
      <c r="A393" s="16"/>
      <c r="B393" s="12"/>
      <c r="C393" s="17" t="str">
        <f aca="false">IF($B393="","",IFERROR(INDEX(학생명부!$B$3:$B$83,MATCH($B393,학생명부!$A$3:$A$83,0)),"학번없음"))</f>
        <v/>
      </c>
      <c r="D393" s="12"/>
      <c r="E393" s="18"/>
      <c r="F393" s="18"/>
      <c r="G393" s="19" t="str">
        <f aca="false">IF(OR($E393="",$F393=""),"",ROUND(IF($F393&lt;1,$F393*24,INT($F393/100)+MOD($F393,100)/60)-IF($E393&lt;1,$E393*24,INT($E393/100)+MOD($E393,100)/60),2))</f>
        <v/>
      </c>
      <c r="H393" s="12"/>
      <c r="I393" s="17" t="str">
        <f aca="false">IF($A393="","",YEAR($A393))</f>
        <v/>
      </c>
      <c r="J393" s="17" t="str">
        <f aca="false">IF($A393="","",MONTH($A393))</f>
        <v/>
      </c>
      <c r="K393" s="17" t="str">
        <f aca="false">IF($A393="","",IF(AND($A393&gt;=사용안내!$C$18,$A393&lt;=사용안내!$C$19),"1학기",IF(AND($A393&gt;=사용안내!$C$20,$A393&lt;=사용안내!$C$21),"2학기","기간외")))</f>
        <v/>
      </c>
    </row>
    <row r="394" customFormat="false" ht="15" hidden="false" customHeight="true" outlineLevel="0" collapsed="false">
      <c r="A394" s="16"/>
      <c r="B394" s="12"/>
      <c r="C394" s="17" t="str">
        <f aca="false">IF($B394="","",IFERROR(INDEX(학생명부!$B$3:$B$83,MATCH($B394,학생명부!$A$3:$A$83,0)),"학번없음"))</f>
        <v/>
      </c>
      <c r="D394" s="12"/>
      <c r="E394" s="18"/>
      <c r="F394" s="18"/>
      <c r="G394" s="19" t="str">
        <f aca="false">IF(OR($E394="",$F394=""),"",ROUND(IF($F394&lt;1,$F394*24,INT($F394/100)+MOD($F394,100)/60)-IF($E394&lt;1,$E394*24,INT($E394/100)+MOD($E394,100)/60),2))</f>
        <v/>
      </c>
      <c r="H394" s="12"/>
      <c r="I394" s="17" t="str">
        <f aca="false">IF($A394="","",YEAR($A394))</f>
        <v/>
      </c>
      <c r="J394" s="17" t="str">
        <f aca="false">IF($A394="","",MONTH($A394))</f>
        <v/>
      </c>
      <c r="K394" s="17" t="str">
        <f aca="false">IF($A394="","",IF(AND($A394&gt;=사용안내!$C$18,$A394&lt;=사용안내!$C$19),"1학기",IF(AND($A394&gt;=사용안내!$C$20,$A394&lt;=사용안내!$C$21),"2학기","기간외")))</f>
        <v/>
      </c>
    </row>
    <row r="395" customFormat="false" ht="15" hidden="false" customHeight="true" outlineLevel="0" collapsed="false">
      <c r="A395" s="16"/>
      <c r="B395" s="12"/>
      <c r="C395" s="17" t="str">
        <f aca="false">IF($B395="","",IFERROR(INDEX(학생명부!$B$3:$B$83,MATCH($B395,학생명부!$A$3:$A$83,0)),"학번없음"))</f>
        <v/>
      </c>
      <c r="D395" s="12"/>
      <c r="E395" s="18"/>
      <c r="F395" s="18"/>
      <c r="G395" s="19" t="str">
        <f aca="false">IF(OR($E395="",$F395=""),"",ROUND(IF($F395&lt;1,$F395*24,INT($F395/100)+MOD($F395,100)/60)-IF($E395&lt;1,$E395*24,INT($E395/100)+MOD($E395,100)/60),2))</f>
        <v/>
      </c>
      <c r="H395" s="12"/>
      <c r="I395" s="17" t="str">
        <f aca="false">IF($A395="","",YEAR($A395))</f>
        <v/>
      </c>
      <c r="J395" s="17" t="str">
        <f aca="false">IF($A395="","",MONTH($A395))</f>
        <v/>
      </c>
      <c r="K395" s="17" t="str">
        <f aca="false">IF($A395="","",IF(AND($A395&gt;=사용안내!$C$18,$A395&lt;=사용안내!$C$19),"1학기",IF(AND($A395&gt;=사용안내!$C$20,$A395&lt;=사용안내!$C$21),"2학기","기간외")))</f>
        <v/>
      </c>
    </row>
    <row r="396" customFormat="false" ht="15" hidden="false" customHeight="true" outlineLevel="0" collapsed="false">
      <c r="A396" s="16"/>
      <c r="B396" s="12"/>
      <c r="C396" s="17" t="str">
        <f aca="false">IF($B396="","",IFERROR(INDEX(학생명부!$B$3:$B$83,MATCH($B396,학생명부!$A$3:$A$83,0)),"학번없음"))</f>
        <v/>
      </c>
      <c r="D396" s="12"/>
      <c r="E396" s="18"/>
      <c r="F396" s="18"/>
      <c r="G396" s="19" t="str">
        <f aca="false">IF(OR($E396="",$F396=""),"",ROUND(IF($F396&lt;1,$F396*24,INT($F396/100)+MOD($F396,100)/60)-IF($E396&lt;1,$E396*24,INT($E396/100)+MOD($E396,100)/60),2))</f>
        <v/>
      </c>
      <c r="H396" s="12"/>
      <c r="I396" s="17" t="str">
        <f aca="false">IF($A396="","",YEAR($A396))</f>
        <v/>
      </c>
      <c r="J396" s="17" t="str">
        <f aca="false">IF($A396="","",MONTH($A396))</f>
        <v/>
      </c>
      <c r="K396" s="17" t="str">
        <f aca="false">IF($A396="","",IF(AND($A396&gt;=사용안내!$C$18,$A396&lt;=사용안내!$C$19),"1학기",IF(AND($A396&gt;=사용안내!$C$20,$A396&lt;=사용안내!$C$21),"2학기","기간외")))</f>
        <v/>
      </c>
    </row>
    <row r="397" customFormat="false" ht="15" hidden="false" customHeight="true" outlineLevel="0" collapsed="false">
      <c r="A397" s="16"/>
      <c r="B397" s="12"/>
      <c r="C397" s="17" t="str">
        <f aca="false">IF($B397="","",IFERROR(INDEX(학생명부!$B$3:$B$83,MATCH($B397,학생명부!$A$3:$A$83,0)),"학번없음"))</f>
        <v/>
      </c>
      <c r="D397" s="12"/>
      <c r="E397" s="18"/>
      <c r="F397" s="18"/>
      <c r="G397" s="19" t="str">
        <f aca="false">IF(OR($E397="",$F397=""),"",ROUND(IF($F397&lt;1,$F397*24,INT($F397/100)+MOD($F397,100)/60)-IF($E397&lt;1,$E397*24,INT($E397/100)+MOD($E397,100)/60),2))</f>
        <v/>
      </c>
      <c r="H397" s="12"/>
      <c r="I397" s="17" t="str">
        <f aca="false">IF($A397="","",YEAR($A397))</f>
        <v/>
      </c>
      <c r="J397" s="17" t="str">
        <f aca="false">IF($A397="","",MONTH($A397))</f>
        <v/>
      </c>
      <c r="K397" s="17" t="str">
        <f aca="false">IF($A397="","",IF(AND($A397&gt;=사용안내!$C$18,$A397&lt;=사용안내!$C$19),"1학기",IF(AND($A397&gt;=사용안내!$C$20,$A397&lt;=사용안내!$C$21),"2학기","기간외")))</f>
        <v/>
      </c>
    </row>
    <row r="398" customFormat="false" ht="15" hidden="false" customHeight="true" outlineLevel="0" collapsed="false">
      <c r="A398" s="16"/>
      <c r="B398" s="12"/>
      <c r="C398" s="17" t="str">
        <f aca="false">IF($B398="","",IFERROR(INDEX(학생명부!$B$3:$B$83,MATCH($B398,학생명부!$A$3:$A$83,0)),"학번없음"))</f>
        <v/>
      </c>
      <c r="D398" s="12"/>
      <c r="E398" s="18"/>
      <c r="F398" s="18"/>
      <c r="G398" s="19" t="str">
        <f aca="false">IF(OR($E398="",$F398=""),"",ROUND(IF($F398&lt;1,$F398*24,INT($F398/100)+MOD($F398,100)/60)-IF($E398&lt;1,$E398*24,INT($E398/100)+MOD($E398,100)/60),2))</f>
        <v/>
      </c>
      <c r="H398" s="12"/>
      <c r="I398" s="17" t="str">
        <f aca="false">IF($A398="","",YEAR($A398))</f>
        <v/>
      </c>
      <c r="J398" s="17" t="str">
        <f aca="false">IF($A398="","",MONTH($A398))</f>
        <v/>
      </c>
      <c r="K398" s="17" t="str">
        <f aca="false">IF($A398="","",IF(AND($A398&gt;=사용안내!$C$18,$A398&lt;=사용안내!$C$19),"1학기",IF(AND($A398&gt;=사용안내!$C$20,$A398&lt;=사용안내!$C$21),"2학기","기간외")))</f>
        <v/>
      </c>
    </row>
    <row r="399" customFormat="false" ht="15" hidden="false" customHeight="true" outlineLevel="0" collapsed="false">
      <c r="A399" s="16"/>
      <c r="B399" s="12"/>
      <c r="C399" s="17" t="str">
        <f aca="false">IF($B399="","",IFERROR(INDEX(학생명부!$B$3:$B$83,MATCH($B399,학생명부!$A$3:$A$83,0)),"학번없음"))</f>
        <v/>
      </c>
      <c r="D399" s="12"/>
      <c r="E399" s="18"/>
      <c r="F399" s="18"/>
      <c r="G399" s="19" t="str">
        <f aca="false">IF(OR($E399="",$F399=""),"",ROUND(IF($F399&lt;1,$F399*24,INT($F399/100)+MOD($F399,100)/60)-IF($E399&lt;1,$E399*24,INT($E399/100)+MOD($E399,100)/60),2))</f>
        <v/>
      </c>
      <c r="H399" s="12"/>
      <c r="I399" s="17" t="str">
        <f aca="false">IF($A399="","",YEAR($A399))</f>
        <v/>
      </c>
      <c r="J399" s="17" t="str">
        <f aca="false">IF($A399="","",MONTH($A399))</f>
        <v/>
      </c>
      <c r="K399" s="17" t="str">
        <f aca="false">IF($A399="","",IF(AND($A399&gt;=사용안내!$C$18,$A399&lt;=사용안내!$C$19),"1학기",IF(AND($A399&gt;=사용안내!$C$20,$A399&lt;=사용안내!$C$21),"2학기","기간외")))</f>
        <v/>
      </c>
    </row>
    <row r="400" customFormat="false" ht="15" hidden="false" customHeight="true" outlineLevel="0" collapsed="false">
      <c r="A400" s="16"/>
      <c r="B400" s="12"/>
      <c r="C400" s="17" t="str">
        <f aca="false">IF($B400="","",IFERROR(INDEX(학생명부!$B$3:$B$83,MATCH($B400,학생명부!$A$3:$A$83,0)),"학번없음"))</f>
        <v/>
      </c>
      <c r="D400" s="12"/>
      <c r="E400" s="18"/>
      <c r="F400" s="18"/>
      <c r="G400" s="19" t="str">
        <f aca="false">IF(OR($E400="",$F400=""),"",ROUND(IF($F400&lt;1,$F400*24,INT($F400/100)+MOD($F400,100)/60)-IF($E400&lt;1,$E400*24,INT($E400/100)+MOD($E400,100)/60),2))</f>
        <v/>
      </c>
      <c r="H400" s="12"/>
      <c r="I400" s="17" t="str">
        <f aca="false">IF($A400="","",YEAR($A400))</f>
        <v/>
      </c>
      <c r="J400" s="17" t="str">
        <f aca="false">IF($A400="","",MONTH($A400))</f>
        <v/>
      </c>
      <c r="K400" s="17" t="str">
        <f aca="false">IF($A400="","",IF(AND($A400&gt;=사용안내!$C$18,$A400&lt;=사용안내!$C$19),"1학기",IF(AND($A400&gt;=사용안내!$C$20,$A400&lt;=사용안내!$C$21),"2학기","기간외")))</f>
        <v/>
      </c>
    </row>
    <row r="401" customFormat="false" ht="15" hidden="false" customHeight="true" outlineLevel="0" collapsed="false">
      <c r="A401" s="16"/>
      <c r="B401" s="12"/>
      <c r="C401" s="17" t="str">
        <f aca="false">IF($B401="","",IFERROR(INDEX(학생명부!$B$3:$B$83,MATCH($B401,학생명부!$A$3:$A$83,0)),"학번없음"))</f>
        <v/>
      </c>
      <c r="D401" s="12"/>
      <c r="E401" s="18"/>
      <c r="F401" s="18"/>
      <c r="G401" s="19" t="str">
        <f aca="false">IF(OR($E401="",$F401=""),"",ROUND(IF($F401&lt;1,$F401*24,INT($F401/100)+MOD($F401,100)/60)-IF($E401&lt;1,$E401*24,INT($E401/100)+MOD($E401,100)/60),2))</f>
        <v/>
      </c>
      <c r="H401" s="12"/>
      <c r="I401" s="17" t="str">
        <f aca="false">IF($A401="","",YEAR($A401))</f>
        <v/>
      </c>
      <c r="J401" s="17" t="str">
        <f aca="false">IF($A401="","",MONTH($A401))</f>
        <v/>
      </c>
      <c r="K401" s="17" t="str">
        <f aca="false">IF($A401="","",IF(AND($A401&gt;=사용안내!$C$18,$A401&lt;=사용안내!$C$19),"1학기",IF(AND($A401&gt;=사용안내!$C$20,$A401&lt;=사용안내!$C$21),"2학기","기간외")))</f>
        <v/>
      </c>
    </row>
    <row r="402" customFormat="false" ht="15" hidden="false" customHeight="true" outlineLevel="0" collapsed="false">
      <c r="A402" s="16"/>
      <c r="B402" s="12"/>
      <c r="C402" s="17" t="str">
        <f aca="false">IF($B402="","",IFERROR(INDEX(학생명부!$B$3:$B$83,MATCH($B402,학생명부!$A$3:$A$83,0)),"학번없음"))</f>
        <v/>
      </c>
      <c r="D402" s="12"/>
      <c r="E402" s="18"/>
      <c r="F402" s="18"/>
      <c r="G402" s="19" t="str">
        <f aca="false">IF(OR($E402="",$F402=""),"",ROUND(IF($F402&lt;1,$F402*24,INT($F402/100)+MOD($F402,100)/60)-IF($E402&lt;1,$E402*24,INT($E402/100)+MOD($E402,100)/60),2))</f>
        <v/>
      </c>
      <c r="H402" s="12"/>
      <c r="I402" s="17" t="str">
        <f aca="false">IF($A402="","",YEAR($A402))</f>
        <v/>
      </c>
      <c r="J402" s="17" t="str">
        <f aca="false">IF($A402="","",MONTH($A402))</f>
        <v/>
      </c>
      <c r="K402" s="17" t="str">
        <f aca="false">IF($A402="","",IF(AND($A402&gt;=사용안내!$C$18,$A402&lt;=사용안내!$C$19),"1학기",IF(AND($A402&gt;=사용안내!$C$20,$A402&lt;=사용안내!$C$21),"2학기","기간외")))</f>
        <v/>
      </c>
    </row>
    <row r="403" customFormat="false" ht="15" hidden="false" customHeight="true" outlineLevel="0" collapsed="false">
      <c r="A403" s="16"/>
      <c r="B403" s="12"/>
      <c r="C403" s="17" t="str">
        <f aca="false">IF($B403="","",IFERROR(INDEX(학생명부!$B$3:$B$83,MATCH($B403,학생명부!$A$3:$A$83,0)),"학번없음"))</f>
        <v/>
      </c>
      <c r="D403" s="12"/>
      <c r="E403" s="18"/>
      <c r="F403" s="18"/>
      <c r="G403" s="19" t="str">
        <f aca="false">IF(OR($E403="",$F403=""),"",ROUND(IF($F403&lt;1,$F403*24,INT($F403/100)+MOD($F403,100)/60)-IF($E403&lt;1,$E403*24,INT($E403/100)+MOD($E403,100)/60),2))</f>
        <v/>
      </c>
      <c r="H403" s="12"/>
      <c r="I403" s="17" t="str">
        <f aca="false">IF($A403="","",YEAR($A403))</f>
        <v/>
      </c>
      <c r="J403" s="17" t="str">
        <f aca="false">IF($A403="","",MONTH($A403))</f>
        <v/>
      </c>
      <c r="K403" s="17" t="str">
        <f aca="false">IF($A403="","",IF(AND($A403&gt;=사용안내!$C$18,$A403&lt;=사용안내!$C$19),"1학기",IF(AND($A403&gt;=사용안내!$C$20,$A403&lt;=사용안내!$C$21),"2학기","기간외")))</f>
        <v/>
      </c>
    </row>
    <row r="404" customFormat="false" ht="15" hidden="false" customHeight="true" outlineLevel="0" collapsed="false">
      <c r="A404" s="16"/>
      <c r="B404" s="12"/>
      <c r="C404" s="17" t="str">
        <f aca="false">IF($B404="","",IFERROR(INDEX(학생명부!$B$3:$B$83,MATCH($B404,학생명부!$A$3:$A$83,0)),"학번없음"))</f>
        <v/>
      </c>
      <c r="D404" s="12"/>
      <c r="E404" s="18"/>
      <c r="F404" s="18"/>
      <c r="G404" s="19" t="str">
        <f aca="false">IF(OR($E404="",$F404=""),"",ROUND(IF($F404&lt;1,$F404*24,INT($F404/100)+MOD($F404,100)/60)-IF($E404&lt;1,$E404*24,INT($E404/100)+MOD($E404,100)/60),2))</f>
        <v/>
      </c>
      <c r="H404" s="12"/>
      <c r="I404" s="17" t="str">
        <f aca="false">IF($A404="","",YEAR($A404))</f>
        <v/>
      </c>
      <c r="J404" s="17" t="str">
        <f aca="false">IF($A404="","",MONTH($A404))</f>
        <v/>
      </c>
      <c r="K404" s="17" t="str">
        <f aca="false">IF($A404="","",IF(AND($A404&gt;=사용안내!$C$18,$A404&lt;=사용안내!$C$19),"1학기",IF(AND($A404&gt;=사용안내!$C$20,$A404&lt;=사용안내!$C$21),"2학기","기간외")))</f>
        <v/>
      </c>
    </row>
    <row r="405" customFormat="false" ht="15" hidden="false" customHeight="true" outlineLevel="0" collapsed="false">
      <c r="A405" s="16"/>
      <c r="B405" s="12"/>
      <c r="C405" s="17" t="str">
        <f aca="false">IF($B405="","",IFERROR(INDEX(학생명부!$B$3:$B$83,MATCH($B405,학생명부!$A$3:$A$83,0)),"학번없음"))</f>
        <v/>
      </c>
      <c r="D405" s="12"/>
      <c r="E405" s="18"/>
      <c r="F405" s="18"/>
      <c r="G405" s="19" t="str">
        <f aca="false">IF(OR($E405="",$F405=""),"",ROUND(IF($F405&lt;1,$F405*24,INT($F405/100)+MOD($F405,100)/60)-IF($E405&lt;1,$E405*24,INT($E405/100)+MOD($E405,100)/60),2))</f>
        <v/>
      </c>
      <c r="H405" s="12"/>
      <c r="I405" s="17" t="str">
        <f aca="false">IF($A405="","",YEAR($A405))</f>
        <v/>
      </c>
      <c r="J405" s="17" t="str">
        <f aca="false">IF($A405="","",MONTH($A405))</f>
        <v/>
      </c>
      <c r="K405" s="17" t="str">
        <f aca="false">IF($A405="","",IF(AND($A405&gt;=사용안내!$C$18,$A405&lt;=사용안내!$C$19),"1학기",IF(AND($A405&gt;=사용안내!$C$20,$A405&lt;=사용안내!$C$21),"2학기","기간외")))</f>
        <v/>
      </c>
    </row>
    <row r="406" customFormat="false" ht="15" hidden="false" customHeight="true" outlineLevel="0" collapsed="false">
      <c r="A406" s="16"/>
      <c r="B406" s="12"/>
      <c r="C406" s="17" t="str">
        <f aca="false">IF($B406="","",IFERROR(INDEX(학생명부!$B$3:$B$83,MATCH($B406,학생명부!$A$3:$A$83,0)),"학번없음"))</f>
        <v/>
      </c>
      <c r="D406" s="12"/>
      <c r="E406" s="18"/>
      <c r="F406" s="18"/>
      <c r="G406" s="19" t="str">
        <f aca="false">IF(OR($E406="",$F406=""),"",ROUND(IF($F406&lt;1,$F406*24,INT($F406/100)+MOD($F406,100)/60)-IF($E406&lt;1,$E406*24,INT($E406/100)+MOD($E406,100)/60),2))</f>
        <v/>
      </c>
      <c r="H406" s="12"/>
      <c r="I406" s="17" t="str">
        <f aca="false">IF($A406="","",YEAR($A406))</f>
        <v/>
      </c>
      <c r="J406" s="17" t="str">
        <f aca="false">IF($A406="","",MONTH($A406))</f>
        <v/>
      </c>
      <c r="K406" s="17" t="str">
        <f aca="false">IF($A406="","",IF(AND($A406&gt;=사용안내!$C$18,$A406&lt;=사용안내!$C$19),"1학기",IF(AND($A406&gt;=사용안내!$C$20,$A406&lt;=사용안내!$C$21),"2학기","기간외")))</f>
        <v/>
      </c>
    </row>
    <row r="407" customFormat="false" ht="15" hidden="false" customHeight="true" outlineLevel="0" collapsed="false">
      <c r="A407" s="16"/>
      <c r="B407" s="12"/>
      <c r="C407" s="17" t="str">
        <f aca="false">IF($B407="","",IFERROR(INDEX(학생명부!$B$3:$B$83,MATCH($B407,학생명부!$A$3:$A$83,0)),"학번없음"))</f>
        <v/>
      </c>
      <c r="D407" s="12"/>
      <c r="E407" s="18"/>
      <c r="F407" s="18"/>
      <c r="G407" s="19" t="str">
        <f aca="false">IF(OR($E407="",$F407=""),"",ROUND(IF($F407&lt;1,$F407*24,INT($F407/100)+MOD($F407,100)/60)-IF($E407&lt;1,$E407*24,INT($E407/100)+MOD($E407,100)/60),2))</f>
        <v/>
      </c>
      <c r="H407" s="12"/>
      <c r="I407" s="17" t="str">
        <f aca="false">IF($A407="","",YEAR($A407))</f>
        <v/>
      </c>
      <c r="J407" s="17" t="str">
        <f aca="false">IF($A407="","",MONTH($A407))</f>
        <v/>
      </c>
      <c r="K407" s="17" t="str">
        <f aca="false">IF($A407="","",IF(AND($A407&gt;=사용안내!$C$18,$A407&lt;=사용안내!$C$19),"1학기",IF(AND($A407&gt;=사용안내!$C$20,$A407&lt;=사용안내!$C$21),"2학기","기간외")))</f>
        <v/>
      </c>
    </row>
    <row r="408" customFormat="false" ht="15" hidden="false" customHeight="true" outlineLevel="0" collapsed="false">
      <c r="A408" s="16"/>
      <c r="B408" s="12"/>
      <c r="C408" s="17" t="str">
        <f aca="false">IF($B408="","",IFERROR(INDEX(학생명부!$B$3:$B$83,MATCH($B408,학생명부!$A$3:$A$83,0)),"학번없음"))</f>
        <v/>
      </c>
      <c r="D408" s="12"/>
      <c r="E408" s="18"/>
      <c r="F408" s="18"/>
      <c r="G408" s="19" t="str">
        <f aca="false">IF(OR($E408="",$F408=""),"",ROUND(IF($F408&lt;1,$F408*24,INT($F408/100)+MOD($F408,100)/60)-IF($E408&lt;1,$E408*24,INT($E408/100)+MOD($E408,100)/60),2))</f>
        <v/>
      </c>
      <c r="H408" s="12"/>
      <c r="I408" s="17" t="str">
        <f aca="false">IF($A408="","",YEAR($A408))</f>
        <v/>
      </c>
      <c r="J408" s="17" t="str">
        <f aca="false">IF($A408="","",MONTH($A408))</f>
        <v/>
      </c>
      <c r="K408" s="17" t="str">
        <f aca="false">IF($A408="","",IF(AND($A408&gt;=사용안내!$C$18,$A408&lt;=사용안내!$C$19),"1학기",IF(AND($A408&gt;=사용안내!$C$20,$A408&lt;=사용안내!$C$21),"2학기","기간외")))</f>
        <v/>
      </c>
    </row>
    <row r="409" customFormat="false" ht="15" hidden="false" customHeight="true" outlineLevel="0" collapsed="false">
      <c r="A409" s="16"/>
      <c r="B409" s="12"/>
      <c r="C409" s="17" t="str">
        <f aca="false">IF($B409="","",IFERROR(INDEX(학생명부!$B$3:$B$83,MATCH($B409,학생명부!$A$3:$A$83,0)),"학번없음"))</f>
        <v/>
      </c>
      <c r="D409" s="12"/>
      <c r="E409" s="18"/>
      <c r="F409" s="18"/>
      <c r="G409" s="19" t="str">
        <f aca="false">IF(OR($E409="",$F409=""),"",ROUND(IF($F409&lt;1,$F409*24,INT($F409/100)+MOD($F409,100)/60)-IF($E409&lt;1,$E409*24,INT($E409/100)+MOD($E409,100)/60),2))</f>
        <v/>
      </c>
      <c r="H409" s="12"/>
      <c r="I409" s="17" t="str">
        <f aca="false">IF($A409="","",YEAR($A409))</f>
        <v/>
      </c>
      <c r="J409" s="17" t="str">
        <f aca="false">IF($A409="","",MONTH($A409))</f>
        <v/>
      </c>
      <c r="K409" s="17" t="str">
        <f aca="false">IF($A409="","",IF(AND($A409&gt;=사용안내!$C$18,$A409&lt;=사용안내!$C$19),"1학기",IF(AND($A409&gt;=사용안내!$C$20,$A409&lt;=사용안내!$C$21),"2학기","기간외")))</f>
        <v/>
      </c>
    </row>
    <row r="410" customFormat="false" ht="15" hidden="false" customHeight="true" outlineLevel="0" collapsed="false">
      <c r="A410" s="16"/>
      <c r="B410" s="12"/>
      <c r="C410" s="17" t="str">
        <f aca="false">IF($B410="","",IFERROR(INDEX(학생명부!$B$3:$B$83,MATCH($B410,학생명부!$A$3:$A$83,0)),"학번없음"))</f>
        <v/>
      </c>
      <c r="D410" s="12"/>
      <c r="E410" s="18"/>
      <c r="F410" s="18"/>
      <c r="G410" s="19" t="str">
        <f aca="false">IF(OR($E410="",$F410=""),"",ROUND(IF($F410&lt;1,$F410*24,INT($F410/100)+MOD($F410,100)/60)-IF($E410&lt;1,$E410*24,INT($E410/100)+MOD($E410,100)/60),2))</f>
        <v/>
      </c>
      <c r="H410" s="12"/>
      <c r="I410" s="17" t="str">
        <f aca="false">IF($A410="","",YEAR($A410))</f>
        <v/>
      </c>
      <c r="J410" s="17" t="str">
        <f aca="false">IF($A410="","",MONTH($A410))</f>
        <v/>
      </c>
      <c r="K410" s="17" t="str">
        <f aca="false">IF($A410="","",IF(AND($A410&gt;=사용안내!$C$18,$A410&lt;=사용안내!$C$19),"1학기",IF(AND($A410&gt;=사용안내!$C$20,$A410&lt;=사용안내!$C$21),"2학기","기간외")))</f>
        <v/>
      </c>
    </row>
    <row r="411" customFormat="false" ht="15" hidden="false" customHeight="true" outlineLevel="0" collapsed="false">
      <c r="A411" s="16"/>
      <c r="B411" s="12"/>
      <c r="C411" s="17" t="str">
        <f aca="false">IF($B411="","",IFERROR(INDEX(학생명부!$B$3:$B$83,MATCH($B411,학생명부!$A$3:$A$83,0)),"학번없음"))</f>
        <v/>
      </c>
      <c r="D411" s="12"/>
      <c r="E411" s="18"/>
      <c r="F411" s="18"/>
      <c r="G411" s="19" t="str">
        <f aca="false">IF(OR($E411="",$F411=""),"",ROUND(IF($F411&lt;1,$F411*24,INT($F411/100)+MOD($F411,100)/60)-IF($E411&lt;1,$E411*24,INT($E411/100)+MOD($E411,100)/60),2))</f>
        <v/>
      </c>
      <c r="H411" s="12"/>
      <c r="I411" s="17" t="str">
        <f aca="false">IF($A411="","",YEAR($A411))</f>
        <v/>
      </c>
      <c r="J411" s="17" t="str">
        <f aca="false">IF($A411="","",MONTH($A411))</f>
        <v/>
      </c>
      <c r="K411" s="17" t="str">
        <f aca="false">IF($A411="","",IF(AND($A411&gt;=사용안내!$C$18,$A411&lt;=사용안내!$C$19),"1학기",IF(AND($A411&gt;=사용안내!$C$20,$A411&lt;=사용안내!$C$21),"2학기","기간외")))</f>
        <v/>
      </c>
    </row>
    <row r="412" customFormat="false" ht="15" hidden="false" customHeight="true" outlineLevel="0" collapsed="false">
      <c r="A412" s="16"/>
      <c r="B412" s="12"/>
      <c r="C412" s="17" t="str">
        <f aca="false">IF($B412="","",IFERROR(INDEX(학생명부!$B$3:$B$83,MATCH($B412,학생명부!$A$3:$A$83,0)),"학번없음"))</f>
        <v/>
      </c>
      <c r="D412" s="12"/>
      <c r="E412" s="18"/>
      <c r="F412" s="18"/>
      <c r="G412" s="19" t="str">
        <f aca="false">IF(OR($E412="",$F412=""),"",ROUND(IF($F412&lt;1,$F412*24,INT($F412/100)+MOD($F412,100)/60)-IF($E412&lt;1,$E412*24,INT($E412/100)+MOD($E412,100)/60),2))</f>
        <v/>
      </c>
      <c r="H412" s="12"/>
      <c r="I412" s="17" t="str">
        <f aca="false">IF($A412="","",YEAR($A412))</f>
        <v/>
      </c>
      <c r="J412" s="17" t="str">
        <f aca="false">IF($A412="","",MONTH($A412))</f>
        <v/>
      </c>
      <c r="K412" s="17" t="str">
        <f aca="false">IF($A412="","",IF(AND($A412&gt;=사용안내!$C$18,$A412&lt;=사용안내!$C$19),"1학기",IF(AND($A412&gt;=사용안내!$C$20,$A412&lt;=사용안내!$C$21),"2학기","기간외")))</f>
        <v/>
      </c>
    </row>
    <row r="413" customFormat="false" ht="15" hidden="false" customHeight="true" outlineLevel="0" collapsed="false">
      <c r="A413" s="16"/>
      <c r="B413" s="12"/>
      <c r="C413" s="17" t="str">
        <f aca="false">IF($B413="","",IFERROR(INDEX(학생명부!$B$3:$B$83,MATCH($B413,학생명부!$A$3:$A$83,0)),"학번없음"))</f>
        <v/>
      </c>
      <c r="D413" s="12"/>
      <c r="E413" s="18"/>
      <c r="F413" s="18"/>
      <c r="G413" s="19" t="str">
        <f aca="false">IF(OR($E413="",$F413=""),"",ROUND(IF($F413&lt;1,$F413*24,INT($F413/100)+MOD($F413,100)/60)-IF($E413&lt;1,$E413*24,INT($E413/100)+MOD($E413,100)/60),2))</f>
        <v/>
      </c>
      <c r="H413" s="12"/>
      <c r="I413" s="17" t="str">
        <f aca="false">IF($A413="","",YEAR($A413))</f>
        <v/>
      </c>
      <c r="J413" s="17" t="str">
        <f aca="false">IF($A413="","",MONTH($A413))</f>
        <v/>
      </c>
      <c r="K413" s="17" t="str">
        <f aca="false">IF($A413="","",IF(AND($A413&gt;=사용안내!$C$18,$A413&lt;=사용안내!$C$19),"1학기",IF(AND($A413&gt;=사용안내!$C$20,$A413&lt;=사용안내!$C$21),"2학기","기간외")))</f>
        <v/>
      </c>
    </row>
    <row r="414" customFormat="false" ht="15" hidden="false" customHeight="true" outlineLevel="0" collapsed="false">
      <c r="A414" s="16"/>
      <c r="B414" s="12"/>
      <c r="C414" s="17" t="str">
        <f aca="false">IF($B414="","",IFERROR(INDEX(학생명부!$B$3:$B$83,MATCH($B414,학생명부!$A$3:$A$83,0)),"학번없음"))</f>
        <v/>
      </c>
      <c r="D414" s="12"/>
      <c r="E414" s="18"/>
      <c r="F414" s="18"/>
      <c r="G414" s="19" t="str">
        <f aca="false">IF(OR($E414="",$F414=""),"",ROUND(IF($F414&lt;1,$F414*24,INT($F414/100)+MOD($F414,100)/60)-IF($E414&lt;1,$E414*24,INT($E414/100)+MOD($E414,100)/60),2))</f>
        <v/>
      </c>
      <c r="H414" s="12"/>
      <c r="I414" s="17" t="str">
        <f aca="false">IF($A414="","",YEAR($A414))</f>
        <v/>
      </c>
      <c r="J414" s="17" t="str">
        <f aca="false">IF($A414="","",MONTH($A414))</f>
        <v/>
      </c>
      <c r="K414" s="17" t="str">
        <f aca="false">IF($A414="","",IF(AND($A414&gt;=사용안내!$C$18,$A414&lt;=사용안내!$C$19),"1학기",IF(AND($A414&gt;=사용안내!$C$20,$A414&lt;=사용안내!$C$21),"2학기","기간외")))</f>
        <v/>
      </c>
    </row>
    <row r="415" customFormat="false" ht="15" hidden="false" customHeight="true" outlineLevel="0" collapsed="false">
      <c r="A415" s="16"/>
      <c r="B415" s="12"/>
      <c r="C415" s="17" t="str">
        <f aca="false">IF($B415="","",IFERROR(INDEX(학생명부!$B$3:$B$83,MATCH($B415,학생명부!$A$3:$A$83,0)),"학번없음"))</f>
        <v/>
      </c>
      <c r="D415" s="12"/>
      <c r="E415" s="18"/>
      <c r="F415" s="18"/>
      <c r="G415" s="19" t="str">
        <f aca="false">IF(OR($E415="",$F415=""),"",ROUND(IF($F415&lt;1,$F415*24,INT($F415/100)+MOD($F415,100)/60)-IF($E415&lt;1,$E415*24,INT($E415/100)+MOD($E415,100)/60),2))</f>
        <v/>
      </c>
      <c r="H415" s="12"/>
      <c r="I415" s="17" t="str">
        <f aca="false">IF($A415="","",YEAR($A415))</f>
        <v/>
      </c>
      <c r="J415" s="17" t="str">
        <f aca="false">IF($A415="","",MONTH($A415))</f>
        <v/>
      </c>
      <c r="K415" s="17" t="str">
        <f aca="false">IF($A415="","",IF(AND($A415&gt;=사용안내!$C$18,$A415&lt;=사용안내!$C$19),"1학기",IF(AND($A415&gt;=사용안내!$C$20,$A415&lt;=사용안내!$C$21),"2학기","기간외")))</f>
        <v/>
      </c>
    </row>
    <row r="416" customFormat="false" ht="15" hidden="false" customHeight="true" outlineLevel="0" collapsed="false">
      <c r="A416" s="16"/>
      <c r="B416" s="12"/>
      <c r="C416" s="17" t="str">
        <f aca="false">IF($B416="","",IFERROR(INDEX(학생명부!$B$3:$B$83,MATCH($B416,학생명부!$A$3:$A$83,0)),"학번없음"))</f>
        <v/>
      </c>
      <c r="D416" s="12"/>
      <c r="E416" s="18"/>
      <c r="F416" s="18"/>
      <c r="G416" s="19" t="str">
        <f aca="false">IF(OR($E416="",$F416=""),"",ROUND(IF($F416&lt;1,$F416*24,INT($F416/100)+MOD($F416,100)/60)-IF($E416&lt;1,$E416*24,INT($E416/100)+MOD($E416,100)/60),2))</f>
        <v/>
      </c>
      <c r="H416" s="12"/>
      <c r="I416" s="17" t="str">
        <f aca="false">IF($A416="","",YEAR($A416))</f>
        <v/>
      </c>
      <c r="J416" s="17" t="str">
        <f aca="false">IF($A416="","",MONTH($A416))</f>
        <v/>
      </c>
      <c r="K416" s="17" t="str">
        <f aca="false">IF($A416="","",IF(AND($A416&gt;=사용안내!$C$18,$A416&lt;=사용안내!$C$19),"1학기",IF(AND($A416&gt;=사용안내!$C$20,$A416&lt;=사용안내!$C$21),"2학기","기간외")))</f>
        <v/>
      </c>
    </row>
    <row r="417" customFormat="false" ht="15" hidden="false" customHeight="true" outlineLevel="0" collapsed="false">
      <c r="A417" s="16"/>
      <c r="B417" s="12"/>
      <c r="C417" s="17" t="str">
        <f aca="false">IF($B417="","",IFERROR(INDEX(학생명부!$B$3:$B$83,MATCH($B417,학생명부!$A$3:$A$83,0)),"학번없음"))</f>
        <v/>
      </c>
      <c r="D417" s="12"/>
      <c r="E417" s="18"/>
      <c r="F417" s="18"/>
      <c r="G417" s="19" t="str">
        <f aca="false">IF(OR($E417="",$F417=""),"",ROUND(IF($F417&lt;1,$F417*24,INT($F417/100)+MOD($F417,100)/60)-IF($E417&lt;1,$E417*24,INT($E417/100)+MOD($E417,100)/60),2))</f>
        <v/>
      </c>
      <c r="H417" s="12"/>
      <c r="I417" s="17" t="str">
        <f aca="false">IF($A417="","",YEAR($A417))</f>
        <v/>
      </c>
      <c r="J417" s="17" t="str">
        <f aca="false">IF($A417="","",MONTH($A417))</f>
        <v/>
      </c>
      <c r="K417" s="17" t="str">
        <f aca="false">IF($A417="","",IF(AND($A417&gt;=사용안내!$C$18,$A417&lt;=사용안내!$C$19),"1학기",IF(AND($A417&gt;=사용안내!$C$20,$A417&lt;=사용안내!$C$21),"2학기","기간외")))</f>
        <v/>
      </c>
    </row>
    <row r="418" customFormat="false" ht="15" hidden="false" customHeight="true" outlineLevel="0" collapsed="false">
      <c r="A418" s="16"/>
      <c r="B418" s="12"/>
      <c r="C418" s="17" t="str">
        <f aca="false">IF($B418="","",IFERROR(INDEX(학생명부!$B$3:$B$83,MATCH($B418,학생명부!$A$3:$A$83,0)),"학번없음"))</f>
        <v/>
      </c>
      <c r="D418" s="12"/>
      <c r="E418" s="18"/>
      <c r="F418" s="18"/>
      <c r="G418" s="19" t="str">
        <f aca="false">IF(OR($E418="",$F418=""),"",ROUND(IF($F418&lt;1,$F418*24,INT($F418/100)+MOD($F418,100)/60)-IF($E418&lt;1,$E418*24,INT($E418/100)+MOD($E418,100)/60),2))</f>
        <v/>
      </c>
      <c r="H418" s="12"/>
      <c r="I418" s="17" t="str">
        <f aca="false">IF($A418="","",YEAR($A418))</f>
        <v/>
      </c>
      <c r="J418" s="17" t="str">
        <f aca="false">IF($A418="","",MONTH($A418))</f>
        <v/>
      </c>
      <c r="K418" s="17" t="str">
        <f aca="false">IF($A418="","",IF(AND($A418&gt;=사용안내!$C$18,$A418&lt;=사용안내!$C$19),"1학기",IF(AND($A418&gt;=사용안내!$C$20,$A418&lt;=사용안내!$C$21),"2학기","기간외")))</f>
        <v/>
      </c>
    </row>
    <row r="419" customFormat="false" ht="15" hidden="false" customHeight="true" outlineLevel="0" collapsed="false">
      <c r="A419" s="16"/>
      <c r="B419" s="12"/>
      <c r="C419" s="17" t="str">
        <f aca="false">IF($B419="","",IFERROR(INDEX(학생명부!$B$3:$B$83,MATCH($B419,학생명부!$A$3:$A$83,0)),"학번없음"))</f>
        <v/>
      </c>
      <c r="D419" s="12"/>
      <c r="E419" s="18"/>
      <c r="F419" s="18"/>
      <c r="G419" s="19" t="str">
        <f aca="false">IF(OR($E419="",$F419=""),"",ROUND(IF($F419&lt;1,$F419*24,INT($F419/100)+MOD($F419,100)/60)-IF($E419&lt;1,$E419*24,INT($E419/100)+MOD($E419,100)/60),2))</f>
        <v/>
      </c>
      <c r="H419" s="12"/>
      <c r="I419" s="17" t="str">
        <f aca="false">IF($A419="","",YEAR($A419))</f>
        <v/>
      </c>
      <c r="J419" s="17" t="str">
        <f aca="false">IF($A419="","",MONTH($A419))</f>
        <v/>
      </c>
      <c r="K419" s="17" t="str">
        <f aca="false">IF($A419="","",IF(AND($A419&gt;=사용안내!$C$18,$A419&lt;=사용안내!$C$19),"1학기",IF(AND($A419&gt;=사용안내!$C$20,$A419&lt;=사용안내!$C$21),"2학기","기간외")))</f>
        <v/>
      </c>
    </row>
    <row r="420" customFormat="false" ht="15" hidden="false" customHeight="true" outlineLevel="0" collapsed="false">
      <c r="A420" s="16"/>
      <c r="B420" s="12"/>
      <c r="C420" s="17" t="str">
        <f aca="false">IF($B420="","",IFERROR(INDEX(학생명부!$B$3:$B$83,MATCH($B420,학생명부!$A$3:$A$83,0)),"학번없음"))</f>
        <v/>
      </c>
      <c r="D420" s="12"/>
      <c r="E420" s="18"/>
      <c r="F420" s="18"/>
      <c r="G420" s="19" t="str">
        <f aca="false">IF(OR($E420="",$F420=""),"",ROUND(IF($F420&lt;1,$F420*24,INT($F420/100)+MOD($F420,100)/60)-IF($E420&lt;1,$E420*24,INT($E420/100)+MOD($E420,100)/60),2))</f>
        <v/>
      </c>
      <c r="H420" s="12"/>
      <c r="I420" s="17" t="str">
        <f aca="false">IF($A420="","",YEAR($A420))</f>
        <v/>
      </c>
      <c r="J420" s="17" t="str">
        <f aca="false">IF($A420="","",MONTH($A420))</f>
        <v/>
      </c>
      <c r="K420" s="17" t="str">
        <f aca="false">IF($A420="","",IF(AND($A420&gt;=사용안내!$C$18,$A420&lt;=사용안내!$C$19),"1학기",IF(AND($A420&gt;=사용안내!$C$20,$A420&lt;=사용안내!$C$21),"2학기","기간외")))</f>
        <v/>
      </c>
    </row>
    <row r="421" customFormat="false" ht="15" hidden="false" customHeight="true" outlineLevel="0" collapsed="false">
      <c r="A421" s="16"/>
      <c r="B421" s="12"/>
      <c r="C421" s="17" t="str">
        <f aca="false">IF($B421="","",IFERROR(INDEX(학생명부!$B$3:$B$83,MATCH($B421,학생명부!$A$3:$A$83,0)),"학번없음"))</f>
        <v/>
      </c>
      <c r="D421" s="12"/>
      <c r="E421" s="18"/>
      <c r="F421" s="18"/>
      <c r="G421" s="19" t="str">
        <f aca="false">IF(OR($E421="",$F421=""),"",ROUND(IF($F421&lt;1,$F421*24,INT($F421/100)+MOD($F421,100)/60)-IF($E421&lt;1,$E421*24,INT($E421/100)+MOD($E421,100)/60),2))</f>
        <v/>
      </c>
      <c r="H421" s="12"/>
      <c r="I421" s="17" t="str">
        <f aca="false">IF($A421="","",YEAR($A421))</f>
        <v/>
      </c>
      <c r="J421" s="17" t="str">
        <f aca="false">IF($A421="","",MONTH($A421))</f>
        <v/>
      </c>
      <c r="K421" s="17" t="str">
        <f aca="false">IF($A421="","",IF(AND($A421&gt;=사용안내!$C$18,$A421&lt;=사용안내!$C$19),"1학기",IF(AND($A421&gt;=사용안내!$C$20,$A421&lt;=사용안내!$C$21),"2학기","기간외")))</f>
        <v/>
      </c>
    </row>
    <row r="422" customFormat="false" ht="15" hidden="false" customHeight="true" outlineLevel="0" collapsed="false">
      <c r="A422" s="16"/>
      <c r="B422" s="12"/>
      <c r="C422" s="17" t="str">
        <f aca="false">IF($B422="","",IFERROR(INDEX(학생명부!$B$3:$B$83,MATCH($B422,학생명부!$A$3:$A$83,0)),"학번없음"))</f>
        <v/>
      </c>
      <c r="D422" s="12"/>
      <c r="E422" s="18"/>
      <c r="F422" s="18"/>
      <c r="G422" s="19" t="str">
        <f aca="false">IF(OR($E422="",$F422=""),"",ROUND(IF($F422&lt;1,$F422*24,INT($F422/100)+MOD($F422,100)/60)-IF($E422&lt;1,$E422*24,INT($E422/100)+MOD($E422,100)/60),2))</f>
        <v/>
      </c>
      <c r="H422" s="12"/>
      <c r="I422" s="17" t="str">
        <f aca="false">IF($A422="","",YEAR($A422))</f>
        <v/>
      </c>
      <c r="J422" s="17" t="str">
        <f aca="false">IF($A422="","",MONTH($A422))</f>
        <v/>
      </c>
      <c r="K422" s="17" t="str">
        <f aca="false">IF($A422="","",IF(AND($A422&gt;=사용안내!$C$18,$A422&lt;=사용안내!$C$19),"1학기",IF(AND($A422&gt;=사용안내!$C$20,$A422&lt;=사용안내!$C$21),"2학기","기간외")))</f>
        <v/>
      </c>
    </row>
    <row r="423" customFormat="false" ht="15" hidden="false" customHeight="true" outlineLevel="0" collapsed="false">
      <c r="A423" s="16"/>
      <c r="B423" s="12"/>
      <c r="C423" s="17" t="str">
        <f aca="false">IF($B423="","",IFERROR(INDEX(학생명부!$B$3:$B$83,MATCH($B423,학생명부!$A$3:$A$83,0)),"학번없음"))</f>
        <v/>
      </c>
      <c r="D423" s="12"/>
      <c r="E423" s="18"/>
      <c r="F423" s="18"/>
      <c r="G423" s="19" t="str">
        <f aca="false">IF(OR($E423="",$F423=""),"",ROUND(IF($F423&lt;1,$F423*24,INT($F423/100)+MOD($F423,100)/60)-IF($E423&lt;1,$E423*24,INT($E423/100)+MOD($E423,100)/60),2))</f>
        <v/>
      </c>
      <c r="H423" s="12"/>
      <c r="I423" s="17" t="str">
        <f aca="false">IF($A423="","",YEAR($A423))</f>
        <v/>
      </c>
      <c r="J423" s="17" t="str">
        <f aca="false">IF($A423="","",MONTH($A423))</f>
        <v/>
      </c>
      <c r="K423" s="17" t="str">
        <f aca="false">IF($A423="","",IF(AND($A423&gt;=사용안내!$C$18,$A423&lt;=사용안내!$C$19),"1학기",IF(AND($A423&gt;=사용안내!$C$20,$A423&lt;=사용안내!$C$21),"2학기","기간외")))</f>
        <v/>
      </c>
    </row>
    <row r="424" customFormat="false" ht="15" hidden="false" customHeight="true" outlineLevel="0" collapsed="false">
      <c r="A424" s="16"/>
      <c r="B424" s="12"/>
      <c r="C424" s="17" t="str">
        <f aca="false">IF($B424="","",IFERROR(INDEX(학생명부!$B$3:$B$83,MATCH($B424,학생명부!$A$3:$A$83,0)),"학번없음"))</f>
        <v/>
      </c>
      <c r="D424" s="12"/>
      <c r="E424" s="18"/>
      <c r="F424" s="18"/>
      <c r="G424" s="19" t="str">
        <f aca="false">IF(OR($E424="",$F424=""),"",ROUND(IF($F424&lt;1,$F424*24,INT($F424/100)+MOD($F424,100)/60)-IF($E424&lt;1,$E424*24,INT($E424/100)+MOD($E424,100)/60),2))</f>
        <v/>
      </c>
      <c r="H424" s="12"/>
      <c r="I424" s="17" t="str">
        <f aca="false">IF($A424="","",YEAR($A424))</f>
        <v/>
      </c>
      <c r="J424" s="17" t="str">
        <f aca="false">IF($A424="","",MONTH($A424))</f>
        <v/>
      </c>
      <c r="K424" s="17" t="str">
        <f aca="false">IF($A424="","",IF(AND($A424&gt;=사용안내!$C$18,$A424&lt;=사용안내!$C$19),"1학기",IF(AND($A424&gt;=사용안내!$C$20,$A424&lt;=사용안내!$C$21),"2학기","기간외")))</f>
        <v/>
      </c>
    </row>
    <row r="425" customFormat="false" ht="15" hidden="false" customHeight="true" outlineLevel="0" collapsed="false">
      <c r="A425" s="16"/>
      <c r="B425" s="12"/>
      <c r="C425" s="17" t="str">
        <f aca="false">IF($B425="","",IFERROR(INDEX(학생명부!$B$3:$B$83,MATCH($B425,학생명부!$A$3:$A$83,0)),"학번없음"))</f>
        <v/>
      </c>
      <c r="D425" s="12"/>
      <c r="E425" s="18"/>
      <c r="F425" s="18"/>
      <c r="G425" s="19" t="str">
        <f aca="false">IF(OR($E425="",$F425=""),"",ROUND(IF($F425&lt;1,$F425*24,INT($F425/100)+MOD($F425,100)/60)-IF($E425&lt;1,$E425*24,INT($E425/100)+MOD($E425,100)/60),2))</f>
        <v/>
      </c>
      <c r="H425" s="12"/>
      <c r="I425" s="17" t="str">
        <f aca="false">IF($A425="","",YEAR($A425))</f>
        <v/>
      </c>
      <c r="J425" s="17" t="str">
        <f aca="false">IF($A425="","",MONTH($A425))</f>
        <v/>
      </c>
      <c r="K425" s="17" t="str">
        <f aca="false">IF($A425="","",IF(AND($A425&gt;=사용안내!$C$18,$A425&lt;=사용안내!$C$19),"1학기",IF(AND($A425&gt;=사용안내!$C$20,$A425&lt;=사용안내!$C$21),"2학기","기간외")))</f>
        <v/>
      </c>
    </row>
    <row r="426" customFormat="false" ht="15" hidden="false" customHeight="true" outlineLevel="0" collapsed="false">
      <c r="A426" s="16"/>
      <c r="B426" s="12"/>
      <c r="C426" s="17" t="str">
        <f aca="false">IF($B426="","",IFERROR(INDEX(학생명부!$B$3:$B$83,MATCH($B426,학생명부!$A$3:$A$83,0)),"학번없음"))</f>
        <v/>
      </c>
      <c r="D426" s="12"/>
      <c r="E426" s="18"/>
      <c r="F426" s="18"/>
      <c r="G426" s="19" t="str">
        <f aca="false">IF(OR($E426="",$F426=""),"",ROUND(IF($F426&lt;1,$F426*24,INT($F426/100)+MOD($F426,100)/60)-IF($E426&lt;1,$E426*24,INT($E426/100)+MOD($E426,100)/60),2))</f>
        <v/>
      </c>
      <c r="H426" s="12"/>
      <c r="I426" s="17" t="str">
        <f aca="false">IF($A426="","",YEAR($A426))</f>
        <v/>
      </c>
      <c r="J426" s="17" t="str">
        <f aca="false">IF($A426="","",MONTH($A426))</f>
        <v/>
      </c>
      <c r="K426" s="17" t="str">
        <f aca="false">IF($A426="","",IF(AND($A426&gt;=사용안내!$C$18,$A426&lt;=사용안내!$C$19),"1학기",IF(AND($A426&gt;=사용안내!$C$20,$A426&lt;=사용안내!$C$21),"2학기","기간외")))</f>
        <v/>
      </c>
    </row>
    <row r="427" customFormat="false" ht="15" hidden="false" customHeight="true" outlineLevel="0" collapsed="false">
      <c r="A427" s="16"/>
      <c r="B427" s="12"/>
      <c r="C427" s="17" t="str">
        <f aca="false">IF($B427="","",IFERROR(INDEX(학생명부!$B$3:$B$83,MATCH($B427,학생명부!$A$3:$A$83,0)),"학번없음"))</f>
        <v/>
      </c>
      <c r="D427" s="12"/>
      <c r="E427" s="18"/>
      <c r="F427" s="18"/>
      <c r="G427" s="19" t="str">
        <f aca="false">IF(OR($E427="",$F427=""),"",ROUND(IF($F427&lt;1,$F427*24,INT($F427/100)+MOD($F427,100)/60)-IF($E427&lt;1,$E427*24,INT($E427/100)+MOD($E427,100)/60),2))</f>
        <v/>
      </c>
      <c r="H427" s="12"/>
      <c r="I427" s="17" t="str">
        <f aca="false">IF($A427="","",YEAR($A427))</f>
        <v/>
      </c>
      <c r="J427" s="17" t="str">
        <f aca="false">IF($A427="","",MONTH($A427))</f>
        <v/>
      </c>
      <c r="K427" s="17" t="str">
        <f aca="false">IF($A427="","",IF(AND($A427&gt;=사용안내!$C$18,$A427&lt;=사용안내!$C$19),"1학기",IF(AND($A427&gt;=사용안내!$C$20,$A427&lt;=사용안내!$C$21),"2학기","기간외")))</f>
        <v/>
      </c>
    </row>
    <row r="428" customFormat="false" ht="15" hidden="false" customHeight="true" outlineLevel="0" collapsed="false">
      <c r="A428" s="16"/>
      <c r="B428" s="12"/>
      <c r="C428" s="17" t="str">
        <f aca="false">IF($B428="","",IFERROR(INDEX(학생명부!$B$3:$B$83,MATCH($B428,학생명부!$A$3:$A$83,0)),"학번없음"))</f>
        <v/>
      </c>
      <c r="D428" s="12"/>
      <c r="E428" s="18"/>
      <c r="F428" s="18"/>
      <c r="G428" s="19" t="str">
        <f aca="false">IF(OR($E428="",$F428=""),"",ROUND(IF($F428&lt;1,$F428*24,INT($F428/100)+MOD($F428,100)/60)-IF($E428&lt;1,$E428*24,INT($E428/100)+MOD($E428,100)/60),2))</f>
        <v/>
      </c>
      <c r="H428" s="12"/>
      <c r="I428" s="17" t="str">
        <f aca="false">IF($A428="","",YEAR($A428))</f>
        <v/>
      </c>
      <c r="J428" s="17" t="str">
        <f aca="false">IF($A428="","",MONTH($A428))</f>
        <v/>
      </c>
      <c r="K428" s="17" t="str">
        <f aca="false">IF($A428="","",IF(AND($A428&gt;=사용안내!$C$18,$A428&lt;=사용안내!$C$19),"1학기",IF(AND($A428&gt;=사용안내!$C$20,$A428&lt;=사용안내!$C$21),"2학기","기간외")))</f>
        <v/>
      </c>
    </row>
    <row r="429" customFormat="false" ht="15" hidden="false" customHeight="true" outlineLevel="0" collapsed="false">
      <c r="A429" s="16"/>
      <c r="B429" s="12"/>
      <c r="C429" s="17" t="str">
        <f aca="false">IF($B429="","",IFERROR(INDEX(학생명부!$B$3:$B$83,MATCH($B429,학생명부!$A$3:$A$83,0)),"학번없음"))</f>
        <v/>
      </c>
      <c r="D429" s="12"/>
      <c r="E429" s="18"/>
      <c r="F429" s="18"/>
      <c r="G429" s="19" t="str">
        <f aca="false">IF(OR($E429="",$F429=""),"",ROUND(IF($F429&lt;1,$F429*24,INT($F429/100)+MOD($F429,100)/60)-IF($E429&lt;1,$E429*24,INT($E429/100)+MOD($E429,100)/60),2))</f>
        <v/>
      </c>
      <c r="H429" s="12"/>
      <c r="I429" s="17" t="str">
        <f aca="false">IF($A429="","",YEAR($A429))</f>
        <v/>
      </c>
      <c r="J429" s="17" t="str">
        <f aca="false">IF($A429="","",MONTH($A429))</f>
        <v/>
      </c>
      <c r="K429" s="17" t="str">
        <f aca="false">IF($A429="","",IF(AND($A429&gt;=사용안내!$C$18,$A429&lt;=사용안내!$C$19),"1학기",IF(AND($A429&gt;=사용안내!$C$20,$A429&lt;=사용안내!$C$21),"2학기","기간외")))</f>
        <v/>
      </c>
    </row>
    <row r="430" customFormat="false" ht="15" hidden="false" customHeight="true" outlineLevel="0" collapsed="false">
      <c r="A430" s="16"/>
      <c r="B430" s="12"/>
      <c r="C430" s="17" t="str">
        <f aca="false">IF($B430="","",IFERROR(INDEX(학생명부!$B$3:$B$83,MATCH($B430,학생명부!$A$3:$A$83,0)),"학번없음"))</f>
        <v/>
      </c>
      <c r="D430" s="12"/>
      <c r="E430" s="18"/>
      <c r="F430" s="18"/>
      <c r="G430" s="19" t="str">
        <f aca="false">IF(OR($E430="",$F430=""),"",ROUND(IF($F430&lt;1,$F430*24,INT($F430/100)+MOD($F430,100)/60)-IF($E430&lt;1,$E430*24,INT($E430/100)+MOD($E430,100)/60),2))</f>
        <v/>
      </c>
      <c r="H430" s="12"/>
      <c r="I430" s="17" t="str">
        <f aca="false">IF($A430="","",YEAR($A430))</f>
        <v/>
      </c>
      <c r="J430" s="17" t="str">
        <f aca="false">IF($A430="","",MONTH($A430))</f>
        <v/>
      </c>
      <c r="K430" s="17" t="str">
        <f aca="false">IF($A430="","",IF(AND($A430&gt;=사용안내!$C$18,$A430&lt;=사용안내!$C$19),"1학기",IF(AND($A430&gt;=사용안내!$C$20,$A430&lt;=사용안내!$C$21),"2학기","기간외")))</f>
        <v/>
      </c>
    </row>
    <row r="431" customFormat="false" ht="15" hidden="false" customHeight="true" outlineLevel="0" collapsed="false">
      <c r="A431" s="16"/>
      <c r="B431" s="12"/>
      <c r="C431" s="17" t="str">
        <f aca="false">IF($B431="","",IFERROR(INDEX(학생명부!$B$3:$B$83,MATCH($B431,학생명부!$A$3:$A$83,0)),"학번없음"))</f>
        <v/>
      </c>
      <c r="D431" s="12"/>
      <c r="E431" s="18"/>
      <c r="F431" s="18"/>
      <c r="G431" s="19" t="str">
        <f aca="false">IF(OR($E431="",$F431=""),"",ROUND(IF($F431&lt;1,$F431*24,INT($F431/100)+MOD($F431,100)/60)-IF($E431&lt;1,$E431*24,INT($E431/100)+MOD($E431,100)/60),2))</f>
        <v/>
      </c>
      <c r="H431" s="12"/>
      <c r="I431" s="17" t="str">
        <f aca="false">IF($A431="","",YEAR($A431))</f>
        <v/>
      </c>
      <c r="J431" s="17" t="str">
        <f aca="false">IF($A431="","",MONTH($A431))</f>
        <v/>
      </c>
      <c r="K431" s="17" t="str">
        <f aca="false">IF($A431="","",IF(AND($A431&gt;=사용안내!$C$18,$A431&lt;=사용안내!$C$19),"1학기",IF(AND($A431&gt;=사용안내!$C$20,$A431&lt;=사용안내!$C$21),"2학기","기간외")))</f>
        <v/>
      </c>
    </row>
    <row r="432" customFormat="false" ht="15" hidden="false" customHeight="true" outlineLevel="0" collapsed="false">
      <c r="A432" s="16"/>
      <c r="B432" s="12"/>
      <c r="C432" s="17" t="str">
        <f aca="false">IF($B432="","",IFERROR(INDEX(학생명부!$B$3:$B$83,MATCH($B432,학생명부!$A$3:$A$83,0)),"학번없음"))</f>
        <v/>
      </c>
      <c r="D432" s="12"/>
      <c r="E432" s="18"/>
      <c r="F432" s="18"/>
      <c r="G432" s="19" t="str">
        <f aca="false">IF(OR($E432="",$F432=""),"",ROUND(IF($F432&lt;1,$F432*24,INT($F432/100)+MOD($F432,100)/60)-IF($E432&lt;1,$E432*24,INT($E432/100)+MOD($E432,100)/60),2))</f>
        <v/>
      </c>
      <c r="H432" s="12"/>
      <c r="I432" s="17" t="str">
        <f aca="false">IF($A432="","",YEAR($A432))</f>
        <v/>
      </c>
      <c r="J432" s="17" t="str">
        <f aca="false">IF($A432="","",MONTH($A432))</f>
        <v/>
      </c>
      <c r="K432" s="17" t="str">
        <f aca="false">IF($A432="","",IF(AND($A432&gt;=사용안내!$C$18,$A432&lt;=사용안내!$C$19),"1학기",IF(AND($A432&gt;=사용안내!$C$20,$A432&lt;=사용안내!$C$21),"2학기","기간외")))</f>
        <v/>
      </c>
    </row>
    <row r="433" customFormat="false" ht="15" hidden="false" customHeight="true" outlineLevel="0" collapsed="false">
      <c r="A433" s="16"/>
      <c r="B433" s="12"/>
      <c r="C433" s="17" t="str">
        <f aca="false">IF($B433="","",IFERROR(INDEX(학생명부!$B$3:$B$83,MATCH($B433,학생명부!$A$3:$A$83,0)),"학번없음"))</f>
        <v/>
      </c>
      <c r="D433" s="12"/>
      <c r="E433" s="18"/>
      <c r="F433" s="18"/>
      <c r="G433" s="19" t="str">
        <f aca="false">IF(OR($E433="",$F433=""),"",ROUND(IF($F433&lt;1,$F433*24,INT($F433/100)+MOD($F433,100)/60)-IF($E433&lt;1,$E433*24,INT($E433/100)+MOD($E433,100)/60),2))</f>
        <v/>
      </c>
      <c r="H433" s="12"/>
      <c r="I433" s="17" t="str">
        <f aca="false">IF($A433="","",YEAR($A433))</f>
        <v/>
      </c>
      <c r="J433" s="17" t="str">
        <f aca="false">IF($A433="","",MONTH($A433))</f>
        <v/>
      </c>
      <c r="K433" s="17" t="str">
        <f aca="false">IF($A433="","",IF(AND($A433&gt;=사용안내!$C$18,$A433&lt;=사용안내!$C$19),"1학기",IF(AND($A433&gt;=사용안내!$C$20,$A433&lt;=사용안내!$C$21),"2학기","기간외")))</f>
        <v/>
      </c>
    </row>
    <row r="434" customFormat="false" ht="15" hidden="false" customHeight="true" outlineLevel="0" collapsed="false">
      <c r="A434" s="16"/>
      <c r="B434" s="12"/>
      <c r="C434" s="17" t="str">
        <f aca="false">IF($B434="","",IFERROR(INDEX(학생명부!$B$3:$B$83,MATCH($B434,학생명부!$A$3:$A$83,0)),"학번없음"))</f>
        <v/>
      </c>
      <c r="D434" s="12"/>
      <c r="E434" s="18"/>
      <c r="F434" s="18"/>
      <c r="G434" s="19" t="str">
        <f aca="false">IF(OR($E434="",$F434=""),"",ROUND(IF($F434&lt;1,$F434*24,INT($F434/100)+MOD($F434,100)/60)-IF($E434&lt;1,$E434*24,INT($E434/100)+MOD($E434,100)/60),2))</f>
        <v/>
      </c>
      <c r="H434" s="12"/>
      <c r="I434" s="17" t="str">
        <f aca="false">IF($A434="","",YEAR($A434))</f>
        <v/>
      </c>
      <c r="J434" s="17" t="str">
        <f aca="false">IF($A434="","",MONTH($A434))</f>
        <v/>
      </c>
      <c r="K434" s="17" t="str">
        <f aca="false">IF($A434="","",IF(AND($A434&gt;=사용안내!$C$18,$A434&lt;=사용안내!$C$19),"1학기",IF(AND($A434&gt;=사용안내!$C$20,$A434&lt;=사용안내!$C$21),"2학기","기간외")))</f>
        <v/>
      </c>
    </row>
    <row r="435" customFormat="false" ht="15" hidden="false" customHeight="true" outlineLevel="0" collapsed="false">
      <c r="A435" s="16"/>
      <c r="B435" s="12"/>
      <c r="C435" s="17" t="str">
        <f aca="false">IF($B435="","",IFERROR(INDEX(학생명부!$B$3:$B$83,MATCH($B435,학생명부!$A$3:$A$83,0)),"학번없음"))</f>
        <v/>
      </c>
      <c r="D435" s="12"/>
      <c r="E435" s="18"/>
      <c r="F435" s="18"/>
      <c r="G435" s="19" t="str">
        <f aca="false">IF(OR($E435="",$F435=""),"",ROUND(IF($F435&lt;1,$F435*24,INT($F435/100)+MOD($F435,100)/60)-IF($E435&lt;1,$E435*24,INT($E435/100)+MOD($E435,100)/60),2))</f>
        <v/>
      </c>
      <c r="H435" s="12"/>
      <c r="I435" s="17" t="str">
        <f aca="false">IF($A435="","",YEAR($A435))</f>
        <v/>
      </c>
      <c r="J435" s="17" t="str">
        <f aca="false">IF($A435="","",MONTH($A435))</f>
        <v/>
      </c>
      <c r="K435" s="17" t="str">
        <f aca="false">IF($A435="","",IF(AND($A435&gt;=사용안내!$C$18,$A435&lt;=사용안내!$C$19),"1학기",IF(AND($A435&gt;=사용안내!$C$20,$A435&lt;=사용안내!$C$21),"2학기","기간외")))</f>
        <v/>
      </c>
    </row>
    <row r="436" customFormat="false" ht="15" hidden="false" customHeight="true" outlineLevel="0" collapsed="false">
      <c r="A436" s="16"/>
      <c r="B436" s="12"/>
      <c r="C436" s="17" t="str">
        <f aca="false">IF($B436="","",IFERROR(INDEX(학생명부!$B$3:$B$83,MATCH($B436,학생명부!$A$3:$A$83,0)),"학번없음"))</f>
        <v/>
      </c>
      <c r="D436" s="12"/>
      <c r="E436" s="18"/>
      <c r="F436" s="18"/>
      <c r="G436" s="19" t="str">
        <f aca="false">IF(OR($E436="",$F436=""),"",ROUND(IF($F436&lt;1,$F436*24,INT($F436/100)+MOD($F436,100)/60)-IF($E436&lt;1,$E436*24,INT($E436/100)+MOD($E436,100)/60),2))</f>
        <v/>
      </c>
      <c r="H436" s="12"/>
      <c r="I436" s="17" t="str">
        <f aca="false">IF($A436="","",YEAR($A436))</f>
        <v/>
      </c>
      <c r="J436" s="17" t="str">
        <f aca="false">IF($A436="","",MONTH($A436))</f>
        <v/>
      </c>
      <c r="K436" s="17" t="str">
        <f aca="false">IF($A436="","",IF(AND($A436&gt;=사용안내!$C$18,$A436&lt;=사용안내!$C$19),"1학기",IF(AND($A436&gt;=사용안내!$C$20,$A436&lt;=사용안내!$C$21),"2학기","기간외")))</f>
        <v/>
      </c>
    </row>
    <row r="437" customFormat="false" ht="15" hidden="false" customHeight="true" outlineLevel="0" collapsed="false">
      <c r="A437" s="16"/>
      <c r="B437" s="12"/>
      <c r="C437" s="17" t="str">
        <f aca="false">IF($B437="","",IFERROR(INDEX(학생명부!$B$3:$B$83,MATCH($B437,학생명부!$A$3:$A$83,0)),"학번없음"))</f>
        <v/>
      </c>
      <c r="D437" s="12"/>
      <c r="E437" s="18"/>
      <c r="F437" s="18"/>
      <c r="G437" s="19" t="str">
        <f aca="false">IF(OR($E437="",$F437=""),"",ROUND(IF($F437&lt;1,$F437*24,INT($F437/100)+MOD($F437,100)/60)-IF($E437&lt;1,$E437*24,INT($E437/100)+MOD($E437,100)/60),2))</f>
        <v/>
      </c>
      <c r="H437" s="12"/>
      <c r="I437" s="17" t="str">
        <f aca="false">IF($A437="","",YEAR($A437))</f>
        <v/>
      </c>
      <c r="J437" s="17" t="str">
        <f aca="false">IF($A437="","",MONTH($A437))</f>
        <v/>
      </c>
      <c r="K437" s="17" t="str">
        <f aca="false">IF($A437="","",IF(AND($A437&gt;=사용안내!$C$18,$A437&lt;=사용안내!$C$19),"1학기",IF(AND($A437&gt;=사용안내!$C$20,$A437&lt;=사용안내!$C$21),"2학기","기간외")))</f>
        <v/>
      </c>
    </row>
    <row r="438" customFormat="false" ht="15" hidden="false" customHeight="true" outlineLevel="0" collapsed="false">
      <c r="A438" s="16"/>
      <c r="B438" s="12"/>
      <c r="C438" s="17" t="str">
        <f aca="false">IF($B438="","",IFERROR(INDEX(학생명부!$B$3:$B$83,MATCH($B438,학생명부!$A$3:$A$83,0)),"학번없음"))</f>
        <v/>
      </c>
      <c r="D438" s="12"/>
      <c r="E438" s="18"/>
      <c r="F438" s="18"/>
      <c r="G438" s="19" t="str">
        <f aca="false">IF(OR($E438="",$F438=""),"",ROUND(IF($F438&lt;1,$F438*24,INT($F438/100)+MOD($F438,100)/60)-IF($E438&lt;1,$E438*24,INT($E438/100)+MOD($E438,100)/60),2))</f>
        <v/>
      </c>
      <c r="H438" s="12"/>
      <c r="I438" s="17" t="str">
        <f aca="false">IF($A438="","",YEAR($A438))</f>
        <v/>
      </c>
      <c r="J438" s="17" t="str">
        <f aca="false">IF($A438="","",MONTH($A438))</f>
        <v/>
      </c>
      <c r="K438" s="17" t="str">
        <f aca="false">IF($A438="","",IF(AND($A438&gt;=사용안내!$C$18,$A438&lt;=사용안내!$C$19),"1학기",IF(AND($A438&gt;=사용안내!$C$20,$A438&lt;=사용안내!$C$21),"2학기","기간외")))</f>
        <v/>
      </c>
    </row>
    <row r="439" customFormat="false" ht="15" hidden="false" customHeight="true" outlineLevel="0" collapsed="false">
      <c r="A439" s="16"/>
      <c r="B439" s="12"/>
      <c r="C439" s="17" t="str">
        <f aca="false">IF($B439="","",IFERROR(INDEX(학생명부!$B$3:$B$83,MATCH($B439,학생명부!$A$3:$A$83,0)),"학번없음"))</f>
        <v/>
      </c>
      <c r="D439" s="12"/>
      <c r="E439" s="18"/>
      <c r="F439" s="18"/>
      <c r="G439" s="19" t="str">
        <f aca="false">IF(OR($E439="",$F439=""),"",ROUND(IF($F439&lt;1,$F439*24,INT($F439/100)+MOD($F439,100)/60)-IF($E439&lt;1,$E439*24,INT($E439/100)+MOD($E439,100)/60),2))</f>
        <v/>
      </c>
      <c r="H439" s="12"/>
      <c r="I439" s="17" t="str">
        <f aca="false">IF($A439="","",YEAR($A439))</f>
        <v/>
      </c>
      <c r="J439" s="17" t="str">
        <f aca="false">IF($A439="","",MONTH($A439))</f>
        <v/>
      </c>
      <c r="K439" s="17" t="str">
        <f aca="false">IF($A439="","",IF(AND($A439&gt;=사용안내!$C$18,$A439&lt;=사용안내!$C$19),"1학기",IF(AND($A439&gt;=사용안내!$C$20,$A439&lt;=사용안내!$C$21),"2학기","기간외")))</f>
        <v/>
      </c>
    </row>
    <row r="440" customFormat="false" ht="15" hidden="false" customHeight="true" outlineLevel="0" collapsed="false">
      <c r="A440" s="16"/>
      <c r="B440" s="12"/>
      <c r="C440" s="17" t="str">
        <f aca="false">IF($B440="","",IFERROR(INDEX(학생명부!$B$3:$B$83,MATCH($B440,학생명부!$A$3:$A$83,0)),"학번없음"))</f>
        <v/>
      </c>
      <c r="D440" s="12"/>
      <c r="E440" s="18"/>
      <c r="F440" s="18"/>
      <c r="G440" s="19" t="str">
        <f aca="false">IF(OR($E440="",$F440=""),"",ROUND(IF($F440&lt;1,$F440*24,INT($F440/100)+MOD($F440,100)/60)-IF($E440&lt;1,$E440*24,INT($E440/100)+MOD($E440,100)/60),2))</f>
        <v/>
      </c>
      <c r="H440" s="12"/>
      <c r="I440" s="17" t="str">
        <f aca="false">IF($A440="","",YEAR($A440))</f>
        <v/>
      </c>
      <c r="J440" s="17" t="str">
        <f aca="false">IF($A440="","",MONTH($A440))</f>
        <v/>
      </c>
      <c r="K440" s="17" t="str">
        <f aca="false">IF($A440="","",IF(AND($A440&gt;=사용안내!$C$18,$A440&lt;=사용안내!$C$19),"1학기",IF(AND($A440&gt;=사용안내!$C$20,$A440&lt;=사용안내!$C$21),"2학기","기간외")))</f>
        <v/>
      </c>
    </row>
    <row r="441" customFormat="false" ht="15" hidden="false" customHeight="true" outlineLevel="0" collapsed="false">
      <c r="A441" s="16"/>
      <c r="B441" s="12"/>
      <c r="C441" s="17" t="str">
        <f aca="false">IF($B441="","",IFERROR(INDEX(학생명부!$B$3:$B$83,MATCH($B441,학생명부!$A$3:$A$83,0)),"학번없음"))</f>
        <v/>
      </c>
      <c r="D441" s="12"/>
      <c r="E441" s="18"/>
      <c r="F441" s="18"/>
      <c r="G441" s="19" t="str">
        <f aca="false">IF(OR($E441="",$F441=""),"",ROUND(IF($F441&lt;1,$F441*24,INT($F441/100)+MOD($F441,100)/60)-IF($E441&lt;1,$E441*24,INT($E441/100)+MOD($E441,100)/60),2))</f>
        <v/>
      </c>
      <c r="H441" s="12"/>
      <c r="I441" s="17" t="str">
        <f aca="false">IF($A441="","",YEAR($A441))</f>
        <v/>
      </c>
      <c r="J441" s="17" t="str">
        <f aca="false">IF($A441="","",MONTH($A441))</f>
        <v/>
      </c>
      <c r="K441" s="17" t="str">
        <f aca="false">IF($A441="","",IF(AND($A441&gt;=사용안내!$C$18,$A441&lt;=사용안내!$C$19),"1학기",IF(AND($A441&gt;=사용안내!$C$20,$A441&lt;=사용안내!$C$21),"2학기","기간외")))</f>
        <v/>
      </c>
    </row>
    <row r="442" customFormat="false" ht="15" hidden="false" customHeight="true" outlineLevel="0" collapsed="false">
      <c r="A442" s="16"/>
      <c r="B442" s="12"/>
      <c r="C442" s="17" t="str">
        <f aca="false">IF($B442="","",IFERROR(INDEX(학생명부!$B$3:$B$83,MATCH($B442,학생명부!$A$3:$A$83,0)),"학번없음"))</f>
        <v/>
      </c>
      <c r="D442" s="12"/>
      <c r="E442" s="18"/>
      <c r="F442" s="18"/>
      <c r="G442" s="19" t="str">
        <f aca="false">IF(OR($E442="",$F442=""),"",ROUND(IF($F442&lt;1,$F442*24,INT($F442/100)+MOD($F442,100)/60)-IF($E442&lt;1,$E442*24,INT($E442/100)+MOD($E442,100)/60),2))</f>
        <v/>
      </c>
      <c r="H442" s="12"/>
      <c r="I442" s="17" t="str">
        <f aca="false">IF($A442="","",YEAR($A442))</f>
        <v/>
      </c>
      <c r="J442" s="17" t="str">
        <f aca="false">IF($A442="","",MONTH($A442))</f>
        <v/>
      </c>
      <c r="K442" s="17" t="str">
        <f aca="false">IF($A442="","",IF(AND($A442&gt;=사용안내!$C$18,$A442&lt;=사용안내!$C$19),"1학기",IF(AND($A442&gt;=사용안내!$C$20,$A442&lt;=사용안내!$C$21),"2학기","기간외")))</f>
        <v/>
      </c>
    </row>
    <row r="443" customFormat="false" ht="15" hidden="false" customHeight="true" outlineLevel="0" collapsed="false">
      <c r="A443" s="16"/>
      <c r="B443" s="12"/>
      <c r="C443" s="17" t="str">
        <f aca="false">IF($B443="","",IFERROR(INDEX(학생명부!$B$3:$B$83,MATCH($B443,학생명부!$A$3:$A$83,0)),"학번없음"))</f>
        <v/>
      </c>
      <c r="D443" s="12"/>
      <c r="E443" s="18"/>
      <c r="F443" s="18"/>
      <c r="G443" s="19" t="str">
        <f aca="false">IF(OR($E443="",$F443=""),"",ROUND(IF($F443&lt;1,$F443*24,INT($F443/100)+MOD($F443,100)/60)-IF($E443&lt;1,$E443*24,INT($E443/100)+MOD($E443,100)/60),2))</f>
        <v/>
      </c>
      <c r="H443" s="12"/>
      <c r="I443" s="17" t="str">
        <f aca="false">IF($A443="","",YEAR($A443))</f>
        <v/>
      </c>
      <c r="J443" s="17" t="str">
        <f aca="false">IF($A443="","",MONTH($A443))</f>
        <v/>
      </c>
      <c r="K443" s="17" t="str">
        <f aca="false">IF($A443="","",IF(AND($A443&gt;=사용안내!$C$18,$A443&lt;=사용안내!$C$19),"1학기",IF(AND($A443&gt;=사용안내!$C$20,$A443&lt;=사용안내!$C$21),"2학기","기간외")))</f>
        <v/>
      </c>
    </row>
    <row r="444" customFormat="false" ht="15" hidden="false" customHeight="true" outlineLevel="0" collapsed="false">
      <c r="A444" s="16"/>
      <c r="B444" s="12"/>
      <c r="C444" s="17" t="str">
        <f aca="false">IF($B444="","",IFERROR(INDEX(학생명부!$B$3:$B$83,MATCH($B444,학생명부!$A$3:$A$83,0)),"학번없음"))</f>
        <v/>
      </c>
      <c r="D444" s="12"/>
      <c r="E444" s="18"/>
      <c r="F444" s="18"/>
      <c r="G444" s="19" t="str">
        <f aca="false">IF(OR($E444="",$F444=""),"",ROUND(IF($F444&lt;1,$F444*24,INT($F444/100)+MOD($F444,100)/60)-IF($E444&lt;1,$E444*24,INT($E444/100)+MOD($E444,100)/60),2))</f>
        <v/>
      </c>
      <c r="H444" s="12"/>
      <c r="I444" s="17" t="str">
        <f aca="false">IF($A444="","",YEAR($A444))</f>
        <v/>
      </c>
      <c r="J444" s="17" t="str">
        <f aca="false">IF($A444="","",MONTH($A444))</f>
        <v/>
      </c>
      <c r="K444" s="17" t="str">
        <f aca="false">IF($A444="","",IF(AND($A444&gt;=사용안내!$C$18,$A444&lt;=사용안내!$C$19),"1학기",IF(AND($A444&gt;=사용안내!$C$20,$A444&lt;=사용안내!$C$21),"2학기","기간외")))</f>
        <v/>
      </c>
    </row>
    <row r="445" customFormat="false" ht="15" hidden="false" customHeight="true" outlineLevel="0" collapsed="false">
      <c r="A445" s="16"/>
      <c r="B445" s="12"/>
      <c r="C445" s="17" t="str">
        <f aca="false">IF($B445="","",IFERROR(INDEX(학생명부!$B$3:$B$83,MATCH($B445,학생명부!$A$3:$A$83,0)),"학번없음"))</f>
        <v/>
      </c>
      <c r="D445" s="12"/>
      <c r="E445" s="18"/>
      <c r="F445" s="18"/>
      <c r="G445" s="19" t="str">
        <f aca="false">IF(OR($E445="",$F445=""),"",ROUND(IF($F445&lt;1,$F445*24,INT($F445/100)+MOD($F445,100)/60)-IF($E445&lt;1,$E445*24,INT($E445/100)+MOD($E445,100)/60),2))</f>
        <v/>
      </c>
      <c r="H445" s="12"/>
      <c r="I445" s="17" t="str">
        <f aca="false">IF($A445="","",YEAR($A445))</f>
        <v/>
      </c>
      <c r="J445" s="17" t="str">
        <f aca="false">IF($A445="","",MONTH($A445))</f>
        <v/>
      </c>
      <c r="K445" s="17" t="str">
        <f aca="false">IF($A445="","",IF(AND($A445&gt;=사용안내!$C$18,$A445&lt;=사용안내!$C$19),"1학기",IF(AND($A445&gt;=사용안내!$C$20,$A445&lt;=사용안내!$C$21),"2학기","기간외")))</f>
        <v/>
      </c>
    </row>
    <row r="446" customFormat="false" ht="15" hidden="false" customHeight="true" outlineLevel="0" collapsed="false">
      <c r="A446" s="16"/>
      <c r="B446" s="12"/>
      <c r="C446" s="17" t="str">
        <f aca="false">IF($B446="","",IFERROR(INDEX(학생명부!$B$3:$B$83,MATCH($B446,학생명부!$A$3:$A$83,0)),"학번없음"))</f>
        <v/>
      </c>
      <c r="D446" s="12"/>
      <c r="E446" s="18"/>
      <c r="F446" s="18"/>
      <c r="G446" s="19" t="str">
        <f aca="false">IF(OR($E446="",$F446=""),"",ROUND(IF($F446&lt;1,$F446*24,INT($F446/100)+MOD($F446,100)/60)-IF($E446&lt;1,$E446*24,INT($E446/100)+MOD($E446,100)/60),2))</f>
        <v/>
      </c>
      <c r="H446" s="12"/>
      <c r="I446" s="17" t="str">
        <f aca="false">IF($A446="","",YEAR($A446))</f>
        <v/>
      </c>
      <c r="J446" s="17" t="str">
        <f aca="false">IF($A446="","",MONTH($A446))</f>
        <v/>
      </c>
      <c r="K446" s="17" t="str">
        <f aca="false">IF($A446="","",IF(AND($A446&gt;=사용안내!$C$18,$A446&lt;=사용안내!$C$19),"1학기",IF(AND($A446&gt;=사용안내!$C$20,$A446&lt;=사용안내!$C$21),"2학기","기간외")))</f>
        <v/>
      </c>
    </row>
    <row r="447" customFormat="false" ht="15" hidden="false" customHeight="true" outlineLevel="0" collapsed="false">
      <c r="A447" s="16"/>
      <c r="B447" s="12"/>
      <c r="C447" s="17" t="str">
        <f aca="false">IF($B447="","",IFERROR(INDEX(학생명부!$B$3:$B$83,MATCH($B447,학생명부!$A$3:$A$83,0)),"학번없음"))</f>
        <v/>
      </c>
      <c r="D447" s="12"/>
      <c r="E447" s="18"/>
      <c r="F447" s="18"/>
      <c r="G447" s="19" t="str">
        <f aca="false">IF(OR($E447="",$F447=""),"",ROUND(IF($F447&lt;1,$F447*24,INT($F447/100)+MOD($F447,100)/60)-IF($E447&lt;1,$E447*24,INT($E447/100)+MOD($E447,100)/60),2))</f>
        <v/>
      </c>
      <c r="H447" s="12"/>
      <c r="I447" s="17" t="str">
        <f aca="false">IF($A447="","",YEAR($A447))</f>
        <v/>
      </c>
      <c r="J447" s="17" t="str">
        <f aca="false">IF($A447="","",MONTH($A447))</f>
        <v/>
      </c>
      <c r="K447" s="17" t="str">
        <f aca="false">IF($A447="","",IF(AND($A447&gt;=사용안내!$C$18,$A447&lt;=사용안내!$C$19),"1학기",IF(AND($A447&gt;=사용안내!$C$20,$A447&lt;=사용안내!$C$21),"2학기","기간외")))</f>
        <v/>
      </c>
    </row>
    <row r="448" customFormat="false" ht="15" hidden="false" customHeight="true" outlineLevel="0" collapsed="false">
      <c r="A448" s="16"/>
      <c r="B448" s="12"/>
      <c r="C448" s="17" t="str">
        <f aca="false">IF($B448="","",IFERROR(INDEX(학생명부!$B$3:$B$83,MATCH($B448,학생명부!$A$3:$A$83,0)),"학번없음"))</f>
        <v/>
      </c>
      <c r="D448" s="12"/>
      <c r="E448" s="18"/>
      <c r="F448" s="18"/>
      <c r="G448" s="19" t="str">
        <f aca="false">IF(OR($E448="",$F448=""),"",ROUND(IF($F448&lt;1,$F448*24,INT($F448/100)+MOD($F448,100)/60)-IF($E448&lt;1,$E448*24,INT($E448/100)+MOD($E448,100)/60),2))</f>
        <v/>
      </c>
      <c r="H448" s="12"/>
      <c r="I448" s="17" t="str">
        <f aca="false">IF($A448="","",YEAR($A448))</f>
        <v/>
      </c>
      <c r="J448" s="17" t="str">
        <f aca="false">IF($A448="","",MONTH($A448))</f>
        <v/>
      </c>
      <c r="K448" s="17" t="str">
        <f aca="false">IF($A448="","",IF(AND($A448&gt;=사용안내!$C$18,$A448&lt;=사용안내!$C$19),"1학기",IF(AND($A448&gt;=사용안내!$C$20,$A448&lt;=사용안내!$C$21),"2학기","기간외")))</f>
        <v/>
      </c>
    </row>
    <row r="449" customFormat="false" ht="15" hidden="false" customHeight="true" outlineLevel="0" collapsed="false">
      <c r="A449" s="16"/>
      <c r="B449" s="12"/>
      <c r="C449" s="17" t="str">
        <f aca="false">IF($B449="","",IFERROR(INDEX(학생명부!$B$3:$B$83,MATCH($B449,학생명부!$A$3:$A$83,0)),"학번없음"))</f>
        <v/>
      </c>
      <c r="D449" s="12"/>
      <c r="E449" s="18"/>
      <c r="F449" s="18"/>
      <c r="G449" s="19" t="str">
        <f aca="false">IF(OR($E449="",$F449=""),"",ROUND(IF($F449&lt;1,$F449*24,INT($F449/100)+MOD($F449,100)/60)-IF($E449&lt;1,$E449*24,INT($E449/100)+MOD($E449,100)/60),2))</f>
        <v/>
      </c>
      <c r="H449" s="12"/>
      <c r="I449" s="17" t="str">
        <f aca="false">IF($A449="","",YEAR($A449))</f>
        <v/>
      </c>
      <c r="J449" s="17" t="str">
        <f aca="false">IF($A449="","",MONTH($A449))</f>
        <v/>
      </c>
      <c r="K449" s="17" t="str">
        <f aca="false">IF($A449="","",IF(AND($A449&gt;=사용안내!$C$18,$A449&lt;=사용안내!$C$19),"1학기",IF(AND($A449&gt;=사용안내!$C$20,$A449&lt;=사용안내!$C$21),"2학기","기간외")))</f>
        <v/>
      </c>
    </row>
    <row r="450" customFormat="false" ht="15" hidden="false" customHeight="true" outlineLevel="0" collapsed="false">
      <c r="A450" s="16"/>
      <c r="B450" s="12"/>
      <c r="C450" s="17" t="str">
        <f aca="false">IF($B450="","",IFERROR(INDEX(학생명부!$B$3:$B$83,MATCH($B450,학생명부!$A$3:$A$83,0)),"학번없음"))</f>
        <v/>
      </c>
      <c r="D450" s="12"/>
      <c r="E450" s="18"/>
      <c r="F450" s="18"/>
      <c r="G450" s="19" t="str">
        <f aca="false">IF(OR($E450="",$F450=""),"",ROUND(IF($F450&lt;1,$F450*24,INT($F450/100)+MOD($F450,100)/60)-IF($E450&lt;1,$E450*24,INT($E450/100)+MOD($E450,100)/60),2))</f>
        <v/>
      </c>
      <c r="H450" s="12"/>
      <c r="I450" s="17" t="str">
        <f aca="false">IF($A450="","",YEAR($A450))</f>
        <v/>
      </c>
      <c r="J450" s="17" t="str">
        <f aca="false">IF($A450="","",MONTH($A450))</f>
        <v/>
      </c>
      <c r="K450" s="17" t="str">
        <f aca="false">IF($A450="","",IF(AND($A450&gt;=사용안내!$C$18,$A450&lt;=사용안내!$C$19),"1학기",IF(AND($A450&gt;=사용안내!$C$20,$A450&lt;=사용안내!$C$21),"2학기","기간외")))</f>
        <v/>
      </c>
    </row>
    <row r="451" customFormat="false" ht="15" hidden="false" customHeight="true" outlineLevel="0" collapsed="false">
      <c r="A451" s="16"/>
      <c r="B451" s="12"/>
      <c r="C451" s="17" t="str">
        <f aca="false">IF($B451="","",IFERROR(INDEX(학생명부!$B$3:$B$83,MATCH($B451,학생명부!$A$3:$A$83,0)),"학번없음"))</f>
        <v/>
      </c>
      <c r="D451" s="12"/>
      <c r="E451" s="18"/>
      <c r="F451" s="18"/>
      <c r="G451" s="19" t="str">
        <f aca="false">IF(OR($E451="",$F451=""),"",ROUND(IF($F451&lt;1,$F451*24,INT($F451/100)+MOD($F451,100)/60)-IF($E451&lt;1,$E451*24,INT($E451/100)+MOD($E451,100)/60),2))</f>
        <v/>
      </c>
      <c r="H451" s="12"/>
      <c r="I451" s="17" t="str">
        <f aca="false">IF($A451="","",YEAR($A451))</f>
        <v/>
      </c>
      <c r="J451" s="17" t="str">
        <f aca="false">IF($A451="","",MONTH($A451))</f>
        <v/>
      </c>
      <c r="K451" s="17" t="str">
        <f aca="false">IF($A451="","",IF(AND($A451&gt;=사용안내!$C$18,$A451&lt;=사용안내!$C$19),"1학기",IF(AND($A451&gt;=사용안내!$C$20,$A451&lt;=사용안내!$C$21),"2학기","기간외")))</f>
        <v/>
      </c>
    </row>
    <row r="452" customFormat="false" ht="15" hidden="false" customHeight="true" outlineLevel="0" collapsed="false">
      <c r="A452" s="16"/>
      <c r="B452" s="12"/>
      <c r="C452" s="17" t="str">
        <f aca="false">IF($B452="","",IFERROR(INDEX(학생명부!$B$3:$B$83,MATCH($B452,학생명부!$A$3:$A$83,0)),"학번없음"))</f>
        <v/>
      </c>
      <c r="D452" s="12"/>
      <c r="E452" s="18"/>
      <c r="F452" s="18"/>
      <c r="G452" s="19" t="str">
        <f aca="false">IF(OR($E452="",$F452=""),"",ROUND(IF($F452&lt;1,$F452*24,INT($F452/100)+MOD($F452,100)/60)-IF($E452&lt;1,$E452*24,INT($E452/100)+MOD($E452,100)/60),2))</f>
        <v/>
      </c>
      <c r="H452" s="12"/>
      <c r="I452" s="17" t="str">
        <f aca="false">IF($A452="","",YEAR($A452))</f>
        <v/>
      </c>
      <c r="J452" s="17" t="str">
        <f aca="false">IF($A452="","",MONTH($A452))</f>
        <v/>
      </c>
      <c r="K452" s="17" t="str">
        <f aca="false">IF($A452="","",IF(AND($A452&gt;=사용안내!$C$18,$A452&lt;=사용안내!$C$19),"1학기",IF(AND($A452&gt;=사용안내!$C$20,$A452&lt;=사용안내!$C$21),"2학기","기간외")))</f>
        <v/>
      </c>
    </row>
    <row r="453" customFormat="false" ht="15" hidden="false" customHeight="true" outlineLevel="0" collapsed="false">
      <c r="A453" s="16"/>
      <c r="B453" s="12"/>
      <c r="C453" s="17" t="str">
        <f aca="false">IF($B453="","",IFERROR(INDEX(학생명부!$B$3:$B$83,MATCH($B453,학생명부!$A$3:$A$83,0)),"학번없음"))</f>
        <v/>
      </c>
      <c r="D453" s="12"/>
      <c r="E453" s="18"/>
      <c r="F453" s="18"/>
      <c r="G453" s="19" t="str">
        <f aca="false">IF(OR($E453="",$F453=""),"",ROUND(IF($F453&lt;1,$F453*24,INT($F453/100)+MOD($F453,100)/60)-IF($E453&lt;1,$E453*24,INT($E453/100)+MOD($E453,100)/60),2))</f>
        <v/>
      </c>
      <c r="H453" s="12"/>
      <c r="I453" s="17" t="str">
        <f aca="false">IF($A453="","",YEAR($A453))</f>
        <v/>
      </c>
      <c r="J453" s="17" t="str">
        <f aca="false">IF($A453="","",MONTH($A453))</f>
        <v/>
      </c>
      <c r="K453" s="17" t="str">
        <f aca="false">IF($A453="","",IF(AND($A453&gt;=사용안내!$C$18,$A453&lt;=사용안내!$C$19),"1학기",IF(AND($A453&gt;=사용안내!$C$20,$A453&lt;=사용안내!$C$21),"2학기","기간외")))</f>
        <v/>
      </c>
    </row>
    <row r="454" customFormat="false" ht="15" hidden="false" customHeight="true" outlineLevel="0" collapsed="false">
      <c r="A454" s="16"/>
      <c r="B454" s="12"/>
      <c r="C454" s="17" t="str">
        <f aca="false">IF($B454="","",IFERROR(INDEX(학생명부!$B$3:$B$83,MATCH($B454,학생명부!$A$3:$A$83,0)),"학번없음"))</f>
        <v/>
      </c>
      <c r="D454" s="12"/>
      <c r="E454" s="18"/>
      <c r="F454" s="18"/>
      <c r="G454" s="19" t="str">
        <f aca="false">IF(OR($E454="",$F454=""),"",ROUND(IF($F454&lt;1,$F454*24,INT($F454/100)+MOD($F454,100)/60)-IF($E454&lt;1,$E454*24,INT($E454/100)+MOD($E454,100)/60),2))</f>
        <v/>
      </c>
      <c r="H454" s="12"/>
      <c r="I454" s="17" t="str">
        <f aca="false">IF($A454="","",YEAR($A454))</f>
        <v/>
      </c>
      <c r="J454" s="17" t="str">
        <f aca="false">IF($A454="","",MONTH($A454))</f>
        <v/>
      </c>
      <c r="K454" s="17" t="str">
        <f aca="false">IF($A454="","",IF(AND($A454&gt;=사용안내!$C$18,$A454&lt;=사용안내!$C$19),"1학기",IF(AND($A454&gt;=사용안내!$C$20,$A454&lt;=사용안내!$C$21),"2학기","기간외")))</f>
        <v/>
      </c>
    </row>
    <row r="455" customFormat="false" ht="15" hidden="false" customHeight="true" outlineLevel="0" collapsed="false">
      <c r="A455" s="16"/>
      <c r="B455" s="12"/>
      <c r="C455" s="17" t="str">
        <f aca="false">IF($B455="","",IFERROR(INDEX(학생명부!$B$3:$B$83,MATCH($B455,학생명부!$A$3:$A$83,0)),"학번없음"))</f>
        <v/>
      </c>
      <c r="D455" s="12"/>
      <c r="E455" s="18"/>
      <c r="F455" s="18"/>
      <c r="G455" s="19" t="str">
        <f aca="false">IF(OR($E455="",$F455=""),"",ROUND(IF($F455&lt;1,$F455*24,INT($F455/100)+MOD($F455,100)/60)-IF($E455&lt;1,$E455*24,INT($E455/100)+MOD($E455,100)/60),2))</f>
        <v/>
      </c>
      <c r="H455" s="12"/>
      <c r="I455" s="17" t="str">
        <f aca="false">IF($A455="","",YEAR($A455))</f>
        <v/>
      </c>
      <c r="J455" s="17" t="str">
        <f aca="false">IF($A455="","",MONTH($A455))</f>
        <v/>
      </c>
      <c r="K455" s="17" t="str">
        <f aca="false">IF($A455="","",IF(AND($A455&gt;=사용안내!$C$18,$A455&lt;=사용안내!$C$19),"1학기",IF(AND($A455&gt;=사용안내!$C$20,$A455&lt;=사용안내!$C$21),"2학기","기간외")))</f>
        <v/>
      </c>
    </row>
    <row r="456" customFormat="false" ht="15" hidden="false" customHeight="true" outlineLevel="0" collapsed="false">
      <c r="A456" s="16"/>
      <c r="B456" s="12"/>
      <c r="C456" s="17" t="str">
        <f aca="false">IF($B456="","",IFERROR(INDEX(학생명부!$B$3:$B$83,MATCH($B456,학생명부!$A$3:$A$83,0)),"학번없음"))</f>
        <v/>
      </c>
      <c r="D456" s="12"/>
      <c r="E456" s="18"/>
      <c r="F456" s="18"/>
      <c r="G456" s="19" t="str">
        <f aca="false">IF(OR($E456="",$F456=""),"",ROUND(IF($F456&lt;1,$F456*24,INT($F456/100)+MOD($F456,100)/60)-IF($E456&lt;1,$E456*24,INT($E456/100)+MOD($E456,100)/60),2))</f>
        <v/>
      </c>
      <c r="H456" s="12"/>
      <c r="I456" s="17" t="str">
        <f aca="false">IF($A456="","",YEAR($A456))</f>
        <v/>
      </c>
      <c r="J456" s="17" t="str">
        <f aca="false">IF($A456="","",MONTH($A456))</f>
        <v/>
      </c>
      <c r="K456" s="17" t="str">
        <f aca="false">IF($A456="","",IF(AND($A456&gt;=사용안내!$C$18,$A456&lt;=사용안내!$C$19),"1학기",IF(AND($A456&gt;=사용안내!$C$20,$A456&lt;=사용안내!$C$21),"2학기","기간외")))</f>
        <v/>
      </c>
    </row>
    <row r="457" customFormat="false" ht="15" hidden="false" customHeight="true" outlineLevel="0" collapsed="false">
      <c r="A457" s="16"/>
      <c r="B457" s="12"/>
      <c r="C457" s="17" t="str">
        <f aca="false">IF($B457="","",IFERROR(INDEX(학생명부!$B$3:$B$83,MATCH($B457,학생명부!$A$3:$A$83,0)),"학번없음"))</f>
        <v/>
      </c>
      <c r="D457" s="12"/>
      <c r="E457" s="18"/>
      <c r="F457" s="18"/>
      <c r="G457" s="19" t="str">
        <f aca="false">IF(OR($E457="",$F457=""),"",ROUND(IF($F457&lt;1,$F457*24,INT($F457/100)+MOD($F457,100)/60)-IF($E457&lt;1,$E457*24,INT($E457/100)+MOD($E457,100)/60),2))</f>
        <v/>
      </c>
      <c r="H457" s="12"/>
      <c r="I457" s="17" t="str">
        <f aca="false">IF($A457="","",YEAR($A457))</f>
        <v/>
      </c>
      <c r="J457" s="17" t="str">
        <f aca="false">IF($A457="","",MONTH($A457))</f>
        <v/>
      </c>
      <c r="K457" s="17" t="str">
        <f aca="false">IF($A457="","",IF(AND($A457&gt;=사용안내!$C$18,$A457&lt;=사용안내!$C$19),"1학기",IF(AND($A457&gt;=사용안내!$C$20,$A457&lt;=사용안내!$C$21),"2학기","기간외")))</f>
        <v/>
      </c>
    </row>
    <row r="458" customFormat="false" ht="15" hidden="false" customHeight="true" outlineLevel="0" collapsed="false">
      <c r="A458" s="16"/>
      <c r="B458" s="12"/>
      <c r="C458" s="17" t="str">
        <f aca="false">IF($B458="","",IFERROR(INDEX(학생명부!$B$3:$B$83,MATCH($B458,학생명부!$A$3:$A$83,0)),"학번없음"))</f>
        <v/>
      </c>
      <c r="D458" s="12"/>
      <c r="E458" s="18"/>
      <c r="F458" s="18"/>
      <c r="G458" s="19" t="str">
        <f aca="false">IF(OR($E458="",$F458=""),"",ROUND(IF($F458&lt;1,$F458*24,INT($F458/100)+MOD($F458,100)/60)-IF($E458&lt;1,$E458*24,INT($E458/100)+MOD($E458,100)/60),2))</f>
        <v/>
      </c>
      <c r="H458" s="12"/>
      <c r="I458" s="17" t="str">
        <f aca="false">IF($A458="","",YEAR($A458))</f>
        <v/>
      </c>
      <c r="J458" s="17" t="str">
        <f aca="false">IF($A458="","",MONTH($A458))</f>
        <v/>
      </c>
      <c r="K458" s="17" t="str">
        <f aca="false">IF($A458="","",IF(AND($A458&gt;=사용안내!$C$18,$A458&lt;=사용안내!$C$19),"1학기",IF(AND($A458&gt;=사용안내!$C$20,$A458&lt;=사용안내!$C$21),"2학기","기간외")))</f>
        <v/>
      </c>
    </row>
    <row r="459" customFormat="false" ht="15" hidden="false" customHeight="true" outlineLevel="0" collapsed="false">
      <c r="A459" s="16"/>
      <c r="B459" s="12"/>
      <c r="C459" s="17" t="str">
        <f aca="false">IF($B459="","",IFERROR(INDEX(학생명부!$B$3:$B$83,MATCH($B459,학생명부!$A$3:$A$83,0)),"학번없음"))</f>
        <v/>
      </c>
      <c r="D459" s="12"/>
      <c r="E459" s="18"/>
      <c r="F459" s="18"/>
      <c r="G459" s="19" t="str">
        <f aca="false">IF(OR($E459="",$F459=""),"",ROUND(IF($F459&lt;1,$F459*24,INT($F459/100)+MOD($F459,100)/60)-IF($E459&lt;1,$E459*24,INT($E459/100)+MOD($E459,100)/60),2))</f>
        <v/>
      </c>
      <c r="H459" s="12"/>
      <c r="I459" s="17" t="str">
        <f aca="false">IF($A459="","",YEAR($A459))</f>
        <v/>
      </c>
      <c r="J459" s="17" t="str">
        <f aca="false">IF($A459="","",MONTH($A459))</f>
        <v/>
      </c>
      <c r="K459" s="17" t="str">
        <f aca="false">IF($A459="","",IF(AND($A459&gt;=사용안내!$C$18,$A459&lt;=사용안내!$C$19),"1학기",IF(AND($A459&gt;=사용안내!$C$20,$A459&lt;=사용안내!$C$21),"2학기","기간외")))</f>
        <v/>
      </c>
    </row>
    <row r="460" customFormat="false" ht="15" hidden="false" customHeight="true" outlineLevel="0" collapsed="false">
      <c r="A460" s="16"/>
      <c r="B460" s="12"/>
      <c r="C460" s="17" t="str">
        <f aca="false">IF($B460="","",IFERROR(INDEX(학생명부!$B$3:$B$83,MATCH($B460,학생명부!$A$3:$A$83,0)),"학번없음"))</f>
        <v/>
      </c>
      <c r="D460" s="12"/>
      <c r="E460" s="18"/>
      <c r="F460" s="18"/>
      <c r="G460" s="19" t="str">
        <f aca="false">IF(OR($E460="",$F460=""),"",ROUND(IF($F460&lt;1,$F460*24,INT($F460/100)+MOD($F460,100)/60)-IF($E460&lt;1,$E460*24,INT($E460/100)+MOD($E460,100)/60),2))</f>
        <v/>
      </c>
      <c r="H460" s="12"/>
      <c r="I460" s="17" t="str">
        <f aca="false">IF($A460="","",YEAR($A460))</f>
        <v/>
      </c>
      <c r="J460" s="17" t="str">
        <f aca="false">IF($A460="","",MONTH($A460))</f>
        <v/>
      </c>
      <c r="K460" s="17" t="str">
        <f aca="false">IF($A460="","",IF(AND($A460&gt;=사용안내!$C$18,$A460&lt;=사용안내!$C$19),"1학기",IF(AND($A460&gt;=사용안내!$C$20,$A460&lt;=사용안내!$C$21),"2학기","기간외")))</f>
        <v/>
      </c>
    </row>
    <row r="461" customFormat="false" ht="15" hidden="false" customHeight="true" outlineLevel="0" collapsed="false">
      <c r="A461" s="16"/>
      <c r="B461" s="12"/>
      <c r="C461" s="17" t="str">
        <f aca="false">IF($B461="","",IFERROR(INDEX(학생명부!$B$3:$B$83,MATCH($B461,학생명부!$A$3:$A$83,0)),"학번없음"))</f>
        <v/>
      </c>
      <c r="D461" s="12"/>
      <c r="E461" s="18"/>
      <c r="F461" s="18"/>
      <c r="G461" s="19" t="str">
        <f aca="false">IF(OR($E461="",$F461=""),"",ROUND(IF($F461&lt;1,$F461*24,INT($F461/100)+MOD($F461,100)/60)-IF($E461&lt;1,$E461*24,INT($E461/100)+MOD($E461,100)/60),2))</f>
        <v/>
      </c>
      <c r="H461" s="12"/>
      <c r="I461" s="17" t="str">
        <f aca="false">IF($A461="","",YEAR($A461))</f>
        <v/>
      </c>
      <c r="J461" s="17" t="str">
        <f aca="false">IF($A461="","",MONTH($A461))</f>
        <v/>
      </c>
      <c r="K461" s="17" t="str">
        <f aca="false">IF($A461="","",IF(AND($A461&gt;=사용안내!$C$18,$A461&lt;=사용안내!$C$19),"1학기",IF(AND($A461&gt;=사용안내!$C$20,$A461&lt;=사용안내!$C$21),"2학기","기간외")))</f>
        <v/>
      </c>
    </row>
    <row r="462" customFormat="false" ht="15" hidden="false" customHeight="true" outlineLevel="0" collapsed="false">
      <c r="A462" s="16"/>
      <c r="B462" s="12"/>
      <c r="C462" s="17" t="str">
        <f aca="false">IF($B462="","",IFERROR(INDEX(학생명부!$B$3:$B$83,MATCH($B462,학생명부!$A$3:$A$83,0)),"학번없음"))</f>
        <v/>
      </c>
      <c r="D462" s="12"/>
      <c r="E462" s="18"/>
      <c r="F462" s="18"/>
      <c r="G462" s="19" t="str">
        <f aca="false">IF(OR($E462="",$F462=""),"",ROUND(IF($F462&lt;1,$F462*24,INT($F462/100)+MOD($F462,100)/60)-IF($E462&lt;1,$E462*24,INT($E462/100)+MOD($E462,100)/60),2))</f>
        <v/>
      </c>
      <c r="H462" s="12"/>
      <c r="I462" s="17" t="str">
        <f aca="false">IF($A462="","",YEAR($A462))</f>
        <v/>
      </c>
      <c r="J462" s="17" t="str">
        <f aca="false">IF($A462="","",MONTH($A462))</f>
        <v/>
      </c>
      <c r="K462" s="17" t="str">
        <f aca="false">IF($A462="","",IF(AND($A462&gt;=사용안내!$C$18,$A462&lt;=사용안내!$C$19),"1학기",IF(AND($A462&gt;=사용안내!$C$20,$A462&lt;=사용안내!$C$21),"2학기","기간외")))</f>
        <v/>
      </c>
    </row>
    <row r="463" customFormat="false" ht="15" hidden="false" customHeight="true" outlineLevel="0" collapsed="false">
      <c r="A463" s="16"/>
      <c r="B463" s="12"/>
      <c r="C463" s="17" t="str">
        <f aca="false">IF($B463="","",IFERROR(INDEX(학생명부!$B$3:$B$83,MATCH($B463,학생명부!$A$3:$A$83,0)),"학번없음"))</f>
        <v/>
      </c>
      <c r="D463" s="12"/>
      <c r="E463" s="18"/>
      <c r="F463" s="18"/>
      <c r="G463" s="19" t="str">
        <f aca="false">IF(OR($E463="",$F463=""),"",ROUND(IF($F463&lt;1,$F463*24,INT($F463/100)+MOD($F463,100)/60)-IF($E463&lt;1,$E463*24,INT($E463/100)+MOD($E463,100)/60),2))</f>
        <v/>
      </c>
      <c r="H463" s="12"/>
      <c r="I463" s="17" t="str">
        <f aca="false">IF($A463="","",YEAR($A463))</f>
        <v/>
      </c>
      <c r="J463" s="17" t="str">
        <f aca="false">IF($A463="","",MONTH($A463))</f>
        <v/>
      </c>
      <c r="K463" s="17" t="str">
        <f aca="false">IF($A463="","",IF(AND($A463&gt;=사용안내!$C$18,$A463&lt;=사용안내!$C$19),"1학기",IF(AND($A463&gt;=사용안내!$C$20,$A463&lt;=사용안내!$C$21),"2학기","기간외")))</f>
        <v/>
      </c>
    </row>
    <row r="464" customFormat="false" ht="15" hidden="false" customHeight="true" outlineLevel="0" collapsed="false">
      <c r="A464" s="16"/>
      <c r="B464" s="12"/>
      <c r="C464" s="17" t="str">
        <f aca="false">IF($B464="","",IFERROR(INDEX(학생명부!$B$3:$B$83,MATCH($B464,학생명부!$A$3:$A$83,0)),"학번없음"))</f>
        <v/>
      </c>
      <c r="D464" s="12"/>
      <c r="E464" s="18"/>
      <c r="F464" s="18"/>
      <c r="G464" s="19" t="str">
        <f aca="false">IF(OR($E464="",$F464=""),"",ROUND(IF($F464&lt;1,$F464*24,INT($F464/100)+MOD($F464,100)/60)-IF($E464&lt;1,$E464*24,INT($E464/100)+MOD($E464,100)/60),2))</f>
        <v/>
      </c>
      <c r="H464" s="12"/>
      <c r="I464" s="17" t="str">
        <f aca="false">IF($A464="","",YEAR($A464))</f>
        <v/>
      </c>
      <c r="J464" s="17" t="str">
        <f aca="false">IF($A464="","",MONTH($A464))</f>
        <v/>
      </c>
      <c r="K464" s="17" t="str">
        <f aca="false">IF($A464="","",IF(AND($A464&gt;=사용안내!$C$18,$A464&lt;=사용안내!$C$19),"1학기",IF(AND($A464&gt;=사용안내!$C$20,$A464&lt;=사용안내!$C$21),"2학기","기간외")))</f>
        <v/>
      </c>
    </row>
    <row r="465" customFormat="false" ht="15" hidden="false" customHeight="true" outlineLevel="0" collapsed="false">
      <c r="A465" s="16"/>
      <c r="B465" s="12"/>
      <c r="C465" s="17" t="str">
        <f aca="false">IF($B465="","",IFERROR(INDEX(학생명부!$B$3:$B$83,MATCH($B465,학생명부!$A$3:$A$83,0)),"학번없음"))</f>
        <v/>
      </c>
      <c r="D465" s="12"/>
      <c r="E465" s="18"/>
      <c r="F465" s="18"/>
      <c r="G465" s="19" t="str">
        <f aca="false">IF(OR($E465="",$F465=""),"",ROUND(IF($F465&lt;1,$F465*24,INT($F465/100)+MOD($F465,100)/60)-IF($E465&lt;1,$E465*24,INT($E465/100)+MOD($E465,100)/60),2))</f>
        <v/>
      </c>
      <c r="H465" s="12"/>
      <c r="I465" s="17" t="str">
        <f aca="false">IF($A465="","",YEAR($A465))</f>
        <v/>
      </c>
      <c r="J465" s="17" t="str">
        <f aca="false">IF($A465="","",MONTH($A465))</f>
        <v/>
      </c>
      <c r="K465" s="17" t="str">
        <f aca="false">IF($A465="","",IF(AND($A465&gt;=사용안내!$C$18,$A465&lt;=사용안내!$C$19),"1학기",IF(AND($A465&gt;=사용안내!$C$20,$A465&lt;=사용안내!$C$21),"2학기","기간외")))</f>
        <v/>
      </c>
    </row>
    <row r="466" customFormat="false" ht="15" hidden="false" customHeight="true" outlineLevel="0" collapsed="false">
      <c r="A466" s="16"/>
      <c r="B466" s="12"/>
      <c r="C466" s="17" t="str">
        <f aca="false">IF($B466="","",IFERROR(INDEX(학생명부!$B$3:$B$83,MATCH($B466,학생명부!$A$3:$A$83,0)),"학번없음"))</f>
        <v/>
      </c>
      <c r="D466" s="12"/>
      <c r="E466" s="18"/>
      <c r="F466" s="18"/>
      <c r="G466" s="19" t="str">
        <f aca="false">IF(OR($E466="",$F466=""),"",ROUND(IF($F466&lt;1,$F466*24,INT($F466/100)+MOD($F466,100)/60)-IF($E466&lt;1,$E466*24,INT($E466/100)+MOD($E466,100)/60),2))</f>
        <v/>
      </c>
      <c r="H466" s="12"/>
      <c r="I466" s="17" t="str">
        <f aca="false">IF($A466="","",YEAR($A466))</f>
        <v/>
      </c>
      <c r="J466" s="17" t="str">
        <f aca="false">IF($A466="","",MONTH($A466))</f>
        <v/>
      </c>
      <c r="K466" s="17" t="str">
        <f aca="false">IF($A466="","",IF(AND($A466&gt;=사용안내!$C$18,$A466&lt;=사용안내!$C$19),"1학기",IF(AND($A466&gt;=사용안내!$C$20,$A466&lt;=사용안내!$C$21),"2학기","기간외")))</f>
        <v/>
      </c>
    </row>
    <row r="467" customFormat="false" ht="15" hidden="false" customHeight="true" outlineLevel="0" collapsed="false">
      <c r="A467" s="16"/>
      <c r="B467" s="12"/>
      <c r="C467" s="17" t="str">
        <f aca="false">IF($B467="","",IFERROR(INDEX(학생명부!$B$3:$B$83,MATCH($B467,학생명부!$A$3:$A$83,0)),"학번없음"))</f>
        <v/>
      </c>
      <c r="D467" s="12"/>
      <c r="E467" s="18"/>
      <c r="F467" s="18"/>
      <c r="G467" s="19" t="str">
        <f aca="false">IF(OR($E467="",$F467=""),"",ROUND(IF($F467&lt;1,$F467*24,INT($F467/100)+MOD($F467,100)/60)-IF($E467&lt;1,$E467*24,INT($E467/100)+MOD($E467,100)/60),2))</f>
        <v/>
      </c>
      <c r="H467" s="12"/>
      <c r="I467" s="17" t="str">
        <f aca="false">IF($A467="","",YEAR($A467))</f>
        <v/>
      </c>
      <c r="J467" s="17" t="str">
        <f aca="false">IF($A467="","",MONTH($A467))</f>
        <v/>
      </c>
      <c r="K467" s="17" t="str">
        <f aca="false">IF($A467="","",IF(AND($A467&gt;=사용안내!$C$18,$A467&lt;=사용안내!$C$19),"1학기",IF(AND($A467&gt;=사용안내!$C$20,$A467&lt;=사용안내!$C$21),"2학기","기간외")))</f>
        <v/>
      </c>
    </row>
    <row r="468" customFormat="false" ht="15" hidden="false" customHeight="true" outlineLevel="0" collapsed="false">
      <c r="A468" s="16"/>
      <c r="B468" s="12"/>
      <c r="C468" s="17" t="str">
        <f aca="false">IF($B468="","",IFERROR(INDEX(학생명부!$B$3:$B$83,MATCH($B468,학생명부!$A$3:$A$83,0)),"학번없음"))</f>
        <v/>
      </c>
      <c r="D468" s="12"/>
      <c r="E468" s="18"/>
      <c r="F468" s="18"/>
      <c r="G468" s="19" t="str">
        <f aca="false">IF(OR($E468="",$F468=""),"",ROUND(IF($F468&lt;1,$F468*24,INT($F468/100)+MOD($F468,100)/60)-IF($E468&lt;1,$E468*24,INT($E468/100)+MOD($E468,100)/60),2))</f>
        <v/>
      </c>
      <c r="H468" s="12"/>
      <c r="I468" s="17" t="str">
        <f aca="false">IF($A468="","",YEAR($A468))</f>
        <v/>
      </c>
      <c r="J468" s="17" t="str">
        <f aca="false">IF($A468="","",MONTH($A468))</f>
        <v/>
      </c>
      <c r="K468" s="17" t="str">
        <f aca="false">IF($A468="","",IF(AND($A468&gt;=사용안내!$C$18,$A468&lt;=사용안내!$C$19),"1학기",IF(AND($A468&gt;=사용안내!$C$20,$A468&lt;=사용안내!$C$21),"2학기","기간외")))</f>
        <v/>
      </c>
    </row>
    <row r="469" customFormat="false" ht="15" hidden="false" customHeight="true" outlineLevel="0" collapsed="false">
      <c r="A469" s="16"/>
      <c r="B469" s="12"/>
      <c r="C469" s="17" t="str">
        <f aca="false">IF($B469="","",IFERROR(INDEX(학생명부!$B$3:$B$83,MATCH($B469,학생명부!$A$3:$A$83,0)),"학번없음"))</f>
        <v/>
      </c>
      <c r="D469" s="12"/>
      <c r="E469" s="18"/>
      <c r="F469" s="18"/>
      <c r="G469" s="19" t="str">
        <f aca="false">IF(OR($E469="",$F469=""),"",ROUND(IF($F469&lt;1,$F469*24,INT($F469/100)+MOD($F469,100)/60)-IF($E469&lt;1,$E469*24,INT($E469/100)+MOD($E469,100)/60),2))</f>
        <v/>
      </c>
      <c r="H469" s="12"/>
      <c r="I469" s="17" t="str">
        <f aca="false">IF($A469="","",YEAR($A469))</f>
        <v/>
      </c>
      <c r="J469" s="17" t="str">
        <f aca="false">IF($A469="","",MONTH($A469))</f>
        <v/>
      </c>
      <c r="K469" s="17" t="str">
        <f aca="false">IF($A469="","",IF(AND($A469&gt;=사용안내!$C$18,$A469&lt;=사용안내!$C$19),"1학기",IF(AND($A469&gt;=사용안내!$C$20,$A469&lt;=사용안내!$C$21),"2학기","기간외")))</f>
        <v/>
      </c>
    </row>
    <row r="470" customFormat="false" ht="15" hidden="false" customHeight="true" outlineLevel="0" collapsed="false">
      <c r="A470" s="16"/>
      <c r="B470" s="12"/>
      <c r="C470" s="17" t="str">
        <f aca="false">IF($B470="","",IFERROR(INDEX(학생명부!$B$3:$B$83,MATCH($B470,학생명부!$A$3:$A$83,0)),"학번없음"))</f>
        <v/>
      </c>
      <c r="D470" s="12"/>
      <c r="E470" s="18"/>
      <c r="F470" s="18"/>
      <c r="G470" s="19" t="str">
        <f aca="false">IF(OR($E470="",$F470=""),"",ROUND(IF($F470&lt;1,$F470*24,INT($F470/100)+MOD($F470,100)/60)-IF($E470&lt;1,$E470*24,INT($E470/100)+MOD($E470,100)/60),2))</f>
        <v/>
      </c>
      <c r="H470" s="12"/>
      <c r="I470" s="17" t="str">
        <f aca="false">IF($A470="","",YEAR($A470))</f>
        <v/>
      </c>
      <c r="J470" s="17" t="str">
        <f aca="false">IF($A470="","",MONTH($A470))</f>
        <v/>
      </c>
      <c r="K470" s="17" t="str">
        <f aca="false">IF($A470="","",IF(AND($A470&gt;=사용안내!$C$18,$A470&lt;=사용안내!$C$19),"1학기",IF(AND($A470&gt;=사용안내!$C$20,$A470&lt;=사용안내!$C$21),"2학기","기간외")))</f>
        <v/>
      </c>
    </row>
    <row r="471" customFormat="false" ht="15" hidden="false" customHeight="true" outlineLevel="0" collapsed="false">
      <c r="A471" s="16"/>
      <c r="B471" s="12"/>
      <c r="C471" s="17" t="str">
        <f aca="false">IF($B471="","",IFERROR(INDEX(학생명부!$B$3:$B$83,MATCH($B471,학생명부!$A$3:$A$83,0)),"학번없음"))</f>
        <v/>
      </c>
      <c r="D471" s="12"/>
      <c r="E471" s="18"/>
      <c r="F471" s="18"/>
      <c r="G471" s="19" t="str">
        <f aca="false">IF(OR($E471="",$F471=""),"",ROUND(IF($F471&lt;1,$F471*24,INT($F471/100)+MOD($F471,100)/60)-IF($E471&lt;1,$E471*24,INT($E471/100)+MOD($E471,100)/60),2))</f>
        <v/>
      </c>
      <c r="H471" s="12"/>
      <c r="I471" s="17" t="str">
        <f aca="false">IF($A471="","",YEAR($A471))</f>
        <v/>
      </c>
      <c r="J471" s="17" t="str">
        <f aca="false">IF($A471="","",MONTH($A471))</f>
        <v/>
      </c>
      <c r="K471" s="17" t="str">
        <f aca="false">IF($A471="","",IF(AND($A471&gt;=사용안내!$C$18,$A471&lt;=사용안내!$C$19),"1학기",IF(AND($A471&gt;=사용안내!$C$20,$A471&lt;=사용안내!$C$21),"2학기","기간외")))</f>
        <v/>
      </c>
    </row>
    <row r="472" customFormat="false" ht="15" hidden="false" customHeight="true" outlineLevel="0" collapsed="false">
      <c r="A472" s="16"/>
      <c r="B472" s="12"/>
      <c r="C472" s="17" t="str">
        <f aca="false">IF($B472="","",IFERROR(INDEX(학생명부!$B$3:$B$83,MATCH($B472,학생명부!$A$3:$A$83,0)),"학번없음"))</f>
        <v/>
      </c>
      <c r="D472" s="12"/>
      <c r="E472" s="18"/>
      <c r="F472" s="18"/>
      <c r="G472" s="19" t="str">
        <f aca="false">IF(OR($E472="",$F472=""),"",ROUND(IF($F472&lt;1,$F472*24,INT($F472/100)+MOD($F472,100)/60)-IF($E472&lt;1,$E472*24,INT($E472/100)+MOD($E472,100)/60),2))</f>
        <v/>
      </c>
      <c r="H472" s="12"/>
      <c r="I472" s="17" t="str">
        <f aca="false">IF($A472="","",YEAR($A472))</f>
        <v/>
      </c>
      <c r="J472" s="17" t="str">
        <f aca="false">IF($A472="","",MONTH($A472))</f>
        <v/>
      </c>
      <c r="K472" s="17" t="str">
        <f aca="false">IF($A472="","",IF(AND($A472&gt;=사용안내!$C$18,$A472&lt;=사용안내!$C$19),"1학기",IF(AND($A472&gt;=사용안내!$C$20,$A472&lt;=사용안내!$C$21),"2학기","기간외")))</f>
        <v/>
      </c>
    </row>
    <row r="473" customFormat="false" ht="15" hidden="false" customHeight="true" outlineLevel="0" collapsed="false">
      <c r="A473" s="16"/>
      <c r="B473" s="12"/>
      <c r="C473" s="17" t="str">
        <f aca="false">IF($B473="","",IFERROR(INDEX(학생명부!$B$3:$B$83,MATCH($B473,학생명부!$A$3:$A$83,0)),"학번없음"))</f>
        <v/>
      </c>
      <c r="D473" s="12"/>
      <c r="E473" s="18"/>
      <c r="F473" s="18"/>
      <c r="G473" s="19" t="str">
        <f aca="false">IF(OR($E473="",$F473=""),"",ROUND(IF($F473&lt;1,$F473*24,INT($F473/100)+MOD($F473,100)/60)-IF($E473&lt;1,$E473*24,INT($E473/100)+MOD($E473,100)/60),2))</f>
        <v/>
      </c>
      <c r="H473" s="12"/>
      <c r="I473" s="17" t="str">
        <f aca="false">IF($A473="","",YEAR($A473))</f>
        <v/>
      </c>
      <c r="J473" s="17" t="str">
        <f aca="false">IF($A473="","",MONTH($A473))</f>
        <v/>
      </c>
      <c r="K473" s="17" t="str">
        <f aca="false">IF($A473="","",IF(AND($A473&gt;=사용안내!$C$18,$A473&lt;=사용안내!$C$19),"1학기",IF(AND($A473&gt;=사용안내!$C$20,$A473&lt;=사용안내!$C$21),"2학기","기간외")))</f>
        <v/>
      </c>
    </row>
    <row r="474" customFormat="false" ht="15" hidden="false" customHeight="true" outlineLevel="0" collapsed="false">
      <c r="A474" s="16"/>
      <c r="B474" s="12"/>
      <c r="C474" s="17" t="str">
        <f aca="false">IF($B474="","",IFERROR(INDEX(학생명부!$B$3:$B$83,MATCH($B474,학생명부!$A$3:$A$83,0)),"학번없음"))</f>
        <v/>
      </c>
      <c r="D474" s="12"/>
      <c r="E474" s="18"/>
      <c r="F474" s="18"/>
      <c r="G474" s="19" t="str">
        <f aca="false">IF(OR($E474="",$F474=""),"",ROUND(IF($F474&lt;1,$F474*24,INT($F474/100)+MOD($F474,100)/60)-IF($E474&lt;1,$E474*24,INT($E474/100)+MOD($E474,100)/60),2))</f>
        <v/>
      </c>
      <c r="H474" s="12"/>
      <c r="I474" s="17" t="str">
        <f aca="false">IF($A474="","",YEAR($A474))</f>
        <v/>
      </c>
      <c r="J474" s="17" t="str">
        <f aca="false">IF($A474="","",MONTH($A474))</f>
        <v/>
      </c>
      <c r="K474" s="17" t="str">
        <f aca="false">IF($A474="","",IF(AND($A474&gt;=사용안내!$C$18,$A474&lt;=사용안내!$C$19),"1학기",IF(AND($A474&gt;=사용안내!$C$20,$A474&lt;=사용안내!$C$21),"2학기","기간외")))</f>
        <v/>
      </c>
    </row>
    <row r="475" customFormat="false" ht="15" hidden="false" customHeight="true" outlineLevel="0" collapsed="false">
      <c r="A475" s="16"/>
      <c r="B475" s="12"/>
      <c r="C475" s="17" t="str">
        <f aca="false">IF($B475="","",IFERROR(INDEX(학생명부!$B$3:$B$83,MATCH($B475,학생명부!$A$3:$A$83,0)),"학번없음"))</f>
        <v/>
      </c>
      <c r="D475" s="12"/>
      <c r="E475" s="18"/>
      <c r="F475" s="18"/>
      <c r="G475" s="19" t="str">
        <f aca="false">IF(OR($E475="",$F475=""),"",ROUND(IF($F475&lt;1,$F475*24,INT($F475/100)+MOD($F475,100)/60)-IF($E475&lt;1,$E475*24,INT($E475/100)+MOD($E475,100)/60),2))</f>
        <v/>
      </c>
      <c r="H475" s="12"/>
      <c r="I475" s="17" t="str">
        <f aca="false">IF($A475="","",YEAR($A475))</f>
        <v/>
      </c>
      <c r="J475" s="17" t="str">
        <f aca="false">IF($A475="","",MONTH($A475))</f>
        <v/>
      </c>
      <c r="K475" s="17" t="str">
        <f aca="false">IF($A475="","",IF(AND($A475&gt;=사용안내!$C$18,$A475&lt;=사용안내!$C$19),"1학기",IF(AND($A475&gt;=사용안내!$C$20,$A475&lt;=사용안내!$C$21),"2학기","기간외")))</f>
        <v/>
      </c>
    </row>
    <row r="476" customFormat="false" ht="15" hidden="false" customHeight="true" outlineLevel="0" collapsed="false">
      <c r="A476" s="16"/>
      <c r="B476" s="12"/>
      <c r="C476" s="17" t="str">
        <f aca="false">IF($B476="","",IFERROR(INDEX(학생명부!$B$3:$B$83,MATCH($B476,학생명부!$A$3:$A$83,0)),"학번없음"))</f>
        <v/>
      </c>
      <c r="D476" s="12"/>
      <c r="E476" s="18"/>
      <c r="F476" s="18"/>
      <c r="G476" s="19" t="str">
        <f aca="false">IF(OR($E476="",$F476=""),"",ROUND(IF($F476&lt;1,$F476*24,INT($F476/100)+MOD($F476,100)/60)-IF($E476&lt;1,$E476*24,INT($E476/100)+MOD($E476,100)/60),2))</f>
        <v/>
      </c>
      <c r="H476" s="12"/>
      <c r="I476" s="17" t="str">
        <f aca="false">IF($A476="","",YEAR($A476))</f>
        <v/>
      </c>
      <c r="J476" s="17" t="str">
        <f aca="false">IF($A476="","",MONTH($A476))</f>
        <v/>
      </c>
      <c r="K476" s="17" t="str">
        <f aca="false">IF($A476="","",IF(AND($A476&gt;=사용안내!$C$18,$A476&lt;=사용안내!$C$19),"1학기",IF(AND($A476&gt;=사용안내!$C$20,$A476&lt;=사용안내!$C$21),"2학기","기간외")))</f>
        <v/>
      </c>
    </row>
    <row r="477" customFormat="false" ht="15" hidden="false" customHeight="true" outlineLevel="0" collapsed="false">
      <c r="A477" s="16"/>
      <c r="B477" s="12"/>
      <c r="C477" s="17" t="str">
        <f aca="false">IF($B477="","",IFERROR(INDEX(학생명부!$B$3:$B$83,MATCH($B477,학생명부!$A$3:$A$83,0)),"학번없음"))</f>
        <v/>
      </c>
      <c r="D477" s="12"/>
      <c r="E477" s="18"/>
      <c r="F477" s="18"/>
      <c r="G477" s="19" t="str">
        <f aca="false">IF(OR($E477="",$F477=""),"",ROUND(IF($F477&lt;1,$F477*24,INT($F477/100)+MOD($F477,100)/60)-IF($E477&lt;1,$E477*24,INT($E477/100)+MOD($E477,100)/60),2))</f>
        <v/>
      </c>
      <c r="H477" s="12"/>
      <c r="I477" s="17" t="str">
        <f aca="false">IF($A477="","",YEAR($A477))</f>
        <v/>
      </c>
      <c r="J477" s="17" t="str">
        <f aca="false">IF($A477="","",MONTH($A477))</f>
        <v/>
      </c>
      <c r="K477" s="17" t="str">
        <f aca="false">IF($A477="","",IF(AND($A477&gt;=사용안내!$C$18,$A477&lt;=사용안내!$C$19),"1학기",IF(AND($A477&gt;=사용안내!$C$20,$A477&lt;=사용안내!$C$21),"2학기","기간외")))</f>
        <v/>
      </c>
    </row>
    <row r="478" customFormat="false" ht="15" hidden="false" customHeight="true" outlineLevel="0" collapsed="false">
      <c r="A478" s="16"/>
      <c r="B478" s="12"/>
      <c r="C478" s="17" t="str">
        <f aca="false">IF($B478="","",IFERROR(INDEX(학생명부!$B$3:$B$83,MATCH($B478,학생명부!$A$3:$A$83,0)),"학번없음"))</f>
        <v/>
      </c>
      <c r="D478" s="12"/>
      <c r="E478" s="18"/>
      <c r="F478" s="18"/>
      <c r="G478" s="19" t="str">
        <f aca="false">IF(OR($E478="",$F478=""),"",ROUND(IF($F478&lt;1,$F478*24,INT($F478/100)+MOD($F478,100)/60)-IF($E478&lt;1,$E478*24,INT($E478/100)+MOD($E478,100)/60),2))</f>
        <v/>
      </c>
      <c r="H478" s="12"/>
      <c r="I478" s="17" t="str">
        <f aca="false">IF($A478="","",YEAR($A478))</f>
        <v/>
      </c>
      <c r="J478" s="17" t="str">
        <f aca="false">IF($A478="","",MONTH($A478))</f>
        <v/>
      </c>
      <c r="K478" s="17" t="str">
        <f aca="false">IF($A478="","",IF(AND($A478&gt;=사용안내!$C$18,$A478&lt;=사용안내!$C$19),"1학기",IF(AND($A478&gt;=사용안내!$C$20,$A478&lt;=사용안내!$C$21),"2학기","기간외")))</f>
        <v/>
      </c>
    </row>
    <row r="479" customFormat="false" ht="15" hidden="false" customHeight="true" outlineLevel="0" collapsed="false">
      <c r="A479" s="16"/>
      <c r="B479" s="12"/>
      <c r="C479" s="17" t="str">
        <f aca="false">IF($B479="","",IFERROR(INDEX(학생명부!$B$3:$B$83,MATCH($B479,학생명부!$A$3:$A$83,0)),"학번없음"))</f>
        <v/>
      </c>
      <c r="D479" s="12"/>
      <c r="E479" s="18"/>
      <c r="F479" s="18"/>
      <c r="G479" s="19" t="str">
        <f aca="false">IF(OR($E479="",$F479=""),"",ROUND(IF($F479&lt;1,$F479*24,INT($F479/100)+MOD($F479,100)/60)-IF($E479&lt;1,$E479*24,INT($E479/100)+MOD($E479,100)/60),2))</f>
        <v/>
      </c>
      <c r="H479" s="12"/>
      <c r="I479" s="17" t="str">
        <f aca="false">IF($A479="","",YEAR($A479))</f>
        <v/>
      </c>
      <c r="J479" s="17" t="str">
        <f aca="false">IF($A479="","",MONTH($A479))</f>
        <v/>
      </c>
      <c r="K479" s="17" t="str">
        <f aca="false">IF($A479="","",IF(AND($A479&gt;=사용안내!$C$18,$A479&lt;=사용안내!$C$19),"1학기",IF(AND($A479&gt;=사용안내!$C$20,$A479&lt;=사용안내!$C$21),"2학기","기간외")))</f>
        <v/>
      </c>
    </row>
    <row r="480" customFormat="false" ht="15" hidden="false" customHeight="true" outlineLevel="0" collapsed="false">
      <c r="A480" s="16"/>
      <c r="B480" s="12"/>
      <c r="C480" s="17" t="str">
        <f aca="false">IF($B480="","",IFERROR(INDEX(학생명부!$B$3:$B$83,MATCH($B480,학생명부!$A$3:$A$83,0)),"학번없음"))</f>
        <v/>
      </c>
      <c r="D480" s="12"/>
      <c r="E480" s="18"/>
      <c r="F480" s="18"/>
      <c r="G480" s="19" t="str">
        <f aca="false">IF(OR($E480="",$F480=""),"",ROUND(IF($F480&lt;1,$F480*24,INT($F480/100)+MOD($F480,100)/60)-IF($E480&lt;1,$E480*24,INT($E480/100)+MOD($E480,100)/60),2))</f>
        <v/>
      </c>
      <c r="H480" s="12"/>
      <c r="I480" s="17" t="str">
        <f aca="false">IF($A480="","",YEAR($A480))</f>
        <v/>
      </c>
      <c r="J480" s="17" t="str">
        <f aca="false">IF($A480="","",MONTH($A480))</f>
        <v/>
      </c>
      <c r="K480" s="17" t="str">
        <f aca="false">IF($A480="","",IF(AND($A480&gt;=사용안내!$C$18,$A480&lt;=사용안내!$C$19),"1학기",IF(AND($A480&gt;=사용안내!$C$20,$A480&lt;=사용안내!$C$21),"2학기","기간외")))</f>
        <v/>
      </c>
    </row>
    <row r="481" customFormat="false" ht="15" hidden="false" customHeight="true" outlineLevel="0" collapsed="false">
      <c r="A481" s="16"/>
      <c r="B481" s="12"/>
      <c r="C481" s="17" t="str">
        <f aca="false">IF($B481="","",IFERROR(INDEX(학생명부!$B$3:$B$83,MATCH($B481,학생명부!$A$3:$A$83,0)),"학번없음"))</f>
        <v/>
      </c>
      <c r="D481" s="12"/>
      <c r="E481" s="18"/>
      <c r="F481" s="18"/>
      <c r="G481" s="19" t="str">
        <f aca="false">IF(OR($E481="",$F481=""),"",ROUND(IF($F481&lt;1,$F481*24,INT($F481/100)+MOD($F481,100)/60)-IF($E481&lt;1,$E481*24,INT($E481/100)+MOD($E481,100)/60),2))</f>
        <v/>
      </c>
      <c r="H481" s="12"/>
      <c r="I481" s="17" t="str">
        <f aca="false">IF($A481="","",YEAR($A481))</f>
        <v/>
      </c>
      <c r="J481" s="17" t="str">
        <f aca="false">IF($A481="","",MONTH($A481))</f>
        <v/>
      </c>
      <c r="K481" s="17" t="str">
        <f aca="false">IF($A481="","",IF(AND($A481&gt;=사용안내!$C$18,$A481&lt;=사용안내!$C$19),"1학기",IF(AND($A481&gt;=사용안내!$C$20,$A481&lt;=사용안내!$C$21),"2학기","기간외")))</f>
        <v/>
      </c>
    </row>
    <row r="482" customFormat="false" ht="15" hidden="false" customHeight="true" outlineLevel="0" collapsed="false">
      <c r="A482" s="16"/>
      <c r="B482" s="12"/>
      <c r="C482" s="17" t="str">
        <f aca="false">IF($B482="","",IFERROR(INDEX(학생명부!$B$3:$B$83,MATCH($B482,학생명부!$A$3:$A$83,0)),"학번없음"))</f>
        <v/>
      </c>
      <c r="D482" s="12"/>
      <c r="E482" s="18"/>
      <c r="F482" s="18"/>
      <c r="G482" s="19" t="str">
        <f aca="false">IF(OR($E482="",$F482=""),"",ROUND(IF($F482&lt;1,$F482*24,INT($F482/100)+MOD($F482,100)/60)-IF($E482&lt;1,$E482*24,INT($E482/100)+MOD($E482,100)/60),2))</f>
        <v/>
      </c>
      <c r="H482" s="12"/>
      <c r="I482" s="17" t="str">
        <f aca="false">IF($A482="","",YEAR($A482))</f>
        <v/>
      </c>
      <c r="J482" s="17" t="str">
        <f aca="false">IF($A482="","",MONTH($A482))</f>
        <v/>
      </c>
      <c r="K482" s="17" t="str">
        <f aca="false">IF($A482="","",IF(AND($A482&gt;=사용안내!$C$18,$A482&lt;=사용안내!$C$19),"1학기",IF(AND($A482&gt;=사용안내!$C$20,$A482&lt;=사용안내!$C$21),"2학기","기간외")))</f>
        <v/>
      </c>
    </row>
    <row r="483" customFormat="false" ht="15" hidden="false" customHeight="true" outlineLevel="0" collapsed="false">
      <c r="A483" s="16"/>
      <c r="B483" s="12"/>
      <c r="C483" s="17" t="str">
        <f aca="false">IF($B483="","",IFERROR(INDEX(학생명부!$B$3:$B$83,MATCH($B483,학생명부!$A$3:$A$83,0)),"학번없음"))</f>
        <v/>
      </c>
      <c r="D483" s="12"/>
      <c r="E483" s="18"/>
      <c r="F483" s="18"/>
      <c r="G483" s="19" t="str">
        <f aca="false">IF(OR($E483="",$F483=""),"",ROUND(IF($F483&lt;1,$F483*24,INT($F483/100)+MOD($F483,100)/60)-IF($E483&lt;1,$E483*24,INT($E483/100)+MOD($E483,100)/60),2))</f>
        <v/>
      </c>
      <c r="H483" s="12"/>
      <c r="I483" s="17" t="str">
        <f aca="false">IF($A483="","",YEAR($A483))</f>
        <v/>
      </c>
      <c r="J483" s="17" t="str">
        <f aca="false">IF($A483="","",MONTH($A483))</f>
        <v/>
      </c>
      <c r="K483" s="17" t="str">
        <f aca="false">IF($A483="","",IF(AND($A483&gt;=사용안내!$C$18,$A483&lt;=사용안내!$C$19),"1학기",IF(AND($A483&gt;=사용안내!$C$20,$A483&lt;=사용안내!$C$21),"2학기","기간외")))</f>
        <v/>
      </c>
    </row>
    <row r="484" customFormat="false" ht="15" hidden="false" customHeight="true" outlineLevel="0" collapsed="false">
      <c r="A484" s="16"/>
      <c r="B484" s="12"/>
      <c r="C484" s="17" t="str">
        <f aca="false">IF($B484="","",IFERROR(INDEX(학생명부!$B$3:$B$83,MATCH($B484,학생명부!$A$3:$A$83,0)),"학번없음"))</f>
        <v/>
      </c>
      <c r="D484" s="12"/>
      <c r="E484" s="18"/>
      <c r="F484" s="18"/>
      <c r="G484" s="19" t="str">
        <f aca="false">IF(OR($E484="",$F484=""),"",ROUND(IF($F484&lt;1,$F484*24,INT($F484/100)+MOD($F484,100)/60)-IF($E484&lt;1,$E484*24,INT($E484/100)+MOD($E484,100)/60),2))</f>
        <v/>
      </c>
      <c r="H484" s="12"/>
      <c r="I484" s="17" t="str">
        <f aca="false">IF($A484="","",YEAR($A484))</f>
        <v/>
      </c>
      <c r="J484" s="17" t="str">
        <f aca="false">IF($A484="","",MONTH($A484))</f>
        <v/>
      </c>
      <c r="K484" s="17" t="str">
        <f aca="false">IF($A484="","",IF(AND($A484&gt;=사용안내!$C$18,$A484&lt;=사용안내!$C$19),"1학기",IF(AND($A484&gt;=사용안내!$C$20,$A484&lt;=사용안내!$C$21),"2학기","기간외")))</f>
        <v/>
      </c>
    </row>
    <row r="485" customFormat="false" ht="15" hidden="false" customHeight="true" outlineLevel="0" collapsed="false">
      <c r="A485" s="16"/>
      <c r="B485" s="12"/>
      <c r="C485" s="17" t="str">
        <f aca="false">IF($B485="","",IFERROR(INDEX(학생명부!$B$3:$B$83,MATCH($B485,학생명부!$A$3:$A$83,0)),"학번없음"))</f>
        <v/>
      </c>
      <c r="D485" s="12"/>
      <c r="E485" s="18"/>
      <c r="F485" s="18"/>
      <c r="G485" s="19" t="str">
        <f aca="false">IF(OR($E485="",$F485=""),"",ROUND(IF($F485&lt;1,$F485*24,INT($F485/100)+MOD($F485,100)/60)-IF($E485&lt;1,$E485*24,INT($E485/100)+MOD($E485,100)/60),2))</f>
        <v/>
      </c>
      <c r="H485" s="12"/>
      <c r="I485" s="17" t="str">
        <f aca="false">IF($A485="","",YEAR($A485))</f>
        <v/>
      </c>
      <c r="J485" s="17" t="str">
        <f aca="false">IF($A485="","",MONTH($A485))</f>
        <v/>
      </c>
      <c r="K485" s="17" t="str">
        <f aca="false">IF($A485="","",IF(AND($A485&gt;=사용안내!$C$18,$A485&lt;=사용안내!$C$19),"1학기",IF(AND($A485&gt;=사용안내!$C$20,$A485&lt;=사용안내!$C$21),"2학기","기간외")))</f>
        <v/>
      </c>
    </row>
    <row r="486" customFormat="false" ht="15" hidden="false" customHeight="true" outlineLevel="0" collapsed="false">
      <c r="A486" s="16"/>
      <c r="B486" s="12"/>
      <c r="C486" s="17" t="str">
        <f aca="false">IF($B486="","",IFERROR(INDEX(학생명부!$B$3:$B$83,MATCH($B486,학생명부!$A$3:$A$83,0)),"학번없음"))</f>
        <v/>
      </c>
      <c r="D486" s="12"/>
      <c r="E486" s="18"/>
      <c r="F486" s="18"/>
      <c r="G486" s="19" t="str">
        <f aca="false">IF(OR($E486="",$F486=""),"",ROUND(IF($F486&lt;1,$F486*24,INT($F486/100)+MOD($F486,100)/60)-IF($E486&lt;1,$E486*24,INT($E486/100)+MOD($E486,100)/60),2))</f>
        <v/>
      </c>
      <c r="H486" s="12"/>
      <c r="I486" s="17" t="str">
        <f aca="false">IF($A486="","",YEAR($A486))</f>
        <v/>
      </c>
      <c r="J486" s="17" t="str">
        <f aca="false">IF($A486="","",MONTH($A486))</f>
        <v/>
      </c>
      <c r="K486" s="17" t="str">
        <f aca="false">IF($A486="","",IF(AND($A486&gt;=사용안내!$C$18,$A486&lt;=사용안내!$C$19),"1학기",IF(AND($A486&gt;=사용안내!$C$20,$A486&lt;=사용안내!$C$21),"2학기","기간외")))</f>
        <v/>
      </c>
    </row>
    <row r="487" customFormat="false" ht="15" hidden="false" customHeight="true" outlineLevel="0" collapsed="false">
      <c r="A487" s="16"/>
      <c r="B487" s="12"/>
      <c r="C487" s="17" t="str">
        <f aca="false">IF($B487="","",IFERROR(INDEX(학생명부!$B$3:$B$83,MATCH($B487,학생명부!$A$3:$A$83,0)),"학번없음"))</f>
        <v/>
      </c>
      <c r="D487" s="12"/>
      <c r="E487" s="18"/>
      <c r="F487" s="18"/>
      <c r="G487" s="19" t="str">
        <f aca="false">IF(OR($E487="",$F487=""),"",ROUND(IF($F487&lt;1,$F487*24,INT($F487/100)+MOD($F487,100)/60)-IF($E487&lt;1,$E487*24,INT($E487/100)+MOD($E487,100)/60),2))</f>
        <v/>
      </c>
      <c r="H487" s="12"/>
      <c r="I487" s="17" t="str">
        <f aca="false">IF($A487="","",YEAR($A487))</f>
        <v/>
      </c>
      <c r="J487" s="17" t="str">
        <f aca="false">IF($A487="","",MONTH($A487))</f>
        <v/>
      </c>
      <c r="K487" s="17" t="str">
        <f aca="false">IF($A487="","",IF(AND($A487&gt;=사용안내!$C$18,$A487&lt;=사용안내!$C$19),"1학기",IF(AND($A487&gt;=사용안내!$C$20,$A487&lt;=사용안내!$C$21),"2학기","기간외")))</f>
        <v/>
      </c>
    </row>
    <row r="488" customFormat="false" ht="15" hidden="false" customHeight="true" outlineLevel="0" collapsed="false">
      <c r="A488" s="16"/>
      <c r="B488" s="12"/>
      <c r="C488" s="17" t="str">
        <f aca="false">IF($B488="","",IFERROR(INDEX(학생명부!$B$3:$B$83,MATCH($B488,학생명부!$A$3:$A$83,0)),"학번없음"))</f>
        <v/>
      </c>
      <c r="D488" s="12"/>
      <c r="E488" s="18"/>
      <c r="F488" s="18"/>
      <c r="G488" s="19" t="str">
        <f aca="false">IF(OR($E488="",$F488=""),"",ROUND(IF($F488&lt;1,$F488*24,INT($F488/100)+MOD($F488,100)/60)-IF($E488&lt;1,$E488*24,INT($E488/100)+MOD($E488,100)/60),2))</f>
        <v/>
      </c>
      <c r="H488" s="12"/>
      <c r="I488" s="17" t="str">
        <f aca="false">IF($A488="","",YEAR($A488))</f>
        <v/>
      </c>
      <c r="J488" s="17" t="str">
        <f aca="false">IF($A488="","",MONTH($A488))</f>
        <v/>
      </c>
      <c r="K488" s="17" t="str">
        <f aca="false">IF($A488="","",IF(AND($A488&gt;=사용안내!$C$18,$A488&lt;=사용안내!$C$19),"1학기",IF(AND($A488&gt;=사용안내!$C$20,$A488&lt;=사용안내!$C$21),"2학기","기간외")))</f>
        <v/>
      </c>
    </row>
    <row r="489" customFormat="false" ht="15" hidden="false" customHeight="true" outlineLevel="0" collapsed="false">
      <c r="A489" s="16"/>
      <c r="B489" s="12"/>
      <c r="C489" s="17" t="str">
        <f aca="false">IF($B489="","",IFERROR(INDEX(학생명부!$B$3:$B$83,MATCH($B489,학생명부!$A$3:$A$83,0)),"학번없음"))</f>
        <v/>
      </c>
      <c r="D489" s="12"/>
      <c r="E489" s="18"/>
      <c r="F489" s="18"/>
      <c r="G489" s="19" t="str">
        <f aca="false">IF(OR($E489="",$F489=""),"",ROUND(IF($F489&lt;1,$F489*24,INT($F489/100)+MOD($F489,100)/60)-IF($E489&lt;1,$E489*24,INT($E489/100)+MOD($E489,100)/60),2))</f>
        <v/>
      </c>
      <c r="H489" s="12"/>
      <c r="I489" s="17" t="str">
        <f aca="false">IF($A489="","",YEAR($A489))</f>
        <v/>
      </c>
      <c r="J489" s="17" t="str">
        <f aca="false">IF($A489="","",MONTH($A489))</f>
        <v/>
      </c>
      <c r="K489" s="17" t="str">
        <f aca="false">IF($A489="","",IF(AND($A489&gt;=사용안내!$C$18,$A489&lt;=사용안내!$C$19),"1학기",IF(AND($A489&gt;=사용안내!$C$20,$A489&lt;=사용안내!$C$21),"2학기","기간외")))</f>
        <v/>
      </c>
    </row>
    <row r="490" customFormat="false" ht="15" hidden="false" customHeight="true" outlineLevel="0" collapsed="false">
      <c r="A490" s="16"/>
      <c r="B490" s="12"/>
      <c r="C490" s="17" t="str">
        <f aca="false">IF($B490="","",IFERROR(INDEX(학생명부!$B$3:$B$83,MATCH($B490,학생명부!$A$3:$A$83,0)),"학번없음"))</f>
        <v/>
      </c>
      <c r="D490" s="12"/>
      <c r="E490" s="18"/>
      <c r="F490" s="18"/>
      <c r="G490" s="19" t="str">
        <f aca="false">IF(OR($E490="",$F490=""),"",ROUND(IF($F490&lt;1,$F490*24,INT($F490/100)+MOD($F490,100)/60)-IF($E490&lt;1,$E490*24,INT($E490/100)+MOD($E490,100)/60),2))</f>
        <v/>
      </c>
      <c r="H490" s="12"/>
      <c r="I490" s="17" t="str">
        <f aca="false">IF($A490="","",YEAR($A490))</f>
        <v/>
      </c>
      <c r="J490" s="17" t="str">
        <f aca="false">IF($A490="","",MONTH($A490))</f>
        <v/>
      </c>
      <c r="K490" s="17" t="str">
        <f aca="false">IF($A490="","",IF(AND($A490&gt;=사용안내!$C$18,$A490&lt;=사용안내!$C$19),"1학기",IF(AND($A490&gt;=사용안내!$C$20,$A490&lt;=사용안내!$C$21),"2학기","기간외")))</f>
        <v/>
      </c>
    </row>
    <row r="491" customFormat="false" ht="15" hidden="false" customHeight="true" outlineLevel="0" collapsed="false">
      <c r="A491" s="16"/>
      <c r="B491" s="12"/>
      <c r="C491" s="17" t="str">
        <f aca="false">IF($B491="","",IFERROR(INDEX(학생명부!$B$3:$B$83,MATCH($B491,학생명부!$A$3:$A$83,0)),"학번없음"))</f>
        <v/>
      </c>
      <c r="D491" s="12"/>
      <c r="E491" s="18"/>
      <c r="F491" s="18"/>
      <c r="G491" s="19" t="str">
        <f aca="false">IF(OR($E491="",$F491=""),"",ROUND(IF($F491&lt;1,$F491*24,INT($F491/100)+MOD($F491,100)/60)-IF($E491&lt;1,$E491*24,INT($E491/100)+MOD($E491,100)/60),2))</f>
        <v/>
      </c>
      <c r="H491" s="12"/>
      <c r="I491" s="17" t="str">
        <f aca="false">IF($A491="","",YEAR($A491))</f>
        <v/>
      </c>
      <c r="J491" s="17" t="str">
        <f aca="false">IF($A491="","",MONTH($A491))</f>
        <v/>
      </c>
      <c r="K491" s="17" t="str">
        <f aca="false">IF($A491="","",IF(AND($A491&gt;=사용안내!$C$18,$A491&lt;=사용안내!$C$19),"1학기",IF(AND($A491&gt;=사용안내!$C$20,$A491&lt;=사용안내!$C$21),"2학기","기간외")))</f>
        <v/>
      </c>
    </row>
    <row r="492" customFormat="false" ht="15" hidden="false" customHeight="true" outlineLevel="0" collapsed="false">
      <c r="A492" s="16"/>
      <c r="B492" s="12"/>
      <c r="C492" s="17" t="str">
        <f aca="false">IF($B492="","",IFERROR(INDEX(학생명부!$B$3:$B$83,MATCH($B492,학생명부!$A$3:$A$83,0)),"학번없음"))</f>
        <v/>
      </c>
      <c r="D492" s="12"/>
      <c r="E492" s="18"/>
      <c r="F492" s="18"/>
      <c r="G492" s="19" t="str">
        <f aca="false">IF(OR($E492="",$F492=""),"",ROUND(IF($F492&lt;1,$F492*24,INT($F492/100)+MOD($F492,100)/60)-IF($E492&lt;1,$E492*24,INT($E492/100)+MOD($E492,100)/60),2))</f>
        <v/>
      </c>
      <c r="H492" s="12"/>
      <c r="I492" s="17" t="str">
        <f aca="false">IF($A492="","",YEAR($A492))</f>
        <v/>
      </c>
      <c r="J492" s="17" t="str">
        <f aca="false">IF($A492="","",MONTH($A492))</f>
        <v/>
      </c>
      <c r="K492" s="17" t="str">
        <f aca="false">IF($A492="","",IF(AND($A492&gt;=사용안내!$C$18,$A492&lt;=사용안내!$C$19),"1학기",IF(AND($A492&gt;=사용안내!$C$20,$A492&lt;=사용안내!$C$21),"2학기","기간외")))</f>
        <v/>
      </c>
    </row>
    <row r="493" customFormat="false" ht="15" hidden="false" customHeight="true" outlineLevel="0" collapsed="false">
      <c r="A493" s="16"/>
      <c r="B493" s="12"/>
      <c r="C493" s="17" t="str">
        <f aca="false">IF($B493="","",IFERROR(INDEX(학생명부!$B$3:$B$83,MATCH($B493,학생명부!$A$3:$A$83,0)),"학번없음"))</f>
        <v/>
      </c>
      <c r="D493" s="12"/>
      <c r="E493" s="18"/>
      <c r="F493" s="18"/>
      <c r="G493" s="19" t="str">
        <f aca="false">IF(OR($E493="",$F493=""),"",ROUND(IF($F493&lt;1,$F493*24,INT($F493/100)+MOD($F493,100)/60)-IF($E493&lt;1,$E493*24,INT($E493/100)+MOD($E493,100)/60),2))</f>
        <v/>
      </c>
      <c r="H493" s="12"/>
      <c r="I493" s="17" t="str">
        <f aca="false">IF($A493="","",YEAR($A493))</f>
        <v/>
      </c>
      <c r="J493" s="17" t="str">
        <f aca="false">IF($A493="","",MONTH($A493))</f>
        <v/>
      </c>
      <c r="K493" s="17" t="str">
        <f aca="false">IF($A493="","",IF(AND($A493&gt;=사용안내!$C$18,$A493&lt;=사용안내!$C$19),"1학기",IF(AND($A493&gt;=사용안내!$C$20,$A493&lt;=사용안내!$C$21),"2학기","기간외")))</f>
        <v/>
      </c>
    </row>
    <row r="494" customFormat="false" ht="15" hidden="false" customHeight="true" outlineLevel="0" collapsed="false">
      <c r="A494" s="16"/>
      <c r="B494" s="12"/>
      <c r="C494" s="17" t="str">
        <f aca="false">IF($B494="","",IFERROR(INDEX(학생명부!$B$3:$B$83,MATCH($B494,학생명부!$A$3:$A$83,0)),"학번없음"))</f>
        <v/>
      </c>
      <c r="D494" s="12"/>
      <c r="E494" s="18"/>
      <c r="F494" s="18"/>
      <c r="G494" s="19" t="str">
        <f aca="false">IF(OR($E494="",$F494=""),"",ROUND(IF($F494&lt;1,$F494*24,INT($F494/100)+MOD($F494,100)/60)-IF($E494&lt;1,$E494*24,INT($E494/100)+MOD($E494,100)/60),2))</f>
        <v/>
      </c>
      <c r="H494" s="12"/>
      <c r="I494" s="17" t="str">
        <f aca="false">IF($A494="","",YEAR($A494))</f>
        <v/>
      </c>
      <c r="J494" s="17" t="str">
        <f aca="false">IF($A494="","",MONTH($A494))</f>
        <v/>
      </c>
      <c r="K494" s="17" t="str">
        <f aca="false">IF($A494="","",IF(AND($A494&gt;=사용안내!$C$18,$A494&lt;=사용안내!$C$19),"1학기",IF(AND($A494&gt;=사용안내!$C$20,$A494&lt;=사용안내!$C$21),"2학기","기간외")))</f>
        <v/>
      </c>
    </row>
    <row r="495" customFormat="false" ht="15" hidden="false" customHeight="true" outlineLevel="0" collapsed="false">
      <c r="A495" s="16"/>
      <c r="B495" s="12"/>
      <c r="C495" s="17" t="str">
        <f aca="false">IF($B495="","",IFERROR(INDEX(학생명부!$B$3:$B$83,MATCH($B495,학생명부!$A$3:$A$83,0)),"학번없음"))</f>
        <v/>
      </c>
      <c r="D495" s="12"/>
      <c r="E495" s="18"/>
      <c r="F495" s="18"/>
      <c r="G495" s="19" t="str">
        <f aca="false">IF(OR($E495="",$F495=""),"",ROUND(IF($F495&lt;1,$F495*24,INT($F495/100)+MOD($F495,100)/60)-IF($E495&lt;1,$E495*24,INT($E495/100)+MOD($E495,100)/60),2))</f>
        <v/>
      </c>
      <c r="H495" s="12"/>
      <c r="I495" s="17" t="str">
        <f aca="false">IF($A495="","",YEAR($A495))</f>
        <v/>
      </c>
      <c r="J495" s="17" t="str">
        <f aca="false">IF($A495="","",MONTH($A495))</f>
        <v/>
      </c>
      <c r="K495" s="17" t="str">
        <f aca="false">IF($A495="","",IF(AND($A495&gt;=사용안내!$C$18,$A495&lt;=사용안내!$C$19),"1학기",IF(AND($A495&gt;=사용안내!$C$20,$A495&lt;=사용안내!$C$21),"2학기","기간외")))</f>
        <v/>
      </c>
    </row>
    <row r="496" customFormat="false" ht="15" hidden="false" customHeight="true" outlineLevel="0" collapsed="false">
      <c r="A496" s="16"/>
      <c r="B496" s="12"/>
      <c r="C496" s="17" t="str">
        <f aca="false">IF($B496="","",IFERROR(INDEX(학생명부!$B$3:$B$83,MATCH($B496,학생명부!$A$3:$A$83,0)),"학번없음"))</f>
        <v/>
      </c>
      <c r="D496" s="12"/>
      <c r="E496" s="18"/>
      <c r="F496" s="18"/>
      <c r="G496" s="19" t="str">
        <f aca="false">IF(OR($E496="",$F496=""),"",ROUND(IF($F496&lt;1,$F496*24,INT($F496/100)+MOD($F496,100)/60)-IF($E496&lt;1,$E496*24,INT($E496/100)+MOD($E496,100)/60),2))</f>
        <v/>
      </c>
      <c r="H496" s="12"/>
      <c r="I496" s="17" t="str">
        <f aca="false">IF($A496="","",YEAR($A496))</f>
        <v/>
      </c>
      <c r="J496" s="17" t="str">
        <f aca="false">IF($A496="","",MONTH($A496))</f>
        <v/>
      </c>
      <c r="K496" s="17" t="str">
        <f aca="false">IF($A496="","",IF(AND($A496&gt;=사용안내!$C$18,$A496&lt;=사용안내!$C$19),"1학기",IF(AND($A496&gt;=사용안내!$C$20,$A496&lt;=사용안내!$C$21),"2학기","기간외")))</f>
        <v/>
      </c>
    </row>
    <row r="497" customFormat="false" ht="15" hidden="false" customHeight="true" outlineLevel="0" collapsed="false">
      <c r="A497" s="16"/>
      <c r="B497" s="12"/>
      <c r="C497" s="17" t="str">
        <f aca="false">IF($B497="","",IFERROR(INDEX(학생명부!$B$3:$B$83,MATCH($B497,학생명부!$A$3:$A$83,0)),"학번없음"))</f>
        <v/>
      </c>
      <c r="D497" s="12"/>
      <c r="E497" s="18"/>
      <c r="F497" s="18"/>
      <c r="G497" s="19" t="str">
        <f aca="false">IF(OR($E497="",$F497=""),"",ROUND(IF($F497&lt;1,$F497*24,INT($F497/100)+MOD($F497,100)/60)-IF($E497&lt;1,$E497*24,INT($E497/100)+MOD($E497,100)/60),2))</f>
        <v/>
      </c>
      <c r="H497" s="12"/>
      <c r="I497" s="17" t="str">
        <f aca="false">IF($A497="","",YEAR($A497))</f>
        <v/>
      </c>
      <c r="J497" s="17" t="str">
        <f aca="false">IF($A497="","",MONTH($A497))</f>
        <v/>
      </c>
      <c r="K497" s="17" t="str">
        <f aca="false">IF($A497="","",IF(AND($A497&gt;=사용안내!$C$18,$A497&lt;=사용안내!$C$19),"1학기",IF(AND($A497&gt;=사용안내!$C$20,$A497&lt;=사용안내!$C$21),"2학기","기간외")))</f>
        <v/>
      </c>
    </row>
    <row r="498" customFormat="false" ht="15" hidden="false" customHeight="true" outlineLevel="0" collapsed="false">
      <c r="A498" s="16"/>
      <c r="B498" s="12"/>
      <c r="C498" s="17" t="str">
        <f aca="false">IF($B498="","",IFERROR(INDEX(학생명부!$B$3:$B$83,MATCH($B498,학생명부!$A$3:$A$83,0)),"학번없음"))</f>
        <v/>
      </c>
      <c r="D498" s="12"/>
      <c r="E498" s="18"/>
      <c r="F498" s="18"/>
      <c r="G498" s="19" t="str">
        <f aca="false">IF(OR($E498="",$F498=""),"",ROUND(IF($F498&lt;1,$F498*24,INT($F498/100)+MOD($F498,100)/60)-IF($E498&lt;1,$E498*24,INT($E498/100)+MOD($E498,100)/60),2))</f>
        <v/>
      </c>
      <c r="H498" s="12"/>
      <c r="I498" s="17" t="str">
        <f aca="false">IF($A498="","",YEAR($A498))</f>
        <v/>
      </c>
      <c r="J498" s="17" t="str">
        <f aca="false">IF($A498="","",MONTH($A498))</f>
        <v/>
      </c>
      <c r="K498" s="17" t="str">
        <f aca="false">IF($A498="","",IF(AND($A498&gt;=사용안내!$C$18,$A498&lt;=사용안내!$C$19),"1학기",IF(AND($A498&gt;=사용안내!$C$20,$A498&lt;=사용안내!$C$21),"2학기","기간외")))</f>
        <v/>
      </c>
    </row>
    <row r="499" customFormat="false" ht="15" hidden="false" customHeight="true" outlineLevel="0" collapsed="false">
      <c r="A499" s="16"/>
      <c r="B499" s="12"/>
      <c r="C499" s="17" t="str">
        <f aca="false">IF($B499="","",IFERROR(INDEX(학생명부!$B$3:$B$83,MATCH($B499,학생명부!$A$3:$A$83,0)),"학번없음"))</f>
        <v/>
      </c>
      <c r="D499" s="12"/>
      <c r="E499" s="18"/>
      <c r="F499" s="18"/>
      <c r="G499" s="19" t="str">
        <f aca="false">IF(OR($E499="",$F499=""),"",ROUND(IF($F499&lt;1,$F499*24,INT($F499/100)+MOD($F499,100)/60)-IF($E499&lt;1,$E499*24,INT($E499/100)+MOD($E499,100)/60),2))</f>
        <v/>
      </c>
      <c r="H499" s="12"/>
      <c r="I499" s="17" t="str">
        <f aca="false">IF($A499="","",YEAR($A499))</f>
        <v/>
      </c>
      <c r="J499" s="17" t="str">
        <f aca="false">IF($A499="","",MONTH($A499))</f>
        <v/>
      </c>
      <c r="K499" s="17" t="str">
        <f aca="false">IF($A499="","",IF(AND($A499&gt;=사용안내!$C$18,$A499&lt;=사용안내!$C$19),"1학기",IF(AND($A499&gt;=사용안내!$C$20,$A499&lt;=사용안내!$C$21),"2학기","기간외")))</f>
        <v/>
      </c>
    </row>
    <row r="500" customFormat="false" ht="15" hidden="false" customHeight="true" outlineLevel="0" collapsed="false">
      <c r="A500" s="16"/>
      <c r="B500" s="12"/>
      <c r="C500" s="17" t="str">
        <f aca="false">IF($B500="","",IFERROR(INDEX(학생명부!$B$3:$B$83,MATCH($B500,학생명부!$A$3:$A$83,0)),"학번없음"))</f>
        <v/>
      </c>
      <c r="D500" s="12"/>
      <c r="E500" s="18"/>
      <c r="F500" s="18"/>
      <c r="G500" s="19" t="str">
        <f aca="false">IF(OR($E500="",$F500=""),"",ROUND(IF($F500&lt;1,$F500*24,INT($F500/100)+MOD($F500,100)/60)-IF($E500&lt;1,$E500*24,INT($E500/100)+MOD($E500,100)/60),2))</f>
        <v/>
      </c>
      <c r="H500" s="12"/>
      <c r="I500" s="17" t="str">
        <f aca="false">IF($A500="","",YEAR($A500))</f>
        <v/>
      </c>
      <c r="J500" s="17" t="str">
        <f aca="false">IF($A500="","",MONTH($A500))</f>
        <v/>
      </c>
      <c r="K500" s="17" t="str">
        <f aca="false">IF($A500="","",IF(AND($A500&gt;=사용안내!$C$18,$A500&lt;=사용안내!$C$19),"1학기",IF(AND($A500&gt;=사용안내!$C$20,$A500&lt;=사용안내!$C$21),"2학기","기간외")))</f>
        <v/>
      </c>
    </row>
    <row r="501" customFormat="false" ht="15" hidden="false" customHeight="true" outlineLevel="0" collapsed="false">
      <c r="A501" s="16"/>
      <c r="B501" s="12"/>
      <c r="C501" s="17" t="str">
        <f aca="false">IF($B501="","",IFERROR(INDEX(학생명부!$B$3:$B$83,MATCH($B501,학생명부!$A$3:$A$83,0)),"학번없음"))</f>
        <v/>
      </c>
      <c r="D501" s="12"/>
      <c r="E501" s="18"/>
      <c r="F501" s="18"/>
      <c r="G501" s="19" t="str">
        <f aca="false">IF(OR($E501="",$F501=""),"",ROUND(IF($F501&lt;1,$F501*24,INT($F501/100)+MOD($F501,100)/60)-IF($E501&lt;1,$E501*24,INT($E501/100)+MOD($E501,100)/60),2))</f>
        <v/>
      </c>
      <c r="H501" s="12"/>
      <c r="I501" s="17" t="str">
        <f aca="false">IF($A501="","",YEAR($A501))</f>
        <v/>
      </c>
      <c r="J501" s="17" t="str">
        <f aca="false">IF($A501="","",MONTH($A501))</f>
        <v/>
      </c>
      <c r="K501" s="17" t="str">
        <f aca="false">IF($A501="","",IF(AND($A501&gt;=사용안내!$C$18,$A501&lt;=사용안내!$C$19),"1학기",IF(AND($A501&gt;=사용안내!$C$20,$A501&lt;=사용안내!$C$21),"2학기","기간외")))</f>
        <v/>
      </c>
    </row>
    <row r="502" customFormat="false" ht="15" hidden="false" customHeight="true" outlineLevel="0" collapsed="false">
      <c r="A502" s="16"/>
      <c r="B502" s="12"/>
      <c r="C502" s="17" t="str">
        <f aca="false">IF($B502="","",IFERROR(INDEX(학생명부!$B$3:$B$83,MATCH($B502,학생명부!$A$3:$A$83,0)),"학번없음"))</f>
        <v/>
      </c>
      <c r="D502" s="12"/>
      <c r="E502" s="18"/>
      <c r="F502" s="18"/>
      <c r="G502" s="19" t="str">
        <f aca="false">IF(OR($E502="",$F502=""),"",ROUND(IF($F502&lt;1,$F502*24,INT($F502/100)+MOD($F502,100)/60)-IF($E502&lt;1,$E502*24,INT($E502/100)+MOD($E502,100)/60),2))</f>
        <v/>
      </c>
      <c r="H502" s="12"/>
      <c r="I502" s="17" t="str">
        <f aca="false">IF($A502="","",YEAR($A502))</f>
        <v/>
      </c>
      <c r="J502" s="17" t="str">
        <f aca="false">IF($A502="","",MONTH($A502))</f>
        <v/>
      </c>
      <c r="K502" s="17" t="str">
        <f aca="false">IF($A502="","",IF(AND($A502&gt;=사용안내!$C$18,$A502&lt;=사용안내!$C$19),"1학기",IF(AND($A502&gt;=사용안내!$C$20,$A502&lt;=사용안내!$C$21),"2학기","기간외")))</f>
        <v/>
      </c>
    </row>
  </sheetData>
  <mergeCells count="1">
    <mergeCell ref="A1:K1"/>
  </mergeCells>
  <dataValidations count="2">
    <dataValidation allowBlank="true" errorStyle="stop" operator="between" showDropDown="false" showErrorMessage="false" showInputMessage="false" sqref="D3:D502" type="list">
      <formula1>"일상봉사,특별봉사"</formula1>
      <formula2>0</formula2>
    </dataValidation>
    <dataValidation allowBlank="true" error="콜론(:) 없이 숫자 네 자리로 입력하세요.&#10;오후 2시 30분 → 1430&#10;오전 9시 → 900" errorStyle="stop" errorTitle="시각 입력 형식" operator="between" prompt="예) 1230 = 12시 30분" promptTitle="시각 입력" showDropDown="false" showErrorMessage="true" showInputMessage="true" sqref="E3:F502" type="whole">
      <formula1>0</formula1>
      <formula2>2359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30"/>
    <col collapsed="false" customWidth="true" hidden="false" outlineLevel="0" max="5" min="5" style="1" width="26"/>
  </cols>
  <sheetData>
    <row r="1" customFormat="false" ht="24" hidden="false" customHeight="true" outlineLevel="0" collapsed="false">
      <c r="A1" s="2" t="s">
        <v>51</v>
      </c>
      <c r="B1" s="2"/>
      <c r="C1" s="2"/>
      <c r="D1" s="2"/>
      <c r="E1" s="2"/>
    </row>
    <row r="2" customFormat="false" ht="15" hidden="false" customHeight="true" outlineLevel="0" collapsed="false">
      <c r="A2" s="11" t="s">
        <v>41</v>
      </c>
      <c r="B2" s="11" t="s">
        <v>30</v>
      </c>
      <c r="C2" s="14" t="s">
        <v>42</v>
      </c>
      <c r="D2" s="11" t="s">
        <v>52</v>
      </c>
      <c r="E2" s="11" t="s">
        <v>34</v>
      </c>
    </row>
    <row r="3" customFormat="false" ht="15" hidden="false" customHeight="true" outlineLevel="0" collapsed="false">
      <c r="A3" s="16" t="n">
        <v>46162</v>
      </c>
      <c r="B3" s="12" t="n">
        <v>10101</v>
      </c>
      <c r="C3" s="17" t="str">
        <f aca="false">IF($B3="","",IFERROR(INDEX(학생명부!$B$3:$B$83,MATCH($B3,학생명부!$A$3:$A$83,0)),"학번없음"))</f>
        <v>학번없음</v>
      </c>
      <c r="D3" s="12" t="inlineStr">
        <is>
          <t>독서토론반</t>
        </is>
      </c>
      <c r="E3" s="12" t="inlineStr">
        <is>
          <t>← 예시 행입니다. 지우고 쓰세요.</t>
        </is>
      </c>
    </row>
    <row r="4" customFormat="false" ht="15" hidden="false" customHeight="true" outlineLevel="0" collapsed="false">
      <c r="A4" s="16" t="n">
        <v>46183</v>
      </c>
      <c r="B4" s="12" t="n">
        <v>10102</v>
      </c>
      <c r="C4" s="17" t="str">
        <f aca="false">IF($B4="","",IFERROR(INDEX(학생명부!$B$3:$B$83,MATCH($B4,학생명부!$A$3:$A$83,0)),"학번없음"))</f>
        <v>이예시</v>
      </c>
      <c r="D4" s="12" t="inlineStr">
        <is>
          <t>사서 도우미 교육</t>
        </is>
      </c>
      <c r="E4" s="12"/>
    </row>
    <row r="5" customFormat="false" ht="15" hidden="false" customHeight="true" outlineLevel="0" collapsed="false">
      <c r="A5" s="16" t="n">
        <v>46270</v>
      </c>
      <c r="B5" s="12" t="n">
        <v>10203</v>
      </c>
      <c r="C5" s="17" t="str">
        <f aca="false">IF($B5="","",IFERROR(INDEX(학생명부!$B$3:$B$83,MATCH($B5,학생명부!$A$3:$A$83,0)),"학번없음"))</f>
        <v>박예시</v>
      </c>
      <c r="D5" s="12" t="inlineStr">
        <is>
          <t>독서토론반</t>
        </is>
      </c>
      <c r="E5" s="12"/>
    </row>
    <row r="6" customFormat="false" ht="15" hidden="false" customHeight="true" outlineLevel="0" collapsed="false">
      <c r="A6" s="16"/>
      <c r="B6" s="12"/>
      <c r="C6" s="17" t="str">
        <f aca="false">IF($B6="","",IFERROR(INDEX(학생명부!$B$3:$B$83,MATCH($B6,학생명부!$A$3:$A$83,0)),"학번없음"))</f>
        <v/>
      </c>
      <c r="D6" s="12"/>
      <c r="E6" s="12"/>
    </row>
    <row r="7" customFormat="false" ht="15" hidden="false" customHeight="true" outlineLevel="0" collapsed="false">
      <c r="A7" s="16"/>
      <c r="B7" s="12"/>
      <c r="C7" s="17" t="str">
        <f aca="false">IF($B7="","",IFERROR(INDEX(학생명부!$B$3:$B$83,MATCH($B7,학생명부!$A$3:$A$83,0)),"학번없음"))</f>
        <v/>
      </c>
      <c r="D7" s="12"/>
      <c r="E7" s="12"/>
    </row>
    <row r="8" customFormat="false" ht="15" hidden="false" customHeight="true" outlineLevel="0" collapsed="false">
      <c r="A8" s="16"/>
      <c r="B8" s="12"/>
      <c r="C8" s="17" t="str">
        <f aca="false">IF($B8="","",IFERROR(INDEX(학생명부!$B$3:$B$83,MATCH($B8,학생명부!$A$3:$A$83,0)),"학번없음"))</f>
        <v/>
      </c>
      <c r="D8" s="12"/>
      <c r="E8" s="12"/>
    </row>
    <row r="9" customFormat="false" ht="15" hidden="false" customHeight="true" outlineLevel="0" collapsed="false">
      <c r="A9" s="16"/>
      <c r="B9" s="12"/>
      <c r="C9" s="17" t="str">
        <f aca="false">IF($B9="","",IFERROR(INDEX(학생명부!$B$3:$B$83,MATCH($B9,학생명부!$A$3:$A$83,0)),"학번없음"))</f>
        <v/>
      </c>
      <c r="D9" s="12"/>
      <c r="E9" s="12"/>
    </row>
    <row r="10" customFormat="false" ht="15" hidden="false" customHeight="true" outlineLevel="0" collapsed="false">
      <c r="A10" s="16"/>
      <c r="B10" s="12"/>
      <c r="C10" s="17" t="str">
        <f aca="false">IF($B10="","",IFERROR(INDEX(학생명부!$B$3:$B$83,MATCH($B10,학생명부!$A$3:$A$83,0)),"학번없음"))</f>
        <v/>
      </c>
      <c r="D10" s="12"/>
      <c r="E10" s="12"/>
    </row>
    <row r="11" customFormat="false" ht="15" hidden="false" customHeight="true" outlineLevel="0" collapsed="false">
      <c r="A11" s="16"/>
      <c r="B11" s="12"/>
      <c r="C11" s="17" t="str">
        <f aca="false">IF($B11="","",IFERROR(INDEX(학생명부!$B$3:$B$83,MATCH($B11,학생명부!$A$3:$A$83,0)),"학번없음"))</f>
        <v/>
      </c>
      <c r="D11" s="12"/>
      <c r="E11" s="12"/>
    </row>
    <row r="12" customFormat="false" ht="15" hidden="false" customHeight="true" outlineLevel="0" collapsed="false">
      <c r="A12" s="16"/>
      <c r="B12" s="12"/>
      <c r="C12" s="17" t="str">
        <f aca="false">IF($B12="","",IFERROR(INDEX(학생명부!$B$3:$B$83,MATCH($B12,학생명부!$A$3:$A$83,0)),"학번없음"))</f>
        <v/>
      </c>
      <c r="D12" s="12"/>
      <c r="E12" s="12"/>
    </row>
    <row r="13" customFormat="false" ht="15" hidden="false" customHeight="true" outlineLevel="0" collapsed="false">
      <c r="A13" s="16"/>
      <c r="B13" s="12"/>
      <c r="C13" s="17" t="str">
        <f aca="false">IF($B13="","",IFERROR(INDEX(학생명부!$B$3:$B$83,MATCH($B13,학생명부!$A$3:$A$83,0)),"학번없음"))</f>
        <v/>
      </c>
      <c r="D13" s="12"/>
      <c r="E13" s="12"/>
    </row>
    <row r="14" customFormat="false" ht="15" hidden="false" customHeight="true" outlineLevel="0" collapsed="false">
      <c r="A14" s="16"/>
      <c r="B14" s="12"/>
      <c r="C14" s="17" t="str">
        <f aca="false">IF($B14="","",IFERROR(INDEX(학생명부!$B$3:$B$83,MATCH($B14,학생명부!$A$3:$A$83,0)),"학번없음"))</f>
        <v/>
      </c>
      <c r="D14" s="12"/>
      <c r="E14" s="12"/>
    </row>
    <row r="15" customFormat="false" ht="15" hidden="false" customHeight="true" outlineLevel="0" collapsed="false">
      <c r="A15" s="16"/>
      <c r="B15" s="12"/>
      <c r="C15" s="17" t="str">
        <f aca="false">IF($B15="","",IFERROR(INDEX(학생명부!$B$3:$B$83,MATCH($B15,학생명부!$A$3:$A$83,0)),"학번없음"))</f>
        <v/>
      </c>
      <c r="D15" s="12"/>
      <c r="E15" s="12"/>
    </row>
    <row r="16" customFormat="false" ht="15" hidden="false" customHeight="true" outlineLevel="0" collapsed="false">
      <c r="A16" s="16"/>
      <c r="B16" s="12"/>
      <c r="C16" s="17" t="str">
        <f aca="false">IF($B16="","",IFERROR(INDEX(학생명부!$B$3:$B$83,MATCH($B16,학생명부!$A$3:$A$83,0)),"학번없음"))</f>
        <v/>
      </c>
      <c r="D16" s="12"/>
      <c r="E16" s="12"/>
    </row>
    <row r="17" customFormat="false" ht="15" hidden="false" customHeight="true" outlineLevel="0" collapsed="false">
      <c r="A17" s="16"/>
      <c r="B17" s="12"/>
      <c r="C17" s="17" t="str">
        <f aca="false">IF($B17="","",IFERROR(INDEX(학생명부!$B$3:$B$83,MATCH($B17,학생명부!$A$3:$A$83,0)),"학번없음"))</f>
        <v/>
      </c>
      <c r="D17" s="12"/>
      <c r="E17" s="12"/>
    </row>
    <row r="18" customFormat="false" ht="15" hidden="false" customHeight="true" outlineLevel="0" collapsed="false">
      <c r="A18" s="16"/>
      <c r="B18" s="12"/>
      <c r="C18" s="17" t="str">
        <f aca="false">IF($B18="","",IFERROR(INDEX(학생명부!$B$3:$B$83,MATCH($B18,학생명부!$A$3:$A$83,0)),"학번없음"))</f>
        <v/>
      </c>
      <c r="D18" s="12"/>
      <c r="E18" s="12"/>
    </row>
    <row r="19" customFormat="false" ht="15" hidden="false" customHeight="true" outlineLevel="0" collapsed="false">
      <c r="A19" s="16"/>
      <c r="B19" s="12"/>
      <c r="C19" s="17" t="str">
        <f aca="false">IF($B19="","",IFERROR(INDEX(학생명부!$B$3:$B$83,MATCH($B19,학생명부!$A$3:$A$83,0)),"학번없음"))</f>
        <v/>
      </c>
      <c r="D19" s="12"/>
      <c r="E19" s="12"/>
    </row>
    <row r="20" customFormat="false" ht="15" hidden="false" customHeight="true" outlineLevel="0" collapsed="false">
      <c r="A20" s="16"/>
      <c r="B20" s="12"/>
      <c r="C20" s="17" t="str">
        <f aca="false">IF($B20="","",IFERROR(INDEX(학생명부!$B$3:$B$83,MATCH($B20,학생명부!$A$3:$A$83,0)),"학번없음"))</f>
        <v/>
      </c>
      <c r="D20" s="12"/>
      <c r="E20" s="12"/>
    </row>
    <row r="21" customFormat="false" ht="15" hidden="false" customHeight="true" outlineLevel="0" collapsed="false">
      <c r="A21" s="16"/>
      <c r="B21" s="12"/>
      <c r="C21" s="17" t="str">
        <f aca="false">IF($B21="","",IFERROR(INDEX(학생명부!$B$3:$B$83,MATCH($B21,학생명부!$A$3:$A$83,0)),"학번없음"))</f>
        <v/>
      </c>
      <c r="D21" s="12"/>
      <c r="E21" s="12"/>
    </row>
    <row r="22" customFormat="false" ht="15" hidden="false" customHeight="true" outlineLevel="0" collapsed="false">
      <c r="A22" s="16"/>
      <c r="B22" s="12"/>
      <c r="C22" s="17" t="str">
        <f aca="false">IF($B22="","",IFERROR(INDEX(학생명부!$B$3:$B$83,MATCH($B22,학생명부!$A$3:$A$83,0)),"학번없음"))</f>
        <v/>
      </c>
      <c r="D22" s="12"/>
      <c r="E22" s="12"/>
    </row>
    <row r="23" customFormat="false" ht="15" hidden="false" customHeight="true" outlineLevel="0" collapsed="false">
      <c r="A23" s="16"/>
      <c r="B23" s="12"/>
      <c r="C23" s="17" t="str">
        <f aca="false">IF($B23="","",IFERROR(INDEX(학생명부!$B$3:$B$83,MATCH($B23,학생명부!$A$3:$A$83,0)),"학번없음"))</f>
        <v/>
      </c>
      <c r="D23" s="12"/>
      <c r="E23" s="12"/>
    </row>
    <row r="24" customFormat="false" ht="15" hidden="false" customHeight="true" outlineLevel="0" collapsed="false">
      <c r="A24" s="16"/>
      <c r="B24" s="12"/>
      <c r="C24" s="17" t="str">
        <f aca="false">IF($B24="","",IFERROR(INDEX(학생명부!$B$3:$B$83,MATCH($B24,학생명부!$A$3:$A$83,0)),"학번없음"))</f>
        <v/>
      </c>
      <c r="D24" s="12"/>
      <c r="E24" s="12"/>
    </row>
    <row r="25" customFormat="false" ht="15" hidden="false" customHeight="true" outlineLevel="0" collapsed="false">
      <c r="A25" s="16"/>
      <c r="B25" s="12"/>
      <c r="C25" s="17" t="str">
        <f aca="false">IF($B25="","",IFERROR(INDEX(학생명부!$B$3:$B$83,MATCH($B25,학생명부!$A$3:$A$83,0)),"학번없음"))</f>
        <v/>
      </c>
      <c r="D25" s="12"/>
      <c r="E25" s="12"/>
    </row>
    <row r="26" customFormat="false" ht="15" hidden="false" customHeight="true" outlineLevel="0" collapsed="false">
      <c r="A26" s="16"/>
      <c r="B26" s="12"/>
      <c r="C26" s="17" t="str">
        <f aca="false">IF($B26="","",IFERROR(INDEX(학생명부!$B$3:$B$83,MATCH($B26,학생명부!$A$3:$A$83,0)),"학번없음"))</f>
        <v/>
      </c>
      <c r="D26" s="12"/>
      <c r="E26" s="12"/>
    </row>
    <row r="27" customFormat="false" ht="15" hidden="false" customHeight="true" outlineLevel="0" collapsed="false">
      <c r="A27" s="16"/>
      <c r="B27" s="12"/>
      <c r="C27" s="17" t="str">
        <f aca="false">IF($B27="","",IFERROR(INDEX(학생명부!$B$3:$B$83,MATCH($B27,학생명부!$A$3:$A$83,0)),"학번없음"))</f>
        <v/>
      </c>
      <c r="D27" s="12"/>
      <c r="E27" s="12"/>
    </row>
    <row r="28" customFormat="false" ht="15" hidden="false" customHeight="true" outlineLevel="0" collapsed="false">
      <c r="A28" s="16"/>
      <c r="B28" s="12"/>
      <c r="C28" s="17" t="str">
        <f aca="false">IF($B28="","",IFERROR(INDEX(학생명부!$B$3:$B$83,MATCH($B28,학생명부!$A$3:$A$83,0)),"학번없음"))</f>
        <v/>
      </c>
      <c r="D28" s="12"/>
      <c r="E28" s="12"/>
    </row>
    <row r="29" customFormat="false" ht="15" hidden="false" customHeight="true" outlineLevel="0" collapsed="false">
      <c r="A29" s="16"/>
      <c r="B29" s="12"/>
      <c r="C29" s="17" t="str">
        <f aca="false">IF($B29="","",IFERROR(INDEX(학생명부!$B$3:$B$83,MATCH($B29,학생명부!$A$3:$A$83,0)),"학번없음"))</f>
        <v/>
      </c>
      <c r="D29" s="12"/>
      <c r="E29" s="12"/>
    </row>
    <row r="30" customFormat="false" ht="15" hidden="false" customHeight="true" outlineLevel="0" collapsed="false">
      <c r="A30" s="16"/>
      <c r="B30" s="12"/>
      <c r="C30" s="17" t="str">
        <f aca="false">IF($B30="","",IFERROR(INDEX(학생명부!$B$3:$B$83,MATCH($B30,학생명부!$A$3:$A$83,0)),"학번없음"))</f>
        <v/>
      </c>
      <c r="D30" s="12"/>
      <c r="E30" s="12"/>
    </row>
    <row r="31" customFormat="false" ht="15" hidden="false" customHeight="true" outlineLevel="0" collapsed="false">
      <c r="A31" s="16"/>
      <c r="B31" s="12"/>
      <c r="C31" s="17" t="str">
        <f aca="false">IF($B31="","",IFERROR(INDEX(학생명부!$B$3:$B$83,MATCH($B31,학생명부!$A$3:$A$83,0)),"학번없음"))</f>
        <v/>
      </c>
      <c r="D31" s="12"/>
      <c r="E31" s="12"/>
    </row>
    <row r="32" customFormat="false" ht="15" hidden="false" customHeight="true" outlineLevel="0" collapsed="false">
      <c r="A32" s="16"/>
      <c r="B32" s="12"/>
      <c r="C32" s="17" t="str">
        <f aca="false">IF($B32="","",IFERROR(INDEX(학생명부!$B$3:$B$83,MATCH($B32,학생명부!$A$3:$A$83,0)),"학번없음"))</f>
        <v/>
      </c>
      <c r="D32" s="12"/>
      <c r="E32" s="12"/>
    </row>
    <row r="33" customFormat="false" ht="15" hidden="false" customHeight="true" outlineLevel="0" collapsed="false">
      <c r="A33" s="16"/>
      <c r="B33" s="12"/>
      <c r="C33" s="17" t="str">
        <f aca="false">IF($B33="","",IFERROR(INDEX(학생명부!$B$3:$B$83,MATCH($B33,학생명부!$A$3:$A$83,0)),"학번없음"))</f>
        <v/>
      </c>
      <c r="D33" s="12"/>
      <c r="E33" s="12"/>
    </row>
    <row r="34" customFormat="false" ht="15" hidden="false" customHeight="true" outlineLevel="0" collapsed="false">
      <c r="A34" s="16"/>
      <c r="B34" s="12"/>
      <c r="C34" s="17" t="str">
        <f aca="false">IF($B34="","",IFERROR(INDEX(학생명부!$B$3:$B$83,MATCH($B34,학생명부!$A$3:$A$83,0)),"학번없음"))</f>
        <v/>
      </c>
      <c r="D34" s="12"/>
      <c r="E34" s="12"/>
    </row>
    <row r="35" customFormat="false" ht="15" hidden="false" customHeight="true" outlineLevel="0" collapsed="false">
      <c r="A35" s="16"/>
      <c r="B35" s="12"/>
      <c r="C35" s="17" t="str">
        <f aca="false">IF($B35="","",IFERROR(INDEX(학생명부!$B$3:$B$83,MATCH($B35,학생명부!$A$3:$A$83,0)),"학번없음"))</f>
        <v/>
      </c>
      <c r="D35" s="12"/>
      <c r="E35" s="12"/>
    </row>
    <row r="36" customFormat="false" ht="15" hidden="false" customHeight="true" outlineLevel="0" collapsed="false">
      <c r="A36" s="16"/>
      <c r="B36" s="12"/>
      <c r="C36" s="17" t="str">
        <f aca="false">IF($B36="","",IFERROR(INDEX(학생명부!$B$3:$B$83,MATCH($B36,학생명부!$A$3:$A$83,0)),"학번없음"))</f>
        <v/>
      </c>
      <c r="D36" s="12"/>
      <c r="E36" s="12"/>
    </row>
    <row r="37" customFormat="false" ht="15" hidden="false" customHeight="true" outlineLevel="0" collapsed="false">
      <c r="A37" s="16"/>
      <c r="B37" s="12"/>
      <c r="C37" s="17" t="str">
        <f aca="false">IF($B37="","",IFERROR(INDEX(학생명부!$B$3:$B$83,MATCH($B37,학생명부!$A$3:$A$83,0)),"학번없음"))</f>
        <v/>
      </c>
      <c r="D37" s="12"/>
      <c r="E37" s="12"/>
    </row>
    <row r="38" customFormat="false" ht="15" hidden="false" customHeight="true" outlineLevel="0" collapsed="false">
      <c r="A38" s="16"/>
      <c r="B38" s="12"/>
      <c r="C38" s="17" t="str">
        <f aca="false">IF($B38="","",IFERROR(INDEX(학생명부!$B$3:$B$83,MATCH($B38,학생명부!$A$3:$A$83,0)),"학번없음"))</f>
        <v/>
      </c>
      <c r="D38" s="12"/>
      <c r="E38" s="12"/>
    </row>
    <row r="39" customFormat="false" ht="15" hidden="false" customHeight="true" outlineLevel="0" collapsed="false">
      <c r="A39" s="16"/>
      <c r="B39" s="12"/>
      <c r="C39" s="17" t="str">
        <f aca="false">IF($B39="","",IFERROR(INDEX(학생명부!$B$3:$B$83,MATCH($B39,학생명부!$A$3:$A$83,0)),"학번없음"))</f>
        <v/>
      </c>
      <c r="D39" s="12"/>
      <c r="E39" s="12"/>
    </row>
    <row r="40" customFormat="false" ht="15" hidden="false" customHeight="true" outlineLevel="0" collapsed="false">
      <c r="A40" s="16"/>
      <c r="B40" s="12"/>
      <c r="C40" s="17" t="str">
        <f aca="false">IF($B40="","",IFERROR(INDEX(학생명부!$B$3:$B$83,MATCH($B40,학생명부!$A$3:$A$83,0)),"학번없음"))</f>
        <v/>
      </c>
      <c r="D40" s="12"/>
      <c r="E40" s="12"/>
    </row>
    <row r="41" customFormat="false" ht="15" hidden="false" customHeight="true" outlineLevel="0" collapsed="false">
      <c r="A41" s="16"/>
      <c r="B41" s="12"/>
      <c r="C41" s="17" t="str">
        <f aca="false">IF($B41="","",IFERROR(INDEX(학생명부!$B$3:$B$83,MATCH($B41,학생명부!$A$3:$A$83,0)),"학번없음"))</f>
        <v/>
      </c>
      <c r="D41" s="12"/>
      <c r="E41" s="12"/>
    </row>
    <row r="42" customFormat="false" ht="15" hidden="false" customHeight="true" outlineLevel="0" collapsed="false">
      <c r="A42" s="16"/>
      <c r="B42" s="12"/>
      <c r="C42" s="17" t="str">
        <f aca="false">IF($B42="","",IFERROR(INDEX(학생명부!$B$3:$B$83,MATCH($B42,학생명부!$A$3:$A$83,0)),"학번없음"))</f>
        <v/>
      </c>
      <c r="D42" s="12"/>
      <c r="E42" s="12"/>
    </row>
    <row r="43" customFormat="false" ht="15" hidden="false" customHeight="true" outlineLevel="0" collapsed="false">
      <c r="A43" s="16"/>
      <c r="B43" s="12"/>
      <c r="C43" s="17" t="str">
        <f aca="false">IF($B43="","",IFERROR(INDEX(학생명부!$B$3:$B$83,MATCH($B43,학생명부!$A$3:$A$83,0)),"학번없음"))</f>
        <v/>
      </c>
      <c r="D43" s="12"/>
      <c r="E43" s="12"/>
    </row>
    <row r="44" customFormat="false" ht="15" hidden="false" customHeight="true" outlineLevel="0" collapsed="false">
      <c r="A44" s="16"/>
      <c r="B44" s="12"/>
      <c r="C44" s="17" t="str">
        <f aca="false">IF($B44="","",IFERROR(INDEX(학생명부!$B$3:$B$83,MATCH($B44,학생명부!$A$3:$A$83,0)),"학번없음"))</f>
        <v/>
      </c>
      <c r="D44" s="12"/>
      <c r="E44" s="12"/>
    </row>
    <row r="45" customFormat="false" ht="15" hidden="false" customHeight="true" outlineLevel="0" collapsed="false">
      <c r="A45" s="16"/>
      <c r="B45" s="12"/>
      <c r="C45" s="17" t="str">
        <f aca="false">IF($B45="","",IFERROR(INDEX(학생명부!$B$3:$B$83,MATCH($B45,학생명부!$A$3:$A$83,0)),"학번없음"))</f>
        <v/>
      </c>
      <c r="D45" s="12"/>
      <c r="E45" s="12"/>
    </row>
    <row r="46" customFormat="false" ht="15" hidden="false" customHeight="true" outlineLevel="0" collapsed="false">
      <c r="A46" s="16"/>
      <c r="B46" s="12"/>
      <c r="C46" s="17" t="str">
        <f aca="false">IF($B46="","",IFERROR(INDEX(학생명부!$B$3:$B$83,MATCH($B46,학생명부!$A$3:$A$83,0)),"학번없음"))</f>
        <v/>
      </c>
      <c r="D46" s="12"/>
      <c r="E46" s="12"/>
    </row>
    <row r="47" customFormat="false" ht="15" hidden="false" customHeight="true" outlineLevel="0" collapsed="false">
      <c r="A47" s="16"/>
      <c r="B47" s="12"/>
      <c r="C47" s="17" t="str">
        <f aca="false">IF($B47="","",IFERROR(INDEX(학생명부!$B$3:$B$83,MATCH($B47,학생명부!$A$3:$A$83,0)),"학번없음"))</f>
        <v/>
      </c>
      <c r="D47" s="12"/>
      <c r="E47" s="12"/>
    </row>
    <row r="48" customFormat="false" ht="15" hidden="false" customHeight="true" outlineLevel="0" collapsed="false">
      <c r="A48" s="16"/>
      <c r="B48" s="12"/>
      <c r="C48" s="17" t="str">
        <f aca="false">IF($B48="","",IFERROR(INDEX(학생명부!$B$3:$B$83,MATCH($B48,학생명부!$A$3:$A$83,0)),"학번없음"))</f>
        <v/>
      </c>
      <c r="D48" s="12"/>
      <c r="E48" s="12"/>
    </row>
    <row r="49" customFormat="false" ht="15" hidden="false" customHeight="true" outlineLevel="0" collapsed="false">
      <c r="A49" s="16"/>
      <c r="B49" s="12"/>
      <c r="C49" s="17" t="str">
        <f aca="false">IF($B49="","",IFERROR(INDEX(학생명부!$B$3:$B$83,MATCH($B49,학생명부!$A$3:$A$83,0)),"학번없음"))</f>
        <v/>
      </c>
      <c r="D49" s="12"/>
      <c r="E49" s="12"/>
    </row>
    <row r="50" customFormat="false" ht="15" hidden="false" customHeight="true" outlineLevel="0" collapsed="false">
      <c r="A50" s="16"/>
      <c r="B50" s="12"/>
      <c r="C50" s="17" t="str">
        <f aca="false">IF($B50="","",IFERROR(INDEX(학생명부!$B$3:$B$83,MATCH($B50,학생명부!$A$3:$A$83,0)),"학번없음"))</f>
        <v/>
      </c>
      <c r="D50" s="12"/>
      <c r="E50" s="12"/>
    </row>
    <row r="51" customFormat="false" ht="15" hidden="false" customHeight="true" outlineLevel="0" collapsed="false">
      <c r="A51" s="16"/>
      <c r="B51" s="12"/>
      <c r="C51" s="17" t="str">
        <f aca="false">IF($B51="","",IFERROR(INDEX(학생명부!$B$3:$B$83,MATCH($B51,학생명부!$A$3:$A$83,0)),"학번없음"))</f>
        <v/>
      </c>
      <c r="D51" s="12"/>
      <c r="E51" s="12"/>
    </row>
    <row r="52" customFormat="false" ht="15" hidden="false" customHeight="true" outlineLevel="0" collapsed="false">
      <c r="A52" s="16"/>
      <c r="B52" s="12"/>
      <c r="C52" s="17" t="str">
        <f aca="false">IF($B52="","",IFERROR(INDEX(학생명부!$B$3:$B$83,MATCH($B52,학생명부!$A$3:$A$83,0)),"학번없음"))</f>
        <v/>
      </c>
      <c r="D52" s="12"/>
      <c r="E52" s="12"/>
    </row>
    <row r="53" customFormat="false" ht="15" hidden="false" customHeight="true" outlineLevel="0" collapsed="false">
      <c r="A53" s="16"/>
      <c r="B53" s="12"/>
      <c r="C53" s="17" t="str">
        <f aca="false">IF($B53="","",IFERROR(INDEX(학생명부!$B$3:$B$83,MATCH($B53,학생명부!$A$3:$A$83,0)),"학번없음"))</f>
        <v/>
      </c>
      <c r="D53" s="12"/>
      <c r="E53" s="12"/>
    </row>
    <row r="54" customFormat="false" ht="15" hidden="false" customHeight="true" outlineLevel="0" collapsed="false">
      <c r="A54" s="16"/>
      <c r="B54" s="12"/>
      <c r="C54" s="17" t="str">
        <f aca="false">IF($B54="","",IFERROR(INDEX(학생명부!$B$3:$B$83,MATCH($B54,학생명부!$A$3:$A$83,0)),"학번없음"))</f>
        <v/>
      </c>
      <c r="D54" s="12"/>
      <c r="E54" s="12"/>
    </row>
    <row r="55" customFormat="false" ht="15" hidden="false" customHeight="true" outlineLevel="0" collapsed="false">
      <c r="A55" s="16"/>
      <c r="B55" s="12"/>
      <c r="C55" s="17" t="str">
        <f aca="false">IF($B55="","",IFERROR(INDEX(학생명부!$B$3:$B$83,MATCH($B55,학생명부!$A$3:$A$83,0)),"학번없음"))</f>
        <v/>
      </c>
      <c r="D55" s="12"/>
      <c r="E55" s="12"/>
    </row>
    <row r="56" customFormat="false" ht="15" hidden="false" customHeight="true" outlineLevel="0" collapsed="false">
      <c r="A56" s="16"/>
      <c r="B56" s="12"/>
      <c r="C56" s="17" t="str">
        <f aca="false">IF($B56="","",IFERROR(INDEX(학생명부!$B$3:$B$83,MATCH($B56,학생명부!$A$3:$A$83,0)),"학번없음"))</f>
        <v/>
      </c>
      <c r="D56" s="12"/>
      <c r="E56" s="12"/>
    </row>
    <row r="57" customFormat="false" ht="15" hidden="false" customHeight="true" outlineLevel="0" collapsed="false">
      <c r="A57" s="16"/>
      <c r="B57" s="12"/>
      <c r="C57" s="17" t="str">
        <f aca="false">IF($B57="","",IFERROR(INDEX(학생명부!$B$3:$B$83,MATCH($B57,학생명부!$A$3:$A$83,0)),"학번없음"))</f>
        <v/>
      </c>
      <c r="D57" s="12"/>
      <c r="E57" s="12"/>
    </row>
    <row r="58" customFormat="false" ht="15" hidden="false" customHeight="true" outlineLevel="0" collapsed="false">
      <c r="A58" s="16"/>
      <c r="B58" s="12"/>
      <c r="C58" s="17" t="str">
        <f aca="false">IF($B58="","",IFERROR(INDEX(학생명부!$B$3:$B$83,MATCH($B58,학생명부!$A$3:$A$83,0)),"학번없음"))</f>
        <v/>
      </c>
      <c r="D58" s="12"/>
      <c r="E58" s="12"/>
    </row>
    <row r="59" customFormat="false" ht="15" hidden="false" customHeight="true" outlineLevel="0" collapsed="false">
      <c r="A59" s="16"/>
      <c r="B59" s="12"/>
      <c r="C59" s="17" t="str">
        <f aca="false">IF($B59="","",IFERROR(INDEX(학생명부!$B$3:$B$83,MATCH($B59,학생명부!$A$3:$A$83,0)),"학번없음"))</f>
        <v/>
      </c>
      <c r="D59" s="12"/>
      <c r="E59" s="12"/>
    </row>
    <row r="60" customFormat="false" ht="15" hidden="false" customHeight="true" outlineLevel="0" collapsed="false">
      <c r="A60" s="16"/>
      <c r="B60" s="12"/>
      <c r="C60" s="17" t="str">
        <f aca="false">IF($B60="","",IFERROR(INDEX(학생명부!$B$3:$B$83,MATCH($B60,학생명부!$A$3:$A$83,0)),"학번없음"))</f>
        <v/>
      </c>
      <c r="D60" s="12"/>
      <c r="E60" s="12"/>
    </row>
    <row r="61" customFormat="false" ht="15" hidden="false" customHeight="true" outlineLevel="0" collapsed="false">
      <c r="A61" s="16"/>
      <c r="B61" s="12"/>
      <c r="C61" s="17" t="str">
        <f aca="false">IF($B61="","",IFERROR(INDEX(학생명부!$B$3:$B$83,MATCH($B61,학생명부!$A$3:$A$83,0)),"학번없음"))</f>
        <v/>
      </c>
      <c r="D61" s="12"/>
      <c r="E61" s="12"/>
    </row>
    <row r="62" customFormat="false" ht="15" hidden="false" customHeight="true" outlineLevel="0" collapsed="false">
      <c r="A62" s="16"/>
      <c r="B62" s="12"/>
      <c r="C62" s="17" t="str">
        <f aca="false">IF($B62="","",IFERROR(INDEX(학생명부!$B$3:$B$83,MATCH($B62,학생명부!$A$3:$A$83,0)),"학번없음"))</f>
        <v/>
      </c>
      <c r="D62" s="12"/>
      <c r="E62" s="12"/>
    </row>
    <row r="63" customFormat="false" ht="15" hidden="false" customHeight="true" outlineLevel="0" collapsed="false">
      <c r="A63" s="16"/>
      <c r="B63" s="12"/>
      <c r="C63" s="17" t="str">
        <f aca="false">IF($B63="","",IFERROR(INDEX(학생명부!$B$3:$B$83,MATCH($B63,학생명부!$A$3:$A$83,0)),"학번없음"))</f>
        <v/>
      </c>
      <c r="D63" s="12"/>
      <c r="E63" s="12"/>
    </row>
    <row r="64" customFormat="false" ht="15" hidden="false" customHeight="true" outlineLevel="0" collapsed="false">
      <c r="A64" s="16"/>
      <c r="B64" s="12"/>
      <c r="C64" s="17" t="str">
        <f aca="false">IF($B64="","",IFERROR(INDEX(학생명부!$B$3:$B$83,MATCH($B64,학생명부!$A$3:$A$83,0)),"학번없음"))</f>
        <v/>
      </c>
      <c r="D64" s="12"/>
      <c r="E64" s="12"/>
    </row>
    <row r="65" customFormat="false" ht="15" hidden="false" customHeight="true" outlineLevel="0" collapsed="false">
      <c r="A65" s="16"/>
      <c r="B65" s="12"/>
      <c r="C65" s="17" t="str">
        <f aca="false">IF($B65="","",IFERROR(INDEX(학생명부!$B$3:$B$83,MATCH($B65,학생명부!$A$3:$A$83,0)),"학번없음"))</f>
        <v/>
      </c>
      <c r="D65" s="12"/>
      <c r="E65" s="12"/>
    </row>
    <row r="66" customFormat="false" ht="15" hidden="false" customHeight="true" outlineLevel="0" collapsed="false">
      <c r="A66" s="16"/>
      <c r="B66" s="12"/>
      <c r="C66" s="17" t="str">
        <f aca="false">IF($B66="","",IFERROR(INDEX(학생명부!$B$3:$B$83,MATCH($B66,학생명부!$A$3:$A$83,0)),"학번없음"))</f>
        <v/>
      </c>
      <c r="D66" s="12"/>
      <c r="E66" s="12"/>
    </row>
    <row r="67" customFormat="false" ht="15" hidden="false" customHeight="true" outlineLevel="0" collapsed="false">
      <c r="A67" s="16"/>
      <c r="B67" s="12"/>
      <c r="C67" s="17" t="str">
        <f aca="false">IF($B67="","",IFERROR(INDEX(학생명부!$B$3:$B$83,MATCH($B67,학생명부!$A$3:$A$83,0)),"학번없음"))</f>
        <v/>
      </c>
      <c r="D67" s="12"/>
      <c r="E67" s="12"/>
    </row>
    <row r="68" customFormat="false" ht="15" hidden="false" customHeight="true" outlineLevel="0" collapsed="false">
      <c r="A68" s="16"/>
      <c r="B68" s="12"/>
      <c r="C68" s="17" t="str">
        <f aca="false">IF($B68="","",IFERROR(INDEX(학생명부!$B$3:$B$83,MATCH($B68,학생명부!$A$3:$A$83,0)),"학번없음"))</f>
        <v/>
      </c>
      <c r="D68" s="12"/>
      <c r="E68" s="12"/>
    </row>
    <row r="69" customFormat="false" ht="15" hidden="false" customHeight="true" outlineLevel="0" collapsed="false">
      <c r="A69" s="16"/>
      <c r="B69" s="12"/>
      <c r="C69" s="17" t="str">
        <f aca="false">IF($B69="","",IFERROR(INDEX(학생명부!$B$3:$B$83,MATCH($B69,학생명부!$A$3:$A$83,0)),"학번없음"))</f>
        <v/>
      </c>
      <c r="D69" s="12"/>
      <c r="E69" s="12"/>
    </row>
    <row r="70" customFormat="false" ht="15" hidden="false" customHeight="true" outlineLevel="0" collapsed="false">
      <c r="A70" s="16"/>
      <c r="B70" s="12"/>
      <c r="C70" s="17" t="str">
        <f aca="false">IF($B70="","",IFERROR(INDEX(학생명부!$B$3:$B$83,MATCH($B70,학생명부!$A$3:$A$83,0)),"학번없음"))</f>
        <v/>
      </c>
      <c r="D70" s="12"/>
      <c r="E70" s="12"/>
    </row>
    <row r="71" customFormat="false" ht="15" hidden="false" customHeight="true" outlineLevel="0" collapsed="false">
      <c r="A71" s="16"/>
      <c r="B71" s="12"/>
      <c r="C71" s="17" t="str">
        <f aca="false">IF($B71="","",IFERROR(INDEX(학생명부!$B$3:$B$83,MATCH($B71,학생명부!$A$3:$A$83,0)),"학번없음"))</f>
        <v/>
      </c>
      <c r="D71" s="12"/>
      <c r="E71" s="12"/>
    </row>
    <row r="72" customFormat="false" ht="15" hidden="false" customHeight="true" outlineLevel="0" collapsed="false">
      <c r="A72" s="16"/>
      <c r="B72" s="12"/>
      <c r="C72" s="17" t="str">
        <f aca="false">IF($B72="","",IFERROR(INDEX(학생명부!$B$3:$B$83,MATCH($B72,학생명부!$A$3:$A$83,0)),"학번없음"))</f>
        <v/>
      </c>
      <c r="D72" s="12"/>
      <c r="E72" s="12"/>
    </row>
    <row r="73" customFormat="false" ht="15" hidden="false" customHeight="true" outlineLevel="0" collapsed="false">
      <c r="A73" s="16"/>
      <c r="B73" s="12"/>
      <c r="C73" s="17" t="str">
        <f aca="false">IF($B73="","",IFERROR(INDEX(학생명부!$B$3:$B$83,MATCH($B73,학생명부!$A$3:$A$83,0)),"학번없음"))</f>
        <v/>
      </c>
      <c r="D73" s="12"/>
      <c r="E73" s="12"/>
    </row>
    <row r="74" customFormat="false" ht="15" hidden="false" customHeight="true" outlineLevel="0" collapsed="false">
      <c r="A74" s="16"/>
      <c r="B74" s="12"/>
      <c r="C74" s="17" t="str">
        <f aca="false">IF($B74="","",IFERROR(INDEX(학생명부!$B$3:$B$83,MATCH($B74,학생명부!$A$3:$A$83,0)),"학번없음"))</f>
        <v/>
      </c>
      <c r="D74" s="12"/>
      <c r="E74" s="12"/>
    </row>
    <row r="75" customFormat="false" ht="15" hidden="false" customHeight="true" outlineLevel="0" collapsed="false">
      <c r="A75" s="16"/>
      <c r="B75" s="12"/>
      <c r="C75" s="17" t="str">
        <f aca="false">IF($B75="","",IFERROR(INDEX(학생명부!$B$3:$B$83,MATCH($B75,학생명부!$A$3:$A$83,0)),"학번없음"))</f>
        <v/>
      </c>
      <c r="D75" s="12"/>
      <c r="E75" s="12"/>
    </row>
    <row r="76" customFormat="false" ht="15" hidden="false" customHeight="true" outlineLevel="0" collapsed="false">
      <c r="A76" s="16"/>
      <c r="B76" s="12"/>
      <c r="C76" s="17" t="str">
        <f aca="false">IF($B76="","",IFERROR(INDEX(학생명부!$B$3:$B$83,MATCH($B76,학생명부!$A$3:$A$83,0)),"학번없음"))</f>
        <v/>
      </c>
      <c r="D76" s="12"/>
      <c r="E76" s="12"/>
    </row>
    <row r="77" customFormat="false" ht="15" hidden="false" customHeight="true" outlineLevel="0" collapsed="false">
      <c r="A77" s="16"/>
      <c r="B77" s="12"/>
      <c r="C77" s="17" t="str">
        <f aca="false">IF($B77="","",IFERROR(INDEX(학생명부!$B$3:$B$83,MATCH($B77,학생명부!$A$3:$A$83,0)),"학번없음"))</f>
        <v/>
      </c>
      <c r="D77" s="12"/>
      <c r="E77" s="12"/>
    </row>
    <row r="78" customFormat="false" ht="15" hidden="false" customHeight="true" outlineLevel="0" collapsed="false">
      <c r="A78" s="16"/>
      <c r="B78" s="12"/>
      <c r="C78" s="17" t="str">
        <f aca="false">IF($B78="","",IFERROR(INDEX(학생명부!$B$3:$B$83,MATCH($B78,학생명부!$A$3:$A$83,0)),"학번없음"))</f>
        <v/>
      </c>
      <c r="D78" s="12"/>
      <c r="E78" s="12"/>
    </row>
    <row r="79" customFormat="false" ht="15" hidden="false" customHeight="true" outlineLevel="0" collapsed="false">
      <c r="A79" s="16"/>
      <c r="B79" s="12"/>
      <c r="C79" s="17" t="str">
        <f aca="false">IF($B79="","",IFERROR(INDEX(학생명부!$B$3:$B$83,MATCH($B79,학생명부!$A$3:$A$83,0)),"학번없음"))</f>
        <v/>
      </c>
      <c r="D79" s="12"/>
      <c r="E79" s="12"/>
    </row>
    <row r="80" customFormat="false" ht="15" hidden="false" customHeight="true" outlineLevel="0" collapsed="false">
      <c r="A80" s="16"/>
      <c r="B80" s="12"/>
      <c r="C80" s="17" t="str">
        <f aca="false">IF($B80="","",IFERROR(INDEX(학생명부!$B$3:$B$83,MATCH($B80,학생명부!$A$3:$A$83,0)),"학번없음"))</f>
        <v/>
      </c>
      <c r="D80" s="12"/>
      <c r="E80" s="12"/>
    </row>
    <row r="81" customFormat="false" ht="15" hidden="false" customHeight="true" outlineLevel="0" collapsed="false">
      <c r="A81" s="16"/>
      <c r="B81" s="12"/>
      <c r="C81" s="17" t="str">
        <f aca="false">IF($B81="","",IFERROR(INDEX(학생명부!$B$3:$B$83,MATCH($B81,학생명부!$A$3:$A$83,0)),"학번없음"))</f>
        <v/>
      </c>
      <c r="D81" s="12"/>
      <c r="E81" s="12"/>
    </row>
    <row r="82" customFormat="false" ht="15" hidden="false" customHeight="true" outlineLevel="0" collapsed="false">
      <c r="A82" s="16"/>
      <c r="B82" s="12"/>
      <c r="C82" s="17" t="str">
        <f aca="false">IF($B82="","",IFERROR(INDEX(학생명부!$B$3:$B$83,MATCH($B82,학생명부!$A$3:$A$83,0)),"학번없음"))</f>
        <v/>
      </c>
      <c r="D82" s="12"/>
      <c r="E82" s="12"/>
    </row>
    <row r="83" customFormat="false" ht="15" hidden="false" customHeight="true" outlineLevel="0" collapsed="false">
      <c r="A83" s="16"/>
      <c r="B83" s="12"/>
      <c r="C83" s="17" t="str">
        <f aca="false">IF($B83="","",IFERROR(INDEX(학생명부!$B$3:$B$83,MATCH($B83,학생명부!$A$3:$A$83,0)),"학번없음"))</f>
        <v/>
      </c>
      <c r="D83" s="12"/>
      <c r="E83" s="12"/>
    </row>
    <row r="84" customFormat="false" ht="15" hidden="false" customHeight="true" outlineLevel="0" collapsed="false">
      <c r="A84" s="16"/>
      <c r="B84" s="12"/>
      <c r="C84" s="17" t="str">
        <f aca="false">IF($B84="","",IFERROR(INDEX(학생명부!$B$3:$B$83,MATCH($B84,학생명부!$A$3:$A$83,0)),"학번없음"))</f>
        <v/>
      </c>
      <c r="D84" s="12"/>
      <c r="E84" s="12"/>
    </row>
    <row r="85" customFormat="false" ht="15" hidden="false" customHeight="true" outlineLevel="0" collapsed="false">
      <c r="A85" s="16"/>
      <c r="B85" s="12"/>
      <c r="C85" s="17" t="str">
        <f aca="false">IF($B85="","",IFERROR(INDEX(학생명부!$B$3:$B$83,MATCH($B85,학생명부!$A$3:$A$83,0)),"학번없음"))</f>
        <v/>
      </c>
      <c r="D85" s="12"/>
      <c r="E85" s="12"/>
    </row>
    <row r="86" customFormat="false" ht="15" hidden="false" customHeight="true" outlineLevel="0" collapsed="false">
      <c r="A86" s="16"/>
      <c r="B86" s="12"/>
      <c r="C86" s="17" t="str">
        <f aca="false">IF($B86="","",IFERROR(INDEX(학생명부!$B$3:$B$83,MATCH($B86,학생명부!$A$3:$A$83,0)),"학번없음"))</f>
        <v/>
      </c>
      <c r="D86" s="12"/>
      <c r="E86" s="12"/>
    </row>
    <row r="87" customFormat="false" ht="15" hidden="false" customHeight="true" outlineLevel="0" collapsed="false">
      <c r="A87" s="16"/>
      <c r="B87" s="12"/>
      <c r="C87" s="17" t="str">
        <f aca="false">IF($B87="","",IFERROR(INDEX(학생명부!$B$3:$B$83,MATCH($B87,학생명부!$A$3:$A$83,0)),"학번없음"))</f>
        <v/>
      </c>
      <c r="D87" s="12"/>
      <c r="E87" s="12"/>
    </row>
    <row r="88" customFormat="false" ht="15" hidden="false" customHeight="true" outlineLevel="0" collapsed="false">
      <c r="A88" s="16"/>
      <c r="B88" s="12"/>
      <c r="C88" s="17" t="str">
        <f aca="false">IF($B88="","",IFERROR(INDEX(학생명부!$B$3:$B$83,MATCH($B88,학생명부!$A$3:$A$83,0)),"학번없음"))</f>
        <v/>
      </c>
      <c r="D88" s="12"/>
      <c r="E88" s="12"/>
    </row>
    <row r="89" customFormat="false" ht="15" hidden="false" customHeight="true" outlineLevel="0" collapsed="false">
      <c r="A89" s="16"/>
      <c r="B89" s="12"/>
      <c r="C89" s="17" t="str">
        <f aca="false">IF($B89="","",IFERROR(INDEX(학생명부!$B$3:$B$83,MATCH($B89,학생명부!$A$3:$A$83,0)),"학번없음"))</f>
        <v/>
      </c>
      <c r="D89" s="12"/>
      <c r="E89" s="12"/>
    </row>
    <row r="90" customFormat="false" ht="15" hidden="false" customHeight="true" outlineLevel="0" collapsed="false">
      <c r="A90" s="16"/>
      <c r="B90" s="12"/>
      <c r="C90" s="17" t="str">
        <f aca="false">IF($B90="","",IFERROR(INDEX(학생명부!$B$3:$B$83,MATCH($B90,학생명부!$A$3:$A$83,0)),"학번없음"))</f>
        <v/>
      </c>
      <c r="D90" s="12"/>
      <c r="E90" s="12"/>
    </row>
    <row r="91" customFormat="false" ht="15" hidden="false" customHeight="true" outlineLevel="0" collapsed="false">
      <c r="A91" s="16"/>
      <c r="B91" s="12"/>
      <c r="C91" s="17" t="str">
        <f aca="false">IF($B91="","",IFERROR(INDEX(학생명부!$B$3:$B$83,MATCH($B91,학생명부!$A$3:$A$83,0)),"학번없음"))</f>
        <v/>
      </c>
      <c r="D91" s="12"/>
      <c r="E91" s="12"/>
    </row>
    <row r="92" customFormat="false" ht="15" hidden="false" customHeight="true" outlineLevel="0" collapsed="false">
      <c r="A92" s="16"/>
      <c r="B92" s="12"/>
      <c r="C92" s="17" t="str">
        <f aca="false">IF($B92="","",IFERROR(INDEX(학생명부!$B$3:$B$83,MATCH($B92,학생명부!$A$3:$A$83,0)),"학번없음"))</f>
        <v/>
      </c>
      <c r="D92" s="12"/>
      <c r="E92" s="12"/>
    </row>
    <row r="93" customFormat="false" ht="15" hidden="false" customHeight="true" outlineLevel="0" collapsed="false">
      <c r="A93" s="16"/>
      <c r="B93" s="12"/>
      <c r="C93" s="17" t="str">
        <f aca="false">IF($B93="","",IFERROR(INDEX(학생명부!$B$3:$B$83,MATCH($B93,학생명부!$A$3:$A$83,0)),"학번없음"))</f>
        <v/>
      </c>
      <c r="D93" s="12"/>
      <c r="E93" s="12"/>
    </row>
    <row r="94" customFormat="false" ht="15" hidden="false" customHeight="true" outlineLevel="0" collapsed="false">
      <c r="A94" s="16"/>
      <c r="B94" s="12"/>
      <c r="C94" s="17" t="str">
        <f aca="false">IF($B94="","",IFERROR(INDEX(학생명부!$B$3:$B$83,MATCH($B94,학생명부!$A$3:$A$83,0)),"학번없음"))</f>
        <v/>
      </c>
      <c r="D94" s="12"/>
      <c r="E94" s="12"/>
    </row>
    <row r="95" customFormat="false" ht="15" hidden="false" customHeight="true" outlineLevel="0" collapsed="false">
      <c r="A95" s="16"/>
      <c r="B95" s="12"/>
      <c r="C95" s="17" t="str">
        <f aca="false">IF($B95="","",IFERROR(INDEX(학생명부!$B$3:$B$83,MATCH($B95,학생명부!$A$3:$A$83,0)),"학번없음"))</f>
        <v/>
      </c>
      <c r="D95" s="12"/>
      <c r="E95" s="12"/>
    </row>
    <row r="96" customFormat="false" ht="15" hidden="false" customHeight="true" outlineLevel="0" collapsed="false">
      <c r="A96" s="16"/>
      <c r="B96" s="12"/>
      <c r="C96" s="17" t="str">
        <f aca="false">IF($B96="","",IFERROR(INDEX(학생명부!$B$3:$B$83,MATCH($B96,학생명부!$A$3:$A$83,0)),"학번없음"))</f>
        <v/>
      </c>
      <c r="D96" s="12"/>
      <c r="E96" s="12"/>
    </row>
    <row r="97" customFormat="false" ht="15" hidden="false" customHeight="true" outlineLevel="0" collapsed="false">
      <c r="A97" s="16"/>
      <c r="B97" s="12"/>
      <c r="C97" s="17" t="str">
        <f aca="false">IF($B97="","",IFERROR(INDEX(학생명부!$B$3:$B$83,MATCH($B97,학생명부!$A$3:$A$83,0)),"학번없음"))</f>
        <v/>
      </c>
      <c r="D97" s="12"/>
      <c r="E97" s="12"/>
    </row>
    <row r="98" customFormat="false" ht="15" hidden="false" customHeight="true" outlineLevel="0" collapsed="false">
      <c r="A98" s="16"/>
      <c r="B98" s="12"/>
      <c r="C98" s="17" t="str">
        <f aca="false">IF($B98="","",IFERROR(INDEX(학생명부!$B$3:$B$83,MATCH($B98,학생명부!$A$3:$A$83,0)),"학번없음"))</f>
        <v/>
      </c>
      <c r="D98" s="12"/>
      <c r="E98" s="12"/>
    </row>
    <row r="99" customFormat="false" ht="15" hidden="false" customHeight="true" outlineLevel="0" collapsed="false">
      <c r="A99" s="16"/>
      <c r="B99" s="12"/>
      <c r="C99" s="17" t="str">
        <f aca="false">IF($B99="","",IFERROR(INDEX(학생명부!$B$3:$B$83,MATCH($B99,학생명부!$A$3:$A$83,0)),"학번없음"))</f>
        <v/>
      </c>
      <c r="D99" s="12"/>
      <c r="E99" s="12"/>
    </row>
    <row r="100" customFormat="false" ht="15" hidden="false" customHeight="true" outlineLevel="0" collapsed="false">
      <c r="A100" s="16"/>
      <c r="B100" s="12"/>
      <c r="C100" s="17" t="str">
        <f aca="false">IF($B100="","",IFERROR(INDEX(학생명부!$B$3:$B$83,MATCH($B100,학생명부!$A$3:$A$83,0)),"학번없음"))</f>
        <v/>
      </c>
      <c r="D100" s="12"/>
      <c r="E100" s="12"/>
    </row>
    <row r="101" customFormat="false" ht="15" hidden="false" customHeight="true" outlineLevel="0" collapsed="false">
      <c r="A101" s="16"/>
      <c r="B101" s="12"/>
      <c r="C101" s="17" t="str">
        <f aca="false">IF($B101="","",IFERROR(INDEX(학생명부!$B$3:$B$83,MATCH($B101,학생명부!$A$3:$A$83,0)),"학번없음"))</f>
        <v/>
      </c>
      <c r="D101" s="12"/>
      <c r="E101" s="12"/>
    </row>
    <row r="102" customFormat="false" ht="15" hidden="false" customHeight="true" outlineLevel="0" collapsed="false">
      <c r="A102" s="16"/>
      <c r="B102" s="12"/>
      <c r="C102" s="17" t="str">
        <f aca="false">IF($B102="","",IFERROR(INDEX(학생명부!$B$3:$B$83,MATCH($B102,학생명부!$A$3:$A$83,0)),"학번없음"))</f>
        <v/>
      </c>
      <c r="D102" s="12"/>
      <c r="E102" s="12"/>
    </row>
    <row r="103" customFormat="false" ht="15" hidden="false" customHeight="true" outlineLevel="0" collapsed="false">
      <c r="A103" s="16"/>
      <c r="B103" s="12"/>
      <c r="C103" s="17" t="str">
        <f aca="false">IF($B103="","",IFERROR(INDEX(학생명부!$B$3:$B$83,MATCH($B103,학생명부!$A$3:$A$83,0)),"학번없음"))</f>
        <v/>
      </c>
      <c r="D103" s="12"/>
      <c r="E103" s="12"/>
    </row>
    <row r="104" customFormat="false" ht="15" hidden="false" customHeight="true" outlineLevel="0" collapsed="false">
      <c r="A104" s="16"/>
      <c r="B104" s="12"/>
      <c r="C104" s="17" t="str">
        <f aca="false">IF($B104="","",IFERROR(INDEX(학생명부!$B$3:$B$83,MATCH($B104,학생명부!$A$3:$A$83,0)),"학번없음"))</f>
        <v/>
      </c>
      <c r="D104" s="12"/>
      <c r="E104" s="12"/>
    </row>
    <row r="105" customFormat="false" ht="15" hidden="false" customHeight="true" outlineLevel="0" collapsed="false">
      <c r="A105" s="16"/>
      <c r="B105" s="12"/>
      <c r="C105" s="17" t="str">
        <f aca="false">IF($B105="","",IFERROR(INDEX(학생명부!$B$3:$B$83,MATCH($B105,학생명부!$A$3:$A$83,0)),"학번없음"))</f>
        <v/>
      </c>
      <c r="D105" s="12"/>
      <c r="E105" s="12"/>
    </row>
    <row r="106" customFormat="false" ht="15" hidden="false" customHeight="true" outlineLevel="0" collapsed="false">
      <c r="A106" s="16"/>
      <c r="B106" s="12"/>
      <c r="C106" s="17" t="str">
        <f aca="false">IF($B106="","",IFERROR(INDEX(학생명부!$B$3:$B$83,MATCH($B106,학생명부!$A$3:$A$83,0)),"학번없음"))</f>
        <v/>
      </c>
      <c r="D106" s="12"/>
      <c r="E106" s="12"/>
    </row>
    <row r="107" customFormat="false" ht="15" hidden="false" customHeight="true" outlineLevel="0" collapsed="false">
      <c r="A107" s="16"/>
      <c r="B107" s="12"/>
      <c r="C107" s="17" t="str">
        <f aca="false">IF($B107="","",IFERROR(INDEX(학생명부!$B$3:$B$83,MATCH($B107,학생명부!$A$3:$A$83,0)),"학번없음"))</f>
        <v/>
      </c>
      <c r="D107" s="12"/>
      <c r="E107" s="12"/>
    </row>
    <row r="108" customFormat="false" ht="15" hidden="false" customHeight="true" outlineLevel="0" collapsed="false">
      <c r="A108" s="16"/>
      <c r="B108" s="12"/>
      <c r="C108" s="17" t="str">
        <f aca="false">IF($B108="","",IFERROR(INDEX(학생명부!$B$3:$B$83,MATCH($B108,학생명부!$A$3:$A$83,0)),"학번없음"))</f>
        <v/>
      </c>
      <c r="D108" s="12"/>
      <c r="E108" s="12"/>
    </row>
    <row r="109" customFormat="false" ht="15" hidden="false" customHeight="true" outlineLevel="0" collapsed="false">
      <c r="A109" s="16"/>
      <c r="B109" s="12"/>
      <c r="C109" s="17" t="str">
        <f aca="false">IF($B109="","",IFERROR(INDEX(학생명부!$B$3:$B$83,MATCH($B109,학생명부!$A$3:$A$83,0)),"학번없음"))</f>
        <v/>
      </c>
      <c r="D109" s="12"/>
      <c r="E109" s="12"/>
    </row>
    <row r="110" customFormat="false" ht="15" hidden="false" customHeight="true" outlineLevel="0" collapsed="false">
      <c r="A110" s="16"/>
      <c r="B110" s="12"/>
      <c r="C110" s="17" t="str">
        <f aca="false">IF($B110="","",IFERROR(INDEX(학생명부!$B$3:$B$83,MATCH($B110,학생명부!$A$3:$A$83,0)),"학번없음"))</f>
        <v/>
      </c>
      <c r="D110" s="12"/>
      <c r="E110" s="12"/>
    </row>
    <row r="111" customFormat="false" ht="15" hidden="false" customHeight="true" outlineLevel="0" collapsed="false">
      <c r="A111" s="16"/>
      <c r="B111" s="12"/>
      <c r="C111" s="17" t="str">
        <f aca="false">IF($B111="","",IFERROR(INDEX(학생명부!$B$3:$B$83,MATCH($B111,학생명부!$A$3:$A$83,0)),"학번없음"))</f>
        <v/>
      </c>
      <c r="D111" s="12"/>
      <c r="E111" s="12"/>
    </row>
    <row r="112" customFormat="false" ht="15" hidden="false" customHeight="true" outlineLevel="0" collapsed="false">
      <c r="A112" s="16"/>
      <c r="B112" s="12"/>
      <c r="C112" s="17" t="str">
        <f aca="false">IF($B112="","",IFERROR(INDEX(학생명부!$B$3:$B$83,MATCH($B112,학생명부!$A$3:$A$83,0)),"학번없음"))</f>
        <v/>
      </c>
      <c r="D112" s="12"/>
      <c r="E112" s="12"/>
    </row>
    <row r="113" customFormat="false" ht="15" hidden="false" customHeight="true" outlineLevel="0" collapsed="false">
      <c r="A113" s="16"/>
      <c r="B113" s="12"/>
      <c r="C113" s="17" t="str">
        <f aca="false">IF($B113="","",IFERROR(INDEX(학생명부!$B$3:$B$83,MATCH($B113,학생명부!$A$3:$A$83,0)),"학번없음"))</f>
        <v/>
      </c>
      <c r="D113" s="12"/>
      <c r="E113" s="12"/>
    </row>
    <row r="114" customFormat="false" ht="15" hidden="false" customHeight="true" outlineLevel="0" collapsed="false">
      <c r="A114" s="16"/>
      <c r="B114" s="12"/>
      <c r="C114" s="17" t="str">
        <f aca="false">IF($B114="","",IFERROR(INDEX(학생명부!$B$3:$B$83,MATCH($B114,학생명부!$A$3:$A$83,0)),"학번없음"))</f>
        <v/>
      </c>
      <c r="D114" s="12"/>
      <c r="E114" s="12"/>
    </row>
    <row r="115" customFormat="false" ht="15" hidden="false" customHeight="true" outlineLevel="0" collapsed="false">
      <c r="A115" s="16"/>
      <c r="B115" s="12"/>
      <c r="C115" s="17" t="str">
        <f aca="false">IF($B115="","",IFERROR(INDEX(학생명부!$B$3:$B$83,MATCH($B115,학생명부!$A$3:$A$83,0)),"학번없음"))</f>
        <v/>
      </c>
      <c r="D115" s="12"/>
      <c r="E115" s="12"/>
    </row>
    <row r="116" customFormat="false" ht="15" hidden="false" customHeight="true" outlineLevel="0" collapsed="false">
      <c r="A116" s="16"/>
      <c r="B116" s="12"/>
      <c r="C116" s="17" t="str">
        <f aca="false">IF($B116="","",IFERROR(INDEX(학생명부!$B$3:$B$83,MATCH($B116,학생명부!$A$3:$A$83,0)),"학번없음"))</f>
        <v/>
      </c>
      <c r="D116" s="12"/>
      <c r="E116" s="12"/>
    </row>
    <row r="117" customFormat="false" ht="15" hidden="false" customHeight="true" outlineLevel="0" collapsed="false">
      <c r="A117" s="16"/>
      <c r="B117" s="12"/>
      <c r="C117" s="17" t="str">
        <f aca="false">IF($B117="","",IFERROR(INDEX(학생명부!$B$3:$B$83,MATCH($B117,학생명부!$A$3:$A$83,0)),"학번없음"))</f>
        <v/>
      </c>
      <c r="D117" s="12"/>
      <c r="E117" s="12"/>
    </row>
    <row r="118" customFormat="false" ht="15" hidden="false" customHeight="true" outlineLevel="0" collapsed="false">
      <c r="A118" s="16"/>
      <c r="B118" s="12"/>
      <c r="C118" s="17" t="str">
        <f aca="false">IF($B118="","",IFERROR(INDEX(학생명부!$B$3:$B$83,MATCH($B118,학생명부!$A$3:$A$83,0)),"학번없음"))</f>
        <v/>
      </c>
      <c r="D118" s="12"/>
      <c r="E118" s="12"/>
    </row>
    <row r="119" customFormat="false" ht="15" hidden="false" customHeight="true" outlineLevel="0" collapsed="false">
      <c r="A119" s="16"/>
      <c r="B119" s="12"/>
      <c r="C119" s="17" t="str">
        <f aca="false">IF($B119="","",IFERROR(INDEX(학생명부!$B$3:$B$83,MATCH($B119,학생명부!$A$3:$A$83,0)),"학번없음"))</f>
        <v/>
      </c>
      <c r="D119" s="12"/>
      <c r="E119" s="12"/>
    </row>
    <row r="120" customFormat="false" ht="15" hidden="false" customHeight="true" outlineLevel="0" collapsed="false">
      <c r="A120" s="16"/>
      <c r="B120" s="12"/>
      <c r="C120" s="17" t="str">
        <f aca="false">IF($B120="","",IFERROR(INDEX(학생명부!$B$3:$B$83,MATCH($B120,학생명부!$A$3:$A$83,0)),"학번없음"))</f>
        <v/>
      </c>
      <c r="D120" s="12"/>
      <c r="E120" s="12"/>
    </row>
    <row r="121" customFormat="false" ht="15" hidden="false" customHeight="true" outlineLevel="0" collapsed="false">
      <c r="A121" s="16"/>
      <c r="B121" s="12"/>
      <c r="C121" s="17" t="str">
        <f aca="false">IF($B121="","",IFERROR(INDEX(학생명부!$B$3:$B$83,MATCH($B121,학생명부!$A$3:$A$83,0)),"학번없음"))</f>
        <v/>
      </c>
      <c r="D121" s="12"/>
      <c r="E121" s="12"/>
    </row>
    <row r="122" customFormat="false" ht="15" hidden="false" customHeight="true" outlineLevel="0" collapsed="false">
      <c r="A122" s="16"/>
      <c r="B122" s="12"/>
      <c r="C122" s="17" t="str">
        <f aca="false">IF($B122="","",IFERROR(INDEX(학생명부!$B$3:$B$83,MATCH($B122,학생명부!$A$3:$A$83,0)),"학번없음"))</f>
        <v/>
      </c>
      <c r="D122" s="12"/>
      <c r="E122" s="12"/>
    </row>
    <row r="123" customFormat="false" ht="15" hidden="false" customHeight="true" outlineLevel="0" collapsed="false">
      <c r="A123" s="16"/>
      <c r="B123" s="12"/>
      <c r="C123" s="17" t="str">
        <f aca="false">IF($B123="","",IFERROR(INDEX(학생명부!$B$3:$B$83,MATCH($B123,학생명부!$A$3:$A$83,0)),"학번없음"))</f>
        <v/>
      </c>
      <c r="D123" s="12"/>
      <c r="E123" s="12"/>
    </row>
    <row r="124" customFormat="false" ht="15" hidden="false" customHeight="true" outlineLevel="0" collapsed="false">
      <c r="A124" s="16"/>
      <c r="B124" s="12"/>
      <c r="C124" s="17" t="str">
        <f aca="false">IF($B124="","",IFERROR(INDEX(학생명부!$B$3:$B$83,MATCH($B124,학생명부!$A$3:$A$83,0)),"학번없음"))</f>
        <v/>
      </c>
      <c r="D124" s="12"/>
      <c r="E124" s="12"/>
    </row>
    <row r="125" customFormat="false" ht="15" hidden="false" customHeight="true" outlineLevel="0" collapsed="false">
      <c r="A125" s="16"/>
      <c r="B125" s="12"/>
      <c r="C125" s="17" t="str">
        <f aca="false">IF($B125="","",IFERROR(INDEX(학생명부!$B$3:$B$83,MATCH($B125,학생명부!$A$3:$A$83,0)),"학번없음"))</f>
        <v/>
      </c>
      <c r="D125" s="12"/>
      <c r="E125" s="12"/>
    </row>
    <row r="126" customFormat="false" ht="15" hidden="false" customHeight="true" outlineLevel="0" collapsed="false">
      <c r="A126" s="16"/>
      <c r="B126" s="12"/>
      <c r="C126" s="17" t="str">
        <f aca="false">IF($B126="","",IFERROR(INDEX(학생명부!$B$3:$B$83,MATCH($B126,학생명부!$A$3:$A$83,0)),"학번없음"))</f>
        <v/>
      </c>
      <c r="D126" s="12"/>
      <c r="E126" s="12"/>
    </row>
    <row r="127" customFormat="false" ht="15" hidden="false" customHeight="true" outlineLevel="0" collapsed="false">
      <c r="A127" s="16"/>
      <c r="B127" s="12"/>
      <c r="C127" s="17" t="str">
        <f aca="false">IF($B127="","",IFERROR(INDEX(학생명부!$B$3:$B$83,MATCH($B127,학생명부!$A$3:$A$83,0)),"학번없음"))</f>
        <v/>
      </c>
      <c r="D127" s="12"/>
      <c r="E127" s="12"/>
    </row>
    <row r="128" customFormat="false" ht="15" hidden="false" customHeight="true" outlineLevel="0" collapsed="false">
      <c r="A128" s="16"/>
      <c r="B128" s="12"/>
      <c r="C128" s="17" t="str">
        <f aca="false">IF($B128="","",IFERROR(INDEX(학생명부!$B$3:$B$83,MATCH($B128,학생명부!$A$3:$A$83,0)),"학번없음"))</f>
        <v/>
      </c>
      <c r="D128" s="12"/>
      <c r="E128" s="12"/>
    </row>
    <row r="129" customFormat="false" ht="15" hidden="false" customHeight="true" outlineLevel="0" collapsed="false">
      <c r="A129" s="16"/>
      <c r="B129" s="12"/>
      <c r="C129" s="17" t="str">
        <f aca="false">IF($B129="","",IFERROR(INDEX(학생명부!$B$3:$B$83,MATCH($B129,학생명부!$A$3:$A$83,0)),"학번없음"))</f>
        <v/>
      </c>
      <c r="D129" s="12"/>
      <c r="E129" s="12"/>
    </row>
    <row r="130" customFormat="false" ht="15" hidden="false" customHeight="true" outlineLevel="0" collapsed="false">
      <c r="A130" s="16"/>
      <c r="B130" s="12"/>
      <c r="C130" s="17" t="str">
        <f aca="false">IF($B130="","",IFERROR(INDEX(학생명부!$B$3:$B$83,MATCH($B130,학생명부!$A$3:$A$83,0)),"학번없음"))</f>
        <v/>
      </c>
      <c r="D130" s="12"/>
      <c r="E130" s="12"/>
    </row>
    <row r="131" customFormat="false" ht="15" hidden="false" customHeight="true" outlineLevel="0" collapsed="false">
      <c r="A131" s="16"/>
      <c r="B131" s="12"/>
      <c r="C131" s="17" t="str">
        <f aca="false">IF($B131="","",IFERROR(INDEX(학생명부!$B$3:$B$83,MATCH($B131,학생명부!$A$3:$A$83,0)),"학번없음"))</f>
        <v/>
      </c>
      <c r="D131" s="12"/>
      <c r="E131" s="12"/>
    </row>
    <row r="132" customFormat="false" ht="15" hidden="false" customHeight="true" outlineLevel="0" collapsed="false">
      <c r="A132" s="16"/>
      <c r="B132" s="12"/>
      <c r="C132" s="17" t="str">
        <f aca="false">IF($B132="","",IFERROR(INDEX(학생명부!$B$3:$B$83,MATCH($B132,학생명부!$A$3:$A$83,0)),"학번없음"))</f>
        <v/>
      </c>
      <c r="D132" s="12"/>
      <c r="E132" s="12"/>
    </row>
    <row r="133" customFormat="false" ht="15" hidden="false" customHeight="true" outlineLevel="0" collapsed="false">
      <c r="A133" s="16"/>
      <c r="B133" s="12"/>
      <c r="C133" s="17" t="str">
        <f aca="false">IF($B133="","",IFERROR(INDEX(학생명부!$B$3:$B$83,MATCH($B133,학생명부!$A$3:$A$83,0)),"학번없음"))</f>
        <v/>
      </c>
      <c r="D133" s="12"/>
      <c r="E133" s="12"/>
    </row>
    <row r="134" customFormat="false" ht="15" hidden="false" customHeight="true" outlineLevel="0" collapsed="false">
      <c r="A134" s="16"/>
      <c r="B134" s="12"/>
      <c r="C134" s="17" t="str">
        <f aca="false">IF($B134="","",IFERROR(INDEX(학생명부!$B$3:$B$83,MATCH($B134,학생명부!$A$3:$A$83,0)),"학번없음"))</f>
        <v/>
      </c>
      <c r="D134" s="12"/>
      <c r="E134" s="12"/>
    </row>
    <row r="135" customFormat="false" ht="15" hidden="false" customHeight="true" outlineLevel="0" collapsed="false">
      <c r="A135" s="16"/>
      <c r="B135" s="12"/>
      <c r="C135" s="17" t="str">
        <f aca="false">IF($B135="","",IFERROR(INDEX(학생명부!$B$3:$B$83,MATCH($B135,학생명부!$A$3:$A$83,0)),"학번없음"))</f>
        <v/>
      </c>
      <c r="D135" s="12"/>
      <c r="E135" s="12"/>
    </row>
    <row r="136" customFormat="false" ht="15" hidden="false" customHeight="true" outlineLevel="0" collapsed="false">
      <c r="A136" s="16"/>
      <c r="B136" s="12"/>
      <c r="C136" s="17" t="str">
        <f aca="false">IF($B136="","",IFERROR(INDEX(학생명부!$B$3:$B$83,MATCH($B136,학생명부!$A$3:$A$83,0)),"학번없음"))</f>
        <v/>
      </c>
      <c r="D136" s="12"/>
      <c r="E136" s="12"/>
    </row>
    <row r="137" customFormat="false" ht="15" hidden="false" customHeight="true" outlineLevel="0" collapsed="false">
      <c r="A137" s="16"/>
      <c r="B137" s="12"/>
      <c r="C137" s="17" t="str">
        <f aca="false">IF($B137="","",IFERROR(INDEX(학생명부!$B$3:$B$83,MATCH($B137,학생명부!$A$3:$A$83,0)),"학번없음"))</f>
        <v/>
      </c>
      <c r="D137" s="12"/>
      <c r="E137" s="12"/>
    </row>
    <row r="138" customFormat="false" ht="15" hidden="false" customHeight="true" outlineLevel="0" collapsed="false">
      <c r="A138" s="16"/>
      <c r="B138" s="12"/>
      <c r="C138" s="17" t="str">
        <f aca="false">IF($B138="","",IFERROR(INDEX(학생명부!$B$3:$B$83,MATCH($B138,학생명부!$A$3:$A$83,0)),"학번없음"))</f>
        <v/>
      </c>
      <c r="D138" s="12"/>
      <c r="E138" s="12"/>
    </row>
    <row r="139" customFormat="false" ht="15" hidden="false" customHeight="true" outlineLevel="0" collapsed="false">
      <c r="A139" s="16"/>
      <c r="B139" s="12"/>
      <c r="C139" s="17" t="str">
        <f aca="false">IF($B139="","",IFERROR(INDEX(학생명부!$B$3:$B$83,MATCH($B139,학생명부!$A$3:$A$83,0)),"학번없음"))</f>
        <v/>
      </c>
      <c r="D139" s="12"/>
      <c r="E139" s="12"/>
    </row>
    <row r="140" customFormat="false" ht="15" hidden="false" customHeight="true" outlineLevel="0" collapsed="false">
      <c r="A140" s="16"/>
      <c r="B140" s="12"/>
      <c r="C140" s="17" t="str">
        <f aca="false">IF($B140="","",IFERROR(INDEX(학생명부!$B$3:$B$83,MATCH($B140,학생명부!$A$3:$A$83,0)),"학번없음"))</f>
        <v/>
      </c>
      <c r="D140" s="12"/>
      <c r="E140" s="12"/>
    </row>
    <row r="141" customFormat="false" ht="15" hidden="false" customHeight="true" outlineLevel="0" collapsed="false">
      <c r="A141" s="16"/>
      <c r="B141" s="12"/>
      <c r="C141" s="17" t="str">
        <f aca="false">IF($B141="","",IFERROR(INDEX(학생명부!$B$3:$B$83,MATCH($B141,학생명부!$A$3:$A$83,0)),"학번없음"))</f>
        <v/>
      </c>
      <c r="D141" s="12"/>
      <c r="E141" s="12"/>
    </row>
    <row r="142" customFormat="false" ht="15" hidden="false" customHeight="true" outlineLevel="0" collapsed="false">
      <c r="A142" s="16"/>
      <c r="B142" s="12"/>
      <c r="C142" s="17" t="str">
        <f aca="false">IF($B142="","",IFERROR(INDEX(학생명부!$B$3:$B$83,MATCH($B142,학생명부!$A$3:$A$83,0)),"학번없음"))</f>
        <v/>
      </c>
      <c r="D142" s="12"/>
      <c r="E142" s="12"/>
    </row>
    <row r="143" customFormat="false" ht="15" hidden="false" customHeight="true" outlineLevel="0" collapsed="false">
      <c r="A143" s="16"/>
      <c r="B143" s="12"/>
      <c r="C143" s="17" t="str">
        <f aca="false">IF($B143="","",IFERROR(INDEX(학생명부!$B$3:$B$83,MATCH($B143,학생명부!$A$3:$A$83,0)),"학번없음"))</f>
        <v/>
      </c>
      <c r="D143" s="12"/>
      <c r="E143" s="12"/>
    </row>
    <row r="144" customFormat="false" ht="15" hidden="false" customHeight="true" outlineLevel="0" collapsed="false">
      <c r="A144" s="16"/>
      <c r="B144" s="12"/>
      <c r="C144" s="17" t="str">
        <f aca="false">IF($B144="","",IFERROR(INDEX(학생명부!$B$3:$B$83,MATCH($B144,학생명부!$A$3:$A$83,0)),"학번없음"))</f>
        <v/>
      </c>
      <c r="D144" s="12"/>
      <c r="E144" s="12"/>
    </row>
    <row r="145" customFormat="false" ht="15" hidden="false" customHeight="true" outlineLevel="0" collapsed="false">
      <c r="A145" s="16"/>
      <c r="B145" s="12"/>
      <c r="C145" s="17" t="str">
        <f aca="false">IF($B145="","",IFERROR(INDEX(학생명부!$B$3:$B$83,MATCH($B145,학생명부!$A$3:$A$83,0)),"학번없음"))</f>
        <v/>
      </c>
      <c r="D145" s="12"/>
      <c r="E145" s="12"/>
    </row>
    <row r="146" customFormat="false" ht="15" hidden="false" customHeight="true" outlineLevel="0" collapsed="false">
      <c r="A146" s="16"/>
      <c r="B146" s="12"/>
      <c r="C146" s="17" t="str">
        <f aca="false">IF($B146="","",IFERROR(INDEX(학생명부!$B$3:$B$83,MATCH($B146,학생명부!$A$3:$A$83,0)),"학번없음"))</f>
        <v/>
      </c>
      <c r="D146" s="12"/>
      <c r="E146" s="12"/>
    </row>
    <row r="147" customFormat="false" ht="15" hidden="false" customHeight="true" outlineLevel="0" collapsed="false">
      <c r="A147" s="16"/>
      <c r="B147" s="12"/>
      <c r="C147" s="17" t="str">
        <f aca="false">IF($B147="","",IFERROR(INDEX(학생명부!$B$3:$B$83,MATCH($B147,학생명부!$A$3:$A$83,0)),"학번없음"))</f>
        <v/>
      </c>
      <c r="D147" s="12"/>
      <c r="E147" s="12"/>
    </row>
    <row r="148" customFormat="false" ht="15" hidden="false" customHeight="true" outlineLevel="0" collapsed="false">
      <c r="A148" s="16"/>
      <c r="B148" s="12"/>
      <c r="C148" s="17" t="str">
        <f aca="false">IF($B148="","",IFERROR(INDEX(학생명부!$B$3:$B$83,MATCH($B148,학생명부!$A$3:$A$83,0)),"학번없음"))</f>
        <v/>
      </c>
      <c r="D148" s="12"/>
      <c r="E148" s="12"/>
    </row>
    <row r="149" customFormat="false" ht="15" hidden="false" customHeight="true" outlineLevel="0" collapsed="false">
      <c r="A149" s="16"/>
      <c r="B149" s="12"/>
      <c r="C149" s="17" t="str">
        <f aca="false">IF($B149="","",IFERROR(INDEX(학생명부!$B$3:$B$83,MATCH($B149,학생명부!$A$3:$A$83,0)),"학번없음"))</f>
        <v/>
      </c>
      <c r="D149" s="12"/>
      <c r="E149" s="12"/>
    </row>
    <row r="150" customFormat="false" ht="15" hidden="false" customHeight="true" outlineLevel="0" collapsed="false">
      <c r="A150" s="16"/>
      <c r="B150" s="12"/>
      <c r="C150" s="17" t="str">
        <f aca="false">IF($B150="","",IFERROR(INDEX(학생명부!$B$3:$B$83,MATCH($B150,학생명부!$A$3:$A$83,0)),"학번없음"))</f>
        <v/>
      </c>
      <c r="D150" s="12"/>
      <c r="E150" s="12"/>
    </row>
    <row r="151" customFormat="false" ht="15" hidden="false" customHeight="true" outlineLevel="0" collapsed="false">
      <c r="A151" s="16"/>
      <c r="B151" s="12"/>
      <c r="C151" s="17" t="str">
        <f aca="false">IF($B151="","",IFERROR(INDEX(학생명부!$B$3:$B$83,MATCH($B151,학생명부!$A$3:$A$83,0)),"학번없음"))</f>
        <v/>
      </c>
      <c r="D151" s="12"/>
      <c r="E151" s="12"/>
    </row>
    <row r="152" customFormat="false" ht="15" hidden="false" customHeight="true" outlineLevel="0" collapsed="false">
      <c r="A152" s="16"/>
      <c r="B152" s="12"/>
      <c r="C152" s="17" t="str">
        <f aca="false">IF($B152="","",IFERROR(INDEX(학생명부!$B$3:$B$83,MATCH($B152,학생명부!$A$3:$A$83,0)),"학번없음"))</f>
        <v/>
      </c>
      <c r="D152" s="12"/>
      <c r="E152" s="12"/>
    </row>
    <row r="153" customFormat="false" ht="15" hidden="false" customHeight="true" outlineLevel="0" collapsed="false">
      <c r="A153" s="16"/>
      <c r="B153" s="12"/>
      <c r="C153" s="17" t="str">
        <f aca="false">IF($B153="","",IFERROR(INDEX(학생명부!$B$3:$B$83,MATCH($B153,학생명부!$A$3:$A$83,0)),"학번없음"))</f>
        <v/>
      </c>
      <c r="D153" s="12"/>
      <c r="E153" s="12"/>
    </row>
    <row r="154" customFormat="false" ht="15" hidden="false" customHeight="true" outlineLevel="0" collapsed="false">
      <c r="A154" s="16"/>
      <c r="B154" s="12"/>
      <c r="C154" s="17" t="str">
        <f aca="false">IF($B154="","",IFERROR(INDEX(학생명부!$B$3:$B$83,MATCH($B154,학생명부!$A$3:$A$83,0)),"학번없음"))</f>
        <v/>
      </c>
      <c r="D154" s="12"/>
      <c r="E154" s="12"/>
    </row>
    <row r="155" customFormat="false" ht="15" hidden="false" customHeight="true" outlineLevel="0" collapsed="false">
      <c r="A155" s="16"/>
      <c r="B155" s="12"/>
      <c r="C155" s="17" t="str">
        <f aca="false">IF($B155="","",IFERROR(INDEX(학생명부!$B$3:$B$83,MATCH($B155,학생명부!$A$3:$A$83,0)),"학번없음"))</f>
        <v/>
      </c>
      <c r="D155" s="12"/>
      <c r="E155" s="12"/>
    </row>
    <row r="156" customFormat="false" ht="15" hidden="false" customHeight="true" outlineLevel="0" collapsed="false">
      <c r="A156" s="16"/>
      <c r="B156" s="12"/>
      <c r="C156" s="17" t="str">
        <f aca="false">IF($B156="","",IFERROR(INDEX(학생명부!$B$3:$B$83,MATCH($B156,학생명부!$A$3:$A$83,0)),"학번없음"))</f>
        <v/>
      </c>
      <c r="D156" s="12"/>
      <c r="E156" s="12"/>
    </row>
    <row r="157" customFormat="false" ht="15" hidden="false" customHeight="true" outlineLevel="0" collapsed="false">
      <c r="A157" s="16"/>
      <c r="B157" s="12"/>
      <c r="C157" s="17" t="str">
        <f aca="false">IF($B157="","",IFERROR(INDEX(학생명부!$B$3:$B$83,MATCH($B157,학생명부!$A$3:$A$83,0)),"학번없음"))</f>
        <v/>
      </c>
      <c r="D157" s="12"/>
      <c r="E157" s="12"/>
    </row>
    <row r="158" customFormat="false" ht="15" hidden="false" customHeight="true" outlineLevel="0" collapsed="false">
      <c r="A158" s="16"/>
      <c r="B158" s="12"/>
      <c r="C158" s="17" t="str">
        <f aca="false">IF($B158="","",IFERROR(INDEX(학생명부!$B$3:$B$83,MATCH($B158,학생명부!$A$3:$A$83,0)),"학번없음"))</f>
        <v/>
      </c>
      <c r="D158" s="12"/>
      <c r="E158" s="12"/>
    </row>
    <row r="159" customFormat="false" ht="15" hidden="false" customHeight="true" outlineLevel="0" collapsed="false">
      <c r="A159" s="16"/>
      <c r="B159" s="12"/>
      <c r="C159" s="17" t="str">
        <f aca="false">IF($B159="","",IFERROR(INDEX(학생명부!$B$3:$B$83,MATCH($B159,학생명부!$A$3:$A$83,0)),"학번없음"))</f>
        <v/>
      </c>
      <c r="D159" s="12"/>
      <c r="E159" s="12"/>
    </row>
    <row r="160" customFormat="false" ht="15" hidden="false" customHeight="true" outlineLevel="0" collapsed="false">
      <c r="A160" s="16"/>
      <c r="B160" s="12"/>
      <c r="C160" s="17" t="str">
        <f aca="false">IF($B160="","",IFERROR(INDEX(학생명부!$B$3:$B$83,MATCH($B160,학생명부!$A$3:$A$83,0)),"학번없음"))</f>
        <v/>
      </c>
      <c r="D160" s="12"/>
      <c r="E160" s="12"/>
    </row>
    <row r="161" customFormat="false" ht="15" hidden="false" customHeight="true" outlineLevel="0" collapsed="false">
      <c r="A161" s="16"/>
      <c r="B161" s="12"/>
      <c r="C161" s="17" t="str">
        <f aca="false">IF($B161="","",IFERROR(INDEX(학생명부!$B$3:$B$83,MATCH($B161,학생명부!$A$3:$A$83,0)),"학번없음"))</f>
        <v/>
      </c>
      <c r="D161" s="12"/>
      <c r="E161" s="12"/>
    </row>
    <row r="162" customFormat="false" ht="15" hidden="false" customHeight="true" outlineLevel="0" collapsed="false">
      <c r="A162" s="16"/>
      <c r="B162" s="12"/>
      <c r="C162" s="17" t="str">
        <f aca="false">IF($B162="","",IFERROR(INDEX(학생명부!$B$3:$B$83,MATCH($B162,학생명부!$A$3:$A$83,0)),"학번없음"))</f>
        <v/>
      </c>
      <c r="D162" s="12"/>
      <c r="E162" s="12"/>
    </row>
    <row r="163" customFormat="false" ht="15" hidden="false" customHeight="true" outlineLevel="0" collapsed="false">
      <c r="A163" s="16"/>
      <c r="B163" s="12"/>
      <c r="C163" s="17" t="str">
        <f aca="false">IF($B163="","",IFERROR(INDEX(학생명부!$B$3:$B$83,MATCH($B163,학생명부!$A$3:$A$83,0)),"학번없음"))</f>
        <v/>
      </c>
      <c r="D163" s="12"/>
      <c r="E163" s="12"/>
    </row>
    <row r="164" customFormat="false" ht="15" hidden="false" customHeight="true" outlineLevel="0" collapsed="false">
      <c r="A164" s="16"/>
      <c r="B164" s="12"/>
      <c r="C164" s="17" t="str">
        <f aca="false">IF($B164="","",IFERROR(INDEX(학생명부!$B$3:$B$83,MATCH($B164,학생명부!$A$3:$A$83,0)),"학번없음"))</f>
        <v/>
      </c>
      <c r="D164" s="12"/>
      <c r="E164" s="12"/>
    </row>
    <row r="165" customFormat="false" ht="15" hidden="false" customHeight="true" outlineLevel="0" collapsed="false">
      <c r="A165" s="16"/>
      <c r="B165" s="12"/>
      <c r="C165" s="17" t="str">
        <f aca="false">IF($B165="","",IFERROR(INDEX(학생명부!$B$3:$B$83,MATCH($B165,학생명부!$A$3:$A$83,0)),"학번없음"))</f>
        <v/>
      </c>
      <c r="D165" s="12"/>
      <c r="E165" s="12"/>
    </row>
    <row r="166" customFormat="false" ht="15" hidden="false" customHeight="true" outlineLevel="0" collapsed="false">
      <c r="A166" s="16"/>
      <c r="B166" s="12"/>
      <c r="C166" s="17" t="str">
        <f aca="false">IF($B166="","",IFERROR(INDEX(학생명부!$B$3:$B$83,MATCH($B166,학생명부!$A$3:$A$83,0)),"학번없음"))</f>
        <v/>
      </c>
      <c r="D166" s="12"/>
      <c r="E166" s="12"/>
    </row>
    <row r="167" customFormat="false" ht="15" hidden="false" customHeight="true" outlineLevel="0" collapsed="false">
      <c r="A167" s="16"/>
      <c r="B167" s="12"/>
      <c r="C167" s="17" t="str">
        <f aca="false">IF($B167="","",IFERROR(INDEX(학생명부!$B$3:$B$83,MATCH($B167,학생명부!$A$3:$A$83,0)),"학번없음"))</f>
        <v/>
      </c>
      <c r="D167" s="12"/>
      <c r="E167" s="12"/>
    </row>
    <row r="168" customFormat="false" ht="15" hidden="false" customHeight="true" outlineLevel="0" collapsed="false">
      <c r="A168" s="16"/>
      <c r="B168" s="12"/>
      <c r="C168" s="17" t="str">
        <f aca="false">IF($B168="","",IFERROR(INDEX(학생명부!$B$3:$B$83,MATCH($B168,학생명부!$A$3:$A$83,0)),"학번없음"))</f>
        <v/>
      </c>
      <c r="D168" s="12"/>
      <c r="E168" s="12"/>
    </row>
    <row r="169" customFormat="false" ht="15" hidden="false" customHeight="true" outlineLevel="0" collapsed="false">
      <c r="A169" s="16"/>
      <c r="B169" s="12"/>
      <c r="C169" s="17" t="str">
        <f aca="false">IF($B169="","",IFERROR(INDEX(학생명부!$B$3:$B$83,MATCH($B169,학생명부!$A$3:$A$83,0)),"학번없음"))</f>
        <v/>
      </c>
      <c r="D169" s="12"/>
      <c r="E169" s="12"/>
    </row>
    <row r="170" customFormat="false" ht="15" hidden="false" customHeight="true" outlineLevel="0" collapsed="false">
      <c r="A170" s="16"/>
      <c r="B170" s="12"/>
      <c r="C170" s="17" t="str">
        <f aca="false">IF($B170="","",IFERROR(INDEX(학생명부!$B$3:$B$83,MATCH($B170,학생명부!$A$3:$A$83,0)),"학번없음"))</f>
        <v/>
      </c>
      <c r="D170" s="12"/>
      <c r="E170" s="12"/>
    </row>
    <row r="171" customFormat="false" ht="15" hidden="false" customHeight="true" outlineLevel="0" collapsed="false">
      <c r="A171" s="16"/>
      <c r="B171" s="12"/>
      <c r="C171" s="17" t="str">
        <f aca="false">IF($B171="","",IFERROR(INDEX(학생명부!$B$3:$B$83,MATCH($B171,학생명부!$A$3:$A$83,0)),"학번없음"))</f>
        <v/>
      </c>
      <c r="D171" s="12"/>
      <c r="E171" s="12"/>
    </row>
    <row r="172" customFormat="false" ht="15" hidden="false" customHeight="true" outlineLevel="0" collapsed="false">
      <c r="A172" s="16"/>
      <c r="B172" s="12"/>
      <c r="C172" s="17" t="str">
        <f aca="false">IF($B172="","",IFERROR(INDEX(학생명부!$B$3:$B$83,MATCH($B172,학생명부!$A$3:$A$83,0)),"학번없음"))</f>
        <v/>
      </c>
      <c r="D172" s="12"/>
      <c r="E172" s="12"/>
    </row>
    <row r="173" customFormat="false" ht="15" hidden="false" customHeight="true" outlineLevel="0" collapsed="false">
      <c r="A173" s="16"/>
      <c r="B173" s="12"/>
      <c r="C173" s="17" t="str">
        <f aca="false">IF($B173="","",IFERROR(INDEX(학생명부!$B$3:$B$83,MATCH($B173,학생명부!$A$3:$A$83,0)),"학번없음"))</f>
        <v/>
      </c>
      <c r="D173" s="12"/>
      <c r="E173" s="12"/>
    </row>
    <row r="174" customFormat="false" ht="15" hidden="false" customHeight="true" outlineLevel="0" collapsed="false">
      <c r="A174" s="16"/>
      <c r="B174" s="12"/>
      <c r="C174" s="17" t="str">
        <f aca="false">IF($B174="","",IFERROR(INDEX(학생명부!$B$3:$B$83,MATCH($B174,학생명부!$A$3:$A$83,0)),"학번없음"))</f>
        <v/>
      </c>
      <c r="D174" s="12"/>
      <c r="E174" s="12"/>
    </row>
    <row r="175" customFormat="false" ht="15" hidden="false" customHeight="true" outlineLevel="0" collapsed="false">
      <c r="A175" s="16"/>
      <c r="B175" s="12"/>
      <c r="C175" s="17" t="str">
        <f aca="false">IF($B175="","",IFERROR(INDEX(학생명부!$B$3:$B$83,MATCH($B175,학생명부!$A$3:$A$83,0)),"학번없음"))</f>
        <v/>
      </c>
      <c r="D175" s="12"/>
      <c r="E175" s="12"/>
    </row>
    <row r="176" customFormat="false" ht="15" hidden="false" customHeight="true" outlineLevel="0" collapsed="false">
      <c r="A176" s="16"/>
      <c r="B176" s="12"/>
      <c r="C176" s="17" t="str">
        <f aca="false">IF($B176="","",IFERROR(INDEX(학생명부!$B$3:$B$83,MATCH($B176,학생명부!$A$3:$A$83,0)),"학번없음"))</f>
        <v/>
      </c>
      <c r="D176" s="12"/>
      <c r="E176" s="12"/>
    </row>
    <row r="177" customFormat="false" ht="15" hidden="false" customHeight="true" outlineLevel="0" collapsed="false">
      <c r="A177" s="16"/>
      <c r="B177" s="12"/>
      <c r="C177" s="17" t="str">
        <f aca="false">IF($B177="","",IFERROR(INDEX(학생명부!$B$3:$B$83,MATCH($B177,학생명부!$A$3:$A$83,0)),"학번없음"))</f>
        <v/>
      </c>
      <c r="D177" s="12"/>
      <c r="E177" s="12"/>
    </row>
    <row r="178" customFormat="false" ht="15" hidden="false" customHeight="true" outlineLevel="0" collapsed="false">
      <c r="A178" s="16"/>
      <c r="B178" s="12"/>
      <c r="C178" s="17" t="str">
        <f aca="false">IF($B178="","",IFERROR(INDEX(학생명부!$B$3:$B$83,MATCH($B178,학생명부!$A$3:$A$83,0)),"학번없음"))</f>
        <v/>
      </c>
      <c r="D178" s="12"/>
      <c r="E178" s="12"/>
    </row>
    <row r="179" customFormat="false" ht="15" hidden="false" customHeight="true" outlineLevel="0" collapsed="false">
      <c r="A179" s="16"/>
      <c r="B179" s="12"/>
      <c r="C179" s="17" t="str">
        <f aca="false">IF($B179="","",IFERROR(INDEX(학생명부!$B$3:$B$83,MATCH($B179,학생명부!$A$3:$A$83,0)),"학번없음"))</f>
        <v/>
      </c>
      <c r="D179" s="12"/>
      <c r="E179" s="12"/>
    </row>
    <row r="180" customFormat="false" ht="15" hidden="false" customHeight="true" outlineLevel="0" collapsed="false">
      <c r="A180" s="16"/>
      <c r="B180" s="12"/>
      <c r="C180" s="17" t="str">
        <f aca="false">IF($B180="","",IFERROR(INDEX(학생명부!$B$3:$B$83,MATCH($B180,학생명부!$A$3:$A$83,0)),"학번없음"))</f>
        <v/>
      </c>
      <c r="D180" s="12"/>
      <c r="E180" s="12"/>
    </row>
    <row r="181" customFormat="false" ht="15" hidden="false" customHeight="true" outlineLevel="0" collapsed="false">
      <c r="A181" s="16"/>
      <c r="B181" s="12"/>
      <c r="C181" s="17" t="str">
        <f aca="false">IF($B181="","",IFERROR(INDEX(학생명부!$B$3:$B$83,MATCH($B181,학생명부!$A$3:$A$83,0)),"학번없음"))</f>
        <v/>
      </c>
      <c r="D181" s="12"/>
      <c r="E181" s="12"/>
    </row>
    <row r="182" customFormat="false" ht="15" hidden="false" customHeight="true" outlineLevel="0" collapsed="false">
      <c r="A182" s="16"/>
      <c r="B182" s="12"/>
      <c r="C182" s="17" t="str">
        <f aca="false">IF($B182="","",IFERROR(INDEX(학생명부!$B$3:$B$83,MATCH($B182,학생명부!$A$3:$A$83,0)),"학번없음"))</f>
        <v/>
      </c>
      <c r="D182" s="12"/>
      <c r="E182" s="12"/>
    </row>
    <row r="183" customFormat="false" ht="15" hidden="false" customHeight="true" outlineLevel="0" collapsed="false">
      <c r="A183" s="16"/>
      <c r="B183" s="12"/>
      <c r="C183" s="17" t="str">
        <f aca="false">IF($B183="","",IFERROR(INDEX(학생명부!$B$3:$B$83,MATCH($B183,학생명부!$A$3:$A$83,0)),"학번없음"))</f>
        <v/>
      </c>
      <c r="D183" s="12"/>
      <c r="E183" s="12"/>
    </row>
    <row r="184" customFormat="false" ht="15" hidden="false" customHeight="true" outlineLevel="0" collapsed="false">
      <c r="A184" s="16"/>
      <c r="B184" s="12"/>
      <c r="C184" s="17" t="str">
        <f aca="false">IF($B184="","",IFERROR(INDEX(학생명부!$B$3:$B$83,MATCH($B184,학생명부!$A$3:$A$83,0)),"학번없음"))</f>
        <v/>
      </c>
      <c r="D184" s="12"/>
      <c r="E184" s="12"/>
    </row>
    <row r="185" customFormat="false" ht="15" hidden="false" customHeight="true" outlineLevel="0" collapsed="false">
      <c r="A185" s="16"/>
      <c r="B185" s="12"/>
      <c r="C185" s="17" t="str">
        <f aca="false">IF($B185="","",IFERROR(INDEX(학생명부!$B$3:$B$83,MATCH($B185,학생명부!$A$3:$A$83,0)),"학번없음"))</f>
        <v/>
      </c>
      <c r="D185" s="12"/>
      <c r="E185" s="12"/>
    </row>
    <row r="186" customFormat="false" ht="15" hidden="false" customHeight="true" outlineLevel="0" collapsed="false">
      <c r="A186" s="16"/>
      <c r="B186" s="12"/>
      <c r="C186" s="17" t="str">
        <f aca="false">IF($B186="","",IFERROR(INDEX(학생명부!$B$3:$B$83,MATCH($B186,학생명부!$A$3:$A$83,0)),"학번없음"))</f>
        <v/>
      </c>
      <c r="D186" s="12"/>
      <c r="E186" s="12"/>
    </row>
    <row r="187" customFormat="false" ht="15" hidden="false" customHeight="true" outlineLevel="0" collapsed="false">
      <c r="A187" s="16"/>
      <c r="B187" s="12"/>
      <c r="C187" s="17" t="str">
        <f aca="false">IF($B187="","",IFERROR(INDEX(학생명부!$B$3:$B$83,MATCH($B187,학생명부!$A$3:$A$83,0)),"학번없음"))</f>
        <v/>
      </c>
      <c r="D187" s="12"/>
      <c r="E187" s="12"/>
    </row>
    <row r="188" customFormat="false" ht="15" hidden="false" customHeight="true" outlineLevel="0" collapsed="false">
      <c r="A188" s="16"/>
      <c r="B188" s="12"/>
      <c r="C188" s="17" t="str">
        <f aca="false">IF($B188="","",IFERROR(INDEX(학생명부!$B$3:$B$83,MATCH($B188,학생명부!$A$3:$A$83,0)),"학번없음"))</f>
        <v/>
      </c>
      <c r="D188" s="12"/>
      <c r="E188" s="12"/>
    </row>
    <row r="189" customFormat="false" ht="15" hidden="false" customHeight="true" outlineLevel="0" collapsed="false">
      <c r="A189" s="16"/>
      <c r="B189" s="12"/>
      <c r="C189" s="17" t="str">
        <f aca="false">IF($B189="","",IFERROR(INDEX(학생명부!$B$3:$B$83,MATCH($B189,학생명부!$A$3:$A$83,0)),"학번없음"))</f>
        <v/>
      </c>
      <c r="D189" s="12"/>
      <c r="E189" s="12"/>
    </row>
    <row r="190" customFormat="false" ht="15" hidden="false" customHeight="true" outlineLevel="0" collapsed="false">
      <c r="A190" s="16"/>
      <c r="B190" s="12"/>
      <c r="C190" s="17" t="str">
        <f aca="false">IF($B190="","",IFERROR(INDEX(학생명부!$B$3:$B$83,MATCH($B190,학생명부!$A$3:$A$83,0)),"학번없음"))</f>
        <v/>
      </c>
      <c r="D190" s="12"/>
      <c r="E190" s="12"/>
    </row>
    <row r="191" customFormat="false" ht="15" hidden="false" customHeight="true" outlineLevel="0" collapsed="false">
      <c r="A191" s="16"/>
      <c r="B191" s="12"/>
      <c r="C191" s="17" t="str">
        <f aca="false">IF($B191="","",IFERROR(INDEX(학생명부!$B$3:$B$83,MATCH($B191,학생명부!$A$3:$A$83,0)),"학번없음"))</f>
        <v/>
      </c>
      <c r="D191" s="12"/>
      <c r="E191" s="12"/>
    </row>
    <row r="192" customFormat="false" ht="15" hidden="false" customHeight="true" outlineLevel="0" collapsed="false">
      <c r="A192" s="16"/>
      <c r="B192" s="12"/>
      <c r="C192" s="17" t="str">
        <f aca="false">IF($B192="","",IFERROR(INDEX(학생명부!$B$3:$B$83,MATCH($B192,학생명부!$A$3:$A$83,0)),"학번없음"))</f>
        <v/>
      </c>
      <c r="D192" s="12"/>
      <c r="E192" s="12"/>
    </row>
    <row r="193" customFormat="false" ht="15" hidden="false" customHeight="true" outlineLevel="0" collapsed="false">
      <c r="A193" s="16"/>
      <c r="B193" s="12"/>
      <c r="C193" s="17" t="str">
        <f aca="false">IF($B193="","",IFERROR(INDEX(학생명부!$B$3:$B$83,MATCH($B193,학생명부!$A$3:$A$83,0)),"학번없음"))</f>
        <v/>
      </c>
      <c r="D193" s="12"/>
      <c r="E193" s="12"/>
    </row>
    <row r="194" customFormat="false" ht="15" hidden="false" customHeight="true" outlineLevel="0" collapsed="false">
      <c r="A194" s="16"/>
      <c r="B194" s="12"/>
      <c r="C194" s="17" t="str">
        <f aca="false">IF($B194="","",IFERROR(INDEX(학생명부!$B$3:$B$83,MATCH($B194,학생명부!$A$3:$A$83,0)),"학번없음"))</f>
        <v/>
      </c>
      <c r="D194" s="12"/>
      <c r="E194" s="12"/>
    </row>
    <row r="195" customFormat="false" ht="15" hidden="false" customHeight="true" outlineLevel="0" collapsed="false">
      <c r="A195" s="16"/>
      <c r="B195" s="12"/>
      <c r="C195" s="17" t="str">
        <f aca="false">IF($B195="","",IFERROR(INDEX(학생명부!$B$3:$B$83,MATCH($B195,학생명부!$A$3:$A$83,0)),"학번없음"))</f>
        <v/>
      </c>
      <c r="D195" s="12"/>
      <c r="E195" s="12"/>
    </row>
    <row r="196" customFormat="false" ht="15" hidden="false" customHeight="true" outlineLevel="0" collapsed="false">
      <c r="A196" s="16"/>
      <c r="B196" s="12"/>
      <c r="C196" s="17" t="str">
        <f aca="false">IF($B196="","",IFERROR(INDEX(학생명부!$B$3:$B$83,MATCH($B196,학생명부!$A$3:$A$83,0)),"학번없음"))</f>
        <v/>
      </c>
      <c r="D196" s="12"/>
      <c r="E196" s="12"/>
    </row>
    <row r="197" customFormat="false" ht="15" hidden="false" customHeight="true" outlineLevel="0" collapsed="false">
      <c r="A197" s="16"/>
      <c r="B197" s="12"/>
      <c r="C197" s="17" t="str">
        <f aca="false">IF($B197="","",IFERROR(INDEX(학생명부!$B$3:$B$83,MATCH($B197,학생명부!$A$3:$A$83,0)),"학번없음"))</f>
        <v/>
      </c>
      <c r="D197" s="12"/>
      <c r="E197" s="12"/>
    </row>
    <row r="198" customFormat="false" ht="15" hidden="false" customHeight="true" outlineLevel="0" collapsed="false">
      <c r="A198" s="16"/>
      <c r="B198" s="12"/>
      <c r="C198" s="17" t="str">
        <f aca="false">IF($B198="","",IFERROR(INDEX(학생명부!$B$3:$B$83,MATCH($B198,학생명부!$A$3:$A$83,0)),"학번없음"))</f>
        <v/>
      </c>
      <c r="D198" s="12"/>
      <c r="E198" s="12"/>
    </row>
    <row r="199" customFormat="false" ht="15" hidden="false" customHeight="true" outlineLevel="0" collapsed="false">
      <c r="A199" s="16"/>
      <c r="B199" s="12"/>
      <c r="C199" s="17" t="str">
        <f aca="false">IF($B199="","",IFERROR(INDEX(학생명부!$B$3:$B$83,MATCH($B199,학생명부!$A$3:$A$83,0)),"학번없음"))</f>
        <v/>
      </c>
      <c r="D199" s="12"/>
      <c r="E199" s="12"/>
    </row>
    <row r="200" customFormat="false" ht="15" hidden="false" customHeight="true" outlineLevel="0" collapsed="false">
      <c r="A200" s="16"/>
      <c r="B200" s="12"/>
      <c r="C200" s="17" t="str">
        <f aca="false">IF($B200="","",IFERROR(INDEX(학생명부!$B$3:$B$83,MATCH($B200,학생명부!$A$3:$A$83,0)),"학번없음"))</f>
        <v/>
      </c>
      <c r="D200" s="12"/>
      <c r="E200" s="12"/>
    </row>
    <row r="201" customFormat="false" ht="15" hidden="false" customHeight="true" outlineLevel="0" collapsed="false">
      <c r="A201" s="16"/>
      <c r="B201" s="12"/>
      <c r="C201" s="17" t="str">
        <f aca="false">IF($B201="","",IFERROR(INDEX(학생명부!$B$3:$B$83,MATCH($B201,학생명부!$A$3:$A$83,0)),"학번없음"))</f>
        <v/>
      </c>
      <c r="D201" s="12"/>
      <c r="E201" s="12"/>
    </row>
    <row r="202" customFormat="false" ht="15" hidden="false" customHeight="true" outlineLevel="0" collapsed="false">
      <c r="A202" s="16"/>
      <c r="B202" s="12"/>
      <c r="C202" s="17" t="str">
        <f aca="false">IF($B202="","",IFERROR(INDEX(학생명부!$B$3:$B$83,MATCH($B202,학생명부!$A$3:$A$83,0)),"학번없음"))</f>
        <v/>
      </c>
      <c r="D202" s="12"/>
      <c r="E202" s="12"/>
    </row>
    <row r="203" customFormat="false" ht="15" hidden="false" customHeight="true" outlineLevel="0" collapsed="false">
      <c r="A203" s="16"/>
      <c r="B203" s="12"/>
      <c r="C203" s="17" t="str">
        <f aca="false">IF($B203="","",IFERROR(INDEX(학생명부!$B$3:$B$83,MATCH($B203,학생명부!$A$3:$A$83,0)),"학번없음"))</f>
        <v/>
      </c>
      <c r="D203" s="12"/>
      <c r="E203" s="12"/>
    </row>
    <row r="204" customFormat="false" ht="15" hidden="false" customHeight="true" outlineLevel="0" collapsed="false">
      <c r="A204" s="16"/>
      <c r="B204" s="12"/>
      <c r="C204" s="17" t="str">
        <f aca="false">IF($B204="","",IFERROR(INDEX(학생명부!$B$3:$B$83,MATCH($B204,학생명부!$A$3:$A$83,0)),"학번없음"))</f>
        <v/>
      </c>
      <c r="D204" s="12"/>
      <c r="E204" s="12"/>
    </row>
    <row r="205" customFormat="false" ht="15" hidden="false" customHeight="true" outlineLevel="0" collapsed="false">
      <c r="A205" s="16"/>
      <c r="B205" s="12"/>
      <c r="C205" s="17" t="str">
        <f aca="false">IF($B205="","",IFERROR(INDEX(학생명부!$B$3:$B$83,MATCH($B205,학생명부!$A$3:$A$83,0)),"학번없음"))</f>
        <v/>
      </c>
      <c r="D205" s="12"/>
      <c r="E205" s="12"/>
    </row>
    <row r="206" customFormat="false" ht="15" hidden="false" customHeight="true" outlineLevel="0" collapsed="false">
      <c r="A206" s="16"/>
      <c r="B206" s="12"/>
      <c r="C206" s="17" t="str">
        <f aca="false">IF($B206="","",IFERROR(INDEX(학생명부!$B$3:$B$83,MATCH($B206,학생명부!$A$3:$A$83,0)),"학번없음"))</f>
        <v/>
      </c>
      <c r="D206" s="12"/>
      <c r="E206" s="12"/>
    </row>
    <row r="207" customFormat="false" ht="15" hidden="false" customHeight="true" outlineLevel="0" collapsed="false">
      <c r="A207" s="16"/>
      <c r="B207" s="12"/>
      <c r="C207" s="17" t="str">
        <f aca="false">IF($B207="","",IFERROR(INDEX(학생명부!$B$3:$B$83,MATCH($B207,학생명부!$A$3:$A$83,0)),"학번없음"))</f>
        <v/>
      </c>
      <c r="D207" s="12"/>
      <c r="E207" s="12"/>
    </row>
    <row r="208" customFormat="false" ht="15" hidden="false" customHeight="true" outlineLevel="0" collapsed="false">
      <c r="A208" s="16"/>
      <c r="B208" s="12"/>
      <c r="C208" s="17" t="str">
        <f aca="false">IF($B208="","",IFERROR(INDEX(학생명부!$B$3:$B$83,MATCH($B208,학생명부!$A$3:$A$83,0)),"학번없음"))</f>
        <v/>
      </c>
      <c r="D208" s="12"/>
      <c r="E208" s="12"/>
    </row>
    <row r="209" customFormat="false" ht="15" hidden="false" customHeight="true" outlineLevel="0" collapsed="false">
      <c r="A209" s="16"/>
      <c r="B209" s="12"/>
      <c r="C209" s="17" t="str">
        <f aca="false">IF($B209="","",IFERROR(INDEX(학생명부!$B$3:$B$83,MATCH($B209,학생명부!$A$3:$A$83,0)),"학번없음"))</f>
        <v/>
      </c>
      <c r="D209" s="12"/>
      <c r="E209" s="12"/>
    </row>
    <row r="210" customFormat="false" ht="15" hidden="false" customHeight="true" outlineLevel="0" collapsed="false">
      <c r="A210" s="16"/>
      <c r="B210" s="12"/>
      <c r="C210" s="17" t="str">
        <f aca="false">IF($B210="","",IFERROR(INDEX(학생명부!$B$3:$B$83,MATCH($B210,학생명부!$A$3:$A$83,0)),"학번없음"))</f>
        <v/>
      </c>
      <c r="D210" s="12"/>
      <c r="E210" s="12"/>
    </row>
    <row r="211" customFormat="false" ht="15" hidden="false" customHeight="true" outlineLevel="0" collapsed="false">
      <c r="A211" s="16"/>
      <c r="B211" s="12"/>
      <c r="C211" s="17" t="str">
        <f aca="false">IF($B211="","",IFERROR(INDEX(학생명부!$B$3:$B$83,MATCH($B211,학생명부!$A$3:$A$83,0)),"학번없음"))</f>
        <v/>
      </c>
      <c r="D211" s="12"/>
      <c r="E211" s="12"/>
    </row>
    <row r="212" customFormat="false" ht="15" hidden="false" customHeight="true" outlineLevel="0" collapsed="false">
      <c r="A212" s="16"/>
      <c r="B212" s="12"/>
      <c r="C212" s="17" t="str">
        <f aca="false">IF($B212="","",IFERROR(INDEX(학생명부!$B$3:$B$83,MATCH($B212,학생명부!$A$3:$A$83,0)),"학번없음"))</f>
        <v/>
      </c>
      <c r="D212" s="12"/>
      <c r="E212" s="12"/>
    </row>
    <row r="213" customFormat="false" ht="15" hidden="false" customHeight="true" outlineLevel="0" collapsed="false">
      <c r="A213" s="16"/>
      <c r="B213" s="12"/>
      <c r="C213" s="17" t="str">
        <f aca="false">IF($B213="","",IFERROR(INDEX(학생명부!$B$3:$B$83,MATCH($B213,학생명부!$A$3:$A$83,0)),"학번없음"))</f>
        <v/>
      </c>
      <c r="D213" s="12"/>
      <c r="E213" s="12"/>
    </row>
    <row r="214" customFormat="false" ht="15" hidden="false" customHeight="true" outlineLevel="0" collapsed="false">
      <c r="A214" s="16"/>
      <c r="B214" s="12"/>
      <c r="C214" s="17" t="str">
        <f aca="false">IF($B214="","",IFERROR(INDEX(학생명부!$B$3:$B$83,MATCH($B214,학생명부!$A$3:$A$83,0)),"학번없음"))</f>
        <v/>
      </c>
      <c r="D214" s="12"/>
      <c r="E214" s="12"/>
    </row>
    <row r="215" customFormat="false" ht="15" hidden="false" customHeight="true" outlineLevel="0" collapsed="false">
      <c r="A215" s="16"/>
      <c r="B215" s="12"/>
      <c r="C215" s="17" t="str">
        <f aca="false">IF($B215="","",IFERROR(INDEX(학생명부!$B$3:$B$83,MATCH($B215,학생명부!$A$3:$A$83,0)),"학번없음"))</f>
        <v/>
      </c>
      <c r="D215" s="12"/>
      <c r="E215" s="12"/>
    </row>
    <row r="216" customFormat="false" ht="15" hidden="false" customHeight="true" outlineLevel="0" collapsed="false">
      <c r="A216" s="16"/>
      <c r="B216" s="12"/>
      <c r="C216" s="17" t="str">
        <f aca="false">IF($B216="","",IFERROR(INDEX(학생명부!$B$3:$B$83,MATCH($B216,학생명부!$A$3:$A$83,0)),"학번없음"))</f>
        <v/>
      </c>
      <c r="D216" s="12"/>
      <c r="E216" s="12"/>
    </row>
    <row r="217" customFormat="false" ht="15" hidden="false" customHeight="true" outlineLevel="0" collapsed="false">
      <c r="A217" s="16"/>
      <c r="B217" s="12"/>
      <c r="C217" s="17" t="str">
        <f aca="false">IF($B217="","",IFERROR(INDEX(학생명부!$B$3:$B$83,MATCH($B217,학생명부!$A$3:$A$83,0)),"학번없음"))</f>
        <v/>
      </c>
      <c r="D217" s="12"/>
      <c r="E217" s="12"/>
    </row>
    <row r="218" customFormat="false" ht="15" hidden="false" customHeight="true" outlineLevel="0" collapsed="false">
      <c r="A218" s="16"/>
      <c r="B218" s="12"/>
      <c r="C218" s="17" t="str">
        <f aca="false">IF($B218="","",IFERROR(INDEX(학생명부!$B$3:$B$83,MATCH($B218,학생명부!$A$3:$A$83,0)),"학번없음"))</f>
        <v/>
      </c>
      <c r="D218" s="12"/>
      <c r="E218" s="12"/>
    </row>
    <row r="219" customFormat="false" ht="15" hidden="false" customHeight="true" outlineLevel="0" collapsed="false">
      <c r="A219" s="16"/>
      <c r="B219" s="12"/>
      <c r="C219" s="17" t="str">
        <f aca="false">IF($B219="","",IFERROR(INDEX(학생명부!$B$3:$B$83,MATCH($B219,학생명부!$A$3:$A$83,0)),"학번없음"))</f>
        <v/>
      </c>
      <c r="D219" s="12"/>
      <c r="E219" s="12"/>
    </row>
    <row r="220" customFormat="false" ht="15" hidden="false" customHeight="true" outlineLevel="0" collapsed="false">
      <c r="A220" s="16"/>
      <c r="B220" s="12"/>
      <c r="C220" s="17" t="str">
        <f aca="false">IF($B220="","",IFERROR(INDEX(학생명부!$B$3:$B$83,MATCH($B220,학생명부!$A$3:$A$83,0)),"학번없음"))</f>
        <v/>
      </c>
      <c r="D220" s="12"/>
      <c r="E220" s="12"/>
    </row>
    <row r="221" customFormat="false" ht="15" hidden="false" customHeight="true" outlineLevel="0" collapsed="false">
      <c r="A221" s="16"/>
      <c r="B221" s="12"/>
      <c r="C221" s="17" t="str">
        <f aca="false">IF($B221="","",IFERROR(INDEX(학생명부!$B$3:$B$83,MATCH($B221,학생명부!$A$3:$A$83,0)),"학번없음"))</f>
        <v/>
      </c>
      <c r="D221" s="12"/>
      <c r="E221" s="12"/>
    </row>
    <row r="222" customFormat="false" ht="15" hidden="false" customHeight="true" outlineLevel="0" collapsed="false">
      <c r="A222" s="16"/>
      <c r="B222" s="12"/>
      <c r="C222" s="17" t="str">
        <f aca="false">IF($B222="","",IFERROR(INDEX(학생명부!$B$3:$B$83,MATCH($B222,학생명부!$A$3:$A$83,0)),"학번없음"))</f>
        <v/>
      </c>
      <c r="D222" s="12"/>
      <c r="E222" s="12"/>
    </row>
    <row r="223" customFormat="false" ht="15" hidden="false" customHeight="true" outlineLevel="0" collapsed="false">
      <c r="A223" s="16"/>
      <c r="B223" s="12"/>
      <c r="C223" s="17" t="str">
        <f aca="false">IF($B223="","",IFERROR(INDEX(학생명부!$B$3:$B$83,MATCH($B223,학생명부!$A$3:$A$83,0)),"학번없음"))</f>
        <v/>
      </c>
      <c r="D223" s="12"/>
      <c r="E223" s="12"/>
    </row>
    <row r="224" customFormat="false" ht="15" hidden="false" customHeight="true" outlineLevel="0" collapsed="false">
      <c r="A224" s="16"/>
      <c r="B224" s="12"/>
      <c r="C224" s="17" t="str">
        <f aca="false">IF($B224="","",IFERROR(INDEX(학생명부!$B$3:$B$83,MATCH($B224,학생명부!$A$3:$A$83,0)),"학번없음"))</f>
        <v/>
      </c>
      <c r="D224" s="12"/>
      <c r="E224" s="12"/>
    </row>
    <row r="225" customFormat="false" ht="15" hidden="false" customHeight="true" outlineLevel="0" collapsed="false">
      <c r="A225" s="16"/>
      <c r="B225" s="12"/>
      <c r="C225" s="17" t="str">
        <f aca="false">IF($B225="","",IFERROR(INDEX(학생명부!$B$3:$B$83,MATCH($B225,학생명부!$A$3:$A$83,0)),"학번없음"))</f>
        <v/>
      </c>
      <c r="D225" s="12"/>
      <c r="E225" s="12"/>
    </row>
    <row r="226" customFormat="false" ht="15" hidden="false" customHeight="true" outlineLevel="0" collapsed="false">
      <c r="A226" s="16"/>
      <c r="B226" s="12"/>
      <c r="C226" s="17" t="str">
        <f aca="false">IF($B226="","",IFERROR(INDEX(학생명부!$B$3:$B$83,MATCH($B226,학생명부!$A$3:$A$83,0)),"학번없음"))</f>
        <v/>
      </c>
      <c r="D226" s="12"/>
      <c r="E226" s="12"/>
    </row>
    <row r="227" customFormat="false" ht="15" hidden="false" customHeight="true" outlineLevel="0" collapsed="false">
      <c r="A227" s="16"/>
      <c r="B227" s="12"/>
      <c r="C227" s="17" t="str">
        <f aca="false">IF($B227="","",IFERROR(INDEX(학생명부!$B$3:$B$83,MATCH($B227,학생명부!$A$3:$A$83,0)),"학번없음"))</f>
        <v/>
      </c>
      <c r="D227" s="12"/>
      <c r="E227" s="12"/>
    </row>
    <row r="228" customFormat="false" ht="15" hidden="false" customHeight="true" outlineLevel="0" collapsed="false">
      <c r="A228" s="16"/>
      <c r="B228" s="12"/>
      <c r="C228" s="17" t="str">
        <f aca="false">IF($B228="","",IFERROR(INDEX(학생명부!$B$3:$B$83,MATCH($B228,학생명부!$A$3:$A$83,0)),"학번없음"))</f>
        <v/>
      </c>
      <c r="D228" s="12"/>
      <c r="E228" s="12"/>
    </row>
    <row r="229" customFormat="false" ht="15" hidden="false" customHeight="true" outlineLevel="0" collapsed="false">
      <c r="A229" s="16"/>
      <c r="B229" s="12"/>
      <c r="C229" s="17" t="str">
        <f aca="false">IF($B229="","",IFERROR(INDEX(학생명부!$B$3:$B$83,MATCH($B229,학생명부!$A$3:$A$83,0)),"학번없음"))</f>
        <v/>
      </c>
      <c r="D229" s="12"/>
      <c r="E229" s="12"/>
    </row>
    <row r="230" customFormat="false" ht="15" hidden="false" customHeight="true" outlineLevel="0" collapsed="false">
      <c r="A230" s="16"/>
      <c r="B230" s="12"/>
      <c r="C230" s="17" t="str">
        <f aca="false">IF($B230="","",IFERROR(INDEX(학생명부!$B$3:$B$83,MATCH($B230,학생명부!$A$3:$A$83,0)),"학번없음"))</f>
        <v/>
      </c>
      <c r="D230" s="12"/>
      <c r="E230" s="12"/>
    </row>
    <row r="231" customFormat="false" ht="15" hidden="false" customHeight="true" outlineLevel="0" collapsed="false">
      <c r="A231" s="16"/>
      <c r="B231" s="12"/>
      <c r="C231" s="17" t="str">
        <f aca="false">IF($B231="","",IFERROR(INDEX(학생명부!$B$3:$B$83,MATCH($B231,학생명부!$A$3:$A$83,0)),"학번없음"))</f>
        <v/>
      </c>
      <c r="D231" s="12"/>
      <c r="E231" s="12"/>
    </row>
    <row r="232" customFormat="false" ht="15" hidden="false" customHeight="true" outlineLevel="0" collapsed="false">
      <c r="A232" s="16"/>
      <c r="B232" s="12"/>
      <c r="C232" s="17" t="str">
        <f aca="false">IF($B232="","",IFERROR(INDEX(학생명부!$B$3:$B$83,MATCH($B232,학생명부!$A$3:$A$83,0)),"학번없음"))</f>
        <v/>
      </c>
      <c r="D232" s="12"/>
      <c r="E232" s="12"/>
    </row>
    <row r="233" customFormat="false" ht="15" hidden="false" customHeight="true" outlineLevel="0" collapsed="false">
      <c r="A233" s="16"/>
      <c r="B233" s="12"/>
      <c r="C233" s="17" t="str">
        <f aca="false">IF($B233="","",IFERROR(INDEX(학생명부!$B$3:$B$83,MATCH($B233,학생명부!$A$3:$A$83,0)),"학번없음"))</f>
        <v/>
      </c>
      <c r="D233" s="12"/>
      <c r="E233" s="12"/>
    </row>
    <row r="234" customFormat="false" ht="15" hidden="false" customHeight="true" outlineLevel="0" collapsed="false">
      <c r="A234" s="16"/>
      <c r="B234" s="12"/>
      <c r="C234" s="17" t="str">
        <f aca="false">IF($B234="","",IFERROR(INDEX(학생명부!$B$3:$B$83,MATCH($B234,학생명부!$A$3:$A$83,0)),"학번없음"))</f>
        <v/>
      </c>
      <c r="D234" s="12"/>
      <c r="E234" s="12"/>
    </row>
    <row r="235" customFormat="false" ht="15" hidden="false" customHeight="true" outlineLevel="0" collapsed="false">
      <c r="A235" s="16"/>
      <c r="B235" s="12"/>
      <c r="C235" s="17" t="str">
        <f aca="false">IF($B235="","",IFERROR(INDEX(학생명부!$B$3:$B$83,MATCH($B235,학생명부!$A$3:$A$83,0)),"학번없음"))</f>
        <v/>
      </c>
      <c r="D235" s="12"/>
      <c r="E235" s="12"/>
    </row>
    <row r="236" customFormat="false" ht="15" hidden="false" customHeight="true" outlineLevel="0" collapsed="false">
      <c r="A236" s="16"/>
      <c r="B236" s="12"/>
      <c r="C236" s="17" t="str">
        <f aca="false">IF($B236="","",IFERROR(INDEX(학생명부!$B$3:$B$83,MATCH($B236,학생명부!$A$3:$A$83,0)),"학번없음"))</f>
        <v/>
      </c>
      <c r="D236" s="12"/>
      <c r="E236" s="12"/>
    </row>
    <row r="237" customFormat="false" ht="15" hidden="false" customHeight="true" outlineLevel="0" collapsed="false">
      <c r="A237" s="16"/>
      <c r="B237" s="12"/>
      <c r="C237" s="17" t="str">
        <f aca="false">IF($B237="","",IFERROR(INDEX(학생명부!$B$3:$B$83,MATCH($B237,학생명부!$A$3:$A$83,0)),"학번없음"))</f>
        <v/>
      </c>
      <c r="D237" s="12"/>
      <c r="E237" s="12"/>
    </row>
    <row r="238" customFormat="false" ht="15" hidden="false" customHeight="true" outlineLevel="0" collapsed="false">
      <c r="A238" s="16"/>
      <c r="B238" s="12"/>
      <c r="C238" s="17" t="str">
        <f aca="false">IF($B238="","",IFERROR(INDEX(학생명부!$B$3:$B$83,MATCH($B238,학생명부!$A$3:$A$83,0)),"학번없음"))</f>
        <v/>
      </c>
      <c r="D238" s="12"/>
      <c r="E238" s="12"/>
    </row>
    <row r="239" customFormat="false" ht="15" hidden="false" customHeight="true" outlineLevel="0" collapsed="false">
      <c r="A239" s="16"/>
      <c r="B239" s="12"/>
      <c r="C239" s="17" t="str">
        <f aca="false">IF($B239="","",IFERROR(INDEX(학생명부!$B$3:$B$83,MATCH($B239,학생명부!$A$3:$A$83,0)),"학번없음"))</f>
        <v/>
      </c>
      <c r="D239" s="12"/>
      <c r="E239" s="12"/>
    </row>
    <row r="240" customFormat="false" ht="15" hidden="false" customHeight="true" outlineLevel="0" collapsed="false">
      <c r="A240" s="16"/>
      <c r="B240" s="12"/>
      <c r="C240" s="17" t="str">
        <f aca="false">IF($B240="","",IFERROR(INDEX(학생명부!$B$3:$B$83,MATCH($B240,학생명부!$A$3:$A$83,0)),"학번없음"))</f>
        <v/>
      </c>
      <c r="D240" s="12"/>
      <c r="E240" s="12"/>
    </row>
    <row r="241" customFormat="false" ht="15" hidden="false" customHeight="true" outlineLevel="0" collapsed="false">
      <c r="A241" s="16"/>
      <c r="B241" s="12"/>
      <c r="C241" s="17" t="str">
        <f aca="false">IF($B241="","",IFERROR(INDEX(학생명부!$B$3:$B$83,MATCH($B241,학생명부!$A$3:$A$83,0)),"학번없음"))</f>
        <v/>
      </c>
      <c r="D241" s="12"/>
      <c r="E241" s="12"/>
    </row>
    <row r="242" customFormat="false" ht="15" hidden="false" customHeight="true" outlineLevel="0" collapsed="false">
      <c r="A242" s="16"/>
      <c r="B242" s="12"/>
      <c r="C242" s="17" t="str">
        <f aca="false">IF($B242="","",IFERROR(INDEX(학생명부!$B$3:$B$83,MATCH($B242,학생명부!$A$3:$A$83,0)),"학번없음"))</f>
        <v/>
      </c>
      <c r="D242" s="12"/>
      <c r="E242" s="12"/>
    </row>
    <row r="243" customFormat="false" ht="15" hidden="false" customHeight="true" outlineLevel="0" collapsed="false">
      <c r="A243" s="16"/>
      <c r="B243" s="12"/>
      <c r="C243" s="17" t="str">
        <f aca="false">IF($B243="","",IFERROR(INDEX(학생명부!$B$3:$B$83,MATCH($B243,학생명부!$A$3:$A$83,0)),"학번없음"))</f>
        <v/>
      </c>
      <c r="D243" s="12"/>
      <c r="E243" s="12"/>
    </row>
    <row r="244" customFormat="false" ht="15" hidden="false" customHeight="true" outlineLevel="0" collapsed="false">
      <c r="A244" s="16"/>
      <c r="B244" s="12"/>
      <c r="C244" s="17" t="str">
        <f aca="false">IF($B244="","",IFERROR(INDEX(학생명부!$B$3:$B$83,MATCH($B244,학생명부!$A$3:$A$83,0)),"학번없음"))</f>
        <v/>
      </c>
      <c r="D244" s="12"/>
      <c r="E244" s="12"/>
    </row>
    <row r="245" customFormat="false" ht="15" hidden="false" customHeight="true" outlineLevel="0" collapsed="false">
      <c r="A245" s="16"/>
      <c r="B245" s="12"/>
      <c r="C245" s="17" t="str">
        <f aca="false">IF($B245="","",IFERROR(INDEX(학생명부!$B$3:$B$83,MATCH($B245,학생명부!$A$3:$A$83,0)),"학번없음"))</f>
        <v/>
      </c>
      <c r="D245" s="12"/>
      <c r="E245" s="12"/>
    </row>
    <row r="246" customFormat="false" ht="15" hidden="false" customHeight="true" outlineLevel="0" collapsed="false">
      <c r="A246" s="16"/>
      <c r="B246" s="12"/>
      <c r="C246" s="17" t="str">
        <f aca="false">IF($B246="","",IFERROR(INDEX(학생명부!$B$3:$B$83,MATCH($B246,학생명부!$A$3:$A$83,0)),"학번없음"))</f>
        <v/>
      </c>
      <c r="D246" s="12"/>
      <c r="E246" s="12"/>
    </row>
    <row r="247" customFormat="false" ht="15" hidden="false" customHeight="true" outlineLevel="0" collapsed="false">
      <c r="A247" s="16"/>
      <c r="B247" s="12"/>
      <c r="C247" s="17" t="str">
        <f aca="false">IF($B247="","",IFERROR(INDEX(학생명부!$B$3:$B$83,MATCH($B247,학생명부!$A$3:$A$83,0)),"학번없음"))</f>
        <v/>
      </c>
      <c r="D247" s="12"/>
      <c r="E247" s="12"/>
    </row>
    <row r="248" customFormat="false" ht="15" hidden="false" customHeight="true" outlineLevel="0" collapsed="false">
      <c r="A248" s="16"/>
      <c r="B248" s="12"/>
      <c r="C248" s="17" t="str">
        <f aca="false">IF($B248="","",IFERROR(INDEX(학생명부!$B$3:$B$83,MATCH($B248,학생명부!$A$3:$A$83,0)),"학번없음"))</f>
        <v/>
      </c>
      <c r="D248" s="12"/>
      <c r="E248" s="12"/>
    </row>
    <row r="249" customFormat="false" ht="15" hidden="false" customHeight="true" outlineLevel="0" collapsed="false">
      <c r="A249" s="16"/>
      <c r="B249" s="12"/>
      <c r="C249" s="17" t="str">
        <f aca="false">IF($B249="","",IFERROR(INDEX(학생명부!$B$3:$B$83,MATCH($B249,학생명부!$A$3:$A$83,0)),"학번없음"))</f>
        <v/>
      </c>
      <c r="D249" s="12"/>
      <c r="E249" s="12"/>
    </row>
    <row r="250" customFormat="false" ht="15" hidden="false" customHeight="true" outlineLevel="0" collapsed="false">
      <c r="A250" s="16"/>
      <c r="B250" s="12"/>
      <c r="C250" s="17" t="str">
        <f aca="false">IF($B250="","",IFERROR(INDEX(학생명부!$B$3:$B$83,MATCH($B250,학생명부!$A$3:$A$83,0)),"학번없음"))</f>
        <v/>
      </c>
      <c r="D250" s="12"/>
      <c r="E250" s="12"/>
    </row>
    <row r="251" customFormat="false" ht="15" hidden="false" customHeight="true" outlineLevel="0" collapsed="false">
      <c r="A251" s="16"/>
      <c r="B251" s="12"/>
      <c r="C251" s="17" t="str">
        <f aca="false">IF($B251="","",IFERROR(INDEX(학생명부!$B$3:$B$83,MATCH($B251,학생명부!$A$3:$A$83,0)),"학번없음"))</f>
        <v/>
      </c>
      <c r="D251" s="12"/>
      <c r="E251" s="12"/>
    </row>
    <row r="252" customFormat="false" ht="15" hidden="false" customHeight="true" outlineLevel="0" collapsed="false">
      <c r="A252" s="16"/>
      <c r="B252" s="12"/>
      <c r="C252" s="17" t="str">
        <f aca="false">IF($B252="","",IFERROR(INDEX(학생명부!$B$3:$B$83,MATCH($B252,학생명부!$A$3:$A$83,0)),"학번없음"))</f>
        <v/>
      </c>
      <c r="D252" s="12"/>
      <c r="E252" s="12"/>
    </row>
    <row r="253" customFormat="false" ht="15" hidden="false" customHeight="true" outlineLevel="0" collapsed="false">
      <c r="A253" s="16"/>
      <c r="B253" s="12"/>
      <c r="C253" s="17" t="str">
        <f aca="false">IF($B253="","",IFERROR(INDEX(학생명부!$B$3:$B$83,MATCH($B253,학생명부!$A$3:$A$83,0)),"학번없음"))</f>
        <v/>
      </c>
      <c r="D253" s="12"/>
      <c r="E253" s="12"/>
    </row>
    <row r="254" customFormat="false" ht="15" hidden="false" customHeight="true" outlineLevel="0" collapsed="false">
      <c r="A254" s="16"/>
      <c r="B254" s="12"/>
      <c r="C254" s="17" t="str">
        <f aca="false">IF($B254="","",IFERROR(INDEX(학생명부!$B$3:$B$83,MATCH($B254,학생명부!$A$3:$A$83,0)),"학번없음"))</f>
        <v/>
      </c>
      <c r="D254" s="12"/>
      <c r="E254" s="12"/>
    </row>
    <row r="255" customFormat="false" ht="15" hidden="false" customHeight="true" outlineLevel="0" collapsed="false">
      <c r="A255" s="16"/>
      <c r="B255" s="12"/>
      <c r="C255" s="17" t="str">
        <f aca="false">IF($B255="","",IFERROR(INDEX(학생명부!$B$3:$B$83,MATCH($B255,학생명부!$A$3:$A$83,0)),"학번없음"))</f>
        <v/>
      </c>
      <c r="D255" s="12"/>
      <c r="E255" s="12"/>
    </row>
    <row r="256" customFormat="false" ht="15" hidden="false" customHeight="true" outlineLevel="0" collapsed="false">
      <c r="A256" s="16"/>
      <c r="B256" s="12"/>
      <c r="C256" s="17" t="str">
        <f aca="false">IF($B256="","",IFERROR(INDEX(학생명부!$B$3:$B$83,MATCH($B256,학생명부!$A$3:$A$83,0)),"학번없음"))</f>
        <v/>
      </c>
      <c r="D256" s="12"/>
      <c r="E256" s="12"/>
    </row>
    <row r="257" customFormat="false" ht="15" hidden="false" customHeight="true" outlineLevel="0" collapsed="false">
      <c r="A257" s="16"/>
      <c r="B257" s="12"/>
      <c r="C257" s="17" t="str">
        <f aca="false">IF($B257="","",IFERROR(INDEX(학생명부!$B$3:$B$83,MATCH($B257,학생명부!$A$3:$A$83,0)),"학번없음"))</f>
        <v/>
      </c>
      <c r="D257" s="12"/>
      <c r="E257" s="12"/>
    </row>
    <row r="258" customFormat="false" ht="15" hidden="false" customHeight="true" outlineLevel="0" collapsed="false">
      <c r="A258" s="16"/>
      <c r="B258" s="12"/>
      <c r="C258" s="17" t="str">
        <f aca="false">IF($B258="","",IFERROR(INDEX(학생명부!$B$3:$B$83,MATCH($B258,학생명부!$A$3:$A$83,0)),"학번없음"))</f>
        <v/>
      </c>
      <c r="D258" s="12"/>
      <c r="E258" s="12"/>
    </row>
    <row r="259" customFormat="false" ht="15" hidden="false" customHeight="true" outlineLevel="0" collapsed="false">
      <c r="A259" s="16"/>
      <c r="B259" s="12"/>
      <c r="C259" s="17" t="str">
        <f aca="false">IF($B259="","",IFERROR(INDEX(학생명부!$B$3:$B$83,MATCH($B259,학생명부!$A$3:$A$83,0)),"학번없음"))</f>
        <v/>
      </c>
      <c r="D259" s="12"/>
      <c r="E259" s="12"/>
    </row>
    <row r="260" customFormat="false" ht="15" hidden="false" customHeight="true" outlineLevel="0" collapsed="false">
      <c r="A260" s="16"/>
      <c r="B260" s="12"/>
      <c r="C260" s="17" t="str">
        <f aca="false">IF($B260="","",IFERROR(INDEX(학생명부!$B$3:$B$83,MATCH($B260,학생명부!$A$3:$A$83,0)),"학번없음"))</f>
        <v/>
      </c>
      <c r="D260" s="12"/>
      <c r="E260" s="12"/>
    </row>
    <row r="261" customFormat="false" ht="15" hidden="false" customHeight="true" outlineLevel="0" collapsed="false">
      <c r="A261" s="16"/>
      <c r="B261" s="12"/>
      <c r="C261" s="17" t="str">
        <f aca="false">IF($B261="","",IFERROR(INDEX(학생명부!$B$3:$B$83,MATCH($B261,학생명부!$A$3:$A$83,0)),"학번없음"))</f>
        <v/>
      </c>
      <c r="D261" s="12"/>
      <c r="E261" s="12"/>
    </row>
    <row r="262" customFormat="false" ht="15" hidden="false" customHeight="true" outlineLevel="0" collapsed="false">
      <c r="A262" s="16"/>
      <c r="B262" s="12"/>
      <c r="C262" s="17" t="str">
        <f aca="false">IF($B262="","",IFERROR(INDEX(학생명부!$B$3:$B$83,MATCH($B262,학생명부!$A$3:$A$83,0)),"학번없음"))</f>
        <v/>
      </c>
      <c r="D262" s="12"/>
      <c r="E262" s="12"/>
    </row>
    <row r="263" customFormat="false" ht="15" hidden="false" customHeight="true" outlineLevel="0" collapsed="false">
      <c r="A263" s="16"/>
      <c r="B263" s="12"/>
      <c r="C263" s="17" t="str">
        <f aca="false">IF($B263="","",IFERROR(INDEX(학생명부!$B$3:$B$83,MATCH($B263,학생명부!$A$3:$A$83,0)),"학번없음"))</f>
        <v/>
      </c>
      <c r="D263" s="12"/>
      <c r="E263" s="12"/>
    </row>
    <row r="264" customFormat="false" ht="15" hidden="false" customHeight="true" outlineLevel="0" collapsed="false">
      <c r="A264" s="16"/>
      <c r="B264" s="12"/>
      <c r="C264" s="17" t="str">
        <f aca="false">IF($B264="","",IFERROR(INDEX(학생명부!$B$3:$B$83,MATCH($B264,학생명부!$A$3:$A$83,0)),"학번없음"))</f>
        <v/>
      </c>
      <c r="D264" s="12"/>
      <c r="E264" s="12"/>
    </row>
    <row r="265" customFormat="false" ht="15" hidden="false" customHeight="true" outlineLevel="0" collapsed="false">
      <c r="A265" s="16"/>
      <c r="B265" s="12"/>
      <c r="C265" s="17" t="str">
        <f aca="false">IF($B265="","",IFERROR(INDEX(학생명부!$B$3:$B$83,MATCH($B265,학생명부!$A$3:$A$83,0)),"학번없음"))</f>
        <v/>
      </c>
      <c r="D265" s="12"/>
      <c r="E265" s="12"/>
    </row>
    <row r="266" customFormat="false" ht="15" hidden="false" customHeight="true" outlineLevel="0" collapsed="false">
      <c r="A266" s="16"/>
      <c r="B266" s="12"/>
      <c r="C266" s="17" t="str">
        <f aca="false">IF($B266="","",IFERROR(INDEX(학생명부!$B$3:$B$83,MATCH($B266,학생명부!$A$3:$A$83,0)),"학번없음"))</f>
        <v/>
      </c>
      <c r="D266" s="12"/>
      <c r="E266" s="12"/>
    </row>
    <row r="267" customFormat="false" ht="15" hidden="false" customHeight="true" outlineLevel="0" collapsed="false">
      <c r="A267" s="16"/>
      <c r="B267" s="12"/>
      <c r="C267" s="17" t="str">
        <f aca="false">IF($B267="","",IFERROR(INDEX(학생명부!$B$3:$B$83,MATCH($B267,학생명부!$A$3:$A$83,0)),"학번없음"))</f>
        <v/>
      </c>
      <c r="D267" s="12"/>
      <c r="E267" s="12"/>
    </row>
    <row r="268" customFormat="false" ht="15" hidden="false" customHeight="true" outlineLevel="0" collapsed="false">
      <c r="A268" s="16"/>
      <c r="B268" s="12"/>
      <c r="C268" s="17" t="str">
        <f aca="false">IF($B268="","",IFERROR(INDEX(학생명부!$B$3:$B$83,MATCH($B268,학생명부!$A$3:$A$83,0)),"학번없음"))</f>
        <v/>
      </c>
      <c r="D268" s="12"/>
      <c r="E268" s="12"/>
    </row>
    <row r="269" customFormat="false" ht="15" hidden="false" customHeight="true" outlineLevel="0" collapsed="false">
      <c r="A269" s="16"/>
      <c r="B269" s="12"/>
      <c r="C269" s="17" t="str">
        <f aca="false">IF($B269="","",IFERROR(INDEX(학생명부!$B$3:$B$83,MATCH($B269,학생명부!$A$3:$A$83,0)),"학번없음"))</f>
        <v/>
      </c>
      <c r="D269" s="12"/>
      <c r="E269" s="12"/>
    </row>
    <row r="270" customFormat="false" ht="15" hidden="false" customHeight="true" outlineLevel="0" collapsed="false">
      <c r="A270" s="16"/>
      <c r="B270" s="12"/>
      <c r="C270" s="17" t="str">
        <f aca="false">IF($B270="","",IFERROR(INDEX(학생명부!$B$3:$B$83,MATCH($B270,학생명부!$A$3:$A$83,0)),"학번없음"))</f>
        <v/>
      </c>
      <c r="D270" s="12"/>
      <c r="E270" s="12"/>
    </row>
    <row r="271" customFormat="false" ht="15" hidden="false" customHeight="true" outlineLevel="0" collapsed="false">
      <c r="A271" s="16"/>
      <c r="B271" s="12"/>
      <c r="C271" s="17" t="str">
        <f aca="false">IF($B271="","",IFERROR(INDEX(학생명부!$B$3:$B$83,MATCH($B271,학생명부!$A$3:$A$83,0)),"학번없음"))</f>
        <v/>
      </c>
      <c r="D271" s="12"/>
      <c r="E271" s="12"/>
    </row>
    <row r="272" customFormat="false" ht="15" hidden="false" customHeight="true" outlineLevel="0" collapsed="false">
      <c r="A272" s="16"/>
      <c r="B272" s="12"/>
      <c r="C272" s="17" t="str">
        <f aca="false">IF($B272="","",IFERROR(INDEX(학생명부!$B$3:$B$83,MATCH($B272,학생명부!$A$3:$A$83,0)),"학번없음"))</f>
        <v/>
      </c>
      <c r="D272" s="12"/>
      <c r="E272" s="12"/>
    </row>
    <row r="273" customFormat="false" ht="15" hidden="false" customHeight="true" outlineLevel="0" collapsed="false">
      <c r="A273" s="16"/>
      <c r="B273" s="12"/>
      <c r="C273" s="17" t="str">
        <f aca="false">IF($B273="","",IFERROR(INDEX(학생명부!$B$3:$B$83,MATCH($B273,학생명부!$A$3:$A$83,0)),"학번없음"))</f>
        <v/>
      </c>
      <c r="D273" s="12"/>
      <c r="E273" s="12"/>
    </row>
    <row r="274" customFormat="false" ht="15" hidden="false" customHeight="true" outlineLevel="0" collapsed="false">
      <c r="A274" s="16"/>
      <c r="B274" s="12"/>
      <c r="C274" s="17" t="str">
        <f aca="false">IF($B274="","",IFERROR(INDEX(학생명부!$B$3:$B$83,MATCH($B274,학생명부!$A$3:$A$83,0)),"학번없음"))</f>
        <v/>
      </c>
      <c r="D274" s="12"/>
      <c r="E274" s="12"/>
    </row>
    <row r="275" customFormat="false" ht="15" hidden="false" customHeight="true" outlineLevel="0" collapsed="false">
      <c r="A275" s="16"/>
      <c r="B275" s="12"/>
      <c r="C275" s="17" t="str">
        <f aca="false">IF($B275="","",IFERROR(INDEX(학생명부!$B$3:$B$83,MATCH($B275,학생명부!$A$3:$A$83,0)),"학번없음"))</f>
        <v/>
      </c>
      <c r="D275" s="12"/>
      <c r="E275" s="12"/>
    </row>
    <row r="276" customFormat="false" ht="15" hidden="false" customHeight="true" outlineLevel="0" collapsed="false">
      <c r="A276" s="16"/>
      <c r="B276" s="12"/>
      <c r="C276" s="17" t="str">
        <f aca="false">IF($B276="","",IFERROR(INDEX(학생명부!$B$3:$B$83,MATCH($B276,학생명부!$A$3:$A$83,0)),"학번없음"))</f>
        <v/>
      </c>
      <c r="D276" s="12"/>
      <c r="E276" s="12"/>
    </row>
    <row r="277" customFormat="false" ht="15" hidden="false" customHeight="true" outlineLevel="0" collapsed="false">
      <c r="A277" s="16"/>
      <c r="B277" s="12"/>
      <c r="C277" s="17" t="str">
        <f aca="false">IF($B277="","",IFERROR(INDEX(학생명부!$B$3:$B$83,MATCH($B277,학생명부!$A$3:$A$83,0)),"학번없음"))</f>
        <v/>
      </c>
      <c r="D277" s="12"/>
      <c r="E277" s="12"/>
    </row>
    <row r="278" customFormat="false" ht="15" hidden="false" customHeight="true" outlineLevel="0" collapsed="false">
      <c r="A278" s="16"/>
      <c r="B278" s="12"/>
      <c r="C278" s="17" t="str">
        <f aca="false">IF($B278="","",IFERROR(INDEX(학생명부!$B$3:$B$83,MATCH($B278,학생명부!$A$3:$A$83,0)),"학번없음"))</f>
        <v/>
      </c>
      <c r="D278" s="12"/>
      <c r="E278" s="12"/>
    </row>
    <row r="279" customFormat="false" ht="15" hidden="false" customHeight="true" outlineLevel="0" collapsed="false">
      <c r="A279" s="16"/>
      <c r="B279" s="12"/>
      <c r="C279" s="17" t="str">
        <f aca="false">IF($B279="","",IFERROR(INDEX(학생명부!$B$3:$B$83,MATCH($B279,학생명부!$A$3:$A$83,0)),"학번없음"))</f>
        <v/>
      </c>
      <c r="D279" s="12"/>
      <c r="E279" s="12"/>
    </row>
    <row r="280" customFormat="false" ht="15" hidden="false" customHeight="true" outlineLevel="0" collapsed="false">
      <c r="A280" s="16"/>
      <c r="B280" s="12"/>
      <c r="C280" s="17" t="str">
        <f aca="false">IF($B280="","",IFERROR(INDEX(학생명부!$B$3:$B$83,MATCH($B280,학생명부!$A$3:$A$83,0)),"학번없음"))</f>
        <v/>
      </c>
      <c r="D280" s="12"/>
      <c r="E280" s="12"/>
    </row>
    <row r="281" customFormat="false" ht="15" hidden="false" customHeight="true" outlineLevel="0" collapsed="false">
      <c r="A281" s="16"/>
      <c r="B281" s="12"/>
      <c r="C281" s="17" t="str">
        <f aca="false">IF($B281="","",IFERROR(INDEX(학생명부!$B$3:$B$83,MATCH($B281,학생명부!$A$3:$A$83,0)),"학번없음"))</f>
        <v/>
      </c>
      <c r="D281" s="12"/>
      <c r="E281" s="12"/>
    </row>
    <row r="282" customFormat="false" ht="15" hidden="false" customHeight="true" outlineLevel="0" collapsed="false">
      <c r="A282" s="16"/>
      <c r="B282" s="12"/>
      <c r="C282" s="17" t="str">
        <f aca="false">IF($B282="","",IFERROR(INDEX(학생명부!$B$3:$B$83,MATCH($B282,학생명부!$A$3:$A$83,0)),"학번없음"))</f>
        <v/>
      </c>
      <c r="D282" s="12"/>
      <c r="E282" s="12"/>
    </row>
    <row r="283" customFormat="false" ht="15" hidden="false" customHeight="true" outlineLevel="0" collapsed="false">
      <c r="A283" s="16"/>
      <c r="B283" s="12"/>
      <c r="C283" s="17" t="str">
        <f aca="false">IF($B283="","",IFERROR(INDEX(학생명부!$B$3:$B$83,MATCH($B283,학생명부!$A$3:$A$83,0)),"학번없음"))</f>
        <v/>
      </c>
      <c r="D283" s="12"/>
      <c r="E283" s="12"/>
    </row>
    <row r="284" customFormat="false" ht="15" hidden="false" customHeight="true" outlineLevel="0" collapsed="false">
      <c r="A284" s="16"/>
      <c r="B284" s="12"/>
      <c r="C284" s="17" t="str">
        <f aca="false">IF($B284="","",IFERROR(INDEX(학생명부!$B$3:$B$83,MATCH($B284,학생명부!$A$3:$A$83,0)),"학번없음"))</f>
        <v/>
      </c>
      <c r="D284" s="12"/>
      <c r="E284" s="12"/>
    </row>
    <row r="285" customFormat="false" ht="15" hidden="false" customHeight="true" outlineLevel="0" collapsed="false">
      <c r="A285" s="16"/>
      <c r="B285" s="12"/>
      <c r="C285" s="17" t="str">
        <f aca="false">IF($B285="","",IFERROR(INDEX(학생명부!$B$3:$B$83,MATCH($B285,학생명부!$A$3:$A$83,0)),"학번없음"))</f>
        <v/>
      </c>
      <c r="D285" s="12"/>
      <c r="E285" s="12"/>
    </row>
    <row r="286" customFormat="false" ht="15" hidden="false" customHeight="true" outlineLevel="0" collapsed="false">
      <c r="A286" s="16"/>
      <c r="B286" s="12"/>
      <c r="C286" s="17" t="str">
        <f aca="false">IF($B286="","",IFERROR(INDEX(학생명부!$B$3:$B$83,MATCH($B286,학생명부!$A$3:$A$83,0)),"학번없음"))</f>
        <v/>
      </c>
      <c r="D286" s="12"/>
      <c r="E286" s="12"/>
    </row>
    <row r="287" customFormat="false" ht="15" hidden="false" customHeight="true" outlineLevel="0" collapsed="false">
      <c r="A287" s="16"/>
      <c r="B287" s="12"/>
      <c r="C287" s="17" t="str">
        <f aca="false">IF($B287="","",IFERROR(INDEX(학생명부!$B$3:$B$83,MATCH($B287,학생명부!$A$3:$A$83,0)),"학번없음"))</f>
        <v/>
      </c>
      <c r="D287" s="12"/>
      <c r="E287" s="12"/>
    </row>
    <row r="288" customFormat="false" ht="15" hidden="false" customHeight="true" outlineLevel="0" collapsed="false">
      <c r="A288" s="16"/>
      <c r="B288" s="12"/>
      <c r="C288" s="17" t="str">
        <f aca="false">IF($B288="","",IFERROR(INDEX(학생명부!$B$3:$B$83,MATCH($B288,학생명부!$A$3:$A$83,0)),"학번없음"))</f>
        <v/>
      </c>
      <c r="D288" s="12"/>
      <c r="E288" s="12"/>
    </row>
    <row r="289" customFormat="false" ht="15" hidden="false" customHeight="true" outlineLevel="0" collapsed="false">
      <c r="A289" s="16"/>
      <c r="B289" s="12"/>
      <c r="C289" s="17" t="str">
        <f aca="false">IF($B289="","",IFERROR(INDEX(학생명부!$B$3:$B$83,MATCH($B289,학생명부!$A$3:$A$83,0)),"학번없음"))</f>
        <v/>
      </c>
      <c r="D289" s="12"/>
      <c r="E289" s="12"/>
    </row>
    <row r="290" customFormat="false" ht="15" hidden="false" customHeight="true" outlineLevel="0" collapsed="false">
      <c r="A290" s="16"/>
      <c r="B290" s="12"/>
      <c r="C290" s="17" t="str">
        <f aca="false">IF($B290="","",IFERROR(INDEX(학생명부!$B$3:$B$83,MATCH($B290,학생명부!$A$3:$A$83,0)),"학번없음"))</f>
        <v/>
      </c>
      <c r="D290" s="12"/>
      <c r="E290" s="12"/>
    </row>
    <row r="291" customFormat="false" ht="15" hidden="false" customHeight="true" outlineLevel="0" collapsed="false">
      <c r="A291" s="16"/>
      <c r="B291" s="12"/>
      <c r="C291" s="17" t="str">
        <f aca="false">IF($B291="","",IFERROR(INDEX(학생명부!$B$3:$B$83,MATCH($B291,학생명부!$A$3:$A$83,0)),"학번없음"))</f>
        <v/>
      </c>
      <c r="D291" s="12"/>
      <c r="E291" s="12"/>
    </row>
    <row r="292" customFormat="false" ht="15" hidden="false" customHeight="true" outlineLevel="0" collapsed="false">
      <c r="A292" s="16"/>
      <c r="B292" s="12"/>
      <c r="C292" s="17" t="str">
        <f aca="false">IF($B292="","",IFERROR(INDEX(학생명부!$B$3:$B$83,MATCH($B292,학생명부!$A$3:$A$83,0)),"학번없음"))</f>
        <v/>
      </c>
      <c r="D292" s="12"/>
      <c r="E292" s="12"/>
    </row>
    <row r="293" customFormat="false" ht="15" hidden="false" customHeight="true" outlineLevel="0" collapsed="false">
      <c r="A293" s="16"/>
      <c r="B293" s="12"/>
      <c r="C293" s="17" t="str">
        <f aca="false">IF($B293="","",IFERROR(INDEX(학생명부!$B$3:$B$83,MATCH($B293,학생명부!$A$3:$A$83,0)),"학번없음"))</f>
        <v/>
      </c>
      <c r="D293" s="12"/>
      <c r="E293" s="12"/>
    </row>
    <row r="294" customFormat="false" ht="15" hidden="false" customHeight="true" outlineLevel="0" collapsed="false">
      <c r="A294" s="16"/>
      <c r="B294" s="12"/>
      <c r="C294" s="17" t="str">
        <f aca="false">IF($B294="","",IFERROR(INDEX(학생명부!$B$3:$B$83,MATCH($B294,학생명부!$A$3:$A$83,0)),"학번없음"))</f>
        <v/>
      </c>
      <c r="D294" s="12"/>
      <c r="E294" s="12"/>
    </row>
    <row r="295" customFormat="false" ht="15" hidden="false" customHeight="true" outlineLevel="0" collapsed="false">
      <c r="A295" s="16"/>
      <c r="B295" s="12"/>
      <c r="C295" s="17" t="str">
        <f aca="false">IF($B295="","",IFERROR(INDEX(학생명부!$B$3:$B$83,MATCH($B295,학생명부!$A$3:$A$83,0)),"학번없음"))</f>
        <v/>
      </c>
      <c r="D295" s="12"/>
      <c r="E295" s="12"/>
    </row>
    <row r="296" customFormat="false" ht="15" hidden="false" customHeight="true" outlineLevel="0" collapsed="false">
      <c r="A296" s="16"/>
      <c r="B296" s="12"/>
      <c r="C296" s="17" t="str">
        <f aca="false">IF($B296="","",IFERROR(INDEX(학생명부!$B$3:$B$83,MATCH($B296,학생명부!$A$3:$A$83,0)),"학번없음"))</f>
        <v/>
      </c>
      <c r="D296" s="12"/>
      <c r="E296" s="12"/>
    </row>
    <row r="297" customFormat="false" ht="15" hidden="false" customHeight="true" outlineLevel="0" collapsed="false">
      <c r="A297" s="16"/>
      <c r="B297" s="12"/>
      <c r="C297" s="17" t="str">
        <f aca="false">IF($B297="","",IFERROR(INDEX(학생명부!$B$3:$B$83,MATCH($B297,학생명부!$A$3:$A$83,0)),"학번없음"))</f>
        <v/>
      </c>
      <c r="D297" s="12"/>
      <c r="E297" s="12"/>
    </row>
    <row r="298" customFormat="false" ht="15" hidden="false" customHeight="true" outlineLevel="0" collapsed="false">
      <c r="A298" s="16"/>
      <c r="B298" s="12"/>
      <c r="C298" s="17" t="str">
        <f aca="false">IF($B298="","",IFERROR(INDEX(학생명부!$B$3:$B$83,MATCH($B298,학생명부!$A$3:$A$83,0)),"학번없음"))</f>
        <v/>
      </c>
      <c r="D298" s="12"/>
      <c r="E298" s="12"/>
    </row>
    <row r="299" customFormat="false" ht="15" hidden="false" customHeight="true" outlineLevel="0" collapsed="false">
      <c r="A299" s="16"/>
      <c r="B299" s="12"/>
      <c r="C299" s="17" t="str">
        <f aca="false">IF($B299="","",IFERROR(INDEX(학생명부!$B$3:$B$83,MATCH($B299,학생명부!$A$3:$A$83,0)),"학번없음"))</f>
        <v/>
      </c>
      <c r="D299" s="12"/>
      <c r="E299" s="12"/>
    </row>
    <row r="300" customFormat="false" ht="15" hidden="false" customHeight="true" outlineLevel="0" collapsed="false">
      <c r="A300" s="16"/>
      <c r="B300" s="12"/>
      <c r="C300" s="17" t="str">
        <f aca="false">IF($B300="","",IFERROR(INDEX(학생명부!$B$3:$B$83,MATCH($B300,학생명부!$A$3:$A$83,0)),"학번없음"))</f>
        <v/>
      </c>
      <c r="D300" s="12"/>
      <c r="E300" s="12"/>
    </row>
    <row r="301" customFormat="false" ht="15" hidden="false" customHeight="true" outlineLevel="0" collapsed="false">
      <c r="A301" s="16"/>
      <c r="B301" s="12"/>
      <c r="C301" s="17" t="str">
        <f aca="false">IF($B301="","",IFERROR(INDEX(학생명부!$B$3:$B$83,MATCH($B301,학생명부!$A$3:$A$83,0)),"학번없음"))</f>
        <v/>
      </c>
      <c r="D301" s="12"/>
      <c r="E301" s="12"/>
    </row>
    <row r="302" customFormat="false" ht="15" hidden="false" customHeight="true" outlineLevel="0" collapsed="false">
      <c r="A302" s="16"/>
      <c r="B302" s="12"/>
      <c r="C302" s="17" t="str">
        <f aca="false">IF($B302="","",IFERROR(INDEX(학생명부!$B$3:$B$83,MATCH($B302,학생명부!$A$3:$A$83,0)),"학번없음"))</f>
        <v/>
      </c>
      <c r="D302" s="12"/>
      <c r="E302" s="1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8" min="7" style="1" width="13"/>
    <col collapsed="false" customWidth="true" hidden="false" outlineLevel="0" max="9" min="9" style="1" width="10"/>
    <col collapsed="false" customWidth="true" hidden="false" outlineLevel="0" max="10" min="10" style="1" width="14"/>
  </cols>
  <sheetData>
    <row r="1" customFormat="false" ht="24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11" t="s">
        <v>30</v>
      </c>
      <c r="B2" s="11" t="s">
        <v>31</v>
      </c>
      <c r="C2" s="11" t="s">
        <v>32</v>
      </c>
      <c r="D2" s="11" t="s">
        <v>54</v>
      </c>
      <c r="E2" s="11" t="s">
        <v>55</v>
      </c>
      <c r="F2" s="11" t="s">
        <v>56</v>
      </c>
      <c r="G2" s="11" t="s">
        <v>57</v>
      </c>
      <c r="H2" s="11" t="s">
        <v>58</v>
      </c>
      <c r="I2" s="11" t="s">
        <v>59</v>
      </c>
      <c r="J2" s="11" t="s">
        <v>60</v>
      </c>
    </row>
    <row r="3" customFormat="false" ht="15" hidden="false" customHeight="true" outlineLevel="0" collapsed="false">
      <c r="A3" s="17" t="str">
        <f aca="false">IF(학생명부!$A3="","",학생명부!$A3)</f>
        <v>10101</v>
      </c>
      <c r="B3" s="17" t="str">
        <f aca="false">IF(학생명부!$A3="","",학생명부!$B3)</f>
        <v>김예시</v>
      </c>
      <c r="C3" s="17" t="str">
        <f aca="false">IF(학생명부!$A3="","",학생명부!$C3)</f>
        <v>1-1</v>
      </c>
      <c r="D3" s="19" t="n">
        <f aca="false">IF($A3="","",ROUND(SUMIFS(봉사기록!$G$3:$G$502,봉사기록!$B$3:$B$502,$A3,봉사기록!$D$3:$D$502,"일상봉사"),2))</f>
        <v>1.66</v>
      </c>
      <c r="E3" s="19" t="n">
        <f aca="false">IF($A3="","",ROUND(SUMIFS(봉사기록!$G$3:$G$502,봉사기록!$B$3:$B$502,$A3,봉사기록!$D$3:$D$502,"특별봉사"),2))</f>
        <v>3</v>
      </c>
      <c r="F3" s="19" t="n">
        <f aca="false">IF($A3="","",ROUND($D3+$E3,2))</f>
        <v>4.66</v>
      </c>
      <c r="G3" s="19" t="n">
        <f aca="false">IF($A3="","",사용안내!$C$17)</f>
        <v>20</v>
      </c>
      <c r="H3" s="19" t="n">
        <f aca="false">IF($A3="","",MAX(0,$G3-$F3))</f>
        <v>15.34</v>
      </c>
      <c r="I3" s="20" t="n">
        <f aca="false">IF($A3="","",IF($G3=0,"",MIN(1,$F3/$G3)))</f>
        <v>0.233</v>
      </c>
      <c r="J3" s="17" t="n">
        <f aca="false">IF($A3="","",COUNTIFS(독서활동기록!$B$3:$B$302,$A3))</f>
        <v>1</v>
      </c>
    </row>
    <row r="4" customFormat="false" ht="15" hidden="false" customHeight="true" outlineLevel="0" collapsed="false">
      <c r="A4" s="17" t="n">
        <f aca="false">IF(학생명부!$A4="","",학생명부!$A4)</f>
        <v>10102</v>
      </c>
      <c r="B4" s="17" t="str">
        <f aca="false">IF(학생명부!$A4="","",학생명부!$B4)</f>
        <v>이예시</v>
      </c>
      <c r="C4" s="17" t="str">
        <f aca="false">IF(학생명부!$A4="","",학생명부!$C4)</f>
        <v>1-3</v>
      </c>
      <c r="D4" s="19" t="n">
        <f aca="false">IF($A4="","",ROUND(SUMIFS(봉사기록!$G$3:$G$502,봉사기록!$B$3:$B$502,$A4,봉사기록!$D$3:$D$502,"일상봉사"),2))</f>
        <v>0.83</v>
      </c>
      <c r="E4" s="19" t="n">
        <f aca="false">IF($A4="","",ROUND(SUMIFS(봉사기록!$G$3:$G$502,봉사기록!$B$3:$B$502,$A4,봉사기록!$D$3:$D$502,"특별봉사"),2))</f>
        <v>2.5</v>
      </c>
      <c r="F4" s="19" t="n">
        <f aca="false">IF($A4="","",ROUND($D4+$E4,2))</f>
        <v>3.33</v>
      </c>
      <c r="G4" s="19" t="n">
        <f aca="false">IF($A4="","",사용안내!$C$17)</f>
        <v>20</v>
      </c>
      <c r="H4" s="19" t="n">
        <f aca="false">IF($A4="","",MAX(0,$G4-$F4))</f>
        <v>16.67</v>
      </c>
      <c r="I4" s="20" t="n">
        <f aca="false">IF($A4="","",IF($G4=0,"",MIN(1,$F4/$G4)))</f>
        <v>0.1665</v>
      </c>
      <c r="J4" s="17" t="n">
        <f aca="false">IF($A4="","",COUNTIFS(독서활동기록!$B$3:$B$302,$A4))</f>
        <v>1</v>
      </c>
    </row>
    <row r="5" customFormat="false" ht="15" hidden="false" customHeight="true" outlineLevel="0" collapsed="false">
      <c r="A5" s="17" t="n">
        <f aca="false">IF(학생명부!$A5="","",학생명부!$A5)</f>
        <v>10203</v>
      </c>
      <c r="B5" s="17" t="str">
        <f aca="false">IF(학생명부!$A5="","",학생명부!$B5)</f>
        <v>박예시</v>
      </c>
      <c r="C5" s="17" t="str">
        <f aca="false">IF(학생명부!$A5="","",학생명부!$C5)</f>
        <v>2-1</v>
      </c>
      <c r="D5" s="19" t="n">
        <f aca="false">IF($A5="","",ROUND(SUMIFS(봉사기록!$G$3:$G$502,봉사기록!$B$3:$B$502,$A5,봉사기록!$D$3:$D$502,"일상봉사"),2))</f>
        <v>1.66</v>
      </c>
      <c r="E5" s="19" t="n">
        <f aca="false">IF($A5="","",ROUND(SUMIFS(봉사기록!$G$3:$G$502,봉사기록!$B$3:$B$502,$A5,봉사기록!$D$3:$D$502,"특별봉사"),2))</f>
        <v>0</v>
      </c>
      <c r="F5" s="19" t="n">
        <f aca="false">IF($A5="","",ROUND($D5+$E5,2))</f>
        <v>1.66</v>
      </c>
      <c r="G5" s="19" t="n">
        <f aca="false">IF($A5="","",사용안내!$C$17)</f>
        <v>20</v>
      </c>
      <c r="H5" s="19" t="n">
        <f aca="false">IF($A5="","",MAX(0,$G5-$F5))</f>
        <v>18.34</v>
      </c>
      <c r="I5" s="20" t="n">
        <f aca="false">IF($A5="","",IF($G5=0,"",MIN(1,$F5/$G5)))</f>
        <v>0.083</v>
      </c>
      <c r="J5" s="17" t="n">
        <f aca="false">IF($A5="","",COUNTIFS(독서활동기록!$B$3:$B$302,$A5))</f>
        <v>1</v>
      </c>
    </row>
    <row r="6" customFormat="false" ht="15" hidden="false" customHeight="true" outlineLevel="0" collapsed="false">
      <c r="A6" s="17" t="str">
        <f aca="false">IF(학생명부!$A6="","",학생명부!$A6)</f>
        <v/>
      </c>
      <c r="B6" s="17" t="str">
        <f aca="false">IF(학생명부!$A6="","",학생명부!$B6)</f>
        <v/>
      </c>
      <c r="C6" s="17" t="str">
        <f aca="false">IF(학생명부!$A6="","",학생명부!$C6)</f>
        <v/>
      </c>
      <c r="D6" s="19" t="str">
        <f aca="false">IF($A6="","",ROUND(SUMIFS(봉사기록!$G$3:$G$502,봉사기록!$B$3:$B$502,$A6,봉사기록!$D$3:$D$502,"일상봉사"),2))</f>
        <v/>
      </c>
      <c r="E6" s="19" t="str">
        <f aca="false">IF($A6="","",ROUND(SUMIFS(봉사기록!$G$3:$G$502,봉사기록!$B$3:$B$502,$A6,봉사기록!$D$3:$D$502,"특별봉사"),2))</f>
        <v/>
      </c>
      <c r="F6" s="19" t="str">
        <f aca="false">IF($A6="","",ROUND($D6+$E6,2))</f>
        <v/>
      </c>
      <c r="G6" s="19" t="str">
        <f aca="false">IF($A6="","",사용안내!$C$17)</f>
        <v/>
      </c>
      <c r="H6" s="19" t="str">
        <f aca="false">IF($A6="","",MAX(0,$G6-$F6))</f>
        <v/>
      </c>
      <c r="I6" s="20" t="str">
        <f aca="false">IF($A6="","",IF($G6=0,"",MIN(1,$F6/$G6)))</f>
        <v/>
      </c>
      <c r="J6" s="17" t="str">
        <f aca="false">IF($A6="","",COUNTIFS(독서활동기록!$B$3:$B$302,$A6))</f>
        <v/>
      </c>
    </row>
    <row r="7" customFormat="false" ht="15" hidden="false" customHeight="true" outlineLevel="0" collapsed="false">
      <c r="A7" s="17" t="str">
        <f aca="false">IF(학생명부!$A7="","",학생명부!$A7)</f>
        <v/>
      </c>
      <c r="B7" s="17" t="str">
        <f aca="false">IF(학생명부!$A7="","",학생명부!$B7)</f>
        <v/>
      </c>
      <c r="C7" s="17" t="str">
        <f aca="false">IF(학생명부!$A7="","",학생명부!$C7)</f>
        <v/>
      </c>
      <c r="D7" s="19" t="str">
        <f aca="false">IF($A7="","",ROUND(SUMIFS(봉사기록!$G$3:$G$502,봉사기록!$B$3:$B$502,$A7,봉사기록!$D$3:$D$502,"일상봉사"),2))</f>
        <v/>
      </c>
      <c r="E7" s="19" t="str">
        <f aca="false">IF($A7="","",ROUND(SUMIFS(봉사기록!$G$3:$G$502,봉사기록!$B$3:$B$502,$A7,봉사기록!$D$3:$D$502,"특별봉사"),2))</f>
        <v/>
      </c>
      <c r="F7" s="19" t="str">
        <f aca="false">IF($A7="","",ROUND($D7+$E7,2))</f>
        <v/>
      </c>
      <c r="G7" s="19" t="str">
        <f aca="false">IF($A7="","",사용안내!$C$17)</f>
        <v/>
      </c>
      <c r="H7" s="19" t="str">
        <f aca="false">IF($A7="","",MAX(0,$G7-$F7))</f>
        <v/>
      </c>
      <c r="I7" s="20" t="str">
        <f aca="false">IF($A7="","",IF($G7=0,"",MIN(1,$F7/$G7)))</f>
        <v/>
      </c>
      <c r="J7" s="17" t="str">
        <f aca="false">IF($A7="","",COUNTIFS(독서활동기록!$B$3:$B$302,$A7))</f>
        <v/>
      </c>
    </row>
    <row r="8" customFormat="false" ht="15" hidden="false" customHeight="true" outlineLevel="0" collapsed="false">
      <c r="A8" s="17" t="str">
        <f aca="false">IF(학생명부!$A8="","",학생명부!$A8)</f>
        <v/>
      </c>
      <c r="B8" s="17" t="str">
        <f aca="false">IF(학생명부!$A8="","",학생명부!$B8)</f>
        <v/>
      </c>
      <c r="C8" s="17" t="str">
        <f aca="false">IF(학생명부!$A8="","",학생명부!$C8)</f>
        <v/>
      </c>
      <c r="D8" s="19" t="str">
        <f aca="false">IF($A8="","",ROUND(SUMIFS(봉사기록!$G$3:$G$502,봉사기록!$B$3:$B$502,$A8,봉사기록!$D$3:$D$502,"일상봉사"),2))</f>
        <v/>
      </c>
      <c r="E8" s="19" t="str">
        <f aca="false">IF($A8="","",ROUND(SUMIFS(봉사기록!$G$3:$G$502,봉사기록!$B$3:$B$502,$A8,봉사기록!$D$3:$D$502,"특별봉사"),2))</f>
        <v/>
      </c>
      <c r="F8" s="19" t="str">
        <f aca="false">IF($A8="","",ROUND($D8+$E8,2))</f>
        <v/>
      </c>
      <c r="G8" s="19" t="str">
        <f aca="false">IF($A8="","",사용안내!$C$17)</f>
        <v/>
      </c>
      <c r="H8" s="19" t="str">
        <f aca="false">IF($A8="","",MAX(0,$G8-$F8))</f>
        <v/>
      </c>
      <c r="I8" s="20" t="str">
        <f aca="false">IF($A8="","",IF($G8=0,"",MIN(1,$F8/$G8)))</f>
        <v/>
      </c>
      <c r="J8" s="17" t="str">
        <f aca="false">IF($A8="","",COUNTIFS(독서활동기록!$B$3:$B$302,$A8))</f>
        <v/>
      </c>
    </row>
    <row r="9" customFormat="false" ht="15" hidden="false" customHeight="true" outlineLevel="0" collapsed="false">
      <c r="A9" s="17" t="str">
        <f aca="false">IF(학생명부!$A9="","",학생명부!$A9)</f>
        <v/>
      </c>
      <c r="B9" s="17" t="str">
        <f aca="false">IF(학생명부!$A9="","",학생명부!$B9)</f>
        <v/>
      </c>
      <c r="C9" s="17" t="str">
        <f aca="false">IF(학생명부!$A9="","",학생명부!$C9)</f>
        <v/>
      </c>
      <c r="D9" s="19" t="str">
        <f aca="false">IF($A9="","",ROUND(SUMIFS(봉사기록!$G$3:$G$502,봉사기록!$B$3:$B$502,$A9,봉사기록!$D$3:$D$502,"일상봉사"),2))</f>
        <v/>
      </c>
      <c r="E9" s="19" t="str">
        <f aca="false">IF($A9="","",ROUND(SUMIFS(봉사기록!$G$3:$G$502,봉사기록!$B$3:$B$502,$A9,봉사기록!$D$3:$D$502,"특별봉사"),2))</f>
        <v/>
      </c>
      <c r="F9" s="19" t="str">
        <f aca="false">IF($A9="","",ROUND($D9+$E9,2))</f>
        <v/>
      </c>
      <c r="G9" s="19" t="str">
        <f aca="false">IF($A9="","",사용안내!$C$17)</f>
        <v/>
      </c>
      <c r="H9" s="19" t="str">
        <f aca="false">IF($A9="","",MAX(0,$G9-$F9))</f>
        <v/>
      </c>
      <c r="I9" s="20" t="str">
        <f aca="false">IF($A9="","",IF($G9=0,"",MIN(1,$F9/$G9)))</f>
        <v/>
      </c>
      <c r="J9" s="17" t="str">
        <f aca="false">IF($A9="","",COUNTIFS(독서활동기록!$B$3:$B$302,$A9))</f>
        <v/>
      </c>
    </row>
    <row r="10" customFormat="false" ht="15" hidden="false" customHeight="true" outlineLevel="0" collapsed="false">
      <c r="A10" s="17" t="str">
        <f aca="false">IF(학생명부!$A10="","",학생명부!$A10)</f>
        <v/>
      </c>
      <c r="B10" s="17" t="str">
        <f aca="false">IF(학생명부!$A10="","",학생명부!$B10)</f>
        <v/>
      </c>
      <c r="C10" s="17" t="str">
        <f aca="false">IF(학생명부!$A10="","",학생명부!$C10)</f>
        <v/>
      </c>
      <c r="D10" s="19" t="str">
        <f aca="false">IF($A10="","",ROUND(SUMIFS(봉사기록!$G$3:$G$502,봉사기록!$B$3:$B$502,$A10,봉사기록!$D$3:$D$502,"일상봉사"),2))</f>
        <v/>
      </c>
      <c r="E10" s="19" t="str">
        <f aca="false">IF($A10="","",ROUND(SUMIFS(봉사기록!$G$3:$G$502,봉사기록!$B$3:$B$502,$A10,봉사기록!$D$3:$D$502,"특별봉사"),2))</f>
        <v/>
      </c>
      <c r="F10" s="19" t="str">
        <f aca="false">IF($A10="","",ROUND($D10+$E10,2))</f>
        <v/>
      </c>
      <c r="G10" s="19" t="str">
        <f aca="false">IF($A10="","",사용안내!$C$17)</f>
        <v/>
      </c>
      <c r="H10" s="19" t="str">
        <f aca="false">IF($A10="","",MAX(0,$G10-$F10))</f>
        <v/>
      </c>
      <c r="I10" s="20" t="str">
        <f aca="false">IF($A10="","",IF($G10=0,"",MIN(1,$F10/$G10)))</f>
        <v/>
      </c>
      <c r="J10" s="17" t="str">
        <f aca="false">IF($A10="","",COUNTIFS(독서활동기록!$B$3:$B$302,$A10))</f>
        <v/>
      </c>
    </row>
    <row r="11" customFormat="false" ht="15" hidden="false" customHeight="true" outlineLevel="0" collapsed="false">
      <c r="A11" s="17" t="str">
        <f aca="false">IF(학생명부!$A11="","",학생명부!$A11)</f>
        <v/>
      </c>
      <c r="B11" s="17" t="str">
        <f aca="false">IF(학생명부!$A11="","",학생명부!$B11)</f>
        <v/>
      </c>
      <c r="C11" s="17" t="str">
        <f aca="false">IF(학생명부!$A11="","",학생명부!$C11)</f>
        <v/>
      </c>
      <c r="D11" s="19" t="str">
        <f aca="false">IF($A11="","",ROUND(SUMIFS(봉사기록!$G$3:$G$502,봉사기록!$B$3:$B$502,$A11,봉사기록!$D$3:$D$502,"일상봉사"),2))</f>
        <v/>
      </c>
      <c r="E11" s="19" t="str">
        <f aca="false">IF($A11="","",ROUND(SUMIFS(봉사기록!$G$3:$G$502,봉사기록!$B$3:$B$502,$A11,봉사기록!$D$3:$D$502,"특별봉사"),2))</f>
        <v/>
      </c>
      <c r="F11" s="19" t="str">
        <f aca="false">IF($A11="","",ROUND($D11+$E11,2))</f>
        <v/>
      </c>
      <c r="G11" s="19" t="str">
        <f aca="false">IF($A11="","",사용안내!$C$17)</f>
        <v/>
      </c>
      <c r="H11" s="19" t="str">
        <f aca="false">IF($A11="","",MAX(0,$G11-$F11))</f>
        <v/>
      </c>
      <c r="I11" s="20" t="str">
        <f aca="false">IF($A11="","",IF($G11=0,"",MIN(1,$F11/$G11)))</f>
        <v/>
      </c>
      <c r="J11" s="17" t="str">
        <f aca="false">IF($A11="","",COUNTIFS(독서활동기록!$B$3:$B$302,$A11))</f>
        <v/>
      </c>
    </row>
    <row r="12" customFormat="false" ht="15" hidden="false" customHeight="true" outlineLevel="0" collapsed="false">
      <c r="A12" s="17" t="str">
        <f aca="false">IF(학생명부!$A12="","",학생명부!$A12)</f>
        <v/>
      </c>
      <c r="B12" s="17" t="str">
        <f aca="false">IF(학생명부!$A12="","",학생명부!$B12)</f>
        <v/>
      </c>
      <c r="C12" s="17" t="str">
        <f aca="false">IF(학생명부!$A12="","",학생명부!$C12)</f>
        <v/>
      </c>
      <c r="D12" s="19" t="str">
        <f aca="false">IF($A12="","",ROUND(SUMIFS(봉사기록!$G$3:$G$502,봉사기록!$B$3:$B$502,$A12,봉사기록!$D$3:$D$502,"일상봉사"),2))</f>
        <v/>
      </c>
      <c r="E12" s="19" t="str">
        <f aca="false">IF($A12="","",ROUND(SUMIFS(봉사기록!$G$3:$G$502,봉사기록!$B$3:$B$502,$A12,봉사기록!$D$3:$D$502,"특별봉사"),2))</f>
        <v/>
      </c>
      <c r="F12" s="19" t="str">
        <f aca="false">IF($A12="","",ROUND($D12+$E12,2))</f>
        <v/>
      </c>
      <c r="G12" s="19" t="str">
        <f aca="false">IF($A12="","",사용안내!$C$17)</f>
        <v/>
      </c>
      <c r="H12" s="19" t="str">
        <f aca="false">IF($A12="","",MAX(0,$G12-$F12))</f>
        <v/>
      </c>
      <c r="I12" s="20" t="str">
        <f aca="false">IF($A12="","",IF($G12=0,"",MIN(1,$F12/$G12)))</f>
        <v/>
      </c>
      <c r="J12" s="17" t="str">
        <f aca="false">IF($A12="","",COUNTIFS(독서활동기록!$B$3:$B$302,$A12))</f>
        <v/>
      </c>
    </row>
    <row r="13" customFormat="false" ht="15" hidden="false" customHeight="true" outlineLevel="0" collapsed="false">
      <c r="A13" s="17" t="str">
        <f aca="false">IF(학생명부!$A13="","",학생명부!$A13)</f>
        <v/>
      </c>
      <c r="B13" s="17" t="str">
        <f aca="false">IF(학생명부!$A13="","",학생명부!$B13)</f>
        <v/>
      </c>
      <c r="C13" s="17" t="str">
        <f aca="false">IF(학생명부!$A13="","",학생명부!$C13)</f>
        <v/>
      </c>
      <c r="D13" s="19" t="str">
        <f aca="false">IF($A13="","",ROUND(SUMIFS(봉사기록!$G$3:$G$502,봉사기록!$B$3:$B$502,$A13,봉사기록!$D$3:$D$502,"일상봉사"),2))</f>
        <v/>
      </c>
      <c r="E13" s="19" t="str">
        <f aca="false">IF($A13="","",ROUND(SUMIFS(봉사기록!$G$3:$G$502,봉사기록!$B$3:$B$502,$A13,봉사기록!$D$3:$D$502,"특별봉사"),2))</f>
        <v/>
      </c>
      <c r="F13" s="19" t="str">
        <f aca="false">IF($A13="","",ROUND($D13+$E13,2))</f>
        <v/>
      </c>
      <c r="G13" s="19" t="str">
        <f aca="false">IF($A13="","",사용안내!$C$17)</f>
        <v/>
      </c>
      <c r="H13" s="19" t="str">
        <f aca="false">IF($A13="","",MAX(0,$G13-$F13))</f>
        <v/>
      </c>
      <c r="I13" s="20" t="str">
        <f aca="false">IF($A13="","",IF($G13=0,"",MIN(1,$F13/$G13)))</f>
        <v/>
      </c>
      <c r="J13" s="17" t="str">
        <f aca="false">IF($A13="","",COUNTIFS(독서활동기록!$B$3:$B$302,$A13))</f>
        <v/>
      </c>
    </row>
    <row r="14" customFormat="false" ht="15" hidden="false" customHeight="true" outlineLevel="0" collapsed="false">
      <c r="A14" s="17" t="str">
        <f aca="false">IF(학생명부!$A14="","",학생명부!$A14)</f>
        <v/>
      </c>
      <c r="B14" s="17" t="str">
        <f aca="false">IF(학생명부!$A14="","",학생명부!$B14)</f>
        <v/>
      </c>
      <c r="C14" s="17" t="str">
        <f aca="false">IF(학생명부!$A14="","",학생명부!$C14)</f>
        <v/>
      </c>
      <c r="D14" s="19" t="str">
        <f aca="false">IF($A14="","",ROUND(SUMIFS(봉사기록!$G$3:$G$502,봉사기록!$B$3:$B$502,$A14,봉사기록!$D$3:$D$502,"일상봉사"),2))</f>
        <v/>
      </c>
      <c r="E14" s="19" t="str">
        <f aca="false">IF($A14="","",ROUND(SUMIFS(봉사기록!$G$3:$G$502,봉사기록!$B$3:$B$502,$A14,봉사기록!$D$3:$D$502,"특별봉사"),2))</f>
        <v/>
      </c>
      <c r="F14" s="19" t="str">
        <f aca="false">IF($A14="","",ROUND($D14+$E14,2))</f>
        <v/>
      </c>
      <c r="G14" s="19" t="str">
        <f aca="false">IF($A14="","",사용안내!$C$17)</f>
        <v/>
      </c>
      <c r="H14" s="19" t="str">
        <f aca="false">IF($A14="","",MAX(0,$G14-$F14))</f>
        <v/>
      </c>
      <c r="I14" s="20" t="str">
        <f aca="false">IF($A14="","",IF($G14=0,"",MIN(1,$F14/$G14)))</f>
        <v/>
      </c>
      <c r="J14" s="17" t="str">
        <f aca="false">IF($A14="","",COUNTIFS(독서활동기록!$B$3:$B$302,$A14))</f>
        <v/>
      </c>
    </row>
    <row r="15" customFormat="false" ht="15" hidden="false" customHeight="true" outlineLevel="0" collapsed="false">
      <c r="A15" s="17" t="str">
        <f aca="false">IF(학생명부!$A15="","",학생명부!$A15)</f>
        <v/>
      </c>
      <c r="B15" s="17" t="str">
        <f aca="false">IF(학생명부!$A15="","",학생명부!$B15)</f>
        <v/>
      </c>
      <c r="C15" s="17" t="str">
        <f aca="false">IF(학생명부!$A15="","",학생명부!$C15)</f>
        <v/>
      </c>
      <c r="D15" s="19" t="str">
        <f aca="false">IF($A15="","",ROUND(SUMIFS(봉사기록!$G$3:$G$502,봉사기록!$B$3:$B$502,$A15,봉사기록!$D$3:$D$502,"일상봉사"),2))</f>
        <v/>
      </c>
      <c r="E15" s="19" t="str">
        <f aca="false">IF($A15="","",ROUND(SUMIFS(봉사기록!$G$3:$G$502,봉사기록!$B$3:$B$502,$A15,봉사기록!$D$3:$D$502,"특별봉사"),2))</f>
        <v/>
      </c>
      <c r="F15" s="19" t="str">
        <f aca="false">IF($A15="","",ROUND($D15+$E15,2))</f>
        <v/>
      </c>
      <c r="G15" s="19" t="str">
        <f aca="false">IF($A15="","",사용안내!$C$17)</f>
        <v/>
      </c>
      <c r="H15" s="19" t="str">
        <f aca="false">IF($A15="","",MAX(0,$G15-$F15))</f>
        <v/>
      </c>
      <c r="I15" s="20" t="str">
        <f aca="false">IF($A15="","",IF($G15=0,"",MIN(1,$F15/$G15)))</f>
        <v/>
      </c>
      <c r="J15" s="17" t="str">
        <f aca="false">IF($A15="","",COUNTIFS(독서활동기록!$B$3:$B$302,$A15))</f>
        <v/>
      </c>
    </row>
    <row r="16" customFormat="false" ht="15" hidden="false" customHeight="true" outlineLevel="0" collapsed="false">
      <c r="A16" s="17" t="str">
        <f aca="false">IF(학생명부!$A16="","",학생명부!$A16)</f>
        <v/>
      </c>
      <c r="B16" s="17" t="str">
        <f aca="false">IF(학생명부!$A16="","",학생명부!$B16)</f>
        <v/>
      </c>
      <c r="C16" s="17" t="str">
        <f aca="false">IF(학생명부!$A16="","",학생명부!$C16)</f>
        <v/>
      </c>
      <c r="D16" s="19" t="str">
        <f aca="false">IF($A16="","",ROUND(SUMIFS(봉사기록!$G$3:$G$502,봉사기록!$B$3:$B$502,$A16,봉사기록!$D$3:$D$502,"일상봉사"),2))</f>
        <v/>
      </c>
      <c r="E16" s="19" t="str">
        <f aca="false">IF($A16="","",ROUND(SUMIFS(봉사기록!$G$3:$G$502,봉사기록!$B$3:$B$502,$A16,봉사기록!$D$3:$D$502,"특별봉사"),2))</f>
        <v/>
      </c>
      <c r="F16" s="19" t="str">
        <f aca="false">IF($A16="","",ROUND($D16+$E16,2))</f>
        <v/>
      </c>
      <c r="G16" s="19" t="str">
        <f aca="false">IF($A16="","",사용안내!$C$17)</f>
        <v/>
      </c>
      <c r="H16" s="19" t="str">
        <f aca="false">IF($A16="","",MAX(0,$G16-$F16))</f>
        <v/>
      </c>
      <c r="I16" s="20" t="str">
        <f aca="false">IF($A16="","",IF($G16=0,"",MIN(1,$F16/$G16)))</f>
        <v/>
      </c>
      <c r="J16" s="17" t="str">
        <f aca="false">IF($A16="","",COUNTIFS(독서활동기록!$B$3:$B$302,$A16))</f>
        <v/>
      </c>
    </row>
    <row r="17" customFormat="false" ht="15" hidden="false" customHeight="true" outlineLevel="0" collapsed="false">
      <c r="A17" s="17" t="str">
        <f aca="false">IF(학생명부!$A17="","",학생명부!$A17)</f>
        <v/>
      </c>
      <c r="B17" s="17" t="str">
        <f aca="false">IF(학생명부!$A17="","",학생명부!$B17)</f>
        <v/>
      </c>
      <c r="C17" s="17" t="str">
        <f aca="false">IF(학생명부!$A17="","",학생명부!$C17)</f>
        <v/>
      </c>
      <c r="D17" s="19" t="str">
        <f aca="false">IF($A17="","",ROUND(SUMIFS(봉사기록!$G$3:$G$502,봉사기록!$B$3:$B$502,$A17,봉사기록!$D$3:$D$502,"일상봉사"),2))</f>
        <v/>
      </c>
      <c r="E17" s="19" t="str">
        <f aca="false">IF($A17="","",ROUND(SUMIFS(봉사기록!$G$3:$G$502,봉사기록!$B$3:$B$502,$A17,봉사기록!$D$3:$D$502,"특별봉사"),2))</f>
        <v/>
      </c>
      <c r="F17" s="19" t="str">
        <f aca="false">IF($A17="","",ROUND($D17+$E17,2))</f>
        <v/>
      </c>
      <c r="G17" s="19" t="str">
        <f aca="false">IF($A17="","",사용안내!$C$17)</f>
        <v/>
      </c>
      <c r="H17" s="19" t="str">
        <f aca="false">IF($A17="","",MAX(0,$G17-$F17))</f>
        <v/>
      </c>
      <c r="I17" s="20" t="str">
        <f aca="false">IF($A17="","",IF($G17=0,"",MIN(1,$F17/$G17)))</f>
        <v/>
      </c>
      <c r="J17" s="17" t="str">
        <f aca="false">IF($A17="","",COUNTIFS(독서활동기록!$B$3:$B$302,$A17))</f>
        <v/>
      </c>
    </row>
    <row r="18" customFormat="false" ht="15" hidden="false" customHeight="true" outlineLevel="0" collapsed="false">
      <c r="A18" s="17" t="str">
        <f aca="false">IF(학생명부!$A18="","",학생명부!$A18)</f>
        <v/>
      </c>
      <c r="B18" s="17" t="str">
        <f aca="false">IF(학생명부!$A18="","",학생명부!$B18)</f>
        <v/>
      </c>
      <c r="C18" s="17" t="str">
        <f aca="false">IF(학생명부!$A18="","",학생명부!$C18)</f>
        <v/>
      </c>
      <c r="D18" s="19" t="str">
        <f aca="false">IF($A18="","",ROUND(SUMIFS(봉사기록!$G$3:$G$502,봉사기록!$B$3:$B$502,$A18,봉사기록!$D$3:$D$502,"일상봉사"),2))</f>
        <v/>
      </c>
      <c r="E18" s="19" t="str">
        <f aca="false">IF($A18="","",ROUND(SUMIFS(봉사기록!$G$3:$G$502,봉사기록!$B$3:$B$502,$A18,봉사기록!$D$3:$D$502,"특별봉사"),2))</f>
        <v/>
      </c>
      <c r="F18" s="19" t="str">
        <f aca="false">IF($A18="","",ROUND($D18+$E18,2))</f>
        <v/>
      </c>
      <c r="G18" s="19" t="str">
        <f aca="false">IF($A18="","",사용안내!$C$17)</f>
        <v/>
      </c>
      <c r="H18" s="19" t="str">
        <f aca="false">IF($A18="","",MAX(0,$G18-$F18))</f>
        <v/>
      </c>
      <c r="I18" s="20" t="str">
        <f aca="false">IF($A18="","",IF($G18=0,"",MIN(1,$F18/$G18)))</f>
        <v/>
      </c>
      <c r="J18" s="17" t="str">
        <f aca="false">IF($A18="","",COUNTIFS(독서활동기록!$B$3:$B$302,$A18))</f>
        <v/>
      </c>
    </row>
    <row r="19" customFormat="false" ht="15" hidden="false" customHeight="true" outlineLevel="0" collapsed="false">
      <c r="A19" s="17" t="str">
        <f aca="false">IF(학생명부!$A19="","",학생명부!$A19)</f>
        <v/>
      </c>
      <c r="B19" s="17" t="str">
        <f aca="false">IF(학생명부!$A19="","",학생명부!$B19)</f>
        <v/>
      </c>
      <c r="C19" s="17" t="str">
        <f aca="false">IF(학생명부!$A19="","",학생명부!$C19)</f>
        <v/>
      </c>
      <c r="D19" s="19" t="str">
        <f aca="false">IF($A19="","",ROUND(SUMIFS(봉사기록!$G$3:$G$502,봉사기록!$B$3:$B$502,$A19,봉사기록!$D$3:$D$502,"일상봉사"),2))</f>
        <v/>
      </c>
      <c r="E19" s="19" t="str">
        <f aca="false">IF($A19="","",ROUND(SUMIFS(봉사기록!$G$3:$G$502,봉사기록!$B$3:$B$502,$A19,봉사기록!$D$3:$D$502,"특별봉사"),2))</f>
        <v/>
      </c>
      <c r="F19" s="19" t="str">
        <f aca="false">IF($A19="","",ROUND($D19+$E19,2))</f>
        <v/>
      </c>
      <c r="G19" s="19" t="str">
        <f aca="false">IF($A19="","",사용안내!$C$17)</f>
        <v/>
      </c>
      <c r="H19" s="19" t="str">
        <f aca="false">IF($A19="","",MAX(0,$G19-$F19))</f>
        <v/>
      </c>
      <c r="I19" s="20" t="str">
        <f aca="false">IF($A19="","",IF($G19=0,"",MIN(1,$F19/$G19)))</f>
        <v/>
      </c>
      <c r="J19" s="17" t="str">
        <f aca="false">IF($A19="","",COUNTIFS(독서활동기록!$B$3:$B$302,$A19))</f>
        <v/>
      </c>
    </row>
    <row r="20" customFormat="false" ht="15" hidden="false" customHeight="true" outlineLevel="0" collapsed="false">
      <c r="A20" s="17" t="str">
        <f aca="false">IF(학생명부!$A20="","",학생명부!$A20)</f>
        <v/>
      </c>
      <c r="B20" s="17" t="str">
        <f aca="false">IF(학생명부!$A20="","",학생명부!$B20)</f>
        <v/>
      </c>
      <c r="C20" s="17" t="str">
        <f aca="false">IF(학생명부!$A20="","",학생명부!$C20)</f>
        <v/>
      </c>
      <c r="D20" s="19" t="str">
        <f aca="false">IF($A20="","",ROUND(SUMIFS(봉사기록!$G$3:$G$502,봉사기록!$B$3:$B$502,$A20,봉사기록!$D$3:$D$502,"일상봉사"),2))</f>
        <v/>
      </c>
      <c r="E20" s="19" t="str">
        <f aca="false">IF($A20="","",ROUND(SUMIFS(봉사기록!$G$3:$G$502,봉사기록!$B$3:$B$502,$A20,봉사기록!$D$3:$D$502,"특별봉사"),2))</f>
        <v/>
      </c>
      <c r="F20" s="19" t="str">
        <f aca="false">IF($A20="","",ROUND($D20+$E20,2))</f>
        <v/>
      </c>
      <c r="G20" s="19" t="str">
        <f aca="false">IF($A20="","",사용안내!$C$17)</f>
        <v/>
      </c>
      <c r="H20" s="19" t="str">
        <f aca="false">IF($A20="","",MAX(0,$G20-$F20))</f>
        <v/>
      </c>
      <c r="I20" s="20" t="str">
        <f aca="false">IF($A20="","",IF($G20=0,"",MIN(1,$F20/$G20)))</f>
        <v/>
      </c>
      <c r="J20" s="17" t="str">
        <f aca="false">IF($A20="","",COUNTIFS(독서활동기록!$B$3:$B$302,$A20))</f>
        <v/>
      </c>
    </row>
    <row r="21" customFormat="false" ht="15" hidden="false" customHeight="true" outlineLevel="0" collapsed="false">
      <c r="A21" s="17" t="str">
        <f aca="false">IF(학생명부!$A21="","",학생명부!$A21)</f>
        <v/>
      </c>
      <c r="B21" s="17" t="str">
        <f aca="false">IF(학생명부!$A21="","",학생명부!$B21)</f>
        <v/>
      </c>
      <c r="C21" s="17" t="str">
        <f aca="false">IF(학생명부!$A21="","",학생명부!$C21)</f>
        <v/>
      </c>
      <c r="D21" s="19" t="str">
        <f aca="false">IF($A21="","",ROUND(SUMIFS(봉사기록!$G$3:$G$502,봉사기록!$B$3:$B$502,$A21,봉사기록!$D$3:$D$502,"일상봉사"),2))</f>
        <v/>
      </c>
      <c r="E21" s="19" t="str">
        <f aca="false">IF($A21="","",ROUND(SUMIFS(봉사기록!$G$3:$G$502,봉사기록!$B$3:$B$502,$A21,봉사기록!$D$3:$D$502,"특별봉사"),2))</f>
        <v/>
      </c>
      <c r="F21" s="19" t="str">
        <f aca="false">IF($A21="","",ROUND($D21+$E21,2))</f>
        <v/>
      </c>
      <c r="G21" s="19" t="str">
        <f aca="false">IF($A21="","",사용안내!$C$17)</f>
        <v/>
      </c>
      <c r="H21" s="19" t="str">
        <f aca="false">IF($A21="","",MAX(0,$G21-$F21))</f>
        <v/>
      </c>
      <c r="I21" s="20" t="str">
        <f aca="false">IF($A21="","",IF($G21=0,"",MIN(1,$F21/$G21)))</f>
        <v/>
      </c>
      <c r="J21" s="17" t="str">
        <f aca="false">IF($A21="","",COUNTIFS(독서활동기록!$B$3:$B$302,$A21))</f>
        <v/>
      </c>
    </row>
    <row r="22" customFormat="false" ht="15" hidden="false" customHeight="true" outlineLevel="0" collapsed="false">
      <c r="A22" s="17" t="str">
        <f aca="false">IF(학생명부!$A22="","",학생명부!$A22)</f>
        <v/>
      </c>
      <c r="B22" s="17" t="str">
        <f aca="false">IF(학생명부!$A22="","",학생명부!$B22)</f>
        <v/>
      </c>
      <c r="C22" s="17" t="str">
        <f aca="false">IF(학생명부!$A22="","",학생명부!$C22)</f>
        <v/>
      </c>
      <c r="D22" s="19" t="str">
        <f aca="false">IF($A22="","",ROUND(SUMIFS(봉사기록!$G$3:$G$502,봉사기록!$B$3:$B$502,$A22,봉사기록!$D$3:$D$502,"일상봉사"),2))</f>
        <v/>
      </c>
      <c r="E22" s="19" t="str">
        <f aca="false">IF($A22="","",ROUND(SUMIFS(봉사기록!$G$3:$G$502,봉사기록!$B$3:$B$502,$A22,봉사기록!$D$3:$D$502,"특별봉사"),2))</f>
        <v/>
      </c>
      <c r="F22" s="19" t="str">
        <f aca="false">IF($A22="","",ROUND($D22+$E22,2))</f>
        <v/>
      </c>
      <c r="G22" s="19" t="str">
        <f aca="false">IF($A22="","",사용안내!$C$17)</f>
        <v/>
      </c>
      <c r="H22" s="19" t="str">
        <f aca="false">IF($A22="","",MAX(0,$G22-$F22))</f>
        <v/>
      </c>
      <c r="I22" s="20" t="str">
        <f aca="false">IF($A22="","",IF($G22=0,"",MIN(1,$F22/$G22)))</f>
        <v/>
      </c>
      <c r="J22" s="17" t="str">
        <f aca="false">IF($A22="","",COUNTIFS(독서활동기록!$B$3:$B$302,$A22))</f>
        <v/>
      </c>
    </row>
    <row r="23" customFormat="false" ht="15" hidden="false" customHeight="true" outlineLevel="0" collapsed="false">
      <c r="A23" s="17" t="str">
        <f aca="false">IF(학생명부!$A23="","",학생명부!$A23)</f>
        <v/>
      </c>
      <c r="B23" s="17" t="str">
        <f aca="false">IF(학생명부!$A23="","",학생명부!$B23)</f>
        <v/>
      </c>
      <c r="C23" s="17" t="str">
        <f aca="false">IF(학생명부!$A23="","",학생명부!$C23)</f>
        <v/>
      </c>
      <c r="D23" s="19" t="str">
        <f aca="false">IF($A23="","",ROUND(SUMIFS(봉사기록!$G$3:$G$502,봉사기록!$B$3:$B$502,$A23,봉사기록!$D$3:$D$502,"일상봉사"),2))</f>
        <v/>
      </c>
      <c r="E23" s="19" t="str">
        <f aca="false">IF($A23="","",ROUND(SUMIFS(봉사기록!$G$3:$G$502,봉사기록!$B$3:$B$502,$A23,봉사기록!$D$3:$D$502,"특별봉사"),2))</f>
        <v/>
      </c>
      <c r="F23" s="19" t="str">
        <f aca="false">IF($A23="","",ROUND($D23+$E23,2))</f>
        <v/>
      </c>
      <c r="G23" s="19" t="str">
        <f aca="false">IF($A23="","",사용안내!$C$17)</f>
        <v/>
      </c>
      <c r="H23" s="19" t="str">
        <f aca="false">IF($A23="","",MAX(0,$G23-$F23))</f>
        <v/>
      </c>
      <c r="I23" s="20" t="str">
        <f aca="false">IF($A23="","",IF($G23=0,"",MIN(1,$F23/$G23)))</f>
        <v/>
      </c>
      <c r="J23" s="17" t="str">
        <f aca="false">IF($A23="","",COUNTIFS(독서활동기록!$B$3:$B$302,$A23))</f>
        <v/>
      </c>
    </row>
    <row r="24" customFormat="false" ht="15" hidden="false" customHeight="true" outlineLevel="0" collapsed="false">
      <c r="A24" s="17" t="str">
        <f aca="false">IF(학생명부!$A24="","",학생명부!$A24)</f>
        <v/>
      </c>
      <c r="B24" s="17" t="str">
        <f aca="false">IF(학생명부!$A24="","",학생명부!$B24)</f>
        <v/>
      </c>
      <c r="C24" s="17" t="str">
        <f aca="false">IF(학생명부!$A24="","",학생명부!$C24)</f>
        <v/>
      </c>
      <c r="D24" s="19" t="str">
        <f aca="false">IF($A24="","",ROUND(SUMIFS(봉사기록!$G$3:$G$502,봉사기록!$B$3:$B$502,$A24,봉사기록!$D$3:$D$502,"일상봉사"),2))</f>
        <v/>
      </c>
      <c r="E24" s="19" t="str">
        <f aca="false">IF($A24="","",ROUND(SUMIFS(봉사기록!$G$3:$G$502,봉사기록!$B$3:$B$502,$A24,봉사기록!$D$3:$D$502,"특별봉사"),2))</f>
        <v/>
      </c>
      <c r="F24" s="19" t="str">
        <f aca="false">IF($A24="","",ROUND($D24+$E24,2))</f>
        <v/>
      </c>
      <c r="G24" s="19" t="str">
        <f aca="false">IF($A24="","",사용안내!$C$17)</f>
        <v/>
      </c>
      <c r="H24" s="19" t="str">
        <f aca="false">IF($A24="","",MAX(0,$G24-$F24))</f>
        <v/>
      </c>
      <c r="I24" s="20" t="str">
        <f aca="false">IF($A24="","",IF($G24=0,"",MIN(1,$F24/$G24)))</f>
        <v/>
      </c>
      <c r="J24" s="17" t="str">
        <f aca="false">IF($A24="","",COUNTIFS(독서활동기록!$B$3:$B$302,$A24))</f>
        <v/>
      </c>
    </row>
    <row r="25" customFormat="false" ht="15" hidden="false" customHeight="true" outlineLevel="0" collapsed="false">
      <c r="A25" s="17" t="str">
        <f aca="false">IF(학생명부!$A25="","",학생명부!$A25)</f>
        <v/>
      </c>
      <c r="B25" s="17" t="str">
        <f aca="false">IF(학생명부!$A25="","",학생명부!$B25)</f>
        <v/>
      </c>
      <c r="C25" s="17" t="str">
        <f aca="false">IF(학생명부!$A25="","",학생명부!$C25)</f>
        <v/>
      </c>
      <c r="D25" s="19" t="str">
        <f aca="false">IF($A25="","",ROUND(SUMIFS(봉사기록!$G$3:$G$502,봉사기록!$B$3:$B$502,$A25,봉사기록!$D$3:$D$502,"일상봉사"),2))</f>
        <v/>
      </c>
      <c r="E25" s="19" t="str">
        <f aca="false">IF($A25="","",ROUND(SUMIFS(봉사기록!$G$3:$G$502,봉사기록!$B$3:$B$502,$A25,봉사기록!$D$3:$D$502,"특별봉사"),2))</f>
        <v/>
      </c>
      <c r="F25" s="19" t="str">
        <f aca="false">IF($A25="","",ROUND($D25+$E25,2))</f>
        <v/>
      </c>
      <c r="G25" s="19" t="str">
        <f aca="false">IF($A25="","",사용안내!$C$17)</f>
        <v/>
      </c>
      <c r="H25" s="19" t="str">
        <f aca="false">IF($A25="","",MAX(0,$G25-$F25))</f>
        <v/>
      </c>
      <c r="I25" s="20" t="str">
        <f aca="false">IF($A25="","",IF($G25=0,"",MIN(1,$F25/$G25)))</f>
        <v/>
      </c>
      <c r="J25" s="17" t="str">
        <f aca="false">IF($A25="","",COUNTIFS(독서활동기록!$B$3:$B$302,$A25))</f>
        <v/>
      </c>
    </row>
    <row r="26" customFormat="false" ht="15" hidden="false" customHeight="true" outlineLevel="0" collapsed="false">
      <c r="A26" s="17" t="str">
        <f aca="false">IF(학생명부!$A26="","",학생명부!$A26)</f>
        <v/>
      </c>
      <c r="B26" s="17" t="str">
        <f aca="false">IF(학생명부!$A26="","",학생명부!$B26)</f>
        <v/>
      </c>
      <c r="C26" s="17" t="str">
        <f aca="false">IF(학생명부!$A26="","",학생명부!$C26)</f>
        <v/>
      </c>
      <c r="D26" s="19" t="str">
        <f aca="false">IF($A26="","",ROUND(SUMIFS(봉사기록!$G$3:$G$502,봉사기록!$B$3:$B$502,$A26,봉사기록!$D$3:$D$502,"일상봉사"),2))</f>
        <v/>
      </c>
      <c r="E26" s="19" t="str">
        <f aca="false">IF($A26="","",ROUND(SUMIFS(봉사기록!$G$3:$G$502,봉사기록!$B$3:$B$502,$A26,봉사기록!$D$3:$D$502,"특별봉사"),2))</f>
        <v/>
      </c>
      <c r="F26" s="19" t="str">
        <f aca="false">IF($A26="","",ROUND($D26+$E26,2))</f>
        <v/>
      </c>
      <c r="G26" s="19" t="str">
        <f aca="false">IF($A26="","",사용안내!$C$17)</f>
        <v/>
      </c>
      <c r="H26" s="19" t="str">
        <f aca="false">IF($A26="","",MAX(0,$G26-$F26))</f>
        <v/>
      </c>
      <c r="I26" s="20" t="str">
        <f aca="false">IF($A26="","",IF($G26=0,"",MIN(1,$F26/$G26)))</f>
        <v/>
      </c>
      <c r="J26" s="17" t="str">
        <f aca="false">IF($A26="","",COUNTIFS(독서활동기록!$B$3:$B$302,$A26))</f>
        <v/>
      </c>
    </row>
    <row r="27" customFormat="false" ht="15" hidden="false" customHeight="true" outlineLevel="0" collapsed="false">
      <c r="A27" s="17" t="str">
        <f aca="false">IF(학생명부!$A27="","",학생명부!$A27)</f>
        <v/>
      </c>
      <c r="B27" s="17" t="str">
        <f aca="false">IF(학생명부!$A27="","",학생명부!$B27)</f>
        <v/>
      </c>
      <c r="C27" s="17" t="str">
        <f aca="false">IF(학생명부!$A27="","",학생명부!$C27)</f>
        <v/>
      </c>
      <c r="D27" s="19" t="str">
        <f aca="false">IF($A27="","",ROUND(SUMIFS(봉사기록!$G$3:$G$502,봉사기록!$B$3:$B$502,$A27,봉사기록!$D$3:$D$502,"일상봉사"),2))</f>
        <v/>
      </c>
      <c r="E27" s="19" t="str">
        <f aca="false">IF($A27="","",ROUND(SUMIFS(봉사기록!$G$3:$G$502,봉사기록!$B$3:$B$502,$A27,봉사기록!$D$3:$D$502,"특별봉사"),2))</f>
        <v/>
      </c>
      <c r="F27" s="19" t="str">
        <f aca="false">IF($A27="","",ROUND($D27+$E27,2))</f>
        <v/>
      </c>
      <c r="G27" s="19" t="str">
        <f aca="false">IF($A27="","",사용안내!$C$17)</f>
        <v/>
      </c>
      <c r="H27" s="19" t="str">
        <f aca="false">IF($A27="","",MAX(0,$G27-$F27))</f>
        <v/>
      </c>
      <c r="I27" s="20" t="str">
        <f aca="false">IF($A27="","",IF($G27=0,"",MIN(1,$F27/$G27)))</f>
        <v/>
      </c>
      <c r="J27" s="17" t="str">
        <f aca="false">IF($A27="","",COUNTIFS(독서활동기록!$B$3:$B$302,$A27))</f>
        <v/>
      </c>
    </row>
    <row r="28" customFormat="false" ht="15" hidden="false" customHeight="true" outlineLevel="0" collapsed="false">
      <c r="A28" s="17" t="str">
        <f aca="false">IF(학생명부!$A28="","",학생명부!$A28)</f>
        <v/>
      </c>
      <c r="B28" s="17" t="str">
        <f aca="false">IF(학생명부!$A28="","",학생명부!$B28)</f>
        <v/>
      </c>
      <c r="C28" s="17" t="str">
        <f aca="false">IF(학생명부!$A28="","",학생명부!$C28)</f>
        <v/>
      </c>
      <c r="D28" s="19" t="str">
        <f aca="false">IF($A28="","",ROUND(SUMIFS(봉사기록!$G$3:$G$502,봉사기록!$B$3:$B$502,$A28,봉사기록!$D$3:$D$502,"일상봉사"),2))</f>
        <v/>
      </c>
      <c r="E28" s="19" t="str">
        <f aca="false">IF($A28="","",ROUND(SUMIFS(봉사기록!$G$3:$G$502,봉사기록!$B$3:$B$502,$A28,봉사기록!$D$3:$D$502,"특별봉사"),2))</f>
        <v/>
      </c>
      <c r="F28" s="19" t="str">
        <f aca="false">IF($A28="","",ROUND($D28+$E28,2))</f>
        <v/>
      </c>
      <c r="G28" s="19" t="str">
        <f aca="false">IF($A28="","",사용안내!$C$17)</f>
        <v/>
      </c>
      <c r="H28" s="19" t="str">
        <f aca="false">IF($A28="","",MAX(0,$G28-$F28))</f>
        <v/>
      </c>
      <c r="I28" s="20" t="str">
        <f aca="false">IF($A28="","",IF($G28=0,"",MIN(1,$F28/$G28)))</f>
        <v/>
      </c>
      <c r="J28" s="17" t="str">
        <f aca="false">IF($A28="","",COUNTIFS(독서활동기록!$B$3:$B$302,$A28))</f>
        <v/>
      </c>
    </row>
    <row r="29" customFormat="false" ht="15" hidden="false" customHeight="true" outlineLevel="0" collapsed="false">
      <c r="A29" s="17" t="str">
        <f aca="false">IF(학생명부!$A29="","",학생명부!$A29)</f>
        <v/>
      </c>
      <c r="B29" s="17" t="str">
        <f aca="false">IF(학생명부!$A29="","",학생명부!$B29)</f>
        <v/>
      </c>
      <c r="C29" s="17" t="str">
        <f aca="false">IF(학생명부!$A29="","",학생명부!$C29)</f>
        <v/>
      </c>
      <c r="D29" s="19" t="str">
        <f aca="false">IF($A29="","",ROUND(SUMIFS(봉사기록!$G$3:$G$502,봉사기록!$B$3:$B$502,$A29,봉사기록!$D$3:$D$502,"일상봉사"),2))</f>
        <v/>
      </c>
      <c r="E29" s="19" t="str">
        <f aca="false">IF($A29="","",ROUND(SUMIFS(봉사기록!$G$3:$G$502,봉사기록!$B$3:$B$502,$A29,봉사기록!$D$3:$D$502,"특별봉사"),2))</f>
        <v/>
      </c>
      <c r="F29" s="19" t="str">
        <f aca="false">IF($A29="","",ROUND($D29+$E29,2))</f>
        <v/>
      </c>
      <c r="G29" s="19" t="str">
        <f aca="false">IF($A29="","",사용안내!$C$17)</f>
        <v/>
      </c>
      <c r="H29" s="19" t="str">
        <f aca="false">IF($A29="","",MAX(0,$G29-$F29))</f>
        <v/>
      </c>
      <c r="I29" s="20" t="str">
        <f aca="false">IF($A29="","",IF($G29=0,"",MIN(1,$F29/$G29)))</f>
        <v/>
      </c>
      <c r="J29" s="17" t="str">
        <f aca="false">IF($A29="","",COUNTIFS(독서활동기록!$B$3:$B$302,$A29))</f>
        <v/>
      </c>
    </row>
    <row r="30" customFormat="false" ht="15" hidden="false" customHeight="true" outlineLevel="0" collapsed="false">
      <c r="A30" s="17" t="str">
        <f aca="false">IF(학생명부!$A30="","",학생명부!$A30)</f>
        <v/>
      </c>
      <c r="B30" s="17" t="str">
        <f aca="false">IF(학생명부!$A30="","",학생명부!$B30)</f>
        <v/>
      </c>
      <c r="C30" s="17" t="str">
        <f aca="false">IF(학생명부!$A30="","",학생명부!$C30)</f>
        <v/>
      </c>
      <c r="D30" s="19" t="str">
        <f aca="false">IF($A30="","",ROUND(SUMIFS(봉사기록!$G$3:$G$502,봉사기록!$B$3:$B$502,$A30,봉사기록!$D$3:$D$502,"일상봉사"),2))</f>
        <v/>
      </c>
      <c r="E30" s="19" t="str">
        <f aca="false">IF($A30="","",ROUND(SUMIFS(봉사기록!$G$3:$G$502,봉사기록!$B$3:$B$502,$A30,봉사기록!$D$3:$D$502,"특별봉사"),2))</f>
        <v/>
      </c>
      <c r="F30" s="19" t="str">
        <f aca="false">IF($A30="","",ROUND($D30+$E30,2))</f>
        <v/>
      </c>
      <c r="G30" s="19" t="str">
        <f aca="false">IF($A30="","",사용안내!$C$17)</f>
        <v/>
      </c>
      <c r="H30" s="19" t="str">
        <f aca="false">IF($A30="","",MAX(0,$G30-$F30))</f>
        <v/>
      </c>
      <c r="I30" s="20" t="str">
        <f aca="false">IF($A30="","",IF($G30=0,"",MIN(1,$F30/$G30)))</f>
        <v/>
      </c>
      <c r="J30" s="17" t="str">
        <f aca="false">IF($A30="","",COUNTIFS(독서활동기록!$B$3:$B$302,$A30))</f>
        <v/>
      </c>
    </row>
    <row r="31" customFormat="false" ht="15" hidden="false" customHeight="true" outlineLevel="0" collapsed="false">
      <c r="A31" s="17" t="str">
        <f aca="false">IF(학생명부!$A31="","",학생명부!$A31)</f>
        <v/>
      </c>
      <c r="B31" s="17" t="str">
        <f aca="false">IF(학생명부!$A31="","",학생명부!$B31)</f>
        <v/>
      </c>
      <c r="C31" s="17" t="str">
        <f aca="false">IF(학생명부!$A31="","",학생명부!$C31)</f>
        <v/>
      </c>
      <c r="D31" s="19" t="str">
        <f aca="false">IF($A31="","",ROUND(SUMIFS(봉사기록!$G$3:$G$502,봉사기록!$B$3:$B$502,$A31,봉사기록!$D$3:$D$502,"일상봉사"),2))</f>
        <v/>
      </c>
      <c r="E31" s="19" t="str">
        <f aca="false">IF($A31="","",ROUND(SUMIFS(봉사기록!$G$3:$G$502,봉사기록!$B$3:$B$502,$A31,봉사기록!$D$3:$D$502,"특별봉사"),2))</f>
        <v/>
      </c>
      <c r="F31" s="19" t="str">
        <f aca="false">IF($A31="","",ROUND($D31+$E31,2))</f>
        <v/>
      </c>
      <c r="G31" s="19" t="str">
        <f aca="false">IF($A31="","",사용안내!$C$17)</f>
        <v/>
      </c>
      <c r="H31" s="19" t="str">
        <f aca="false">IF($A31="","",MAX(0,$G31-$F31))</f>
        <v/>
      </c>
      <c r="I31" s="20" t="str">
        <f aca="false">IF($A31="","",IF($G31=0,"",MIN(1,$F31/$G31)))</f>
        <v/>
      </c>
      <c r="J31" s="17" t="str">
        <f aca="false">IF($A31="","",COUNTIFS(독서활동기록!$B$3:$B$302,$A31))</f>
        <v/>
      </c>
    </row>
    <row r="32" customFormat="false" ht="15" hidden="false" customHeight="true" outlineLevel="0" collapsed="false">
      <c r="A32" s="17" t="str">
        <f aca="false">IF(학생명부!$A32="","",학생명부!$A32)</f>
        <v/>
      </c>
      <c r="B32" s="17" t="str">
        <f aca="false">IF(학생명부!$A32="","",학생명부!$B32)</f>
        <v/>
      </c>
      <c r="C32" s="17" t="str">
        <f aca="false">IF(학생명부!$A32="","",학생명부!$C32)</f>
        <v/>
      </c>
      <c r="D32" s="19" t="str">
        <f aca="false">IF($A32="","",ROUND(SUMIFS(봉사기록!$G$3:$G$502,봉사기록!$B$3:$B$502,$A32,봉사기록!$D$3:$D$502,"일상봉사"),2))</f>
        <v/>
      </c>
      <c r="E32" s="19" t="str">
        <f aca="false">IF($A32="","",ROUND(SUMIFS(봉사기록!$G$3:$G$502,봉사기록!$B$3:$B$502,$A32,봉사기록!$D$3:$D$502,"특별봉사"),2))</f>
        <v/>
      </c>
      <c r="F32" s="19" t="str">
        <f aca="false">IF($A32="","",ROUND($D32+$E32,2))</f>
        <v/>
      </c>
      <c r="G32" s="19" t="str">
        <f aca="false">IF($A32="","",사용안내!$C$17)</f>
        <v/>
      </c>
      <c r="H32" s="19" t="str">
        <f aca="false">IF($A32="","",MAX(0,$G32-$F32))</f>
        <v/>
      </c>
      <c r="I32" s="20" t="str">
        <f aca="false">IF($A32="","",IF($G32=0,"",MIN(1,$F32/$G32)))</f>
        <v/>
      </c>
      <c r="J32" s="17" t="str">
        <f aca="false">IF($A32="","",COUNTIFS(독서활동기록!$B$3:$B$302,$A32))</f>
        <v/>
      </c>
    </row>
    <row r="33" customFormat="false" ht="15" hidden="false" customHeight="true" outlineLevel="0" collapsed="false">
      <c r="A33" s="17" t="str">
        <f aca="false">IF(학생명부!$A33="","",학생명부!$A33)</f>
        <v/>
      </c>
      <c r="B33" s="17" t="str">
        <f aca="false">IF(학생명부!$A33="","",학생명부!$B33)</f>
        <v/>
      </c>
      <c r="C33" s="17" t="str">
        <f aca="false">IF(학생명부!$A33="","",학생명부!$C33)</f>
        <v/>
      </c>
      <c r="D33" s="19" t="str">
        <f aca="false">IF($A33="","",ROUND(SUMIFS(봉사기록!$G$3:$G$502,봉사기록!$B$3:$B$502,$A33,봉사기록!$D$3:$D$502,"일상봉사"),2))</f>
        <v/>
      </c>
      <c r="E33" s="19" t="str">
        <f aca="false">IF($A33="","",ROUND(SUMIFS(봉사기록!$G$3:$G$502,봉사기록!$B$3:$B$502,$A33,봉사기록!$D$3:$D$502,"특별봉사"),2))</f>
        <v/>
      </c>
      <c r="F33" s="19" t="str">
        <f aca="false">IF($A33="","",ROUND($D33+$E33,2))</f>
        <v/>
      </c>
      <c r="G33" s="19" t="str">
        <f aca="false">IF($A33="","",사용안내!$C$17)</f>
        <v/>
      </c>
      <c r="H33" s="19" t="str">
        <f aca="false">IF($A33="","",MAX(0,$G33-$F33))</f>
        <v/>
      </c>
      <c r="I33" s="20" t="str">
        <f aca="false">IF($A33="","",IF($G33=0,"",MIN(1,$F33/$G33)))</f>
        <v/>
      </c>
      <c r="J33" s="17" t="str">
        <f aca="false">IF($A33="","",COUNTIFS(독서활동기록!$B$3:$B$302,$A33))</f>
        <v/>
      </c>
    </row>
    <row r="34" customFormat="false" ht="15" hidden="false" customHeight="true" outlineLevel="0" collapsed="false">
      <c r="A34" s="17" t="str">
        <f aca="false">IF(학생명부!$A34="","",학생명부!$A34)</f>
        <v/>
      </c>
      <c r="B34" s="17" t="str">
        <f aca="false">IF(학생명부!$A34="","",학생명부!$B34)</f>
        <v/>
      </c>
      <c r="C34" s="17" t="str">
        <f aca="false">IF(학생명부!$A34="","",학생명부!$C34)</f>
        <v/>
      </c>
      <c r="D34" s="19" t="str">
        <f aca="false">IF($A34="","",ROUND(SUMIFS(봉사기록!$G$3:$G$502,봉사기록!$B$3:$B$502,$A34,봉사기록!$D$3:$D$502,"일상봉사"),2))</f>
        <v/>
      </c>
      <c r="E34" s="19" t="str">
        <f aca="false">IF($A34="","",ROUND(SUMIFS(봉사기록!$G$3:$G$502,봉사기록!$B$3:$B$502,$A34,봉사기록!$D$3:$D$502,"특별봉사"),2))</f>
        <v/>
      </c>
      <c r="F34" s="19" t="str">
        <f aca="false">IF($A34="","",ROUND($D34+$E34,2))</f>
        <v/>
      </c>
      <c r="G34" s="19" t="str">
        <f aca="false">IF($A34="","",사용안내!$C$17)</f>
        <v/>
      </c>
      <c r="H34" s="19" t="str">
        <f aca="false">IF($A34="","",MAX(0,$G34-$F34))</f>
        <v/>
      </c>
      <c r="I34" s="20" t="str">
        <f aca="false">IF($A34="","",IF($G34=0,"",MIN(1,$F34/$G34)))</f>
        <v/>
      </c>
      <c r="J34" s="17" t="str">
        <f aca="false">IF($A34="","",COUNTIFS(독서활동기록!$B$3:$B$302,$A34))</f>
        <v/>
      </c>
    </row>
    <row r="35" customFormat="false" ht="15" hidden="false" customHeight="true" outlineLevel="0" collapsed="false">
      <c r="A35" s="17" t="str">
        <f aca="false">IF(학생명부!$A35="","",학생명부!$A35)</f>
        <v/>
      </c>
      <c r="B35" s="17" t="str">
        <f aca="false">IF(학생명부!$A35="","",학생명부!$B35)</f>
        <v/>
      </c>
      <c r="C35" s="17" t="str">
        <f aca="false">IF(학생명부!$A35="","",학생명부!$C35)</f>
        <v/>
      </c>
      <c r="D35" s="19" t="str">
        <f aca="false">IF($A35="","",ROUND(SUMIFS(봉사기록!$G$3:$G$502,봉사기록!$B$3:$B$502,$A35,봉사기록!$D$3:$D$502,"일상봉사"),2))</f>
        <v/>
      </c>
      <c r="E35" s="19" t="str">
        <f aca="false">IF($A35="","",ROUND(SUMIFS(봉사기록!$G$3:$G$502,봉사기록!$B$3:$B$502,$A35,봉사기록!$D$3:$D$502,"특별봉사"),2))</f>
        <v/>
      </c>
      <c r="F35" s="19" t="str">
        <f aca="false">IF($A35="","",ROUND($D35+$E35,2))</f>
        <v/>
      </c>
      <c r="G35" s="19" t="str">
        <f aca="false">IF($A35="","",사용안내!$C$17)</f>
        <v/>
      </c>
      <c r="H35" s="19" t="str">
        <f aca="false">IF($A35="","",MAX(0,$G35-$F35))</f>
        <v/>
      </c>
      <c r="I35" s="20" t="str">
        <f aca="false">IF($A35="","",IF($G35=0,"",MIN(1,$F35/$G35)))</f>
        <v/>
      </c>
      <c r="J35" s="17" t="str">
        <f aca="false">IF($A35="","",COUNTIFS(독서활동기록!$B$3:$B$302,$A35))</f>
        <v/>
      </c>
    </row>
    <row r="36" customFormat="false" ht="15" hidden="false" customHeight="true" outlineLevel="0" collapsed="false">
      <c r="A36" s="17" t="str">
        <f aca="false">IF(학생명부!$A36="","",학생명부!$A36)</f>
        <v/>
      </c>
      <c r="B36" s="17" t="str">
        <f aca="false">IF(학생명부!$A36="","",학생명부!$B36)</f>
        <v/>
      </c>
      <c r="C36" s="17" t="str">
        <f aca="false">IF(학생명부!$A36="","",학생명부!$C36)</f>
        <v/>
      </c>
      <c r="D36" s="19" t="str">
        <f aca="false">IF($A36="","",ROUND(SUMIFS(봉사기록!$G$3:$G$502,봉사기록!$B$3:$B$502,$A36,봉사기록!$D$3:$D$502,"일상봉사"),2))</f>
        <v/>
      </c>
      <c r="E36" s="19" t="str">
        <f aca="false">IF($A36="","",ROUND(SUMIFS(봉사기록!$G$3:$G$502,봉사기록!$B$3:$B$502,$A36,봉사기록!$D$3:$D$502,"특별봉사"),2))</f>
        <v/>
      </c>
      <c r="F36" s="19" t="str">
        <f aca="false">IF($A36="","",ROUND($D36+$E36,2))</f>
        <v/>
      </c>
      <c r="G36" s="19" t="str">
        <f aca="false">IF($A36="","",사용안내!$C$17)</f>
        <v/>
      </c>
      <c r="H36" s="19" t="str">
        <f aca="false">IF($A36="","",MAX(0,$G36-$F36))</f>
        <v/>
      </c>
      <c r="I36" s="20" t="str">
        <f aca="false">IF($A36="","",IF($G36=0,"",MIN(1,$F36/$G36)))</f>
        <v/>
      </c>
      <c r="J36" s="17" t="str">
        <f aca="false">IF($A36="","",COUNTIFS(독서활동기록!$B$3:$B$302,$A36))</f>
        <v/>
      </c>
    </row>
    <row r="37" customFormat="false" ht="15" hidden="false" customHeight="true" outlineLevel="0" collapsed="false">
      <c r="A37" s="17" t="str">
        <f aca="false">IF(학생명부!$A37="","",학생명부!$A37)</f>
        <v/>
      </c>
      <c r="B37" s="17" t="str">
        <f aca="false">IF(학생명부!$A37="","",학생명부!$B37)</f>
        <v/>
      </c>
      <c r="C37" s="17" t="str">
        <f aca="false">IF(학생명부!$A37="","",학생명부!$C37)</f>
        <v/>
      </c>
      <c r="D37" s="19" t="str">
        <f aca="false">IF($A37="","",ROUND(SUMIFS(봉사기록!$G$3:$G$502,봉사기록!$B$3:$B$502,$A37,봉사기록!$D$3:$D$502,"일상봉사"),2))</f>
        <v/>
      </c>
      <c r="E37" s="19" t="str">
        <f aca="false">IF($A37="","",ROUND(SUMIFS(봉사기록!$G$3:$G$502,봉사기록!$B$3:$B$502,$A37,봉사기록!$D$3:$D$502,"특별봉사"),2))</f>
        <v/>
      </c>
      <c r="F37" s="19" t="str">
        <f aca="false">IF($A37="","",ROUND($D37+$E37,2))</f>
        <v/>
      </c>
      <c r="G37" s="19" t="str">
        <f aca="false">IF($A37="","",사용안내!$C$17)</f>
        <v/>
      </c>
      <c r="H37" s="19" t="str">
        <f aca="false">IF($A37="","",MAX(0,$G37-$F37))</f>
        <v/>
      </c>
      <c r="I37" s="20" t="str">
        <f aca="false">IF($A37="","",IF($G37=0,"",MIN(1,$F37/$G37)))</f>
        <v/>
      </c>
      <c r="J37" s="17" t="str">
        <f aca="false">IF($A37="","",COUNTIFS(독서활동기록!$B$3:$B$302,$A37))</f>
        <v/>
      </c>
    </row>
    <row r="38" customFormat="false" ht="15" hidden="false" customHeight="true" outlineLevel="0" collapsed="false">
      <c r="A38" s="17" t="str">
        <f aca="false">IF(학생명부!$A38="","",학생명부!$A38)</f>
        <v/>
      </c>
      <c r="B38" s="17" t="str">
        <f aca="false">IF(학생명부!$A38="","",학생명부!$B38)</f>
        <v/>
      </c>
      <c r="C38" s="17" t="str">
        <f aca="false">IF(학생명부!$A38="","",학생명부!$C38)</f>
        <v/>
      </c>
      <c r="D38" s="19" t="str">
        <f aca="false">IF($A38="","",ROUND(SUMIFS(봉사기록!$G$3:$G$502,봉사기록!$B$3:$B$502,$A38,봉사기록!$D$3:$D$502,"일상봉사"),2))</f>
        <v/>
      </c>
      <c r="E38" s="19" t="str">
        <f aca="false">IF($A38="","",ROUND(SUMIFS(봉사기록!$G$3:$G$502,봉사기록!$B$3:$B$502,$A38,봉사기록!$D$3:$D$502,"특별봉사"),2))</f>
        <v/>
      </c>
      <c r="F38" s="19" t="str">
        <f aca="false">IF($A38="","",ROUND($D38+$E38,2))</f>
        <v/>
      </c>
      <c r="G38" s="19" t="str">
        <f aca="false">IF($A38="","",사용안내!$C$17)</f>
        <v/>
      </c>
      <c r="H38" s="19" t="str">
        <f aca="false">IF($A38="","",MAX(0,$G38-$F38))</f>
        <v/>
      </c>
      <c r="I38" s="20" t="str">
        <f aca="false">IF($A38="","",IF($G38=0,"",MIN(1,$F38/$G38)))</f>
        <v/>
      </c>
      <c r="J38" s="17" t="str">
        <f aca="false">IF($A38="","",COUNTIFS(독서활동기록!$B$3:$B$302,$A38))</f>
        <v/>
      </c>
    </row>
    <row r="39" customFormat="false" ht="15" hidden="false" customHeight="true" outlineLevel="0" collapsed="false">
      <c r="A39" s="17" t="str">
        <f aca="false">IF(학생명부!$A39="","",학생명부!$A39)</f>
        <v/>
      </c>
      <c r="B39" s="17" t="str">
        <f aca="false">IF(학생명부!$A39="","",학생명부!$B39)</f>
        <v/>
      </c>
      <c r="C39" s="17" t="str">
        <f aca="false">IF(학생명부!$A39="","",학생명부!$C39)</f>
        <v/>
      </c>
      <c r="D39" s="19" t="str">
        <f aca="false">IF($A39="","",ROUND(SUMIFS(봉사기록!$G$3:$G$502,봉사기록!$B$3:$B$502,$A39,봉사기록!$D$3:$D$502,"일상봉사"),2))</f>
        <v/>
      </c>
      <c r="E39" s="19" t="str">
        <f aca="false">IF($A39="","",ROUND(SUMIFS(봉사기록!$G$3:$G$502,봉사기록!$B$3:$B$502,$A39,봉사기록!$D$3:$D$502,"특별봉사"),2))</f>
        <v/>
      </c>
      <c r="F39" s="19" t="str">
        <f aca="false">IF($A39="","",ROUND($D39+$E39,2))</f>
        <v/>
      </c>
      <c r="G39" s="19" t="str">
        <f aca="false">IF($A39="","",사용안내!$C$17)</f>
        <v/>
      </c>
      <c r="H39" s="19" t="str">
        <f aca="false">IF($A39="","",MAX(0,$G39-$F39))</f>
        <v/>
      </c>
      <c r="I39" s="20" t="str">
        <f aca="false">IF($A39="","",IF($G39=0,"",MIN(1,$F39/$G39)))</f>
        <v/>
      </c>
      <c r="J39" s="17" t="str">
        <f aca="false">IF($A39="","",COUNTIFS(독서활동기록!$B$3:$B$302,$A39))</f>
        <v/>
      </c>
    </row>
    <row r="40" customFormat="false" ht="15" hidden="false" customHeight="true" outlineLevel="0" collapsed="false">
      <c r="A40" s="17" t="str">
        <f aca="false">IF(학생명부!$A40="","",학생명부!$A40)</f>
        <v/>
      </c>
      <c r="B40" s="17" t="str">
        <f aca="false">IF(학생명부!$A40="","",학생명부!$B40)</f>
        <v/>
      </c>
      <c r="C40" s="17" t="str">
        <f aca="false">IF(학생명부!$A40="","",학생명부!$C40)</f>
        <v/>
      </c>
      <c r="D40" s="19" t="str">
        <f aca="false">IF($A40="","",ROUND(SUMIFS(봉사기록!$G$3:$G$502,봉사기록!$B$3:$B$502,$A40,봉사기록!$D$3:$D$502,"일상봉사"),2))</f>
        <v/>
      </c>
      <c r="E40" s="19" t="str">
        <f aca="false">IF($A40="","",ROUND(SUMIFS(봉사기록!$G$3:$G$502,봉사기록!$B$3:$B$502,$A40,봉사기록!$D$3:$D$502,"특별봉사"),2))</f>
        <v/>
      </c>
      <c r="F40" s="19" t="str">
        <f aca="false">IF($A40="","",ROUND($D40+$E40,2))</f>
        <v/>
      </c>
      <c r="G40" s="19" t="str">
        <f aca="false">IF($A40="","",사용안내!$C$17)</f>
        <v/>
      </c>
      <c r="H40" s="19" t="str">
        <f aca="false">IF($A40="","",MAX(0,$G40-$F40))</f>
        <v/>
      </c>
      <c r="I40" s="20" t="str">
        <f aca="false">IF($A40="","",IF($G40=0,"",MIN(1,$F40/$G40)))</f>
        <v/>
      </c>
      <c r="J40" s="17" t="str">
        <f aca="false">IF($A40="","",COUNTIFS(독서활동기록!$B$3:$B$302,$A40))</f>
        <v/>
      </c>
    </row>
    <row r="41" customFormat="false" ht="15" hidden="false" customHeight="true" outlineLevel="0" collapsed="false">
      <c r="A41" s="17" t="str">
        <f aca="false">IF(학생명부!$A41="","",학생명부!$A41)</f>
        <v/>
      </c>
      <c r="B41" s="17" t="str">
        <f aca="false">IF(학생명부!$A41="","",학생명부!$B41)</f>
        <v/>
      </c>
      <c r="C41" s="17" t="str">
        <f aca="false">IF(학생명부!$A41="","",학생명부!$C41)</f>
        <v/>
      </c>
      <c r="D41" s="19" t="str">
        <f aca="false">IF($A41="","",ROUND(SUMIFS(봉사기록!$G$3:$G$502,봉사기록!$B$3:$B$502,$A41,봉사기록!$D$3:$D$502,"일상봉사"),2))</f>
        <v/>
      </c>
      <c r="E41" s="19" t="str">
        <f aca="false">IF($A41="","",ROUND(SUMIFS(봉사기록!$G$3:$G$502,봉사기록!$B$3:$B$502,$A41,봉사기록!$D$3:$D$502,"특별봉사"),2))</f>
        <v/>
      </c>
      <c r="F41" s="19" t="str">
        <f aca="false">IF($A41="","",ROUND($D41+$E41,2))</f>
        <v/>
      </c>
      <c r="G41" s="19" t="str">
        <f aca="false">IF($A41="","",사용안내!$C$17)</f>
        <v/>
      </c>
      <c r="H41" s="19" t="str">
        <f aca="false">IF($A41="","",MAX(0,$G41-$F41))</f>
        <v/>
      </c>
      <c r="I41" s="20" t="str">
        <f aca="false">IF($A41="","",IF($G41=0,"",MIN(1,$F41/$G41)))</f>
        <v/>
      </c>
      <c r="J41" s="17" t="str">
        <f aca="false">IF($A41="","",COUNTIFS(독서활동기록!$B$3:$B$302,$A41))</f>
        <v/>
      </c>
    </row>
    <row r="42" customFormat="false" ht="15" hidden="false" customHeight="true" outlineLevel="0" collapsed="false">
      <c r="A42" s="17" t="str">
        <f aca="false">IF(학생명부!$A42="","",학생명부!$A42)</f>
        <v/>
      </c>
      <c r="B42" s="17" t="str">
        <f aca="false">IF(학생명부!$A42="","",학생명부!$B42)</f>
        <v/>
      </c>
      <c r="C42" s="17" t="str">
        <f aca="false">IF(학생명부!$A42="","",학생명부!$C42)</f>
        <v/>
      </c>
      <c r="D42" s="19" t="str">
        <f aca="false">IF($A42="","",ROUND(SUMIFS(봉사기록!$G$3:$G$502,봉사기록!$B$3:$B$502,$A42,봉사기록!$D$3:$D$502,"일상봉사"),2))</f>
        <v/>
      </c>
      <c r="E42" s="19" t="str">
        <f aca="false">IF($A42="","",ROUND(SUMIFS(봉사기록!$G$3:$G$502,봉사기록!$B$3:$B$502,$A42,봉사기록!$D$3:$D$502,"특별봉사"),2))</f>
        <v/>
      </c>
      <c r="F42" s="19" t="str">
        <f aca="false">IF($A42="","",ROUND($D42+$E42,2))</f>
        <v/>
      </c>
      <c r="G42" s="19" t="str">
        <f aca="false">IF($A42="","",사용안내!$C$17)</f>
        <v/>
      </c>
      <c r="H42" s="19" t="str">
        <f aca="false">IF($A42="","",MAX(0,$G42-$F42))</f>
        <v/>
      </c>
      <c r="I42" s="20" t="str">
        <f aca="false">IF($A42="","",IF($G42=0,"",MIN(1,$F42/$G42)))</f>
        <v/>
      </c>
      <c r="J42" s="17" t="str">
        <f aca="false">IF($A42="","",COUNTIFS(독서활동기록!$B$3:$B$302,$A42))</f>
        <v/>
      </c>
    </row>
    <row r="43" customFormat="false" ht="15" hidden="false" customHeight="true" outlineLevel="0" collapsed="false">
      <c r="A43" s="17" t="str">
        <f aca="false">IF(학생명부!$A43="","",학생명부!$A43)</f>
        <v/>
      </c>
      <c r="B43" s="17" t="str">
        <f aca="false">IF(학생명부!$A43="","",학생명부!$B43)</f>
        <v/>
      </c>
      <c r="C43" s="17" t="str">
        <f aca="false">IF(학생명부!$A43="","",학생명부!$C43)</f>
        <v/>
      </c>
      <c r="D43" s="19" t="str">
        <f aca="false">IF($A43="","",ROUND(SUMIFS(봉사기록!$G$3:$G$502,봉사기록!$B$3:$B$502,$A43,봉사기록!$D$3:$D$502,"일상봉사"),2))</f>
        <v/>
      </c>
      <c r="E43" s="19" t="str">
        <f aca="false">IF($A43="","",ROUND(SUMIFS(봉사기록!$G$3:$G$502,봉사기록!$B$3:$B$502,$A43,봉사기록!$D$3:$D$502,"특별봉사"),2))</f>
        <v/>
      </c>
      <c r="F43" s="19" t="str">
        <f aca="false">IF($A43="","",ROUND($D43+$E43,2))</f>
        <v/>
      </c>
      <c r="G43" s="19" t="str">
        <f aca="false">IF($A43="","",사용안내!$C$17)</f>
        <v/>
      </c>
      <c r="H43" s="19" t="str">
        <f aca="false">IF($A43="","",MAX(0,$G43-$F43))</f>
        <v/>
      </c>
      <c r="I43" s="20" t="str">
        <f aca="false">IF($A43="","",IF($G43=0,"",MIN(1,$F43/$G43)))</f>
        <v/>
      </c>
      <c r="J43" s="17" t="str">
        <f aca="false">IF($A43="","",COUNTIFS(독서활동기록!$B$3:$B$302,$A43))</f>
        <v/>
      </c>
    </row>
    <row r="44" customFormat="false" ht="15" hidden="false" customHeight="true" outlineLevel="0" collapsed="false">
      <c r="A44" s="17" t="str">
        <f aca="false">IF(학생명부!$A44="","",학생명부!$A44)</f>
        <v/>
      </c>
      <c r="B44" s="17" t="str">
        <f aca="false">IF(학생명부!$A44="","",학생명부!$B44)</f>
        <v/>
      </c>
      <c r="C44" s="17" t="str">
        <f aca="false">IF(학생명부!$A44="","",학생명부!$C44)</f>
        <v/>
      </c>
      <c r="D44" s="19" t="str">
        <f aca="false">IF($A44="","",ROUND(SUMIFS(봉사기록!$G$3:$G$502,봉사기록!$B$3:$B$502,$A44,봉사기록!$D$3:$D$502,"일상봉사"),2))</f>
        <v/>
      </c>
      <c r="E44" s="19" t="str">
        <f aca="false">IF($A44="","",ROUND(SUMIFS(봉사기록!$G$3:$G$502,봉사기록!$B$3:$B$502,$A44,봉사기록!$D$3:$D$502,"특별봉사"),2))</f>
        <v/>
      </c>
      <c r="F44" s="19" t="str">
        <f aca="false">IF($A44="","",ROUND($D44+$E44,2))</f>
        <v/>
      </c>
      <c r="G44" s="19" t="str">
        <f aca="false">IF($A44="","",사용안내!$C$17)</f>
        <v/>
      </c>
      <c r="H44" s="19" t="str">
        <f aca="false">IF($A44="","",MAX(0,$G44-$F44))</f>
        <v/>
      </c>
      <c r="I44" s="20" t="str">
        <f aca="false">IF($A44="","",IF($G44=0,"",MIN(1,$F44/$G44)))</f>
        <v/>
      </c>
      <c r="J44" s="17" t="str">
        <f aca="false">IF($A44="","",COUNTIFS(독서활동기록!$B$3:$B$302,$A44))</f>
        <v/>
      </c>
    </row>
    <row r="45" customFormat="false" ht="15" hidden="false" customHeight="true" outlineLevel="0" collapsed="false">
      <c r="A45" s="17" t="str">
        <f aca="false">IF(학생명부!$A45="","",학생명부!$A45)</f>
        <v/>
      </c>
      <c r="B45" s="17" t="str">
        <f aca="false">IF(학생명부!$A45="","",학생명부!$B45)</f>
        <v/>
      </c>
      <c r="C45" s="17" t="str">
        <f aca="false">IF(학생명부!$A45="","",학생명부!$C45)</f>
        <v/>
      </c>
      <c r="D45" s="19" t="str">
        <f aca="false">IF($A45="","",ROUND(SUMIFS(봉사기록!$G$3:$G$502,봉사기록!$B$3:$B$502,$A45,봉사기록!$D$3:$D$502,"일상봉사"),2))</f>
        <v/>
      </c>
      <c r="E45" s="19" t="str">
        <f aca="false">IF($A45="","",ROUND(SUMIFS(봉사기록!$G$3:$G$502,봉사기록!$B$3:$B$502,$A45,봉사기록!$D$3:$D$502,"특별봉사"),2))</f>
        <v/>
      </c>
      <c r="F45" s="19" t="str">
        <f aca="false">IF($A45="","",ROUND($D45+$E45,2))</f>
        <v/>
      </c>
      <c r="G45" s="19" t="str">
        <f aca="false">IF($A45="","",사용안내!$C$17)</f>
        <v/>
      </c>
      <c r="H45" s="19" t="str">
        <f aca="false">IF($A45="","",MAX(0,$G45-$F45))</f>
        <v/>
      </c>
      <c r="I45" s="20" t="str">
        <f aca="false">IF($A45="","",IF($G45=0,"",MIN(1,$F45/$G45)))</f>
        <v/>
      </c>
      <c r="J45" s="17" t="str">
        <f aca="false">IF($A45="","",COUNTIFS(독서활동기록!$B$3:$B$302,$A45))</f>
        <v/>
      </c>
    </row>
    <row r="46" customFormat="false" ht="15" hidden="false" customHeight="true" outlineLevel="0" collapsed="false">
      <c r="A46" s="17" t="str">
        <f aca="false">IF(학생명부!$A46="","",학생명부!$A46)</f>
        <v/>
      </c>
      <c r="B46" s="17" t="str">
        <f aca="false">IF(학생명부!$A46="","",학생명부!$B46)</f>
        <v/>
      </c>
      <c r="C46" s="17" t="str">
        <f aca="false">IF(학생명부!$A46="","",학생명부!$C46)</f>
        <v/>
      </c>
      <c r="D46" s="19" t="str">
        <f aca="false">IF($A46="","",ROUND(SUMIFS(봉사기록!$G$3:$G$502,봉사기록!$B$3:$B$502,$A46,봉사기록!$D$3:$D$502,"일상봉사"),2))</f>
        <v/>
      </c>
      <c r="E46" s="19" t="str">
        <f aca="false">IF($A46="","",ROUND(SUMIFS(봉사기록!$G$3:$G$502,봉사기록!$B$3:$B$502,$A46,봉사기록!$D$3:$D$502,"특별봉사"),2))</f>
        <v/>
      </c>
      <c r="F46" s="19" t="str">
        <f aca="false">IF($A46="","",ROUND($D46+$E46,2))</f>
        <v/>
      </c>
      <c r="G46" s="19" t="str">
        <f aca="false">IF($A46="","",사용안내!$C$17)</f>
        <v/>
      </c>
      <c r="H46" s="19" t="str">
        <f aca="false">IF($A46="","",MAX(0,$G46-$F46))</f>
        <v/>
      </c>
      <c r="I46" s="20" t="str">
        <f aca="false">IF($A46="","",IF($G46=0,"",MIN(1,$F46/$G46)))</f>
        <v/>
      </c>
      <c r="J46" s="17" t="str">
        <f aca="false">IF($A46="","",COUNTIFS(독서활동기록!$B$3:$B$302,$A46))</f>
        <v/>
      </c>
    </row>
    <row r="47" customFormat="false" ht="15" hidden="false" customHeight="true" outlineLevel="0" collapsed="false">
      <c r="A47" s="17" t="str">
        <f aca="false">IF(학생명부!$A47="","",학생명부!$A47)</f>
        <v/>
      </c>
      <c r="B47" s="17" t="str">
        <f aca="false">IF(학생명부!$A47="","",학생명부!$B47)</f>
        <v/>
      </c>
      <c r="C47" s="17" t="str">
        <f aca="false">IF(학생명부!$A47="","",학생명부!$C47)</f>
        <v/>
      </c>
      <c r="D47" s="19" t="str">
        <f aca="false">IF($A47="","",ROUND(SUMIFS(봉사기록!$G$3:$G$502,봉사기록!$B$3:$B$502,$A47,봉사기록!$D$3:$D$502,"일상봉사"),2))</f>
        <v/>
      </c>
      <c r="E47" s="19" t="str">
        <f aca="false">IF($A47="","",ROUND(SUMIFS(봉사기록!$G$3:$G$502,봉사기록!$B$3:$B$502,$A47,봉사기록!$D$3:$D$502,"특별봉사"),2))</f>
        <v/>
      </c>
      <c r="F47" s="19" t="str">
        <f aca="false">IF($A47="","",ROUND($D47+$E47,2))</f>
        <v/>
      </c>
      <c r="G47" s="19" t="str">
        <f aca="false">IF($A47="","",사용안내!$C$17)</f>
        <v/>
      </c>
      <c r="H47" s="19" t="str">
        <f aca="false">IF($A47="","",MAX(0,$G47-$F47))</f>
        <v/>
      </c>
      <c r="I47" s="20" t="str">
        <f aca="false">IF($A47="","",IF($G47=0,"",MIN(1,$F47/$G47)))</f>
        <v/>
      </c>
      <c r="J47" s="17" t="str">
        <f aca="false">IF($A47="","",COUNTIFS(독서활동기록!$B$3:$B$302,$A47))</f>
        <v/>
      </c>
    </row>
    <row r="48" customFormat="false" ht="15" hidden="false" customHeight="true" outlineLevel="0" collapsed="false">
      <c r="A48" s="17" t="str">
        <f aca="false">IF(학생명부!$A48="","",학생명부!$A48)</f>
        <v/>
      </c>
      <c r="B48" s="17" t="str">
        <f aca="false">IF(학생명부!$A48="","",학생명부!$B48)</f>
        <v/>
      </c>
      <c r="C48" s="17" t="str">
        <f aca="false">IF(학생명부!$A48="","",학생명부!$C48)</f>
        <v/>
      </c>
      <c r="D48" s="19" t="str">
        <f aca="false">IF($A48="","",ROUND(SUMIFS(봉사기록!$G$3:$G$502,봉사기록!$B$3:$B$502,$A48,봉사기록!$D$3:$D$502,"일상봉사"),2))</f>
        <v/>
      </c>
      <c r="E48" s="19" t="str">
        <f aca="false">IF($A48="","",ROUND(SUMIFS(봉사기록!$G$3:$G$502,봉사기록!$B$3:$B$502,$A48,봉사기록!$D$3:$D$502,"특별봉사"),2))</f>
        <v/>
      </c>
      <c r="F48" s="19" t="str">
        <f aca="false">IF($A48="","",ROUND($D48+$E48,2))</f>
        <v/>
      </c>
      <c r="G48" s="19" t="str">
        <f aca="false">IF($A48="","",사용안내!$C$17)</f>
        <v/>
      </c>
      <c r="H48" s="19" t="str">
        <f aca="false">IF($A48="","",MAX(0,$G48-$F48))</f>
        <v/>
      </c>
      <c r="I48" s="20" t="str">
        <f aca="false">IF($A48="","",IF($G48=0,"",MIN(1,$F48/$G48)))</f>
        <v/>
      </c>
      <c r="J48" s="17" t="str">
        <f aca="false">IF($A48="","",COUNTIFS(독서활동기록!$B$3:$B$302,$A48))</f>
        <v/>
      </c>
    </row>
    <row r="49" customFormat="false" ht="15" hidden="false" customHeight="true" outlineLevel="0" collapsed="false">
      <c r="A49" s="17" t="str">
        <f aca="false">IF(학생명부!$A49="","",학생명부!$A49)</f>
        <v/>
      </c>
      <c r="B49" s="17" t="str">
        <f aca="false">IF(학생명부!$A49="","",학생명부!$B49)</f>
        <v/>
      </c>
      <c r="C49" s="17" t="str">
        <f aca="false">IF(학생명부!$A49="","",학생명부!$C49)</f>
        <v/>
      </c>
      <c r="D49" s="19" t="str">
        <f aca="false">IF($A49="","",ROUND(SUMIFS(봉사기록!$G$3:$G$502,봉사기록!$B$3:$B$502,$A49,봉사기록!$D$3:$D$502,"일상봉사"),2))</f>
        <v/>
      </c>
      <c r="E49" s="19" t="str">
        <f aca="false">IF($A49="","",ROUND(SUMIFS(봉사기록!$G$3:$G$502,봉사기록!$B$3:$B$502,$A49,봉사기록!$D$3:$D$502,"특별봉사"),2))</f>
        <v/>
      </c>
      <c r="F49" s="19" t="str">
        <f aca="false">IF($A49="","",ROUND($D49+$E49,2))</f>
        <v/>
      </c>
      <c r="G49" s="19" t="str">
        <f aca="false">IF($A49="","",사용안내!$C$17)</f>
        <v/>
      </c>
      <c r="H49" s="19" t="str">
        <f aca="false">IF($A49="","",MAX(0,$G49-$F49))</f>
        <v/>
      </c>
      <c r="I49" s="20" t="str">
        <f aca="false">IF($A49="","",IF($G49=0,"",MIN(1,$F49/$G49)))</f>
        <v/>
      </c>
      <c r="J49" s="17" t="str">
        <f aca="false">IF($A49="","",COUNTIFS(독서활동기록!$B$3:$B$302,$A49))</f>
        <v/>
      </c>
    </row>
    <row r="50" customFormat="false" ht="15" hidden="false" customHeight="true" outlineLevel="0" collapsed="false">
      <c r="A50" s="17" t="str">
        <f aca="false">IF(학생명부!$A50="","",학생명부!$A50)</f>
        <v/>
      </c>
      <c r="B50" s="17" t="str">
        <f aca="false">IF(학생명부!$A50="","",학생명부!$B50)</f>
        <v/>
      </c>
      <c r="C50" s="17" t="str">
        <f aca="false">IF(학생명부!$A50="","",학생명부!$C50)</f>
        <v/>
      </c>
      <c r="D50" s="19" t="str">
        <f aca="false">IF($A50="","",ROUND(SUMIFS(봉사기록!$G$3:$G$502,봉사기록!$B$3:$B$502,$A50,봉사기록!$D$3:$D$502,"일상봉사"),2))</f>
        <v/>
      </c>
      <c r="E50" s="19" t="str">
        <f aca="false">IF($A50="","",ROUND(SUMIFS(봉사기록!$G$3:$G$502,봉사기록!$B$3:$B$502,$A50,봉사기록!$D$3:$D$502,"특별봉사"),2))</f>
        <v/>
      </c>
      <c r="F50" s="19" t="str">
        <f aca="false">IF($A50="","",ROUND($D50+$E50,2))</f>
        <v/>
      </c>
      <c r="G50" s="19" t="str">
        <f aca="false">IF($A50="","",사용안내!$C$17)</f>
        <v/>
      </c>
      <c r="H50" s="19" t="str">
        <f aca="false">IF($A50="","",MAX(0,$G50-$F50))</f>
        <v/>
      </c>
      <c r="I50" s="20" t="str">
        <f aca="false">IF($A50="","",IF($G50=0,"",MIN(1,$F50/$G50)))</f>
        <v/>
      </c>
      <c r="J50" s="17" t="str">
        <f aca="false">IF($A50="","",COUNTIFS(독서활동기록!$B$3:$B$302,$A50))</f>
        <v/>
      </c>
    </row>
    <row r="51" customFormat="false" ht="15" hidden="false" customHeight="true" outlineLevel="0" collapsed="false">
      <c r="A51" s="17" t="str">
        <f aca="false">IF(학생명부!$A51="","",학생명부!$A51)</f>
        <v/>
      </c>
      <c r="B51" s="17" t="str">
        <f aca="false">IF(학생명부!$A51="","",학생명부!$B51)</f>
        <v/>
      </c>
      <c r="C51" s="17" t="str">
        <f aca="false">IF(학생명부!$A51="","",학생명부!$C51)</f>
        <v/>
      </c>
      <c r="D51" s="19" t="str">
        <f aca="false">IF($A51="","",ROUND(SUMIFS(봉사기록!$G$3:$G$502,봉사기록!$B$3:$B$502,$A51,봉사기록!$D$3:$D$502,"일상봉사"),2))</f>
        <v/>
      </c>
      <c r="E51" s="19" t="str">
        <f aca="false">IF($A51="","",ROUND(SUMIFS(봉사기록!$G$3:$G$502,봉사기록!$B$3:$B$502,$A51,봉사기록!$D$3:$D$502,"특별봉사"),2))</f>
        <v/>
      </c>
      <c r="F51" s="19" t="str">
        <f aca="false">IF($A51="","",ROUND($D51+$E51,2))</f>
        <v/>
      </c>
      <c r="G51" s="19" t="str">
        <f aca="false">IF($A51="","",사용안내!$C$17)</f>
        <v/>
      </c>
      <c r="H51" s="19" t="str">
        <f aca="false">IF($A51="","",MAX(0,$G51-$F51))</f>
        <v/>
      </c>
      <c r="I51" s="20" t="str">
        <f aca="false">IF($A51="","",IF($G51=0,"",MIN(1,$F51/$G51)))</f>
        <v/>
      </c>
      <c r="J51" s="17" t="str">
        <f aca="false">IF($A51="","",COUNTIFS(독서활동기록!$B$3:$B$302,$A51))</f>
        <v/>
      </c>
    </row>
    <row r="52" customFormat="false" ht="15" hidden="false" customHeight="true" outlineLevel="0" collapsed="false">
      <c r="A52" s="17" t="str">
        <f aca="false">IF(학생명부!$A52="","",학생명부!$A52)</f>
        <v/>
      </c>
      <c r="B52" s="17" t="str">
        <f aca="false">IF(학생명부!$A52="","",학생명부!$B52)</f>
        <v/>
      </c>
      <c r="C52" s="17" t="str">
        <f aca="false">IF(학생명부!$A52="","",학생명부!$C52)</f>
        <v/>
      </c>
      <c r="D52" s="19" t="str">
        <f aca="false">IF($A52="","",ROUND(SUMIFS(봉사기록!$G$3:$G$502,봉사기록!$B$3:$B$502,$A52,봉사기록!$D$3:$D$502,"일상봉사"),2))</f>
        <v/>
      </c>
      <c r="E52" s="19" t="str">
        <f aca="false">IF($A52="","",ROUND(SUMIFS(봉사기록!$G$3:$G$502,봉사기록!$B$3:$B$502,$A52,봉사기록!$D$3:$D$502,"특별봉사"),2))</f>
        <v/>
      </c>
      <c r="F52" s="19" t="str">
        <f aca="false">IF($A52="","",ROUND($D52+$E52,2))</f>
        <v/>
      </c>
      <c r="G52" s="19" t="str">
        <f aca="false">IF($A52="","",사용안내!$C$17)</f>
        <v/>
      </c>
      <c r="H52" s="19" t="str">
        <f aca="false">IF($A52="","",MAX(0,$G52-$F52))</f>
        <v/>
      </c>
      <c r="I52" s="20" t="str">
        <f aca="false">IF($A52="","",IF($G52=0,"",MIN(1,$F52/$G52)))</f>
        <v/>
      </c>
      <c r="J52" s="17" t="str">
        <f aca="false">IF($A52="","",COUNTIFS(독서활동기록!$B$3:$B$302,$A52))</f>
        <v/>
      </c>
    </row>
    <row r="53" customFormat="false" ht="15" hidden="false" customHeight="true" outlineLevel="0" collapsed="false">
      <c r="A53" s="17" t="str">
        <f aca="false">IF(학생명부!$A53="","",학생명부!$A53)</f>
        <v/>
      </c>
      <c r="B53" s="17" t="str">
        <f aca="false">IF(학생명부!$A53="","",학생명부!$B53)</f>
        <v/>
      </c>
      <c r="C53" s="17" t="str">
        <f aca="false">IF(학생명부!$A53="","",학생명부!$C53)</f>
        <v/>
      </c>
      <c r="D53" s="19" t="str">
        <f aca="false">IF($A53="","",ROUND(SUMIFS(봉사기록!$G$3:$G$502,봉사기록!$B$3:$B$502,$A53,봉사기록!$D$3:$D$502,"일상봉사"),2))</f>
        <v/>
      </c>
      <c r="E53" s="19" t="str">
        <f aca="false">IF($A53="","",ROUND(SUMIFS(봉사기록!$G$3:$G$502,봉사기록!$B$3:$B$502,$A53,봉사기록!$D$3:$D$502,"특별봉사"),2))</f>
        <v/>
      </c>
      <c r="F53" s="19" t="str">
        <f aca="false">IF($A53="","",ROUND($D53+$E53,2))</f>
        <v/>
      </c>
      <c r="G53" s="19" t="str">
        <f aca="false">IF($A53="","",사용안내!$C$17)</f>
        <v/>
      </c>
      <c r="H53" s="19" t="str">
        <f aca="false">IF($A53="","",MAX(0,$G53-$F53))</f>
        <v/>
      </c>
      <c r="I53" s="20" t="str">
        <f aca="false">IF($A53="","",IF($G53=0,"",MIN(1,$F53/$G53)))</f>
        <v/>
      </c>
      <c r="J53" s="17" t="str">
        <f aca="false">IF($A53="","",COUNTIFS(독서활동기록!$B$3:$B$302,$A53))</f>
        <v/>
      </c>
    </row>
    <row r="54" customFormat="false" ht="15" hidden="false" customHeight="true" outlineLevel="0" collapsed="false">
      <c r="A54" s="17" t="str">
        <f aca="false">IF(학생명부!$A54="","",학생명부!$A54)</f>
        <v/>
      </c>
      <c r="B54" s="17" t="str">
        <f aca="false">IF(학생명부!$A54="","",학생명부!$B54)</f>
        <v/>
      </c>
      <c r="C54" s="17" t="str">
        <f aca="false">IF(학생명부!$A54="","",학생명부!$C54)</f>
        <v/>
      </c>
      <c r="D54" s="19" t="str">
        <f aca="false">IF($A54="","",ROUND(SUMIFS(봉사기록!$G$3:$G$502,봉사기록!$B$3:$B$502,$A54,봉사기록!$D$3:$D$502,"일상봉사"),2))</f>
        <v/>
      </c>
      <c r="E54" s="19" t="str">
        <f aca="false">IF($A54="","",ROUND(SUMIFS(봉사기록!$G$3:$G$502,봉사기록!$B$3:$B$502,$A54,봉사기록!$D$3:$D$502,"특별봉사"),2))</f>
        <v/>
      </c>
      <c r="F54" s="19" t="str">
        <f aca="false">IF($A54="","",ROUND($D54+$E54,2))</f>
        <v/>
      </c>
      <c r="G54" s="19" t="str">
        <f aca="false">IF($A54="","",사용안내!$C$17)</f>
        <v/>
      </c>
      <c r="H54" s="19" t="str">
        <f aca="false">IF($A54="","",MAX(0,$G54-$F54))</f>
        <v/>
      </c>
      <c r="I54" s="20" t="str">
        <f aca="false">IF($A54="","",IF($G54=0,"",MIN(1,$F54/$G54)))</f>
        <v/>
      </c>
      <c r="J54" s="17" t="str">
        <f aca="false">IF($A54="","",COUNTIFS(독서활동기록!$B$3:$B$302,$A54))</f>
        <v/>
      </c>
    </row>
    <row r="55" customFormat="false" ht="15" hidden="false" customHeight="true" outlineLevel="0" collapsed="false">
      <c r="A55" s="17" t="str">
        <f aca="false">IF(학생명부!$A55="","",학생명부!$A55)</f>
        <v/>
      </c>
      <c r="B55" s="17" t="str">
        <f aca="false">IF(학생명부!$A55="","",학생명부!$B55)</f>
        <v/>
      </c>
      <c r="C55" s="17" t="str">
        <f aca="false">IF(학생명부!$A55="","",학생명부!$C55)</f>
        <v/>
      </c>
      <c r="D55" s="19" t="str">
        <f aca="false">IF($A55="","",ROUND(SUMIFS(봉사기록!$G$3:$G$502,봉사기록!$B$3:$B$502,$A55,봉사기록!$D$3:$D$502,"일상봉사"),2))</f>
        <v/>
      </c>
      <c r="E55" s="19" t="str">
        <f aca="false">IF($A55="","",ROUND(SUMIFS(봉사기록!$G$3:$G$502,봉사기록!$B$3:$B$502,$A55,봉사기록!$D$3:$D$502,"특별봉사"),2))</f>
        <v/>
      </c>
      <c r="F55" s="19" t="str">
        <f aca="false">IF($A55="","",ROUND($D55+$E55,2))</f>
        <v/>
      </c>
      <c r="G55" s="19" t="str">
        <f aca="false">IF($A55="","",사용안내!$C$17)</f>
        <v/>
      </c>
      <c r="H55" s="19" t="str">
        <f aca="false">IF($A55="","",MAX(0,$G55-$F55))</f>
        <v/>
      </c>
      <c r="I55" s="20" t="str">
        <f aca="false">IF($A55="","",IF($G55=0,"",MIN(1,$F55/$G55)))</f>
        <v/>
      </c>
      <c r="J55" s="17" t="str">
        <f aca="false">IF($A55="","",COUNTIFS(독서활동기록!$B$3:$B$302,$A55))</f>
        <v/>
      </c>
    </row>
    <row r="56" customFormat="false" ht="15" hidden="false" customHeight="true" outlineLevel="0" collapsed="false">
      <c r="A56" s="17" t="str">
        <f aca="false">IF(학생명부!$A56="","",학생명부!$A56)</f>
        <v/>
      </c>
      <c r="B56" s="17" t="str">
        <f aca="false">IF(학생명부!$A56="","",학생명부!$B56)</f>
        <v/>
      </c>
      <c r="C56" s="17" t="str">
        <f aca="false">IF(학생명부!$A56="","",학생명부!$C56)</f>
        <v/>
      </c>
      <c r="D56" s="19" t="str">
        <f aca="false">IF($A56="","",ROUND(SUMIFS(봉사기록!$G$3:$G$502,봉사기록!$B$3:$B$502,$A56,봉사기록!$D$3:$D$502,"일상봉사"),2))</f>
        <v/>
      </c>
      <c r="E56" s="19" t="str">
        <f aca="false">IF($A56="","",ROUND(SUMIFS(봉사기록!$G$3:$G$502,봉사기록!$B$3:$B$502,$A56,봉사기록!$D$3:$D$502,"특별봉사"),2))</f>
        <v/>
      </c>
      <c r="F56" s="19" t="str">
        <f aca="false">IF($A56="","",ROUND($D56+$E56,2))</f>
        <v/>
      </c>
      <c r="G56" s="19" t="str">
        <f aca="false">IF($A56="","",사용안내!$C$17)</f>
        <v/>
      </c>
      <c r="H56" s="19" t="str">
        <f aca="false">IF($A56="","",MAX(0,$G56-$F56))</f>
        <v/>
      </c>
      <c r="I56" s="20" t="str">
        <f aca="false">IF($A56="","",IF($G56=0,"",MIN(1,$F56/$G56)))</f>
        <v/>
      </c>
      <c r="J56" s="17" t="str">
        <f aca="false">IF($A56="","",COUNTIFS(독서활동기록!$B$3:$B$302,$A56))</f>
        <v/>
      </c>
    </row>
    <row r="57" customFormat="false" ht="15" hidden="false" customHeight="true" outlineLevel="0" collapsed="false">
      <c r="A57" s="17" t="str">
        <f aca="false">IF(학생명부!$A57="","",학생명부!$A57)</f>
        <v/>
      </c>
      <c r="B57" s="17" t="str">
        <f aca="false">IF(학생명부!$A57="","",학생명부!$B57)</f>
        <v/>
      </c>
      <c r="C57" s="17" t="str">
        <f aca="false">IF(학생명부!$A57="","",학생명부!$C57)</f>
        <v/>
      </c>
      <c r="D57" s="19" t="str">
        <f aca="false">IF($A57="","",ROUND(SUMIFS(봉사기록!$G$3:$G$502,봉사기록!$B$3:$B$502,$A57,봉사기록!$D$3:$D$502,"일상봉사"),2))</f>
        <v/>
      </c>
      <c r="E57" s="19" t="str">
        <f aca="false">IF($A57="","",ROUND(SUMIFS(봉사기록!$G$3:$G$502,봉사기록!$B$3:$B$502,$A57,봉사기록!$D$3:$D$502,"특별봉사"),2))</f>
        <v/>
      </c>
      <c r="F57" s="19" t="str">
        <f aca="false">IF($A57="","",ROUND($D57+$E57,2))</f>
        <v/>
      </c>
      <c r="G57" s="19" t="str">
        <f aca="false">IF($A57="","",사용안내!$C$17)</f>
        <v/>
      </c>
      <c r="H57" s="19" t="str">
        <f aca="false">IF($A57="","",MAX(0,$G57-$F57))</f>
        <v/>
      </c>
      <c r="I57" s="20" t="str">
        <f aca="false">IF($A57="","",IF($G57=0,"",MIN(1,$F57/$G57)))</f>
        <v/>
      </c>
      <c r="J57" s="17" t="str">
        <f aca="false">IF($A57="","",COUNTIFS(독서활동기록!$B$3:$B$302,$A57))</f>
        <v/>
      </c>
    </row>
    <row r="58" customFormat="false" ht="15" hidden="false" customHeight="true" outlineLevel="0" collapsed="false">
      <c r="A58" s="17" t="str">
        <f aca="false">IF(학생명부!$A58="","",학생명부!$A58)</f>
        <v/>
      </c>
      <c r="B58" s="17" t="str">
        <f aca="false">IF(학생명부!$A58="","",학생명부!$B58)</f>
        <v/>
      </c>
      <c r="C58" s="17" t="str">
        <f aca="false">IF(학생명부!$A58="","",학생명부!$C58)</f>
        <v/>
      </c>
      <c r="D58" s="19" t="str">
        <f aca="false">IF($A58="","",ROUND(SUMIFS(봉사기록!$G$3:$G$502,봉사기록!$B$3:$B$502,$A58,봉사기록!$D$3:$D$502,"일상봉사"),2))</f>
        <v/>
      </c>
      <c r="E58" s="19" t="str">
        <f aca="false">IF($A58="","",ROUND(SUMIFS(봉사기록!$G$3:$G$502,봉사기록!$B$3:$B$502,$A58,봉사기록!$D$3:$D$502,"특별봉사"),2))</f>
        <v/>
      </c>
      <c r="F58" s="19" t="str">
        <f aca="false">IF($A58="","",ROUND($D58+$E58,2))</f>
        <v/>
      </c>
      <c r="G58" s="19" t="str">
        <f aca="false">IF($A58="","",사용안내!$C$17)</f>
        <v/>
      </c>
      <c r="H58" s="19" t="str">
        <f aca="false">IF($A58="","",MAX(0,$G58-$F58))</f>
        <v/>
      </c>
      <c r="I58" s="20" t="str">
        <f aca="false">IF($A58="","",IF($G58=0,"",MIN(1,$F58/$G58)))</f>
        <v/>
      </c>
      <c r="J58" s="17" t="str">
        <f aca="false">IF($A58="","",COUNTIFS(독서활동기록!$B$3:$B$302,$A58))</f>
        <v/>
      </c>
    </row>
    <row r="59" customFormat="false" ht="15" hidden="false" customHeight="true" outlineLevel="0" collapsed="false">
      <c r="A59" s="17" t="str">
        <f aca="false">IF(학생명부!$A59="","",학생명부!$A59)</f>
        <v/>
      </c>
      <c r="B59" s="17" t="str">
        <f aca="false">IF(학생명부!$A59="","",학생명부!$B59)</f>
        <v/>
      </c>
      <c r="C59" s="17" t="str">
        <f aca="false">IF(학생명부!$A59="","",학생명부!$C59)</f>
        <v/>
      </c>
      <c r="D59" s="19" t="str">
        <f aca="false">IF($A59="","",ROUND(SUMIFS(봉사기록!$G$3:$G$502,봉사기록!$B$3:$B$502,$A59,봉사기록!$D$3:$D$502,"일상봉사"),2))</f>
        <v/>
      </c>
      <c r="E59" s="19" t="str">
        <f aca="false">IF($A59="","",ROUND(SUMIFS(봉사기록!$G$3:$G$502,봉사기록!$B$3:$B$502,$A59,봉사기록!$D$3:$D$502,"특별봉사"),2))</f>
        <v/>
      </c>
      <c r="F59" s="19" t="str">
        <f aca="false">IF($A59="","",ROUND($D59+$E59,2))</f>
        <v/>
      </c>
      <c r="G59" s="19" t="str">
        <f aca="false">IF($A59="","",사용안내!$C$17)</f>
        <v/>
      </c>
      <c r="H59" s="19" t="str">
        <f aca="false">IF($A59="","",MAX(0,$G59-$F59))</f>
        <v/>
      </c>
      <c r="I59" s="20" t="str">
        <f aca="false">IF($A59="","",IF($G59=0,"",MIN(1,$F59/$G59)))</f>
        <v/>
      </c>
      <c r="J59" s="17" t="str">
        <f aca="false">IF($A59="","",COUNTIFS(독서활동기록!$B$3:$B$302,$A59))</f>
        <v/>
      </c>
    </row>
    <row r="60" customFormat="false" ht="15" hidden="false" customHeight="true" outlineLevel="0" collapsed="false">
      <c r="A60" s="17" t="str">
        <f aca="false">IF(학생명부!$A60="","",학생명부!$A60)</f>
        <v/>
      </c>
      <c r="B60" s="17" t="str">
        <f aca="false">IF(학생명부!$A60="","",학생명부!$B60)</f>
        <v/>
      </c>
      <c r="C60" s="17" t="str">
        <f aca="false">IF(학생명부!$A60="","",학생명부!$C60)</f>
        <v/>
      </c>
      <c r="D60" s="19" t="str">
        <f aca="false">IF($A60="","",ROUND(SUMIFS(봉사기록!$G$3:$G$502,봉사기록!$B$3:$B$502,$A60,봉사기록!$D$3:$D$502,"일상봉사"),2))</f>
        <v/>
      </c>
      <c r="E60" s="19" t="str">
        <f aca="false">IF($A60="","",ROUND(SUMIFS(봉사기록!$G$3:$G$502,봉사기록!$B$3:$B$502,$A60,봉사기록!$D$3:$D$502,"특별봉사"),2))</f>
        <v/>
      </c>
      <c r="F60" s="19" t="str">
        <f aca="false">IF($A60="","",ROUND($D60+$E60,2))</f>
        <v/>
      </c>
      <c r="G60" s="19" t="str">
        <f aca="false">IF($A60="","",사용안내!$C$17)</f>
        <v/>
      </c>
      <c r="H60" s="19" t="str">
        <f aca="false">IF($A60="","",MAX(0,$G60-$F60))</f>
        <v/>
      </c>
      <c r="I60" s="20" t="str">
        <f aca="false">IF($A60="","",IF($G60=0,"",MIN(1,$F60/$G60)))</f>
        <v/>
      </c>
      <c r="J60" s="17" t="str">
        <f aca="false">IF($A60="","",COUNTIFS(독서활동기록!$B$3:$B$302,$A60))</f>
        <v/>
      </c>
    </row>
    <row r="61" customFormat="false" ht="15" hidden="false" customHeight="true" outlineLevel="0" collapsed="false">
      <c r="A61" s="17" t="str">
        <f aca="false">IF(학생명부!$A61="","",학생명부!$A61)</f>
        <v/>
      </c>
      <c r="B61" s="17" t="str">
        <f aca="false">IF(학생명부!$A61="","",학생명부!$B61)</f>
        <v/>
      </c>
      <c r="C61" s="17" t="str">
        <f aca="false">IF(학생명부!$A61="","",학생명부!$C61)</f>
        <v/>
      </c>
      <c r="D61" s="19" t="str">
        <f aca="false">IF($A61="","",ROUND(SUMIFS(봉사기록!$G$3:$G$502,봉사기록!$B$3:$B$502,$A61,봉사기록!$D$3:$D$502,"일상봉사"),2))</f>
        <v/>
      </c>
      <c r="E61" s="19" t="str">
        <f aca="false">IF($A61="","",ROUND(SUMIFS(봉사기록!$G$3:$G$502,봉사기록!$B$3:$B$502,$A61,봉사기록!$D$3:$D$502,"특별봉사"),2))</f>
        <v/>
      </c>
      <c r="F61" s="19" t="str">
        <f aca="false">IF($A61="","",ROUND($D61+$E61,2))</f>
        <v/>
      </c>
      <c r="G61" s="19" t="str">
        <f aca="false">IF($A61="","",사용안내!$C$17)</f>
        <v/>
      </c>
      <c r="H61" s="19" t="str">
        <f aca="false">IF($A61="","",MAX(0,$G61-$F61))</f>
        <v/>
      </c>
      <c r="I61" s="20" t="str">
        <f aca="false">IF($A61="","",IF($G61=0,"",MIN(1,$F61/$G61)))</f>
        <v/>
      </c>
      <c r="J61" s="17" t="str">
        <f aca="false">IF($A61="","",COUNTIFS(독서활동기록!$B$3:$B$302,$A61))</f>
        <v/>
      </c>
    </row>
    <row r="62" customFormat="false" ht="15" hidden="false" customHeight="true" outlineLevel="0" collapsed="false">
      <c r="A62" s="17" t="str">
        <f aca="false">IF(학생명부!$A62="","",학생명부!$A62)</f>
        <v/>
      </c>
      <c r="B62" s="17" t="str">
        <f aca="false">IF(학생명부!$A62="","",학생명부!$B62)</f>
        <v/>
      </c>
      <c r="C62" s="17" t="str">
        <f aca="false">IF(학생명부!$A62="","",학생명부!$C62)</f>
        <v/>
      </c>
      <c r="D62" s="19" t="str">
        <f aca="false">IF($A62="","",ROUND(SUMIFS(봉사기록!$G$3:$G$502,봉사기록!$B$3:$B$502,$A62,봉사기록!$D$3:$D$502,"일상봉사"),2))</f>
        <v/>
      </c>
      <c r="E62" s="19" t="str">
        <f aca="false">IF($A62="","",ROUND(SUMIFS(봉사기록!$G$3:$G$502,봉사기록!$B$3:$B$502,$A62,봉사기록!$D$3:$D$502,"특별봉사"),2))</f>
        <v/>
      </c>
      <c r="F62" s="19" t="str">
        <f aca="false">IF($A62="","",ROUND($D62+$E62,2))</f>
        <v/>
      </c>
      <c r="G62" s="19" t="str">
        <f aca="false">IF($A62="","",사용안내!$C$17)</f>
        <v/>
      </c>
      <c r="H62" s="19" t="str">
        <f aca="false">IF($A62="","",MAX(0,$G62-$F62))</f>
        <v/>
      </c>
      <c r="I62" s="20" t="str">
        <f aca="false">IF($A62="","",IF($G62=0,"",MIN(1,$F62/$G62)))</f>
        <v/>
      </c>
      <c r="J62" s="17" t="str">
        <f aca="false">IF($A62="","",COUNTIFS(독서활동기록!$B$3:$B$302,$A62))</f>
        <v/>
      </c>
    </row>
    <row r="63" customFormat="false" ht="15" hidden="false" customHeight="true" outlineLevel="0" collapsed="false">
      <c r="A63" s="17" t="str">
        <f aca="false">IF(학생명부!$A63="","",학생명부!$A63)</f>
        <v/>
      </c>
      <c r="B63" s="17" t="str">
        <f aca="false">IF(학생명부!$A63="","",학생명부!$B63)</f>
        <v/>
      </c>
      <c r="C63" s="17" t="str">
        <f aca="false">IF(학생명부!$A63="","",학생명부!$C63)</f>
        <v/>
      </c>
      <c r="D63" s="19" t="str">
        <f aca="false">IF($A63="","",ROUND(SUMIFS(봉사기록!$G$3:$G$502,봉사기록!$B$3:$B$502,$A63,봉사기록!$D$3:$D$502,"일상봉사"),2))</f>
        <v/>
      </c>
      <c r="E63" s="19" t="str">
        <f aca="false">IF($A63="","",ROUND(SUMIFS(봉사기록!$G$3:$G$502,봉사기록!$B$3:$B$502,$A63,봉사기록!$D$3:$D$502,"특별봉사"),2))</f>
        <v/>
      </c>
      <c r="F63" s="19" t="str">
        <f aca="false">IF($A63="","",ROUND($D63+$E63,2))</f>
        <v/>
      </c>
      <c r="G63" s="19" t="str">
        <f aca="false">IF($A63="","",사용안내!$C$17)</f>
        <v/>
      </c>
      <c r="H63" s="19" t="str">
        <f aca="false">IF($A63="","",MAX(0,$G63-$F63))</f>
        <v/>
      </c>
      <c r="I63" s="20" t="str">
        <f aca="false">IF($A63="","",IF($G63=0,"",MIN(1,$F63/$G63)))</f>
        <v/>
      </c>
      <c r="J63" s="17" t="str">
        <f aca="false">IF($A63="","",COUNTIFS(독서활동기록!$B$3:$B$302,$A63))</f>
        <v/>
      </c>
    </row>
    <row r="64" customFormat="false" ht="15" hidden="false" customHeight="true" outlineLevel="0" collapsed="false">
      <c r="A64" s="17" t="str">
        <f aca="false">IF(학생명부!$A64="","",학생명부!$A64)</f>
        <v/>
      </c>
      <c r="B64" s="17" t="str">
        <f aca="false">IF(학생명부!$A64="","",학생명부!$B64)</f>
        <v/>
      </c>
      <c r="C64" s="17" t="str">
        <f aca="false">IF(학생명부!$A64="","",학생명부!$C64)</f>
        <v/>
      </c>
      <c r="D64" s="19" t="str">
        <f aca="false">IF($A64="","",ROUND(SUMIFS(봉사기록!$G$3:$G$502,봉사기록!$B$3:$B$502,$A64,봉사기록!$D$3:$D$502,"일상봉사"),2))</f>
        <v/>
      </c>
      <c r="E64" s="19" t="str">
        <f aca="false">IF($A64="","",ROUND(SUMIFS(봉사기록!$G$3:$G$502,봉사기록!$B$3:$B$502,$A64,봉사기록!$D$3:$D$502,"특별봉사"),2))</f>
        <v/>
      </c>
      <c r="F64" s="19" t="str">
        <f aca="false">IF($A64="","",ROUND($D64+$E64,2))</f>
        <v/>
      </c>
      <c r="G64" s="19" t="str">
        <f aca="false">IF($A64="","",사용안내!$C$17)</f>
        <v/>
      </c>
      <c r="H64" s="19" t="str">
        <f aca="false">IF($A64="","",MAX(0,$G64-$F64))</f>
        <v/>
      </c>
      <c r="I64" s="20" t="str">
        <f aca="false">IF($A64="","",IF($G64=0,"",MIN(1,$F64/$G64)))</f>
        <v/>
      </c>
      <c r="J64" s="17" t="str">
        <f aca="false">IF($A64="","",COUNTIFS(독서활동기록!$B$3:$B$302,$A64))</f>
        <v/>
      </c>
    </row>
    <row r="65" customFormat="false" ht="15" hidden="false" customHeight="true" outlineLevel="0" collapsed="false">
      <c r="A65" s="17" t="str">
        <f aca="false">IF(학생명부!$A65="","",학생명부!$A65)</f>
        <v/>
      </c>
      <c r="B65" s="17" t="str">
        <f aca="false">IF(학생명부!$A65="","",학생명부!$B65)</f>
        <v/>
      </c>
      <c r="C65" s="17" t="str">
        <f aca="false">IF(학생명부!$A65="","",학생명부!$C65)</f>
        <v/>
      </c>
      <c r="D65" s="19" t="str">
        <f aca="false">IF($A65="","",ROUND(SUMIFS(봉사기록!$G$3:$G$502,봉사기록!$B$3:$B$502,$A65,봉사기록!$D$3:$D$502,"일상봉사"),2))</f>
        <v/>
      </c>
      <c r="E65" s="19" t="str">
        <f aca="false">IF($A65="","",ROUND(SUMIFS(봉사기록!$G$3:$G$502,봉사기록!$B$3:$B$502,$A65,봉사기록!$D$3:$D$502,"특별봉사"),2))</f>
        <v/>
      </c>
      <c r="F65" s="19" t="str">
        <f aca="false">IF($A65="","",ROUND($D65+$E65,2))</f>
        <v/>
      </c>
      <c r="G65" s="19" t="str">
        <f aca="false">IF($A65="","",사용안내!$C$17)</f>
        <v/>
      </c>
      <c r="H65" s="19" t="str">
        <f aca="false">IF($A65="","",MAX(0,$G65-$F65))</f>
        <v/>
      </c>
      <c r="I65" s="20" t="str">
        <f aca="false">IF($A65="","",IF($G65=0,"",MIN(1,$F65/$G65)))</f>
        <v/>
      </c>
      <c r="J65" s="17" t="str">
        <f aca="false">IF($A65="","",COUNTIFS(독서활동기록!$B$3:$B$302,$A65))</f>
        <v/>
      </c>
    </row>
    <row r="66" customFormat="false" ht="15" hidden="false" customHeight="true" outlineLevel="0" collapsed="false">
      <c r="A66" s="17" t="str">
        <f aca="false">IF(학생명부!$A66="","",학생명부!$A66)</f>
        <v/>
      </c>
      <c r="B66" s="17" t="str">
        <f aca="false">IF(학생명부!$A66="","",학생명부!$B66)</f>
        <v/>
      </c>
      <c r="C66" s="17" t="str">
        <f aca="false">IF(학생명부!$A66="","",학생명부!$C66)</f>
        <v/>
      </c>
      <c r="D66" s="19" t="str">
        <f aca="false">IF($A66="","",ROUND(SUMIFS(봉사기록!$G$3:$G$502,봉사기록!$B$3:$B$502,$A66,봉사기록!$D$3:$D$502,"일상봉사"),2))</f>
        <v/>
      </c>
      <c r="E66" s="19" t="str">
        <f aca="false">IF($A66="","",ROUND(SUMIFS(봉사기록!$G$3:$G$502,봉사기록!$B$3:$B$502,$A66,봉사기록!$D$3:$D$502,"특별봉사"),2))</f>
        <v/>
      </c>
      <c r="F66" s="19" t="str">
        <f aca="false">IF($A66="","",ROUND($D66+$E66,2))</f>
        <v/>
      </c>
      <c r="G66" s="19" t="str">
        <f aca="false">IF($A66="","",사용안내!$C$17)</f>
        <v/>
      </c>
      <c r="H66" s="19" t="str">
        <f aca="false">IF($A66="","",MAX(0,$G66-$F66))</f>
        <v/>
      </c>
      <c r="I66" s="20" t="str">
        <f aca="false">IF($A66="","",IF($G66=0,"",MIN(1,$F66/$G66)))</f>
        <v/>
      </c>
      <c r="J66" s="17" t="str">
        <f aca="false">IF($A66="","",COUNTIFS(독서활동기록!$B$3:$B$302,$A66))</f>
        <v/>
      </c>
    </row>
    <row r="67" customFormat="false" ht="15" hidden="false" customHeight="true" outlineLevel="0" collapsed="false">
      <c r="A67" s="17" t="str">
        <f aca="false">IF(학생명부!$A67="","",학생명부!$A67)</f>
        <v/>
      </c>
      <c r="B67" s="17" t="str">
        <f aca="false">IF(학생명부!$A67="","",학생명부!$B67)</f>
        <v/>
      </c>
      <c r="C67" s="17" t="str">
        <f aca="false">IF(학생명부!$A67="","",학생명부!$C67)</f>
        <v/>
      </c>
      <c r="D67" s="19" t="str">
        <f aca="false">IF($A67="","",ROUND(SUMIFS(봉사기록!$G$3:$G$502,봉사기록!$B$3:$B$502,$A67,봉사기록!$D$3:$D$502,"일상봉사"),2))</f>
        <v/>
      </c>
      <c r="E67" s="19" t="str">
        <f aca="false">IF($A67="","",ROUND(SUMIFS(봉사기록!$G$3:$G$502,봉사기록!$B$3:$B$502,$A67,봉사기록!$D$3:$D$502,"특별봉사"),2))</f>
        <v/>
      </c>
      <c r="F67" s="19" t="str">
        <f aca="false">IF($A67="","",ROUND($D67+$E67,2))</f>
        <v/>
      </c>
      <c r="G67" s="19" t="str">
        <f aca="false">IF($A67="","",사용안내!$C$17)</f>
        <v/>
      </c>
      <c r="H67" s="19" t="str">
        <f aca="false">IF($A67="","",MAX(0,$G67-$F67))</f>
        <v/>
      </c>
      <c r="I67" s="20" t="str">
        <f aca="false">IF($A67="","",IF($G67=0,"",MIN(1,$F67/$G67)))</f>
        <v/>
      </c>
      <c r="J67" s="17" t="str">
        <f aca="false">IF($A67="","",COUNTIFS(독서활동기록!$B$3:$B$302,$A67))</f>
        <v/>
      </c>
    </row>
    <row r="68" customFormat="false" ht="15" hidden="false" customHeight="true" outlineLevel="0" collapsed="false">
      <c r="A68" s="17" t="str">
        <f aca="false">IF(학생명부!$A68="","",학생명부!$A68)</f>
        <v/>
      </c>
      <c r="B68" s="17" t="str">
        <f aca="false">IF(학생명부!$A68="","",학생명부!$B68)</f>
        <v/>
      </c>
      <c r="C68" s="17" t="str">
        <f aca="false">IF(학생명부!$A68="","",학생명부!$C68)</f>
        <v/>
      </c>
      <c r="D68" s="19" t="str">
        <f aca="false">IF($A68="","",ROUND(SUMIFS(봉사기록!$G$3:$G$502,봉사기록!$B$3:$B$502,$A68,봉사기록!$D$3:$D$502,"일상봉사"),2))</f>
        <v/>
      </c>
      <c r="E68" s="19" t="str">
        <f aca="false">IF($A68="","",ROUND(SUMIFS(봉사기록!$G$3:$G$502,봉사기록!$B$3:$B$502,$A68,봉사기록!$D$3:$D$502,"특별봉사"),2))</f>
        <v/>
      </c>
      <c r="F68" s="19" t="str">
        <f aca="false">IF($A68="","",ROUND($D68+$E68,2))</f>
        <v/>
      </c>
      <c r="G68" s="19" t="str">
        <f aca="false">IF($A68="","",사용안내!$C$17)</f>
        <v/>
      </c>
      <c r="H68" s="19" t="str">
        <f aca="false">IF($A68="","",MAX(0,$G68-$F68))</f>
        <v/>
      </c>
      <c r="I68" s="20" t="str">
        <f aca="false">IF($A68="","",IF($G68=0,"",MIN(1,$F68/$G68)))</f>
        <v/>
      </c>
      <c r="J68" s="17" t="str">
        <f aca="false">IF($A68="","",COUNTIFS(독서활동기록!$B$3:$B$302,$A68))</f>
        <v/>
      </c>
    </row>
    <row r="69" customFormat="false" ht="15" hidden="false" customHeight="true" outlineLevel="0" collapsed="false">
      <c r="A69" s="17" t="str">
        <f aca="false">IF(학생명부!$A69="","",학생명부!$A69)</f>
        <v/>
      </c>
      <c r="B69" s="17" t="str">
        <f aca="false">IF(학생명부!$A69="","",학생명부!$B69)</f>
        <v/>
      </c>
      <c r="C69" s="17" t="str">
        <f aca="false">IF(학생명부!$A69="","",학생명부!$C69)</f>
        <v/>
      </c>
      <c r="D69" s="19" t="str">
        <f aca="false">IF($A69="","",ROUND(SUMIFS(봉사기록!$G$3:$G$502,봉사기록!$B$3:$B$502,$A69,봉사기록!$D$3:$D$502,"일상봉사"),2))</f>
        <v/>
      </c>
      <c r="E69" s="19" t="str">
        <f aca="false">IF($A69="","",ROUND(SUMIFS(봉사기록!$G$3:$G$502,봉사기록!$B$3:$B$502,$A69,봉사기록!$D$3:$D$502,"특별봉사"),2))</f>
        <v/>
      </c>
      <c r="F69" s="19" t="str">
        <f aca="false">IF($A69="","",ROUND($D69+$E69,2))</f>
        <v/>
      </c>
      <c r="G69" s="19" t="str">
        <f aca="false">IF($A69="","",사용안내!$C$17)</f>
        <v/>
      </c>
      <c r="H69" s="19" t="str">
        <f aca="false">IF($A69="","",MAX(0,$G69-$F69))</f>
        <v/>
      </c>
      <c r="I69" s="20" t="str">
        <f aca="false">IF($A69="","",IF($G69=0,"",MIN(1,$F69/$G69)))</f>
        <v/>
      </c>
      <c r="J69" s="17" t="str">
        <f aca="false">IF($A69="","",COUNTIFS(독서활동기록!$B$3:$B$302,$A69))</f>
        <v/>
      </c>
    </row>
    <row r="70" customFormat="false" ht="15" hidden="false" customHeight="true" outlineLevel="0" collapsed="false">
      <c r="A70" s="17" t="str">
        <f aca="false">IF(학생명부!$A70="","",학생명부!$A70)</f>
        <v/>
      </c>
      <c r="B70" s="17" t="str">
        <f aca="false">IF(학생명부!$A70="","",학생명부!$B70)</f>
        <v/>
      </c>
      <c r="C70" s="17" t="str">
        <f aca="false">IF(학생명부!$A70="","",학생명부!$C70)</f>
        <v/>
      </c>
      <c r="D70" s="19" t="str">
        <f aca="false">IF($A70="","",ROUND(SUMIFS(봉사기록!$G$3:$G$502,봉사기록!$B$3:$B$502,$A70,봉사기록!$D$3:$D$502,"일상봉사"),2))</f>
        <v/>
      </c>
      <c r="E70" s="19" t="str">
        <f aca="false">IF($A70="","",ROUND(SUMIFS(봉사기록!$G$3:$G$502,봉사기록!$B$3:$B$502,$A70,봉사기록!$D$3:$D$502,"특별봉사"),2))</f>
        <v/>
      </c>
      <c r="F70" s="19" t="str">
        <f aca="false">IF($A70="","",ROUND($D70+$E70,2))</f>
        <v/>
      </c>
      <c r="G70" s="19" t="str">
        <f aca="false">IF($A70="","",사용안내!$C$17)</f>
        <v/>
      </c>
      <c r="H70" s="19" t="str">
        <f aca="false">IF($A70="","",MAX(0,$G70-$F70))</f>
        <v/>
      </c>
      <c r="I70" s="20" t="str">
        <f aca="false">IF($A70="","",IF($G70=0,"",MIN(1,$F70/$G70)))</f>
        <v/>
      </c>
      <c r="J70" s="17" t="str">
        <f aca="false">IF($A70="","",COUNTIFS(독서활동기록!$B$3:$B$302,$A70))</f>
        <v/>
      </c>
    </row>
    <row r="71" customFormat="false" ht="15" hidden="false" customHeight="true" outlineLevel="0" collapsed="false">
      <c r="A71" s="17" t="str">
        <f aca="false">IF(학생명부!$A71="","",학생명부!$A71)</f>
        <v/>
      </c>
      <c r="B71" s="17" t="str">
        <f aca="false">IF(학생명부!$A71="","",학생명부!$B71)</f>
        <v/>
      </c>
      <c r="C71" s="17" t="str">
        <f aca="false">IF(학생명부!$A71="","",학생명부!$C71)</f>
        <v/>
      </c>
      <c r="D71" s="19" t="str">
        <f aca="false">IF($A71="","",ROUND(SUMIFS(봉사기록!$G$3:$G$502,봉사기록!$B$3:$B$502,$A71,봉사기록!$D$3:$D$502,"일상봉사"),2))</f>
        <v/>
      </c>
      <c r="E71" s="19" t="str">
        <f aca="false">IF($A71="","",ROUND(SUMIFS(봉사기록!$G$3:$G$502,봉사기록!$B$3:$B$502,$A71,봉사기록!$D$3:$D$502,"특별봉사"),2))</f>
        <v/>
      </c>
      <c r="F71" s="19" t="str">
        <f aca="false">IF($A71="","",ROUND($D71+$E71,2))</f>
        <v/>
      </c>
      <c r="G71" s="19" t="str">
        <f aca="false">IF($A71="","",사용안내!$C$17)</f>
        <v/>
      </c>
      <c r="H71" s="19" t="str">
        <f aca="false">IF($A71="","",MAX(0,$G71-$F71))</f>
        <v/>
      </c>
      <c r="I71" s="20" t="str">
        <f aca="false">IF($A71="","",IF($G71=0,"",MIN(1,$F71/$G71)))</f>
        <v/>
      </c>
      <c r="J71" s="17" t="str">
        <f aca="false">IF($A71="","",COUNTIFS(독서활동기록!$B$3:$B$302,$A71))</f>
        <v/>
      </c>
    </row>
    <row r="72" customFormat="false" ht="15" hidden="false" customHeight="true" outlineLevel="0" collapsed="false">
      <c r="A72" s="17" t="str">
        <f aca="false">IF(학생명부!$A72="","",학생명부!$A72)</f>
        <v/>
      </c>
      <c r="B72" s="17" t="str">
        <f aca="false">IF(학생명부!$A72="","",학생명부!$B72)</f>
        <v/>
      </c>
      <c r="C72" s="17" t="str">
        <f aca="false">IF(학생명부!$A72="","",학생명부!$C72)</f>
        <v/>
      </c>
      <c r="D72" s="19" t="str">
        <f aca="false">IF($A72="","",ROUND(SUMIFS(봉사기록!$G$3:$G$502,봉사기록!$B$3:$B$502,$A72,봉사기록!$D$3:$D$502,"일상봉사"),2))</f>
        <v/>
      </c>
      <c r="E72" s="19" t="str">
        <f aca="false">IF($A72="","",ROUND(SUMIFS(봉사기록!$G$3:$G$502,봉사기록!$B$3:$B$502,$A72,봉사기록!$D$3:$D$502,"특별봉사"),2))</f>
        <v/>
      </c>
      <c r="F72" s="19" t="str">
        <f aca="false">IF($A72="","",ROUND($D72+$E72,2))</f>
        <v/>
      </c>
      <c r="G72" s="19" t="str">
        <f aca="false">IF($A72="","",사용안내!$C$17)</f>
        <v/>
      </c>
      <c r="H72" s="19" t="str">
        <f aca="false">IF($A72="","",MAX(0,$G72-$F72))</f>
        <v/>
      </c>
      <c r="I72" s="20" t="str">
        <f aca="false">IF($A72="","",IF($G72=0,"",MIN(1,$F72/$G72)))</f>
        <v/>
      </c>
      <c r="J72" s="17" t="str">
        <f aca="false">IF($A72="","",COUNTIFS(독서활동기록!$B$3:$B$302,$A72))</f>
        <v/>
      </c>
    </row>
    <row r="73" customFormat="false" ht="15" hidden="false" customHeight="true" outlineLevel="0" collapsed="false">
      <c r="A73" s="17" t="str">
        <f aca="false">IF(학생명부!$A73="","",학생명부!$A73)</f>
        <v/>
      </c>
      <c r="B73" s="17" t="str">
        <f aca="false">IF(학생명부!$A73="","",학생명부!$B73)</f>
        <v/>
      </c>
      <c r="C73" s="17" t="str">
        <f aca="false">IF(학생명부!$A73="","",학생명부!$C73)</f>
        <v/>
      </c>
      <c r="D73" s="19" t="str">
        <f aca="false">IF($A73="","",ROUND(SUMIFS(봉사기록!$G$3:$G$502,봉사기록!$B$3:$B$502,$A73,봉사기록!$D$3:$D$502,"일상봉사"),2))</f>
        <v/>
      </c>
      <c r="E73" s="19" t="str">
        <f aca="false">IF($A73="","",ROUND(SUMIFS(봉사기록!$G$3:$G$502,봉사기록!$B$3:$B$502,$A73,봉사기록!$D$3:$D$502,"특별봉사"),2))</f>
        <v/>
      </c>
      <c r="F73" s="19" t="str">
        <f aca="false">IF($A73="","",ROUND($D73+$E73,2))</f>
        <v/>
      </c>
      <c r="G73" s="19" t="str">
        <f aca="false">IF($A73="","",사용안내!$C$17)</f>
        <v/>
      </c>
      <c r="H73" s="19" t="str">
        <f aca="false">IF($A73="","",MAX(0,$G73-$F73))</f>
        <v/>
      </c>
      <c r="I73" s="20" t="str">
        <f aca="false">IF($A73="","",IF($G73=0,"",MIN(1,$F73/$G73)))</f>
        <v/>
      </c>
      <c r="J73" s="17" t="str">
        <f aca="false">IF($A73="","",COUNTIFS(독서활동기록!$B$3:$B$302,$A73))</f>
        <v/>
      </c>
    </row>
    <row r="74" customFormat="false" ht="15" hidden="false" customHeight="true" outlineLevel="0" collapsed="false">
      <c r="A74" s="17" t="str">
        <f aca="false">IF(학생명부!$A74="","",학생명부!$A74)</f>
        <v/>
      </c>
      <c r="B74" s="17" t="str">
        <f aca="false">IF(학생명부!$A74="","",학생명부!$B74)</f>
        <v/>
      </c>
      <c r="C74" s="17" t="str">
        <f aca="false">IF(학생명부!$A74="","",학생명부!$C74)</f>
        <v/>
      </c>
      <c r="D74" s="19" t="str">
        <f aca="false">IF($A74="","",ROUND(SUMIFS(봉사기록!$G$3:$G$502,봉사기록!$B$3:$B$502,$A74,봉사기록!$D$3:$D$502,"일상봉사"),2))</f>
        <v/>
      </c>
      <c r="E74" s="19" t="str">
        <f aca="false">IF($A74="","",ROUND(SUMIFS(봉사기록!$G$3:$G$502,봉사기록!$B$3:$B$502,$A74,봉사기록!$D$3:$D$502,"특별봉사"),2))</f>
        <v/>
      </c>
      <c r="F74" s="19" t="str">
        <f aca="false">IF($A74="","",ROUND($D74+$E74,2))</f>
        <v/>
      </c>
      <c r="G74" s="19" t="str">
        <f aca="false">IF($A74="","",사용안내!$C$17)</f>
        <v/>
      </c>
      <c r="H74" s="19" t="str">
        <f aca="false">IF($A74="","",MAX(0,$G74-$F74))</f>
        <v/>
      </c>
      <c r="I74" s="20" t="str">
        <f aca="false">IF($A74="","",IF($G74=0,"",MIN(1,$F74/$G74)))</f>
        <v/>
      </c>
      <c r="J74" s="17" t="str">
        <f aca="false">IF($A74="","",COUNTIFS(독서활동기록!$B$3:$B$302,$A74))</f>
        <v/>
      </c>
    </row>
    <row r="75" customFormat="false" ht="15" hidden="false" customHeight="true" outlineLevel="0" collapsed="false">
      <c r="A75" s="17" t="str">
        <f aca="false">IF(학생명부!$A75="","",학생명부!$A75)</f>
        <v/>
      </c>
      <c r="B75" s="17" t="str">
        <f aca="false">IF(학생명부!$A75="","",학생명부!$B75)</f>
        <v/>
      </c>
      <c r="C75" s="17" t="str">
        <f aca="false">IF(학생명부!$A75="","",학생명부!$C75)</f>
        <v/>
      </c>
      <c r="D75" s="19" t="str">
        <f aca="false">IF($A75="","",ROUND(SUMIFS(봉사기록!$G$3:$G$502,봉사기록!$B$3:$B$502,$A75,봉사기록!$D$3:$D$502,"일상봉사"),2))</f>
        <v/>
      </c>
      <c r="E75" s="19" t="str">
        <f aca="false">IF($A75="","",ROUND(SUMIFS(봉사기록!$G$3:$G$502,봉사기록!$B$3:$B$502,$A75,봉사기록!$D$3:$D$502,"특별봉사"),2))</f>
        <v/>
      </c>
      <c r="F75" s="19" t="str">
        <f aca="false">IF($A75="","",ROUND($D75+$E75,2))</f>
        <v/>
      </c>
      <c r="G75" s="19" t="str">
        <f aca="false">IF($A75="","",사용안내!$C$17)</f>
        <v/>
      </c>
      <c r="H75" s="19" t="str">
        <f aca="false">IF($A75="","",MAX(0,$G75-$F75))</f>
        <v/>
      </c>
      <c r="I75" s="20" t="str">
        <f aca="false">IF($A75="","",IF($G75=0,"",MIN(1,$F75/$G75)))</f>
        <v/>
      </c>
      <c r="J75" s="17" t="str">
        <f aca="false">IF($A75="","",COUNTIFS(독서활동기록!$B$3:$B$302,$A75))</f>
        <v/>
      </c>
    </row>
    <row r="76" customFormat="false" ht="15" hidden="false" customHeight="true" outlineLevel="0" collapsed="false">
      <c r="A76" s="17" t="str">
        <f aca="false">IF(학생명부!$A76="","",학생명부!$A76)</f>
        <v/>
      </c>
      <c r="B76" s="17" t="str">
        <f aca="false">IF(학생명부!$A76="","",학생명부!$B76)</f>
        <v/>
      </c>
      <c r="C76" s="17" t="str">
        <f aca="false">IF(학생명부!$A76="","",학생명부!$C76)</f>
        <v/>
      </c>
      <c r="D76" s="19" t="str">
        <f aca="false">IF($A76="","",ROUND(SUMIFS(봉사기록!$G$3:$G$502,봉사기록!$B$3:$B$502,$A76,봉사기록!$D$3:$D$502,"일상봉사"),2))</f>
        <v/>
      </c>
      <c r="E76" s="19" t="str">
        <f aca="false">IF($A76="","",ROUND(SUMIFS(봉사기록!$G$3:$G$502,봉사기록!$B$3:$B$502,$A76,봉사기록!$D$3:$D$502,"특별봉사"),2))</f>
        <v/>
      </c>
      <c r="F76" s="19" t="str">
        <f aca="false">IF($A76="","",ROUND($D76+$E76,2))</f>
        <v/>
      </c>
      <c r="G76" s="19" t="str">
        <f aca="false">IF($A76="","",사용안내!$C$17)</f>
        <v/>
      </c>
      <c r="H76" s="19" t="str">
        <f aca="false">IF($A76="","",MAX(0,$G76-$F76))</f>
        <v/>
      </c>
      <c r="I76" s="20" t="str">
        <f aca="false">IF($A76="","",IF($G76=0,"",MIN(1,$F76/$G76)))</f>
        <v/>
      </c>
      <c r="J76" s="17" t="str">
        <f aca="false">IF($A76="","",COUNTIFS(독서활동기록!$B$3:$B$302,$A76))</f>
        <v/>
      </c>
    </row>
    <row r="77" customFormat="false" ht="15" hidden="false" customHeight="true" outlineLevel="0" collapsed="false">
      <c r="A77" s="17" t="str">
        <f aca="false">IF(학생명부!$A77="","",학생명부!$A77)</f>
        <v/>
      </c>
      <c r="B77" s="17" t="str">
        <f aca="false">IF(학생명부!$A77="","",학생명부!$B77)</f>
        <v/>
      </c>
      <c r="C77" s="17" t="str">
        <f aca="false">IF(학생명부!$A77="","",학생명부!$C77)</f>
        <v/>
      </c>
      <c r="D77" s="19" t="str">
        <f aca="false">IF($A77="","",ROUND(SUMIFS(봉사기록!$G$3:$G$502,봉사기록!$B$3:$B$502,$A77,봉사기록!$D$3:$D$502,"일상봉사"),2))</f>
        <v/>
      </c>
      <c r="E77" s="19" t="str">
        <f aca="false">IF($A77="","",ROUND(SUMIFS(봉사기록!$G$3:$G$502,봉사기록!$B$3:$B$502,$A77,봉사기록!$D$3:$D$502,"특별봉사"),2))</f>
        <v/>
      </c>
      <c r="F77" s="19" t="str">
        <f aca="false">IF($A77="","",ROUND($D77+$E77,2))</f>
        <v/>
      </c>
      <c r="G77" s="19" t="str">
        <f aca="false">IF($A77="","",사용안내!$C$17)</f>
        <v/>
      </c>
      <c r="H77" s="19" t="str">
        <f aca="false">IF($A77="","",MAX(0,$G77-$F77))</f>
        <v/>
      </c>
      <c r="I77" s="20" t="str">
        <f aca="false">IF($A77="","",IF($G77=0,"",MIN(1,$F77/$G77)))</f>
        <v/>
      </c>
      <c r="J77" s="17" t="str">
        <f aca="false">IF($A77="","",COUNTIFS(독서활동기록!$B$3:$B$302,$A77))</f>
        <v/>
      </c>
    </row>
    <row r="78" customFormat="false" ht="15" hidden="false" customHeight="true" outlineLevel="0" collapsed="false">
      <c r="A78" s="17" t="str">
        <f aca="false">IF(학생명부!$A78="","",학생명부!$A78)</f>
        <v/>
      </c>
      <c r="B78" s="17" t="str">
        <f aca="false">IF(학생명부!$A78="","",학생명부!$B78)</f>
        <v/>
      </c>
      <c r="C78" s="17" t="str">
        <f aca="false">IF(학생명부!$A78="","",학생명부!$C78)</f>
        <v/>
      </c>
      <c r="D78" s="19" t="str">
        <f aca="false">IF($A78="","",ROUND(SUMIFS(봉사기록!$G$3:$G$502,봉사기록!$B$3:$B$502,$A78,봉사기록!$D$3:$D$502,"일상봉사"),2))</f>
        <v/>
      </c>
      <c r="E78" s="19" t="str">
        <f aca="false">IF($A78="","",ROUND(SUMIFS(봉사기록!$G$3:$G$502,봉사기록!$B$3:$B$502,$A78,봉사기록!$D$3:$D$502,"특별봉사"),2))</f>
        <v/>
      </c>
      <c r="F78" s="19" t="str">
        <f aca="false">IF($A78="","",ROUND($D78+$E78,2))</f>
        <v/>
      </c>
      <c r="G78" s="19" t="str">
        <f aca="false">IF($A78="","",사용안내!$C$17)</f>
        <v/>
      </c>
      <c r="H78" s="19" t="str">
        <f aca="false">IF($A78="","",MAX(0,$G78-$F78))</f>
        <v/>
      </c>
      <c r="I78" s="20" t="str">
        <f aca="false">IF($A78="","",IF($G78=0,"",MIN(1,$F78/$G78)))</f>
        <v/>
      </c>
      <c r="J78" s="17" t="str">
        <f aca="false">IF($A78="","",COUNTIFS(독서활동기록!$B$3:$B$302,$A78))</f>
        <v/>
      </c>
    </row>
    <row r="79" customFormat="false" ht="15" hidden="false" customHeight="true" outlineLevel="0" collapsed="false">
      <c r="A79" s="17" t="str">
        <f aca="false">IF(학생명부!$A79="","",학생명부!$A79)</f>
        <v/>
      </c>
      <c r="B79" s="17" t="str">
        <f aca="false">IF(학생명부!$A79="","",학생명부!$B79)</f>
        <v/>
      </c>
      <c r="C79" s="17" t="str">
        <f aca="false">IF(학생명부!$A79="","",학생명부!$C79)</f>
        <v/>
      </c>
      <c r="D79" s="19" t="str">
        <f aca="false">IF($A79="","",ROUND(SUMIFS(봉사기록!$G$3:$G$502,봉사기록!$B$3:$B$502,$A79,봉사기록!$D$3:$D$502,"일상봉사"),2))</f>
        <v/>
      </c>
      <c r="E79" s="19" t="str">
        <f aca="false">IF($A79="","",ROUND(SUMIFS(봉사기록!$G$3:$G$502,봉사기록!$B$3:$B$502,$A79,봉사기록!$D$3:$D$502,"특별봉사"),2))</f>
        <v/>
      </c>
      <c r="F79" s="19" t="str">
        <f aca="false">IF($A79="","",ROUND($D79+$E79,2))</f>
        <v/>
      </c>
      <c r="G79" s="19" t="str">
        <f aca="false">IF($A79="","",사용안내!$C$17)</f>
        <v/>
      </c>
      <c r="H79" s="19" t="str">
        <f aca="false">IF($A79="","",MAX(0,$G79-$F79))</f>
        <v/>
      </c>
      <c r="I79" s="20" t="str">
        <f aca="false">IF($A79="","",IF($G79=0,"",MIN(1,$F79/$G79)))</f>
        <v/>
      </c>
      <c r="J79" s="17" t="str">
        <f aca="false">IF($A79="","",COUNTIFS(독서활동기록!$B$3:$B$302,$A79))</f>
        <v/>
      </c>
    </row>
    <row r="80" customFormat="false" ht="15" hidden="false" customHeight="true" outlineLevel="0" collapsed="false">
      <c r="A80" s="17" t="str">
        <f aca="false">IF(학생명부!$A80="","",학생명부!$A80)</f>
        <v/>
      </c>
      <c r="B80" s="17" t="str">
        <f aca="false">IF(학생명부!$A80="","",학생명부!$B80)</f>
        <v/>
      </c>
      <c r="C80" s="17" t="str">
        <f aca="false">IF(학생명부!$A80="","",학생명부!$C80)</f>
        <v/>
      </c>
      <c r="D80" s="19" t="str">
        <f aca="false">IF($A80="","",ROUND(SUMIFS(봉사기록!$G$3:$G$502,봉사기록!$B$3:$B$502,$A80,봉사기록!$D$3:$D$502,"일상봉사"),2))</f>
        <v/>
      </c>
      <c r="E80" s="19" t="str">
        <f aca="false">IF($A80="","",ROUND(SUMIFS(봉사기록!$G$3:$G$502,봉사기록!$B$3:$B$502,$A80,봉사기록!$D$3:$D$502,"특별봉사"),2))</f>
        <v/>
      </c>
      <c r="F80" s="19" t="str">
        <f aca="false">IF($A80="","",ROUND($D80+$E80,2))</f>
        <v/>
      </c>
      <c r="G80" s="19" t="str">
        <f aca="false">IF($A80="","",사용안내!$C$17)</f>
        <v/>
      </c>
      <c r="H80" s="19" t="str">
        <f aca="false">IF($A80="","",MAX(0,$G80-$F80))</f>
        <v/>
      </c>
      <c r="I80" s="20" t="str">
        <f aca="false">IF($A80="","",IF($G80=0,"",MIN(1,$F80/$G80)))</f>
        <v/>
      </c>
      <c r="J80" s="17" t="str">
        <f aca="false">IF($A80="","",COUNTIFS(독서활동기록!$B$3:$B$302,$A80))</f>
        <v/>
      </c>
    </row>
    <row r="81" customFormat="false" ht="15" hidden="false" customHeight="true" outlineLevel="0" collapsed="false">
      <c r="A81" s="17" t="str">
        <f aca="false">IF(학생명부!$A81="","",학생명부!$A81)</f>
        <v/>
      </c>
      <c r="B81" s="17" t="str">
        <f aca="false">IF(학생명부!$A81="","",학생명부!$B81)</f>
        <v/>
      </c>
      <c r="C81" s="17" t="str">
        <f aca="false">IF(학생명부!$A81="","",학생명부!$C81)</f>
        <v/>
      </c>
      <c r="D81" s="19" t="str">
        <f aca="false">IF($A81="","",ROUND(SUMIFS(봉사기록!$G$3:$G$502,봉사기록!$B$3:$B$502,$A81,봉사기록!$D$3:$D$502,"일상봉사"),2))</f>
        <v/>
      </c>
      <c r="E81" s="19" t="str">
        <f aca="false">IF($A81="","",ROUND(SUMIFS(봉사기록!$G$3:$G$502,봉사기록!$B$3:$B$502,$A81,봉사기록!$D$3:$D$502,"특별봉사"),2))</f>
        <v/>
      </c>
      <c r="F81" s="19" t="str">
        <f aca="false">IF($A81="","",ROUND($D81+$E81,2))</f>
        <v/>
      </c>
      <c r="G81" s="19" t="str">
        <f aca="false">IF($A81="","",사용안내!$C$17)</f>
        <v/>
      </c>
      <c r="H81" s="19" t="str">
        <f aca="false">IF($A81="","",MAX(0,$G81-$F81))</f>
        <v/>
      </c>
      <c r="I81" s="20" t="str">
        <f aca="false">IF($A81="","",IF($G81=0,"",MIN(1,$F81/$G81)))</f>
        <v/>
      </c>
      <c r="J81" s="17" t="str">
        <f aca="false">IF($A81="","",COUNTIFS(독서활동기록!$B$3:$B$302,$A81))</f>
        <v/>
      </c>
    </row>
    <row r="82" customFormat="false" ht="15" hidden="false" customHeight="true" outlineLevel="0" collapsed="false">
      <c r="A82" s="17" t="str">
        <f aca="false">IF(학생명부!$A82="","",학생명부!$A82)</f>
        <v/>
      </c>
      <c r="B82" s="17" t="str">
        <f aca="false">IF(학생명부!$A82="","",학생명부!$B82)</f>
        <v/>
      </c>
      <c r="C82" s="17" t="str">
        <f aca="false">IF(학생명부!$A82="","",학생명부!$C82)</f>
        <v/>
      </c>
      <c r="D82" s="19" t="str">
        <f aca="false">IF($A82="","",ROUND(SUMIFS(봉사기록!$G$3:$G$502,봉사기록!$B$3:$B$502,$A82,봉사기록!$D$3:$D$502,"일상봉사"),2))</f>
        <v/>
      </c>
      <c r="E82" s="19" t="str">
        <f aca="false">IF($A82="","",ROUND(SUMIFS(봉사기록!$G$3:$G$502,봉사기록!$B$3:$B$502,$A82,봉사기록!$D$3:$D$502,"특별봉사"),2))</f>
        <v/>
      </c>
      <c r="F82" s="19" t="str">
        <f aca="false">IF($A82="","",ROUND($D82+$E82,2))</f>
        <v/>
      </c>
      <c r="G82" s="19" t="str">
        <f aca="false">IF($A82="","",사용안내!$C$17)</f>
        <v/>
      </c>
      <c r="H82" s="19" t="str">
        <f aca="false">IF($A82="","",MAX(0,$G82-$F82))</f>
        <v/>
      </c>
      <c r="I82" s="20" t="str">
        <f aca="false">IF($A82="","",IF($G82=0,"",MIN(1,$F82/$G82)))</f>
        <v/>
      </c>
      <c r="J82" s="17" t="str">
        <f aca="false">IF($A82="","",COUNTIFS(독서활동기록!$B$3:$B$302,$A82))</f>
        <v/>
      </c>
    </row>
    <row r="83" customFormat="false" ht="15" hidden="false" customHeight="true" outlineLevel="0" collapsed="false">
      <c r="A83" s="17" t="str">
        <f aca="false">IF(학생명부!$A83="","",학생명부!$A83)</f>
        <v/>
      </c>
      <c r="B83" s="17" t="str">
        <f aca="false">IF(학생명부!$A83="","",학생명부!$B83)</f>
        <v/>
      </c>
      <c r="C83" s="17" t="str">
        <f aca="false">IF(학생명부!$A83="","",학생명부!$C83)</f>
        <v/>
      </c>
      <c r="D83" s="19" t="str">
        <f aca="false">IF($A83="","",ROUND(SUMIFS(봉사기록!$G$3:$G$502,봉사기록!$B$3:$B$502,$A83,봉사기록!$D$3:$D$502,"일상봉사"),2))</f>
        <v/>
      </c>
      <c r="E83" s="19" t="str">
        <f aca="false">IF($A83="","",ROUND(SUMIFS(봉사기록!$G$3:$G$502,봉사기록!$B$3:$B$502,$A83,봉사기록!$D$3:$D$502,"특별봉사"),2))</f>
        <v/>
      </c>
      <c r="F83" s="19" t="str">
        <f aca="false">IF($A83="","",ROUND($D83+$E83,2))</f>
        <v/>
      </c>
      <c r="G83" s="19" t="str">
        <f aca="false">IF($A83="","",사용안내!$C$17)</f>
        <v/>
      </c>
      <c r="H83" s="19" t="str">
        <f aca="false">IF($A83="","",MAX(0,$G83-$F83))</f>
        <v/>
      </c>
      <c r="I83" s="20" t="str">
        <f aca="false">IF($A83="","",IF($G83=0,"",MIN(1,$F83/$G83)))</f>
        <v/>
      </c>
      <c r="J83" s="17" t="str">
        <f aca="false">IF($A83="","",COUNTIFS(독서활동기록!$B$3:$B$302,$A83))</f>
        <v/>
      </c>
    </row>
    <row r="85" customFormat="false" ht="15" hidden="false" customHeight="true" outlineLevel="0" collapsed="false">
      <c r="C85" s="21" t="s">
        <v>61</v>
      </c>
      <c r="D85" s="22" t="n">
        <f aca="false">ROUND(SUM(D3:D83),2)</f>
        <v>4.15</v>
      </c>
      <c r="E85" s="22" t="n">
        <f aca="false">ROUND(SUM(E3:E83),2)</f>
        <v>5.5</v>
      </c>
      <c r="F85" s="22" t="n">
        <f aca="false">ROUND(SUM(F3:F83),2)</f>
        <v>9.65</v>
      </c>
      <c r="J85" s="21" t="n">
        <f aca="false">SUM(J3:J83)</f>
        <v>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4"/>
    <col collapsed="false" customWidth="true" hidden="false" outlineLevel="0" max="5" min="5" style="1" width="12"/>
  </cols>
  <sheetData>
    <row r="1" customFormat="false" ht="24" hidden="false" customHeight="true" outlineLevel="0" collapsed="false">
      <c r="A1" s="2" t="s">
        <v>62</v>
      </c>
      <c r="B1" s="2"/>
      <c r="C1" s="2"/>
      <c r="D1" s="2"/>
      <c r="E1" s="2"/>
    </row>
    <row r="3" customFormat="false" ht="15" hidden="false" customHeight="true" outlineLevel="0" collapsed="false">
      <c r="A3" s="3" t="s">
        <v>63</v>
      </c>
      <c r="B3" s="23" t="n">
        <v>2026</v>
      </c>
      <c r="C3" s="6" t="s">
        <v>64</v>
      </c>
    </row>
    <row r="5" customFormat="false" ht="15" hidden="false" customHeight="true" outlineLevel="0" collapsed="false">
      <c r="A5" s="11" t="s">
        <v>65</v>
      </c>
      <c r="B5" s="11" t="s">
        <v>54</v>
      </c>
      <c r="C5" s="11" t="s">
        <v>55</v>
      </c>
      <c r="D5" s="11" t="s">
        <v>66</v>
      </c>
      <c r="E5" s="11" t="s">
        <v>67</v>
      </c>
    </row>
    <row r="6" customFormat="false" ht="15" hidden="false" customHeight="true" outlineLevel="0" collapsed="false">
      <c r="A6" s="24" t="n">
        <v>1</v>
      </c>
      <c r="B6" s="25" t="n">
        <f aca="false">ROUND(SUMIFS(봉사기록!$G$3:$G$502,봉사기록!$I$3:$I$502,$B$3,봉사기록!$J$3:$J$502,$A6,봉사기록!$D$3:$D$502,"일상봉사"),2)</f>
        <v>0</v>
      </c>
      <c r="C6" s="25" t="n">
        <f aca="false">ROUND(SUMIFS(봉사기록!$G$3:$G$502,봉사기록!$I$3:$I$502,$B$3,봉사기록!$J$3:$J$502,$A6,봉사기록!$D$3:$D$502,"특별봉사"),2)</f>
        <v>0</v>
      </c>
      <c r="D6" s="25" t="n">
        <f aca="false">ROUND($B6+$C6,2)</f>
        <v>0</v>
      </c>
      <c r="E6" s="24" t="n">
        <f aca="false">COUNTIFS(봉사기록!$I$3:$I$502,$B$3,봉사기록!$J$3:$J$502,$A6)</f>
        <v>0</v>
      </c>
    </row>
    <row r="7" customFormat="false" ht="15" hidden="false" customHeight="true" outlineLevel="0" collapsed="false">
      <c r="A7" s="24" t="n">
        <v>2</v>
      </c>
      <c r="B7" s="25" t="n">
        <f aca="false">ROUND(SUMIFS(봉사기록!$G$3:$G$502,봉사기록!$I$3:$I$502,$B$3,봉사기록!$J$3:$J$502,$A7,봉사기록!$D$3:$D$502,"일상봉사"),2)</f>
        <v>0</v>
      </c>
      <c r="C7" s="25" t="n">
        <f aca="false">ROUND(SUMIFS(봉사기록!$G$3:$G$502,봉사기록!$I$3:$I$502,$B$3,봉사기록!$J$3:$J$502,$A7,봉사기록!$D$3:$D$502,"특별봉사"),2)</f>
        <v>0</v>
      </c>
      <c r="D7" s="25" t="n">
        <f aca="false">ROUND($B7+$C7,2)</f>
        <v>0</v>
      </c>
      <c r="E7" s="24" t="n">
        <f aca="false">COUNTIFS(봉사기록!$I$3:$I$502,$B$3,봉사기록!$J$3:$J$502,$A7)</f>
        <v>0</v>
      </c>
    </row>
    <row r="8" customFormat="false" ht="15" hidden="false" customHeight="true" outlineLevel="0" collapsed="false">
      <c r="A8" s="24" t="n">
        <v>3</v>
      </c>
      <c r="B8" s="25" t="n">
        <f aca="false">ROUND(SUMIFS(봉사기록!$G$3:$G$502,봉사기록!$I$3:$I$502,$B$3,봉사기록!$J$3:$J$502,$A8,봉사기록!$D$3:$D$502,"일상봉사"),2)</f>
        <v>0</v>
      </c>
      <c r="C8" s="25" t="n">
        <f aca="false">ROUND(SUMIFS(봉사기록!$G$3:$G$502,봉사기록!$I$3:$I$502,$B$3,봉사기록!$J$3:$J$502,$A8,봉사기록!$D$3:$D$502,"특별봉사"),2)</f>
        <v>0</v>
      </c>
      <c r="D8" s="25" t="n">
        <f aca="false">ROUND($B8+$C8,2)</f>
        <v>0</v>
      </c>
      <c r="E8" s="24" t="n">
        <f aca="false">COUNTIFS(봉사기록!$I$3:$I$502,$B$3,봉사기록!$J$3:$J$502,$A8)</f>
        <v>0</v>
      </c>
    </row>
    <row r="9" customFormat="false" ht="15" hidden="false" customHeight="true" outlineLevel="0" collapsed="false">
      <c r="A9" s="24" t="n">
        <v>4</v>
      </c>
      <c r="B9" s="25" t="n">
        <f aca="false">ROUND(SUMIFS(봉사기록!$G$3:$G$502,봉사기록!$I$3:$I$502,$B$3,봉사기록!$J$3:$J$502,$A9,봉사기록!$D$3:$D$502,"일상봉사"),2)</f>
        <v>0</v>
      </c>
      <c r="C9" s="25" t="n">
        <f aca="false">ROUND(SUMIFS(봉사기록!$G$3:$G$502,봉사기록!$I$3:$I$502,$B$3,봉사기록!$J$3:$J$502,$A9,봉사기록!$D$3:$D$502,"특별봉사"),2)</f>
        <v>0</v>
      </c>
      <c r="D9" s="25" t="n">
        <f aca="false">ROUND($B9+$C9,2)</f>
        <v>0</v>
      </c>
      <c r="E9" s="24" t="n">
        <f aca="false">COUNTIFS(봉사기록!$I$3:$I$502,$B$3,봉사기록!$J$3:$J$502,$A9)</f>
        <v>0</v>
      </c>
    </row>
    <row r="10" customFormat="false" ht="15" hidden="false" customHeight="true" outlineLevel="0" collapsed="false">
      <c r="A10" s="24" t="n">
        <v>5</v>
      </c>
      <c r="B10" s="25" t="n">
        <f aca="false">ROUND(SUMIFS(봉사기록!$G$3:$G$502,봉사기록!$I$3:$I$502,$B$3,봉사기록!$J$3:$J$502,$A10,봉사기록!$D$3:$D$502,"일상봉사"),2)</f>
        <v>1.66</v>
      </c>
      <c r="C10" s="25" t="n">
        <f aca="false">ROUND(SUMIFS(봉사기록!$G$3:$G$502,봉사기록!$I$3:$I$502,$B$3,봉사기록!$J$3:$J$502,$A10,봉사기록!$D$3:$D$502,"특별봉사"),2)</f>
        <v>0</v>
      </c>
      <c r="D10" s="25" t="n">
        <f aca="false">ROUND($B10+$C10,2)</f>
        <v>1.66</v>
      </c>
      <c r="E10" s="24" t="n">
        <f aca="false">COUNTIFS(봉사기록!$I$3:$I$502,$B$3,봉사기록!$J$3:$J$502,$A10)</f>
        <v>2</v>
      </c>
    </row>
    <row r="11" customFormat="false" ht="15" hidden="false" customHeight="true" outlineLevel="0" collapsed="false">
      <c r="A11" s="24" t="n">
        <v>6</v>
      </c>
      <c r="B11" s="25" t="n">
        <f aca="false">ROUND(SUMIFS(봉사기록!$G$3:$G$502,봉사기록!$I$3:$I$502,$B$3,봉사기록!$J$3:$J$502,$A11,봉사기록!$D$3:$D$502,"일상봉사"),2)</f>
        <v>0.83</v>
      </c>
      <c r="C11" s="25" t="n">
        <f aca="false">ROUND(SUMIFS(봉사기록!$G$3:$G$502,봉사기록!$I$3:$I$502,$B$3,봉사기록!$J$3:$J$502,$A11,봉사기록!$D$3:$D$502,"특별봉사"),2)</f>
        <v>3</v>
      </c>
      <c r="D11" s="25" t="n">
        <f aca="false">ROUND($B11+$C11,2)</f>
        <v>3.83</v>
      </c>
      <c r="E11" s="24" t="n">
        <f aca="false">COUNTIFS(봉사기록!$I$3:$I$502,$B$3,봉사기록!$J$3:$J$502,$A11)</f>
        <v>2</v>
      </c>
    </row>
    <row r="12" customFormat="false" ht="15" hidden="false" customHeight="true" outlineLevel="0" collapsed="false">
      <c r="A12" s="24" t="n">
        <v>7</v>
      </c>
      <c r="B12" s="25" t="n">
        <f aca="false">ROUND(SUMIFS(봉사기록!$G$3:$G$502,봉사기록!$I$3:$I$502,$B$3,봉사기록!$J$3:$J$502,$A12,봉사기록!$D$3:$D$502,"일상봉사"),2)</f>
        <v>0</v>
      </c>
      <c r="C12" s="25" t="n">
        <f aca="false">ROUND(SUMIFS(봉사기록!$G$3:$G$502,봉사기록!$I$3:$I$502,$B$3,봉사기록!$J$3:$J$502,$A12,봉사기록!$D$3:$D$502,"특별봉사"),2)</f>
        <v>0</v>
      </c>
      <c r="D12" s="25" t="n">
        <f aca="false">ROUND($B12+$C12,2)</f>
        <v>0</v>
      </c>
      <c r="E12" s="24" t="n">
        <f aca="false">COUNTIFS(봉사기록!$I$3:$I$502,$B$3,봉사기록!$J$3:$J$502,$A12)</f>
        <v>0</v>
      </c>
    </row>
    <row r="13" customFormat="false" ht="15" hidden="false" customHeight="true" outlineLevel="0" collapsed="false">
      <c r="A13" s="24" t="n">
        <v>8</v>
      </c>
      <c r="B13" s="25" t="n">
        <f aca="false">ROUND(SUMIFS(봉사기록!$G$3:$G$502,봉사기록!$I$3:$I$502,$B$3,봉사기록!$J$3:$J$502,$A13,봉사기록!$D$3:$D$502,"일상봉사"),2)</f>
        <v>0</v>
      </c>
      <c r="C13" s="25" t="n">
        <f aca="false">ROUND(SUMIFS(봉사기록!$G$3:$G$502,봉사기록!$I$3:$I$502,$B$3,봉사기록!$J$3:$J$502,$A13,봉사기록!$D$3:$D$502,"특별봉사"),2)</f>
        <v>0</v>
      </c>
      <c r="D13" s="25" t="n">
        <f aca="false">ROUND($B13+$C13,2)</f>
        <v>0</v>
      </c>
      <c r="E13" s="24" t="n">
        <f aca="false">COUNTIFS(봉사기록!$I$3:$I$502,$B$3,봉사기록!$J$3:$J$502,$A13)</f>
        <v>0</v>
      </c>
    </row>
    <row r="14" customFormat="false" ht="15" hidden="false" customHeight="true" outlineLevel="0" collapsed="false">
      <c r="A14" s="24" t="n">
        <v>9</v>
      </c>
      <c r="B14" s="25" t="n">
        <f aca="false">ROUND(SUMIFS(봉사기록!$G$3:$G$502,봉사기록!$I$3:$I$502,$B$3,봉사기록!$J$3:$J$502,$A14,봉사기록!$D$3:$D$502,"일상봉사"),2)</f>
        <v>1.66</v>
      </c>
      <c r="C14" s="25" t="n">
        <f aca="false">ROUND(SUMIFS(봉사기록!$G$3:$G$502,봉사기록!$I$3:$I$502,$B$3,봉사기록!$J$3:$J$502,$A14,봉사기록!$D$3:$D$502,"특별봉사"),2)</f>
        <v>2.5</v>
      </c>
      <c r="D14" s="25" t="n">
        <f aca="false">ROUND($B14+$C14,2)</f>
        <v>4.16</v>
      </c>
      <c r="E14" s="24" t="n">
        <f aca="false">COUNTIFS(봉사기록!$I$3:$I$502,$B$3,봉사기록!$J$3:$J$502,$A14)</f>
        <v>3</v>
      </c>
    </row>
    <row r="15" customFormat="false" ht="15" hidden="false" customHeight="true" outlineLevel="0" collapsed="false">
      <c r="A15" s="24" t="n">
        <v>10</v>
      </c>
      <c r="B15" s="25" t="n">
        <f aca="false">ROUND(SUMIFS(봉사기록!$G$3:$G$502,봉사기록!$I$3:$I$502,$B$3,봉사기록!$J$3:$J$502,$A15,봉사기록!$D$3:$D$502,"일상봉사"),2)</f>
        <v>0</v>
      </c>
      <c r="C15" s="25" t="n">
        <f aca="false">ROUND(SUMIFS(봉사기록!$G$3:$G$502,봉사기록!$I$3:$I$502,$B$3,봉사기록!$J$3:$J$502,$A15,봉사기록!$D$3:$D$502,"특별봉사"),2)</f>
        <v>0</v>
      </c>
      <c r="D15" s="25" t="n">
        <f aca="false">ROUND($B15+$C15,2)</f>
        <v>0</v>
      </c>
      <c r="E15" s="24" t="n">
        <f aca="false">COUNTIFS(봉사기록!$I$3:$I$502,$B$3,봉사기록!$J$3:$J$502,$A15)</f>
        <v>0</v>
      </c>
    </row>
    <row r="16" customFormat="false" ht="15" hidden="false" customHeight="true" outlineLevel="0" collapsed="false">
      <c r="A16" s="24" t="n">
        <v>11</v>
      </c>
      <c r="B16" s="25" t="n">
        <f aca="false">ROUND(SUMIFS(봉사기록!$G$3:$G$502,봉사기록!$I$3:$I$502,$B$3,봉사기록!$J$3:$J$502,$A16,봉사기록!$D$3:$D$502,"일상봉사"),2)</f>
        <v>0</v>
      </c>
      <c r="C16" s="25" t="n">
        <f aca="false">ROUND(SUMIFS(봉사기록!$G$3:$G$502,봉사기록!$I$3:$I$502,$B$3,봉사기록!$J$3:$J$502,$A16,봉사기록!$D$3:$D$502,"특별봉사"),2)</f>
        <v>0</v>
      </c>
      <c r="D16" s="25" t="n">
        <f aca="false">ROUND($B16+$C16,2)</f>
        <v>0</v>
      </c>
      <c r="E16" s="24" t="n">
        <f aca="false">COUNTIFS(봉사기록!$I$3:$I$502,$B$3,봉사기록!$J$3:$J$502,$A16)</f>
        <v>0</v>
      </c>
    </row>
    <row r="17" customFormat="false" ht="15" hidden="false" customHeight="true" outlineLevel="0" collapsed="false">
      <c r="A17" s="24" t="n">
        <v>12</v>
      </c>
      <c r="B17" s="25" t="n">
        <f aca="false">ROUND(SUMIFS(봉사기록!$G$3:$G$502,봉사기록!$I$3:$I$502,$B$3,봉사기록!$J$3:$J$502,$A17,봉사기록!$D$3:$D$502,"일상봉사"),2)</f>
        <v>0</v>
      </c>
      <c r="C17" s="25" t="n">
        <f aca="false">ROUND(SUMIFS(봉사기록!$G$3:$G$502,봉사기록!$I$3:$I$502,$B$3,봉사기록!$J$3:$J$502,$A17,봉사기록!$D$3:$D$502,"특별봉사"),2)</f>
        <v>0</v>
      </c>
      <c r="D17" s="25" t="n">
        <f aca="false">ROUND($B17+$C17,2)</f>
        <v>0</v>
      </c>
      <c r="E17" s="24" t="n">
        <f aca="false">COUNTIFS(봉사기록!$I$3:$I$502,$B$3,봉사기록!$J$3:$J$502,$A17)</f>
        <v>0</v>
      </c>
    </row>
    <row r="18" customFormat="false" ht="15" hidden="false" customHeight="true" outlineLevel="0" collapsed="false">
      <c r="A18" s="26" t="s">
        <v>68</v>
      </c>
      <c r="B18" s="27" t="n">
        <f aca="false">ROUND(SUM(B6:B17),2)</f>
        <v>4.15</v>
      </c>
      <c r="C18" s="27" t="n">
        <f aca="false">ROUND(SUM(C6:C17),2)</f>
        <v>5.5</v>
      </c>
      <c r="D18" s="27" t="n">
        <f aca="false">ROUND(SUM(D6:D17),2)</f>
        <v>9.65</v>
      </c>
      <c r="E18" s="26" t="n">
        <f aca="false">SUM(E6:E17)</f>
        <v>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24" hidden="false" customHeight="true" outlineLevel="0" collapsed="false">
      <c r="A1" s="2" t="s">
        <v>69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1" t="s">
        <v>70</v>
      </c>
      <c r="B3" s="11" t="s">
        <v>54</v>
      </c>
      <c r="C3" s="11" t="s">
        <v>55</v>
      </c>
      <c r="D3" s="11" t="s">
        <v>66</v>
      </c>
      <c r="E3" s="11" t="s">
        <v>67</v>
      </c>
      <c r="F3" s="11" t="s">
        <v>71</v>
      </c>
    </row>
    <row r="4" customFormat="false" ht="15" hidden="false" customHeight="true" outlineLevel="0" collapsed="false">
      <c r="A4" s="24" t="s">
        <v>72</v>
      </c>
      <c r="B4" s="25" t="n">
        <f aca="false">ROUND(SUMIFS(봉사기록!$G$3:$G$502,봉사기록!$K$3:$K$502,$A4,봉사기록!$D$3:$D$502,"일상봉사"),2)</f>
        <v>2.49</v>
      </c>
      <c r="C4" s="25" t="n">
        <f aca="false">ROUND(SUMIFS(봉사기록!$G$3:$G$502,봉사기록!$K$3:$K$502,$A4,봉사기록!$D$3:$D$502,"특별봉사"),2)</f>
        <v>3</v>
      </c>
      <c r="D4" s="25" t="n">
        <f aca="false">ROUND($B4+$C4,2)</f>
        <v>5.49</v>
      </c>
      <c r="E4" s="24" t="n">
        <f aca="false">COUNTIFS(봉사기록!$K$3:$K$502,$A4)</f>
        <v>4</v>
      </c>
      <c r="F4" s="24" t="n">
        <f aca="false">SUMPRODUCT((학생명부!$A$3:$A$83&lt;&gt;"")*(COUNTIFS(봉사기록!$B$3:$B$502,학생명부!$A$3:$A$83,봉사기록!$K$3:$K$502,$A4)&gt;0))</f>
        <v>3</v>
      </c>
    </row>
    <row r="5" customFormat="false" ht="15" hidden="false" customHeight="true" outlineLevel="0" collapsed="false">
      <c r="A5" s="24" t="s">
        <v>73</v>
      </c>
      <c r="B5" s="25" t="n">
        <f aca="false">ROUND(SUMIFS(봉사기록!$G$3:$G$502,봉사기록!$K$3:$K$502,$A5,봉사기록!$D$3:$D$502,"일상봉사"),2)</f>
        <v>1.66</v>
      </c>
      <c r="C5" s="25" t="n">
        <f aca="false">ROUND(SUMIFS(봉사기록!$G$3:$G$502,봉사기록!$K$3:$K$502,$A5,봉사기록!$D$3:$D$502,"특별봉사"),2)</f>
        <v>2.5</v>
      </c>
      <c r="D5" s="25" t="n">
        <f aca="false">ROUND($B5+$C5,2)</f>
        <v>4.16</v>
      </c>
      <c r="E5" s="24" t="n">
        <f aca="false">COUNTIFS(봉사기록!$K$3:$K$502,$A5)</f>
        <v>3</v>
      </c>
      <c r="F5" s="24" t="n">
        <f aca="false">SUMPRODUCT((학생명부!$A$3:$A$83&lt;&gt;"")*(COUNTIFS(봉사기록!$B$3:$B$502,학생명부!$A$3:$A$83,봉사기록!$K$3:$K$502,$A5)&gt;0))</f>
        <v>3</v>
      </c>
    </row>
    <row r="6" customFormat="false" ht="15" hidden="false" customHeight="true" outlineLevel="0" collapsed="false">
      <c r="A6" s="28" t="s">
        <v>74</v>
      </c>
      <c r="B6" s="25" t="n">
        <f aca="false">ROUND(SUMIFS(봉사기록!$G$3:$G$502,봉사기록!$K$3:$K$502,$A6,봉사기록!$D$3:$D$502,"일상봉사"),2)</f>
        <v>0</v>
      </c>
      <c r="C6" s="25" t="n">
        <f aca="false">ROUND(SUMIFS(봉사기록!$G$3:$G$502,봉사기록!$K$3:$K$502,$A6,봉사기록!$D$3:$D$502,"특별봉사"),2)</f>
        <v>0</v>
      </c>
      <c r="D6" s="25" t="n">
        <f aca="false">ROUND($B6+$C6,2)</f>
        <v>0</v>
      </c>
      <c r="E6" s="28" t="n">
        <f aca="false">COUNTIFS(봉사기록!$K$3:$K$502,$A6)</f>
        <v>0</v>
      </c>
      <c r="F6" s="28" t="n">
        <f aca="false">SUMPRODUCT((학생명부!$A$3:$A$83&lt;&gt;"")*(COUNTIFS(봉사기록!$B$3:$B$502,학생명부!$A$3:$A$83,봉사기록!$K$3:$K$502,$A6)&gt;0))</f>
        <v>0</v>
      </c>
    </row>
    <row r="7" customFormat="false" ht="15" hidden="false" customHeight="true" outlineLevel="0" collapsed="false">
      <c r="A7" s="26" t="s">
        <v>75</v>
      </c>
      <c r="B7" s="27" t="n">
        <f aca="false">ROUND(SUM(B4:B6),2)</f>
        <v>4.15</v>
      </c>
      <c r="C7" s="27" t="n">
        <f aca="false">ROUND(SUM(C4:C6),2)</f>
        <v>5.5</v>
      </c>
      <c r="D7" s="27" t="n">
        <f aca="false">ROUND(SUM(D4:D6),2)</f>
        <v>9.65</v>
      </c>
      <c r="E7" s="26" t="n">
        <f aca="false">SUM(E4:E6)</f>
        <v>7</v>
      </c>
      <c r="F7" s="3" t="n">
        <f aca="false">SUMPRODUCT((학생명부!$A$3:$A$83&lt;&gt;"")*(COUNTIFS(봉사기록!$B$3:$B$502,학생명부!$A$3:$A$83)&gt;0))</f>
        <v>3</v>
      </c>
    </row>
    <row r="9" customFormat="false" ht="15" hidden="false" customHeight="true" outlineLevel="0" collapsed="false">
      <c r="A9" s="29" t="s">
        <v>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2026-09-13T13:58:14Z</dcterms:created>
  <dc:creator>openpyxl</dc:creator>
  <dc:description/>
  <dc:language>en-US</dc:language>
  <cp:lastModifiedBy/>
  <dcterms:modified xsi:type="dcterms:W3CDTF">2026-09-13T14:21:43Z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